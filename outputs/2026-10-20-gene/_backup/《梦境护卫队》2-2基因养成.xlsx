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 activeTab="2"/>
  </bookViews>
  <sheets>
    <sheet name="说明" sheetId="1" r:id="rId1"/>
    <sheet name="养成属性" sheetId="2" r:id="rId2"/>
    <sheet name="基因升级" sheetId="3" r:id="rId3"/>
    <sheet name="基因产出" sheetId="6" r:id="rId4"/>
    <sheet name="属性汇总" sheetId="4" r:id="rId5"/>
    <sheet name="蔚蓝参考" sheetId="5" r:id="rId6"/>
    <sheet name="Sheet1" sheetId="7" r:id="rId7"/>
  </sheets>
  <externalReferences>
    <externalReference r:id="rId8"/>
    <externalReference r:id="rId9"/>
  </externalReferences>
  <definedNames>
    <definedName name="_xlnm._FilterDatabase" localSheetId="2" hidden="1">基因升级!$D$140:$AG$515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<sst xmlns="http://schemas.openxmlformats.org/spreadsheetml/2006/main" count="1314" uniqueCount="467">
  <si>
    <t>基因养成</t>
  </si>
  <si>
    <t>说明</t>
  </si>
  <si>
    <t>基因升级</t>
  </si>
  <si>
    <t>梦灵升级消耗【基因罐】＋【金币】＋【时间】，大节点消耗【大基因罐】</t>
  </si>
  <si>
    <t>基因养成体验</t>
  </si>
  <si>
    <t>基因升级的属性加给主角攻击力，对标装备养成节奏</t>
  </si>
  <si>
    <t>1、养成：全绑定主角伤害，少量攻击力丢到这里来。</t>
  </si>
  <si>
    <t>2、加速产出： 大量在前期运营活动、主线通关奖励（快速释放）、每日任务（主要）里面产加速材料</t>
  </si>
  <si>
    <t>3、天赋石产出：体力扫荡（主要）、个人挑战本商店（肝度）、</t>
  </si>
  <si>
    <t>整体体验：前期用主线和活动产的加速去释放，每天固定产很多小时加速（48h+），防止需要高频点击带来的肝度提升</t>
  </si>
  <si>
    <t>关联配置</t>
  </si>
  <si>
    <t>配置</t>
  </si>
  <si>
    <t>字段</t>
  </si>
  <si>
    <t>值</t>
  </si>
  <si>
    <t>J_基因_evolve_data</t>
  </si>
  <si>
    <t>X_效果映射_effect_mapping_data</t>
  </si>
  <si>
    <t>*基因节点引用效果映射表，具体技能内容根据实际进行配置</t>
  </si>
  <si>
    <t>*预留最后一行</t>
  </si>
  <si>
    <t>本页结束</t>
  </si>
  <si>
    <t>养成属性</t>
  </si>
  <si>
    <t>属性规划</t>
  </si>
  <si>
    <t>对标梦灵升级</t>
  </si>
  <si>
    <t>对标技能</t>
  </si>
  <si>
    <t>对标梦灵升阶</t>
  </si>
  <si>
    <t>天数</t>
  </si>
  <si>
    <t>玩家等级</t>
  </si>
  <si>
    <t>挂件属性</t>
  </si>
  <si>
    <t>主角属性倍率</t>
  </si>
  <si>
    <t>配置属性</t>
  </si>
  <si>
    <t>主角伤害加成</t>
  </si>
  <si>
    <t>主角爆伤加成</t>
  </si>
  <si>
    <t>主角暴击加成</t>
  </si>
  <si>
    <t>主角攻速加成</t>
  </si>
  <si>
    <t>预估倍率</t>
  </si>
  <si>
    <t>主角成长倍率</t>
  </si>
  <si>
    <t>攻击力</t>
  </si>
  <si>
    <t>解锁技能</t>
  </si>
  <si>
    <t>解锁复活</t>
  </si>
  <si>
    <t>初始召唤+1【上限2】</t>
  </si>
  <si>
    <t>梦灵召唤后，伤害+n%，持续m秒</t>
  </si>
  <si>
    <t>梦灵召唤后，攻速+n%，持续m秒</t>
  </si>
  <si>
    <t>梦灵复活后，无敌n秒</t>
  </si>
  <si>
    <t>梦灵复活后，n个梦灵伤害+n%，持续m秒</t>
  </si>
  <si>
    <t>梦灵复活后，n个梦灵全体攻速+n%，持续m秒</t>
  </si>
  <si>
    <t>梦灵复活后，触发击退</t>
  </si>
  <si>
    <t>复活次数+1</t>
  </si>
  <si>
    <t>梦灵复活后，击退距离+n</t>
  </si>
  <si>
    <t>复活血量+n%</t>
  </si>
  <si>
    <t>#基因属性主要主角部分的养成，对标装备数值</t>
  </si>
  <si>
    <t>17天1w7</t>
  </si>
  <si>
    <t>少部分攻击力有追求</t>
  </si>
  <si>
    <t>途径</t>
  </si>
  <si>
    <t>主角攻击力</t>
  </si>
  <si>
    <t>战斗机制</t>
  </si>
  <si>
    <t>汇总</t>
  </si>
  <si>
    <t>小节点</t>
  </si>
  <si>
    <t>中节点</t>
  </si>
  <si>
    <t>大节点</t>
  </si>
  <si>
    <t>单次加成</t>
  </si>
  <si>
    <t>节点数</t>
  </si>
  <si>
    <t>效果规划</t>
  </si>
  <si>
    <t>基因节点</t>
  </si>
  <si>
    <t>基因效果</t>
  </si>
  <si>
    <t>基因效果
期望关卡数</t>
  </si>
  <si>
    <t>期望关卡</t>
  </si>
  <si>
    <t>颜色与标识</t>
  </si>
  <si>
    <t>解锁队长武器和技能，咻咻的弹簧锤</t>
  </si>
  <si>
    <t>主角武器类</t>
  </si>
  <si>
    <t>主线关卡召唤梦灵次数+1</t>
  </si>
  <si>
    <t>关键机制释放</t>
  </si>
  <si>
    <t>梦灵获得自动复活能力，倒下后可自动复活1次</t>
  </si>
  <si>
    <t>攻击+50</t>
  </si>
  <si>
    <t>属性成长类</t>
  </si>
  <si>
    <t>梦灵复活时可以击退敌人</t>
  </si>
  <si>
    <t>怪物靠近主角时，立即释放弹簧锤击退怪物</t>
  </si>
  <si>
    <t>梦灵复活血量增加20%</t>
  </si>
  <si>
    <t>弹簧锤数量+1，伤害-20%</t>
  </si>
  <si>
    <t>攻击+60</t>
  </si>
  <si>
    <t>梦灵复活时可以击退敌人更远</t>
  </si>
  <si>
    <t>弹簧锤体积+15%</t>
  </si>
  <si>
    <t>梦灵复活次数+1</t>
  </si>
  <si>
    <t>攻击+40</t>
  </si>
  <si>
    <t>弹簧锤连发+1，伤害-20%</t>
  </si>
  <si>
    <t>咻咻的弹簧锤10%几率眩晕怪物2秒</t>
  </si>
  <si>
    <t>攻击+70</t>
  </si>
  <si>
    <t>首次有梦灵血量低于50%时，立即释放一次弹簧锤击退怪物</t>
  </si>
  <si>
    <t>攻击+45</t>
  </si>
  <si>
    <t>弹簧锤数量增加不再减少伤害</t>
  </si>
  <si>
    <t>首次有梦灵血量低于25%时，立即释放一次弹簧锤击退怪物</t>
  </si>
  <si>
    <t>攻击+80</t>
  </si>
  <si>
    <t>弹簧锤连发不再减少伤害</t>
  </si>
  <si>
    <t>弹簧锤伤害+20%</t>
  </si>
  <si>
    <t>攻击+90</t>
  </si>
  <si>
    <t>弹簧锤体积+20%</t>
  </si>
  <si>
    <t>攻击+55</t>
  </si>
  <si>
    <t>攻击+100</t>
  </si>
  <si>
    <t>攻击+110</t>
  </si>
  <si>
    <t>弹簧锤数量+1</t>
  </si>
  <si>
    <t>攻击+120</t>
  </si>
  <si>
    <t>攻击+65</t>
  </si>
  <si>
    <t>弹簧锤连发+1</t>
  </si>
  <si>
    <t>攻击+75</t>
  </si>
  <si>
    <t>养成规划</t>
  </si>
  <si>
    <t>满级参数</t>
  </si>
  <si>
    <t>养成周期/天</t>
  </si>
  <si>
    <t>*引用商业化框架</t>
  </si>
  <si>
    <t>实际天数</t>
  </si>
  <si>
    <t>养成成本/钻</t>
  </si>
  <si>
    <t>日活跃/小时</t>
  </si>
  <si>
    <t>*此处纯活跃投放，不做商业化，主要做降肝减负</t>
  </si>
  <si>
    <t>每日产出钻石</t>
  </si>
  <si>
    <t>属性模板</t>
  </si>
  <si>
    <t>这里拉大颗粒度，才能对标带时间的升级养成（与蔚蓝的核心不同）</t>
  </si>
  <si>
    <t>1.层级系数</t>
  </si>
  <si>
    <t>#对标装备成长</t>
  </si>
  <si>
    <t>#对标装备的养成节奏</t>
  </si>
  <si>
    <t>大R</t>
  </si>
  <si>
    <t>小R</t>
  </si>
  <si>
    <t>层级</t>
  </si>
  <si>
    <t>属性系数</t>
  </si>
  <si>
    <t>属性成长</t>
  </si>
  <si>
    <t>期望时间</t>
  </si>
  <si>
    <t>停留时间</t>
  </si>
  <si>
    <t>实际预期天数</t>
  </si>
  <si>
    <t>属性与养成</t>
  </si>
  <si>
    <t>升级道具</t>
  </si>
  <si>
    <t>效率/小时</t>
  </si>
  <si>
    <t>定价/钻</t>
  </si>
  <si>
    <t>金币</t>
  </si>
  <si>
    <t>基因罐</t>
  </si>
  <si>
    <t>加速卡</t>
  </si>
  <si>
    <t>*5分钟</t>
  </si>
  <si>
    <t>钻石完成</t>
  </si>
  <si>
    <t>好友协助</t>
  </si>
  <si>
    <t>升级时间分配</t>
  </si>
  <si>
    <t>#养成颗粒度做到200级，统一300天养成线做成200级300天，300级500天</t>
  </si>
  <si>
    <t>#金币产销先对标</t>
  </si>
  <si>
    <t>不花时间体验好一点，打完三星直接可以强化</t>
  </si>
  <si>
    <t>节点类型</t>
  </si>
  <si>
    <t>升级消耗汇总</t>
  </si>
  <si>
    <t>不花时间</t>
  </si>
  <si>
    <t>基因等级</t>
  </si>
  <si>
    <t>预期天数</t>
  </si>
  <si>
    <t>关卡预期</t>
  </si>
  <si>
    <t>解锁天数</t>
  </si>
  <si>
    <t>产出</t>
  </si>
  <si>
    <t>阶段</t>
  </si>
  <si>
    <t>队长攻击力</t>
  </si>
  <si>
    <t>队长伤害</t>
  </si>
  <si>
    <t>队长暴击伤害</t>
  </si>
  <si>
    <t>队长暴击+</t>
  </si>
  <si>
    <t>队长技能冷却</t>
  </si>
  <si>
    <t>弹簧锤飞行距离</t>
  </si>
  <si>
    <t>消耗校验</t>
  </si>
  <si>
    <t>时间</t>
  </si>
  <si>
    <t>高级基因罐</t>
  </si>
  <si>
    <t>升级时间(小时)</t>
  </si>
  <si>
    <t>复活次数</t>
  </si>
  <si>
    <t>复活秒数</t>
  </si>
  <si>
    <t>复活血量</t>
  </si>
  <si>
    <t>复活击退</t>
  </si>
  <si>
    <t>升级金币</t>
  </si>
  <si>
    <t>升级基因罐</t>
  </si>
  <si>
    <t>升级价格(钻石)</t>
  </si>
  <si>
    <t>金币消耗</t>
  </si>
  <si>
    <t>队长攻击力+6\n队长伤害+5%</t>
  </si>
  <si>
    <t>/</t>
  </si>
  <si>
    <t>队长攻击力+6\n弹簧锤飞行距离+5%</t>
  </si>
  <si>
    <t/>
  </si>
  <si>
    <t>队长攻击力+6\n队长暴击+0.2%</t>
  </si>
  <si>
    <t>队长攻击力+6\n队长暴击伤害+3%</t>
  </si>
  <si>
    <t>队长攻击力+12\n队长伤害+5%</t>
  </si>
  <si>
    <t>队长攻击力+12\n弹簧锤飞行距离+5%</t>
  </si>
  <si>
    <t>队长攻击力+12\n队长暴击+0.2%</t>
  </si>
  <si>
    <t>队长攻击力+12\n队长暴击伤害+3%</t>
  </si>
  <si>
    <t>怪物靠近飞船时，立即释放弹簧锤击退怪物</t>
  </si>
  <si>
    <t>队长攻击力+18\n队长伤害+5%</t>
  </si>
  <si>
    <t>队长攻击力+18\n弹簧锤飞行距离+5%</t>
  </si>
  <si>
    <t>队长攻击力+18\n队长暴击+0.2%</t>
  </si>
  <si>
    <t>队长攻击力+18\n队长暴击伤害+3%</t>
  </si>
  <si>
    <t>梦灵复活时，无敌时间+0.5s</t>
  </si>
  <si>
    <t>队长攻击力+24\n队长伤害+5%</t>
  </si>
  <si>
    <t>队长攻击力+24\n弹簧锤飞行距离+5%</t>
  </si>
  <si>
    <t>队长攻击力+24\n队长暴击+0.2%</t>
  </si>
  <si>
    <t>队长攻击力+24\n队长暴击伤害+3%</t>
  </si>
  <si>
    <t>队长攻击力+30\n队长伤害+5%</t>
  </si>
  <si>
    <t>队长攻击力+30\n弹簧锤飞行距离+5%</t>
  </si>
  <si>
    <t>队长攻击力+30\n队长暴击+0.2%</t>
  </si>
  <si>
    <t>队长攻击力+30\n队长暴击伤害+3%</t>
  </si>
  <si>
    <t>队长攻击力+36\n队长伤害+5%</t>
  </si>
  <si>
    <t>队长攻击力+36\n队长技能冷却+3%</t>
  </si>
  <si>
    <t>队长攻击力+36\n队长暴击+0.2%</t>
  </si>
  <si>
    <t>队长攻击力+36\n队长暴击伤害+3%</t>
  </si>
  <si>
    <t>队长攻击力+36\n弹簧锤飞行距离+5%</t>
  </si>
  <si>
    <t>队长攻击力+42\n队长伤害+5%</t>
  </si>
  <si>
    <t>队长攻击力+42\n队长技能冷却+3%</t>
  </si>
  <si>
    <t>队长攻击力+42\n队长暴击+0.2%</t>
  </si>
  <si>
    <t>队长攻击力+42\n队长暴击伤害+3%</t>
  </si>
  <si>
    <t>队长攻击力+42\n弹簧锤飞行距离+5%</t>
  </si>
  <si>
    <t>队长攻击力+48\n队长伤害+5%</t>
  </si>
  <si>
    <t>队长攻击力+48\n队长技能冷却+3%</t>
  </si>
  <si>
    <t>队长攻击力+48\n队长暴击+0.2%</t>
  </si>
  <si>
    <t>队长攻击力+48\n队长暴击伤害+3%</t>
  </si>
  <si>
    <t>梦灵复活时，造成伤害提升10%，持续5s</t>
  </si>
  <si>
    <t>队长攻击力+54\n队长伤害+5%</t>
  </si>
  <si>
    <t>队长攻击力+54\n弹簧锤飞行距离+5%</t>
  </si>
  <si>
    <t>队长攻击力+54\n队长暴击+0.2%</t>
  </si>
  <si>
    <t>队长攻击力+54\n队长暴击伤害+3%</t>
  </si>
  <si>
    <t>队长攻击力+54\n队长技能冷却+3%</t>
  </si>
  <si>
    <t>队长攻击力+58\n队长伤害+5%</t>
  </si>
  <si>
    <t>队长攻击力+58\n队长技能冷却+3%</t>
  </si>
  <si>
    <t>队长攻击力+58\n队长暴击+0.2%</t>
  </si>
  <si>
    <t>队长攻击力+58\n队长暴击伤害+3%</t>
  </si>
  <si>
    <t>队长攻击力+58\n弹簧锤飞行距离+5%</t>
  </si>
  <si>
    <t>队长攻击力+64\n队长伤害+5%</t>
  </si>
  <si>
    <t>队长攻击力+64\n队长技能冷却+3%</t>
  </si>
  <si>
    <t>队长攻击力+64\n队长暴击+0.2%</t>
  </si>
  <si>
    <t>队长攻击力+64\n队长暴击伤害+3%</t>
  </si>
  <si>
    <t>梦灵复活时，造成伤害提升20%，持续5s</t>
  </si>
  <si>
    <t>队长攻击力+70\n队长伤害+5%</t>
  </si>
  <si>
    <t>队长攻击力+70\n队长技能冷却+3%</t>
  </si>
  <si>
    <t>队长攻击力+70\n队长暴击+0.2%</t>
  </si>
  <si>
    <t>队长攻击力+70\n队长暴击伤害+3%</t>
  </si>
  <si>
    <t>队长攻击力+70\n弹簧锤飞行距离+5%</t>
  </si>
  <si>
    <t>队长攻击力+76\n队长伤害+5%</t>
  </si>
  <si>
    <t>队长攻击力+76\n队长技能冷却+3%</t>
  </si>
  <si>
    <t>队长攻击力+76\n队长暴击+0.2%</t>
  </si>
  <si>
    <t>队长攻击力+76\n队长暴击伤害+3%</t>
  </si>
  <si>
    <t>队长攻击力+82\n队长伤害+5%</t>
  </si>
  <si>
    <t>队长攻击力+82\n队长技能冷却+3%</t>
  </si>
  <si>
    <t>队长攻击力+82\n队长暴击+0.2%</t>
  </si>
  <si>
    <t>队长攻击力+82\n队长暴击伤害+3%</t>
  </si>
  <si>
    <t>队长攻击力+82\n弹簧锤飞行距离+5%</t>
  </si>
  <si>
    <t>队长攻击力+88\n队长伤害+5%</t>
  </si>
  <si>
    <t>队长攻击力+88\n队长技能冷却+3%</t>
  </si>
  <si>
    <t>队长攻击力+88\n队长暴击+0.2%</t>
  </si>
  <si>
    <t>队长攻击力+88\n队长暴击伤害+3%</t>
  </si>
  <si>
    <t>队长攻击力+94\n队长伤害+5%</t>
  </si>
  <si>
    <t>队长攻击力+94\n队长技能冷却+3%</t>
  </si>
  <si>
    <t>队长攻击力+94\n队长暴击+0.2%</t>
  </si>
  <si>
    <t>队长攻击力+94\n队长暴击伤害+3%</t>
  </si>
  <si>
    <t>队长攻击力+94\n弹簧锤飞行距离+5%</t>
  </si>
  <si>
    <t>队长攻击力+100\n队长伤害+5%</t>
  </si>
  <si>
    <t>队长攻击力+100\n队长技能冷却+3%</t>
  </si>
  <si>
    <t>队长攻击力+100\n队长暴击+0.2%</t>
  </si>
  <si>
    <t>队长攻击力+100\n队长暴击伤害+3%</t>
  </si>
  <si>
    <t>队长攻击力+100\n弹簧锤飞行距离+5%</t>
  </si>
  <si>
    <t>队长攻击力+106\n队长伤害+5%</t>
  </si>
  <si>
    <t>队长攻击力+106\n队长技能冷却+3%</t>
  </si>
  <si>
    <t>队长攻击力+106\n队长暴击+0.2%</t>
  </si>
  <si>
    <t>队长攻击力+106\n队长暴击伤害+3%</t>
  </si>
  <si>
    <t>队长攻击力+110\n队长伤害+5%</t>
  </si>
  <si>
    <t>队长攻击力+110\n队长技能冷却+3%</t>
  </si>
  <si>
    <t>队长攻击力+110\n队长暴击+0.2%</t>
  </si>
  <si>
    <t>队长攻击力+110\n队长暴击伤害+3%</t>
  </si>
  <si>
    <t>队长攻击力+110\n弹簧锤飞行距离+5%</t>
  </si>
  <si>
    <t>队长攻击力+116\n队长伤害+5%</t>
  </si>
  <si>
    <t>队长攻击力+116\n队长技能冷却+3%</t>
  </si>
  <si>
    <t>队长攻击力+116\n队长暴击+0.2%</t>
  </si>
  <si>
    <t>队长攻击力+116\n队长暴击伤害+3%</t>
  </si>
  <si>
    <t>队长攻击力+116\n弹簧锤飞行距离+5%</t>
  </si>
  <si>
    <t>队长攻击力+122\n队长伤害+5%</t>
  </si>
  <si>
    <t>队长攻击力+122\n队长技能冷却+3%</t>
  </si>
  <si>
    <t>队长攻击力+122\n队长暴击+0.2%</t>
  </si>
  <si>
    <t>队长攻击力+122\n队长暴击伤害+3%</t>
  </si>
  <si>
    <t>队长攻击力+128\n队长技能冷却+3%</t>
  </si>
  <si>
    <t>队长攻击力+128\n队长伤害+5%</t>
  </si>
  <si>
    <t>队长攻击力+128\n队长暴击+0.2%</t>
  </si>
  <si>
    <t>队长攻击力+128\n队长暴击伤害+3%</t>
  </si>
  <si>
    <t>队长攻击力+134\n队长伤害+5%</t>
  </si>
  <si>
    <t>队长攻击力+134\n队长技能冷却+3%</t>
  </si>
  <si>
    <t>队长攻击力+134\n队长暴击+0.2%</t>
  </si>
  <si>
    <t>队长攻击力+134\n队长暴击伤害+3%</t>
  </si>
  <si>
    <t>队长攻击力+140\n队长伤害+5%</t>
  </si>
  <si>
    <t>队长攻击力+140\n队长技能冷却+3%</t>
  </si>
  <si>
    <t>队长攻击力+140\n队长暴击+0.2%</t>
  </si>
  <si>
    <t>队长攻击力+140\n队长暴击伤害+3%</t>
  </si>
  <si>
    <t>队长攻击力+146\n队长伤害+5%</t>
  </si>
  <si>
    <t>队长攻击力+146\n队长暴击+0.2%</t>
  </si>
  <si>
    <t>队长攻击力+146\n队长暴击伤害+3%</t>
  </si>
  <si>
    <t>队长攻击力+152\n队长伤害+5%</t>
  </si>
  <si>
    <t>队长攻击力+152\n队长暴击+0.2%</t>
  </si>
  <si>
    <t>队长攻击力+152\n队长暴击伤害+3%</t>
  </si>
  <si>
    <t>队长攻击力+158\n队长伤害+5%</t>
  </si>
  <si>
    <t>队长攻击力+158\n队长暴击+0.2%</t>
  </si>
  <si>
    <t>队长攻击力+158\n队长暴击伤害+3%</t>
  </si>
  <si>
    <t>队长攻击力+164\n队长伤害+5%</t>
  </si>
  <si>
    <t>队长攻击力+164\n队长暴击+0.2%</t>
  </si>
  <si>
    <t>队长攻击力+164\n队长暴击伤害+3%</t>
  </si>
  <si>
    <t>队长攻击力+168\n队长伤害+5%</t>
  </si>
  <si>
    <t>队长攻击力+168\n队长暴击+0.2%</t>
  </si>
  <si>
    <t>队长攻击力+168\n队长暴击伤害+3%</t>
  </si>
  <si>
    <t>队长攻击力+174\n队长伤害+5%</t>
  </si>
  <si>
    <t>队长攻击力+174\n队长暴击+0.2%</t>
  </si>
  <si>
    <t>队长攻击力+174\n队长暴击伤害+3%</t>
  </si>
  <si>
    <t>装备属性模拟</t>
  </si>
  <si>
    <t>属性</t>
  </si>
  <si>
    <t>列1</t>
  </si>
  <si>
    <t>设计思路</t>
  </si>
  <si>
    <t>产出规划</t>
  </si>
  <si>
    <t>道具</t>
  </si>
  <si>
    <t>来源</t>
  </si>
  <si>
    <t>周期</t>
  </si>
  <si>
    <t>是否分层</t>
  </si>
  <si>
    <t>体力</t>
  </si>
  <si>
    <t>每日</t>
  </si>
  <si>
    <t>竞速</t>
  </si>
  <si>
    <t>首通奖励（三星）</t>
  </si>
  <si>
    <t>一次性</t>
  </si>
  <si>
    <t>无差异</t>
  </si>
  <si>
    <t>竞技场商店</t>
  </si>
  <si>
    <t>日常任务</t>
  </si>
  <si>
    <t>首通奖励（一星）</t>
  </si>
  <si>
    <t>每周任务</t>
  </si>
  <si>
    <t>每周</t>
  </si>
  <si>
    <t>运营活动</t>
  </si>
  <si>
    <t>对标体力产的差异</t>
  </si>
  <si>
    <t>#预留填充物</t>
  </si>
  <si>
    <t>#每五关的三星奖励</t>
  </si>
  <si>
    <t>基因罐产出</t>
  </si>
  <si>
    <t>体力产出</t>
  </si>
  <si>
    <t>次数</t>
  </si>
  <si>
    <t>非R</t>
  </si>
  <si>
    <t>中R</t>
  </si>
  <si>
    <t>每日次数</t>
  </si>
  <si>
    <t>单次体力</t>
  </si>
  <si>
    <t>单项体力</t>
  </si>
  <si>
    <t>累计体力</t>
  </si>
  <si>
    <t>钻石价格</t>
  </si>
  <si>
    <t>rmb价格</t>
  </si>
  <si>
    <t>定位</t>
  </si>
  <si>
    <t>额外说明
汇总</t>
  </si>
  <si>
    <t>创号初始</t>
  </si>
  <si>
    <t>全体</t>
  </si>
  <si>
    <t>时间恢复</t>
  </si>
  <si>
    <t>每日广告</t>
  </si>
  <si>
    <t>食堂奖励</t>
  </si>
  <si>
    <t>日礼包免费</t>
  </si>
  <si>
    <t>月卡福利</t>
  </si>
  <si>
    <t>每日特惠礼包1</t>
  </si>
  <si>
    <t>预留给小R</t>
  </si>
  <si>
    <t>每日特惠礼包2</t>
  </si>
  <si>
    <t>每日特惠礼包3</t>
  </si>
  <si>
    <t>日礼包购买</t>
  </si>
  <si>
    <t>周礼包购买</t>
  </si>
  <si>
    <t>每周1次</t>
  </si>
  <si>
    <t>宝石购买</t>
  </si>
  <si>
    <t>主线</t>
  </si>
  <si>
    <t>加速卡产出</t>
  </si>
  <si>
    <t>#核心从运营活动做分层，保证运营活动拿满=基本没有加速时间上的缺口，非SLG体验不在加速上做大额付费，意义不大</t>
  </si>
  <si>
    <t>加速花费/h</t>
  </si>
  <si>
    <t>1小时加速</t>
  </si>
  <si>
    <t>钻石</t>
  </si>
  <si>
    <t>预留填充</t>
  </si>
  <si>
    <t>进度调整</t>
  </si>
  <si>
    <t>分层</t>
  </si>
  <si>
    <t>主线首通</t>
  </si>
  <si>
    <t>主线扫荡</t>
  </si>
  <si>
    <t>非r</t>
  </si>
  <si>
    <t>小r</t>
  </si>
  <si>
    <t>中r</t>
  </si>
  <si>
    <t>大r</t>
  </si>
  <si>
    <t>分层养成情况</t>
  </si>
  <si>
    <t>时间（天）</t>
  </si>
  <si>
    <t>产出模拟</t>
  </si>
  <si>
    <t>主线总产出</t>
  </si>
  <si>
    <t>每日产出</t>
  </si>
  <si>
    <t>体力+挂机产出</t>
  </si>
  <si>
    <t>额外产出预留</t>
  </si>
  <si>
    <t xml:space="preserve">                                                                                    </t>
  </si>
  <si>
    <t>#目前只计算双月卡玩家进度，后续等数值总表一起拓展</t>
  </si>
  <si>
    <t>开服天数</t>
  </si>
  <si>
    <t>基因等级练度</t>
  </si>
  <si>
    <t>攻击</t>
  </si>
  <si>
    <t>生命</t>
  </si>
  <si>
    <t>攻击百分比</t>
  </si>
  <si>
    <t>生命百分比</t>
  </si>
  <si>
    <t>暴击</t>
  </si>
  <si>
    <t>爆伤</t>
  </si>
  <si>
    <t>伤害增加</t>
  </si>
  <si>
    <t>伤害减免</t>
  </si>
  <si>
    <t>节点</t>
  </si>
  <si>
    <t>国王攻击力</t>
  </si>
  <si>
    <t>国王伤害%</t>
  </si>
  <si>
    <t>国王暴击率</t>
  </si>
  <si>
    <t>国王爆伤</t>
  </si>
  <si>
    <t>国王攻击速度</t>
  </si>
  <si>
    <t>特殊解锁</t>
  </si>
  <si>
    <t>天赋石</t>
  </si>
  <si>
    <t>核心加成</t>
  </si>
  <si>
    <t>传说天赋石</t>
  </si>
  <si>
    <t>金币2</t>
  </si>
  <si>
    <t>国王斩击</t>
  </si>
  <si>
    <t>剑气击退</t>
  </si>
  <si>
    <t>增加剑气，-20%伤害</t>
  </si>
  <si>
    <t>剑气体积+15%</t>
  </si>
  <si>
    <t>低于75%血量释放一次击退</t>
  </si>
  <si>
    <t>连发</t>
  </si>
  <si>
    <t>巨剑眩晕</t>
  </si>
  <si>
    <t>低于50%血量释放一次击退</t>
  </si>
  <si>
    <t>不减少国王伤害</t>
  </si>
  <si>
    <t>低于25%血量释放一次击退</t>
  </si>
  <si>
    <t>剑气连发不再减少伤害</t>
  </si>
  <si>
    <t>再加一道剑气</t>
  </si>
  <si>
    <t>剑气体积+20%</t>
  </si>
  <si>
    <t>剑气连发+1</t>
  </si>
  <si>
    <t>[{5205001,3},{2,0}]</t>
  </si>
  <si>
    <t>[{5205001,3},{2,920}]</t>
  </si>
  <si>
    <t>[{5205001,3},{2,2040}]</t>
  </si>
  <si>
    <t>[{5205001,3},{2,3160}]</t>
  </si>
  <si>
    <t>[{5205001,3},{2,4280}]</t>
  </si>
  <si>
    <t>[{5205001,3},{2,5400}]</t>
  </si>
  <si>
    <t>[{5205001,3},{2,6520}]</t>
  </si>
  <si>
    <t>[{5205001,3},{2,7640}]</t>
  </si>
  <si>
    <t>[{5205001,3},{2,8760}]</t>
  </si>
  <si>
    <t>[{5205001,3},{2,9880}]</t>
  </si>
  <si>
    <t>[{5205001,3},{2,11000}]</t>
  </si>
  <si>
    <t>[{5205001,3},{2,12120}]</t>
  </si>
  <si>
    <t>[{5205001,3},{2,13240}]</t>
  </si>
  <si>
    <t>[{5205001,3},{2,14360}]</t>
  </si>
  <si>
    <t>[{5205001,3},{2,15480}]</t>
  </si>
  <si>
    <t>[{5205001,3},{2,16600}]</t>
  </si>
  <si>
    <t>[{5205001,3},{2,17720}]</t>
  </si>
  <si>
    <t>[{5205001,3},{2,18840}]</t>
  </si>
  <si>
    <t>[{5205001,3},{2,19960}]</t>
  </si>
  <si>
    <t>[{5205001,3},{2,21080}]</t>
  </si>
  <si>
    <t>[{5205001,3},{2,22200}]</t>
  </si>
  <si>
    <t>[{5205001,3},{2,23320}]</t>
  </si>
  <si>
    <t>[{5205001,3},{2,24440}]</t>
  </si>
  <si>
    <t>[{5205001,3},{2,25560}]</t>
  </si>
  <si>
    <t>[{5205001,3},{2,26680}]</t>
  </si>
  <si>
    <t>[{5205001,3},{2,27800}]</t>
  </si>
  <si>
    <t>[{5205001,3},{2,28920}]</t>
  </si>
  <si>
    <t>[{5205001,3},{2,30040}]</t>
  </si>
  <si>
    <t>[{5205001,3},{2,31160}]</t>
  </si>
  <si>
    <t>[{5205001,3},{2,32280}]</t>
  </si>
  <si>
    <t>[{5205001,3},{2,33400}]</t>
  </si>
  <si>
    <t>[{5205001,3},{2,35640}]</t>
  </si>
  <si>
    <t>[{5205001,3},{2,37880}]</t>
  </si>
  <si>
    <t>[{5205001,3},{2,40120}]</t>
  </si>
  <si>
    <t>[{5205001,3},{2,42360}]</t>
  </si>
  <si>
    <t>[{5205001,3},{2,44600}]</t>
  </si>
  <si>
    <t>[{5205001,3},{2,46840}]</t>
  </si>
  <si>
    <t>[{5205001,3},{2,49080}]</t>
  </si>
  <si>
    <t>[{5205001,3},{2,51320}]</t>
  </si>
  <si>
    <t>[{5205001,3},{2,53560}]</t>
  </si>
  <si>
    <t>[{5205001,3},{2,55800}]</t>
  </si>
  <si>
    <t>[{5205001,3},{2,58040}]</t>
  </si>
  <si>
    <t>[{5205001,3},{2,60280}]</t>
  </si>
  <si>
    <t>[{5205001,3},{2,62520}]</t>
  </si>
  <si>
    <t>[{5205001,3},{2,64760}]</t>
  </si>
  <si>
    <t>[{5205001,3},{2,67000}]</t>
  </si>
  <si>
    <t>[{5205001,3},{2,69240}]</t>
  </si>
  <si>
    <t>[{5205001,3},{2,71480}]</t>
  </si>
  <si>
    <t>[{5205001,3},{2,73720}]</t>
  </si>
  <si>
    <t>[{5205001,3},{2,75960}]</t>
  </si>
  <si>
    <t>[{5205001,3},{2,78200}]</t>
  </si>
  <si>
    <t>[{5205001,3},{2,80440}]</t>
  </si>
  <si>
    <t>[{5205001,3},{2,82680}]</t>
  </si>
  <si>
    <t>[{5205001,3},{2,84920}]</t>
  </si>
  <si>
    <t>[{5205001,3},{2,87160}]</t>
  </si>
  <si>
    <t>[{5205001,3},{2,89400}]</t>
  </si>
  <si>
    <t>[{5205001,3},{2,91640}]</t>
  </si>
  <si>
    <t>[{5205001,3},{2,93880}]</t>
  </si>
  <si>
    <t>[{5205001,3},{2,96120}]</t>
  </si>
  <si>
    <t>[{5205001,3},{2,98360}]</t>
  </si>
  <si>
    <t>[{5205001,3},{2,100600}]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</si>
</sst>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_ "/>
    <numFmt numFmtId="178" formatCode="0.0_ "/>
    <numFmt numFmtId="179" formatCode="0.0%"/>
    <numFmt numFmtId="180" formatCode="0.00_ "/>
    <numFmt numFmtId="181" formatCode="d&quot;d&quot;\ h:mm"/>
    <numFmt numFmtId="182" formatCode="0.00_);[Red]\(0.00\)"/>
  </numFmts>
  <fonts count="52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2"/>
      <name val="微软雅黑"/>
      <charset val="134"/>
    </font>
    <font>
      <b/>
      <sz val="11"/>
      <color theme="0"/>
      <name val="微软雅黑"/>
      <charset val="134"/>
    </font>
    <font>
      <b/>
      <sz val="12"/>
      <color rgb="FFFFFFFF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theme="1"/>
      <name val="微软雅黑"/>
      <charset val="134"/>
    </font>
    <font>
      <b/>
      <sz val="10"/>
      <color rgb="FFFFFFFF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2"/>
      <name val="等线"/>
      <charset val="134"/>
      <scheme val="minor"/>
    </font>
    <font>
      <b/>
      <sz val="10"/>
      <color rgb="FFFF0000"/>
      <name val="微软雅黑"/>
      <charset val="134"/>
    </font>
    <font>
      <b/>
      <sz val="11"/>
      <color theme="4"/>
      <name val="微软雅黑"/>
      <charset val="134"/>
    </font>
    <font>
      <b/>
      <sz val="10"/>
      <color theme="4"/>
      <name val="微软雅黑"/>
      <charset val="134"/>
    </font>
    <font>
      <b/>
      <sz val="12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70C0"/>
      <name val="微软雅黑"/>
      <charset val="134"/>
    </font>
    <font>
      <b/>
      <sz val="11"/>
      <color rgb="FFFF0000"/>
      <name val="微软雅黑"/>
      <charset val="134"/>
    </font>
    <font>
      <b/>
      <sz val="12"/>
      <color theme="4"/>
      <name val="微软雅黑"/>
      <charset val="134"/>
    </font>
    <font>
      <b/>
      <sz val="12"/>
      <name val="等线"/>
      <charset val="134"/>
      <scheme val="minor"/>
    </font>
    <font>
      <sz val="11"/>
      <name val="宋体"/>
      <charset val="134"/>
    </font>
    <font>
      <b/>
      <sz val="14"/>
      <name val="等线"/>
      <charset val="134"/>
      <scheme val="minor"/>
    </font>
    <font>
      <b/>
      <sz val="11"/>
      <name val="宋体"/>
      <charset val="134"/>
    </font>
    <font>
      <b/>
      <sz val="10"/>
      <color theme="0"/>
      <name val="微软雅黑"/>
      <charset val="134"/>
    </font>
    <font>
      <sz val="12"/>
      <color rgb="FFD9D9D9"/>
      <name val="等线"/>
      <charset val="134"/>
      <scheme val="minor"/>
    </font>
    <font>
      <b/>
      <sz val="12"/>
      <color rgb="FFD9D9D9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 tint="0.399945066682943"/>
      </top>
      <bottom style="thin">
        <color theme="4" tint="0.399945066682943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2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27" applyNumberFormat="0" applyAlignment="0" applyProtection="0">
      <alignment vertical="center"/>
    </xf>
    <xf numFmtId="0" fontId="42" fillId="13" borderId="28" applyNumberFormat="0" applyAlignment="0" applyProtection="0">
      <alignment vertical="center"/>
    </xf>
    <xf numFmtId="0" fontId="43" fillId="13" borderId="27" applyNumberFormat="0" applyAlignment="0" applyProtection="0">
      <alignment vertical="center"/>
    </xf>
    <xf numFmtId="0" fontId="44" fillId="14" borderId="29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9" fontId="1" fillId="0" borderId="0" xfId="3" applyFont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8" fillId="3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3" borderId="3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9" fontId="10" fillId="0" borderId="2" xfId="0" applyNumberFormat="1" applyFont="1" applyBorder="1" applyAlignment="1">
      <alignment horizontal="center" vertical="center"/>
    </xf>
    <xf numFmtId="9" fontId="10" fillId="0" borderId="7" xfId="0" applyNumberFormat="1" applyFont="1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3" xfId="0" applyNumberFormat="1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9" fontId="11" fillId="0" borderId="3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78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76" fontId="12" fillId="0" borderId="0" xfId="0" applyNumberFormat="1" applyFont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3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1" fillId="0" borderId="0" xfId="0" applyNumberFormat="1" applyFont="1">
      <alignment vertical="center"/>
    </xf>
    <xf numFmtId="0" fontId="2" fillId="0" borderId="11" xfId="0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" xfId="0" applyFont="1" applyFill="1" applyBorder="1">
      <alignment vertical="center"/>
    </xf>
    <xf numFmtId="0" fontId="1" fillId="6" borderId="5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2" xfId="0" applyFont="1" applyFill="1" applyBorder="1">
      <alignment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2" xfId="0" applyFont="1" applyFill="1" applyBorder="1">
      <alignment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 applyAlignment="1"/>
    <xf numFmtId="0" fontId="6" fillId="0" borderId="0" xfId="0" applyFont="1" applyAlignment="1"/>
    <xf numFmtId="0" fontId="6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9" fontId="20" fillId="0" borderId="2" xfId="3" applyFont="1" applyFill="1" applyBorder="1" applyAlignment="1">
      <alignment horizontal="center"/>
    </xf>
    <xf numFmtId="178" fontId="21" fillId="0" borderId="2" xfId="0" applyNumberFormat="1" applyFont="1" applyBorder="1" applyAlignment="1">
      <alignment horizontal="center"/>
    </xf>
    <xf numFmtId="178" fontId="20" fillId="0" borderId="2" xfId="0" applyNumberFormat="1" applyFont="1" applyBorder="1" applyAlignment="1">
      <alignment horizontal="center"/>
    </xf>
    <xf numFmtId="178" fontId="8" fillId="0" borderId="2" xfId="0" applyNumberFormat="1" applyFont="1" applyBorder="1" applyAlignment="1">
      <alignment horizontal="center"/>
    </xf>
    <xf numFmtId="176" fontId="20" fillId="0" borderId="2" xfId="0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/>
    </xf>
    <xf numFmtId="9" fontId="20" fillId="5" borderId="2" xfId="3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80" fontId="6" fillId="0" borderId="0" xfId="0" applyNumberFormat="1" applyFont="1" applyAlignment="1">
      <alignment horizontal="center"/>
    </xf>
    <xf numFmtId="0" fontId="5" fillId="3" borderId="0" xfId="0" applyFont="1" applyFill="1">
      <alignment vertical="center"/>
    </xf>
    <xf numFmtId="10" fontId="2" fillId="0" borderId="0" xfId="0" applyNumberFormat="1" applyFont="1">
      <alignment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9" fontId="1" fillId="8" borderId="2" xfId="3" applyFont="1" applyFill="1" applyBorder="1" applyAlignment="1">
      <alignment horizontal="center" vertical="center"/>
    </xf>
    <xf numFmtId="0" fontId="1" fillId="8" borderId="2" xfId="3" applyNumberFormat="1" applyFont="1" applyFill="1" applyBorder="1" applyAlignment="1">
      <alignment horizontal="center" vertical="center"/>
    </xf>
    <xf numFmtId="0" fontId="1" fillId="8" borderId="16" xfId="3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/>
    </xf>
    <xf numFmtId="180" fontId="22" fillId="0" borderId="22" xfId="0" applyNumberFormat="1" applyFont="1" applyBorder="1" applyAlignment="1">
      <alignment horizontal="center"/>
    </xf>
    <xf numFmtId="10" fontId="22" fillId="0" borderId="22" xfId="3" applyNumberFormat="1" applyFont="1" applyBorder="1" applyAlignment="1">
      <alignment horizontal="center"/>
    </xf>
    <xf numFmtId="181" fontId="22" fillId="0" borderId="22" xfId="0" applyNumberFormat="1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1" fillId="0" borderId="5" xfId="3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82" fontId="22" fillId="0" borderId="22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9" fontId="22" fillId="0" borderId="22" xfId="3" applyFont="1" applyBorder="1" applyAlignment="1">
      <alignment horizontal="center"/>
    </xf>
    <xf numFmtId="0" fontId="22" fillId="0" borderId="22" xfId="3" applyNumberFormat="1" applyFont="1" applyBorder="1" applyAlignment="1">
      <alignment horizontal="center"/>
    </xf>
    <xf numFmtId="0" fontId="1" fillId="8" borderId="5" xfId="0" applyFont="1" applyFill="1" applyBorder="1" applyAlignment="1">
      <alignment horizontal="left" vertical="center"/>
    </xf>
    <xf numFmtId="0" fontId="4" fillId="4" borderId="0" xfId="0" applyFont="1" applyFill="1">
      <alignment vertical="center"/>
    </xf>
    <xf numFmtId="0" fontId="1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3" borderId="0" xfId="0" applyFont="1" applyFill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9" borderId="23" xfId="0" applyFont="1" applyFill="1" applyBorder="1" applyAlignment="1">
      <alignment horizontal="center" vertical="center"/>
    </xf>
    <xf numFmtId="179" fontId="28" fillId="0" borderId="0" xfId="0" applyNumberFormat="1" applyFont="1">
      <alignment vertical="center"/>
    </xf>
    <xf numFmtId="179" fontId="29" fillId="0" borderId="0" xfId="0" applyNumberFormat="1" applyFont="1">
      <alignment vertical="center"/>
    </xf>
    <xf numFmtId="176" fontId="1" fillId="0" borderId="2" xfId="0" applyNumberFormat="1" applyFont="1" applyBorder="1" applyAlignment="1">
      <alignment horizontal="center" vertical="center"/>
    </xf>
    <xf numFmtId="9" fontId="1" fillId="0" borderId="2" xfId="3" applyFont="1" applyBorder="1" applyAlignment="1">
      <alignment horizontal="center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/>
    <xf numFmtId="0" fontId="30" fillId="4" borderId="0" xfId="0" applyFont="1" applyFill="1">
      <alignment vertical="center"/>
    </xf>
    <xf numFmtId="0" fontId="31" fillId="0" borderId="0" xfId="0" applyFont="1">
      <alignment vertical="center"/>
    </xf>
    <xf numFmtId="0" fontId="30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11" fillId="3" borderId="0" xfId="0" applyFont="1" applyFill="1">
      <alignment vertical="center"/>
    </xf>
    <xf numFmtId="0" fontId="11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5"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numFmt numFmtId="0" formatCode="General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  <numFmt numFmtId="178" formatCode="0.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  <numFmt numFmtId="176" formatCode="0_ 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center" vertical="center"/>
    </dxf>
    <dxf>
      <font>
        <name val="微软雅黑"/>
        <scheme val="none"/>
        <charset val="134"/>
        <b val="0"/>
        <i val="0"/>
        <strike val="0"/>
        <u val="none"/>
        <sz val="10"/>
        <color theme="1"/>
      </font>
      <alignment horizontal="left" vertical="center"/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ont>
        <name val="等线"/>
        <scheme val="none"/>
        <charset val="134"/>
        <b val="0"/>
        <i val="0"/>
        <strike val="0"/>
        <u val="none"/>
        <sz val="10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2-4&#35013;&#22791;&#20859;&#2510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AppData\Roaming\kingsoft\office6\backup\&#12298;&#26790;&#22659;&#25252;&#21355;&#38431;&#12299;3-2&#21103;&#26412;&#20135;&#209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养成规划"/>
      <sheetName val="装备属性"/>
      <sheetName val="装备产出"/>
      <sheetName val="装备词条库配置"/>
      <sheetName val="属性汇总"/>
      <sheetName val="装备产出配置"/>
      <sheetName val="GM表配置"/>
      <sheetName val="Sheet1"/>
      <sheetName val="Sheet2"/>
    </sheetNames>
    <sheetDataSet>
      <sheetData sheetId="0"/>
      <sheetData sheetId="1"/>
      <sheetData sheetId="2">
        <row r="593">
          <cell r="Q593" t="str">
            <v>#优化，此处把金币对标材料的消耗曲线，保证金币：材料=4：1，多余的金币放到首通奖励里</v>
          </cell>
        </row>
        <row r="594">
          <cell r="M594" t="str">
            <v>#每100价值买一点攻击力</v>
          </cell>
        </row>
        <row r="595">
          <cell r="M595" t="str">
            <v>属性性价比</v>
          </cell>
        </row>
        <row r="595">
          <cell r="Q595" t="str">
            <v>期望消耗</v>
          </cell>
        </row>
        <row r="596">
          <cell r="Q596">
            <v>32.962962962963</v>
          </cell>
        </row>
        <row r="597">
          <cell r="M597">
            <v>18</v>
          </cell>
        </row>
        <row r="597">
          <cell r="Q597">
            <v>32.962962962963</v>
          </cell>
        </row>
        <row r="598">
          <cell r="M598">
            <v>21</v>
          </cell>
        </row>
        <row r="598">
          <cell r="Q598">
            <v>32.962962962963</v>
          </cell>
        </row>
        <row r="599">
          <cell r="M599">
            <v>34</v>
          </cell>
        </row>
        <row r="599">
          <cell r="Q599">
            <v>32.962962962963</v>
          </cell>
        </row>
        <row r="600">
          <cell r="M600">
            <v>37</v>
          </cell>
        </row>
        <row r="600">
          <cell r="Q600">
            <v>32.962962962963</v>
          </cell>
        </row>
        <row r="601">
          <cell r="M601">
            <v>40</v>
          </cell>
        </row>
        <row r="601">
          <cell r="Q601">
            <v>32.962962962963</v>
          </cell>
        </row>
        <row r="602">
          <cell r="M602">
            <v>43</v>
          </cell>
        </row>
        <row r="602">
          <cell r="Q602">
            <v>32.962962962963</v>
          </cell>
        </row>
        <row r="603">
          <cell r="M603">
            <v>56</v>
          </cell>
        </row>
        <row r="603">
          <cell r="Q603">
            <v>32.962962962963</v>
          </cell>
        </row>
        <row r="604">
          <cell r="M604">
            <v>59</v>
          </cell>
        </row>
        <row r="604">
          <cell r="Q604">
            <v>32.962962962963</v>
          </cell>
        </row>
        <row r="605">
          <cell r="M605">
            <v>46.5</v>
          </cell>
        </row>
        <row r="605">
          <cell r="Q605">
            <v>45</v>
          </cell>
        </row>
        <row r="606">
          <cell r="M606">
            <v>48.75</v>
          </cell>
        </row>
        <row r="606">
          <cell r="Q606">
            <v>45</v>
          </cell>
        </row>
        <row r="607">
          <cell r="M607">
            <v>58.5</v>
          </cell>
        </row>
        <row r="607">
          <cell r="Q607">
            <v>45</v>
          </cell>
        </row>
        <row r="608">
          <cell r="M608">
            <v>60.75</v>
          </cell>
        </row>
        <row r="608">
          <cell r="Q608">
            <v>45</v>
          </cell>
        </row>
        <row r="609">
          <cell r="M609">
            <v>63</v>
          </cell>
        </row>
        <row r="609">
          <cell r="Q609">
            <v>45</v>
          </cell>
        </row>
        <row r="610">
          <cell r="M610">
            <v>65.25</v>
          </cell>
        </row>
        <row r="610">
          <cell r="Q610">
            <v>45</v>
          </cell>
        </row>
        <row r="611">
          <cell r="M611">
            <v>74.25</v>
          </cell>
        </row>
        <row r="611">
          <cell r="Q611">
            <v>64.1666666666667</v>
          </cell>
        </row>
        <row r="612">
          <cell r="M612">
            <v>75.75</v>
          </cell>
        </row>
        <row r="612">
          <cell r="Q612">
            <v>64.1666666666667</v>
          </cell>
        </row>
        <row r="613">
          <cell r="M613">
            <v>77.25</v>
          </cell>
        </row>
        <row r="613">
          <cell r="Q613">
            <v>64.1666666666667</v>
          </cell>
        </row>
        <row r="614">
          <cell r="M614">
            <v>78.75</v>
          </cell>
        </row>
        <row r="614">
          <cell r="Q614">
            <v>64.1666666666667</v>
          </cell>
        </row>
        <row r="615">
          <cell r="M615">
            <v>64.2</v>
          </cell>
        </row>
        <row r="615">
          <cell r="Q615">
            <v>62.5</v>
          </cell>
        </row>
        <row r="616">
          <cell r="M616">
            <v>65.4</v>
          </cell>
        </row>
        <row r="616">
          <cell r="Q616">
            <v>62.5</v>
          </cell>
        </row>
        <row r="617">
          <cell r="M617">
            <v>72.6</v>
          </cell>
        </row>
        <row r="617">
          <cell r="Q617">
            <v>62.5</v>
          </cell>
        </row>
        <row r="618">
          <cell r="M618">
            <v>73.8</v>
          </cell>
        </row>
        <row r="618">
          <cell r="Q618">
            <v>62.5</v>
          </cell>
        </row>
        <row r="619">
          <cell r="M619">
            <v>75</v>
          </cell>
        </row>
        <row r="619">
          <cell r="Q619">
            <v>81.1111111111111</v>
          </cell>
        </row>
        <row r="620">
          <cell r="M620">
            <v>76.2</v>
          </cell>
        </row>
        <row r="620">
          <cell r="Q620">
            <v>81.1111111111111</v>
          </cell>
        </row>
        <row r="621">
          <cell r="M621">
            <v>77.4</v>
          </cell>
        </row>
        <row r="621">
          <cell r="Q621">
            <v>81.1111111111111</v>
          </cell>
        </row>
        <row r="622">
          <cell r="M622">
            <v>78.6</v>
          </cell>
        </row>
        <row r="622">
          <cell r="Q622">
            <v>81.1111111111111</v>
          </cell>
        </row>
        <row r="623">
          <cell r="M623">
            <v>85.8</v>
          </cell>
        </row>
        <row r="623">
          <cell r="Q623">
            <v>81.1111111111111</v>
          </cell>
        </row>
        <row r="624">
          <cell r="M624">
            <v>87</v>
          </cell>
        </row>
        <row r="624">
          <cell r="Q624">
            <v>81.1111111111111</v>
          </cell>
        </row>
        <row r="625">
          <cell r="M625">
            <v>88.8</v>
          </cell>
        </row>
        <row r="625">
          <cell r="Q625">
            <v>118.333333333333</v>
          </cell>
        </row>
        <row r="626">
          <cell r="M626">
            <v>90.6</v>
          </cell>
        </row>
        <row r="626">
          <cell r="Q626">
            <v>118.333333333333</v>
          </cell>
        </row>
        <row r="627">
          <cell r="M627">
            <v>92.4</v>
          </cell>
        </row>
        <row r="627">
          <cell r="Q627">
            <v>118.333333333333</v>
          </cell>
        </row>
        <row r="628">
          <cell r="M628">
            <v>100.2</v>
          </cell>
        </row>
        <row r="628">
          <cell r="Q628">
            <v>118.333333333333</v>
          </cell>
        </row>
        <row r="629">
          <cell r="M629">
            <v>102</v>
          </cell>
        </row>
        <row r="629">
          <cell r="Q629">
            <v>115</v>
          </cell>
        </row>
        <row r="630">
          <cell r="M630">
            <v>86.5</v>
          </cell>
        </row>
        <row r="630">
          <cell r="Q630">
            <v>115</v>
          </cell>
        </row>
        <row r="631">
          <cell r="M631">
            <v>88</v>
          </cell>
        </row>
        <row r="631">
          <cell r="Q631">
            <v>115</v>
          </cell>
        </row>
        <row r="632">
          <cell r="M632">
            <v>94.5</v>
          </cell>
        </row>
        <row r="632">
          <cell r="Q632">
            <v>115</v>
          </cell>
        </row>
        <row r="633">
          <cell r="M633">
            <v>96</v>
          </cell>
        </row>
        <row r="633">
          <cell r="Q633">
            <v>115</v>
          </cell>
        </row>
        <row r="634">
          <cell r="M634">
            <v>97.5</v>
          </cell>
        </row>
        <row r="634">
          <cell r="Q634">
            <v>115</v>
          </cell>
        </row>
        <row r="635">
          <cell r="M635">
            <v>84.8571428571429</v>
          </cell>
        </row>
        <row r="635">
          <cell r="Q635">
            <v>115</v>
          </cell>
        </row>
        <row r="636">
          <cell r="M636">
            <v>90.8571428571429</v>
          </cell>
        </row>
        <row r="636">
          <cell r="Q636">
            <v>115</v>
          </cell>
        </row>
        <row r="637">
          <cell r="M637">
            <v>92.1428571428571</v>
          </cell>
        </row>
        <row r="637">
          <cell r="Q637">
            <v>115</v>
          </cell>
        </row>
        <row r="638">
          <cell r="M638">
            <v>98.5714285714286</v>
          </cell>
        </row>
        <row r="638">
          <cell r="Q638">
            <v>115</v>
          </cell>
        </row>
        <row r="639">
          <cell r="M639">
            <v>99.8571428571429</v>
          </cell>
        </row>
        <row r="639">
          <cell r="Q639">
            <v>230</v>
          </cell>
        </row>
        <row r="640">
          <cell r="M640">
            <v>105.857142857143</v>
          </cell>
        </row>
        <row r="640">
          <cell r="Q640">
            <v>230</v>
          </cell>
        </row>
        <row r="641">
          <cell r="M641">
            <v>107.142857142857</v>
          </cell>
        </row>
        <row r="641">
          <cell r="Q641">
            <v>230</v>
          </cell>
        </row>
        <row r="642">
          <cell r="M642">
            <v>113.142857142857</v>
          </cell>
        </row>
        <row r="642">
          <cell r="Q642">
            <v>180.833333333333</v>
          </cell>
        </row>
        <row r="643">
          <cell r="M643">
            <v>100.125</v>
          </cell>
        </row>
        <row r="643">
          <cell r="Q643">
            <v>180.833333333333</v>
          </cell>
        </row>
        <row r="644">
          <cell r="M644">
            <v>105.375</v>
          </cell>
        </row>
        <row r="644">
          <cell r="Q644">
            <v>180.833333333333</v>
          </cell>
        </row>
        <row r="645">
          <cell r="M645">
            <v>106.5</v>
          </cell>
        </row>
        <row r="645">
          <cell r="Q645">
            <v>180.833333333333</v>
          </cell>
        </row>
        <row r="646">
          <cell r="M646">
            <v>89.4</v>
          </cell>
        </row>
        <row r="646">
          <cell r="Q646">
            <v>174.761904761905</v>
          </cell>
        </row>
        <row r="647">
          <cell r="M647">
            <v>90.6</v>
          </cell>
        </row>
        <row r="647">
          <cell r="Q647">
            <v>174.761904761905</v>
          </cell>
        </row>
        <row r="648">
          <cell r="M648">
            <v>94.5</v>
          </cell>
        </row>
        <row r="648">
          <cell r="Q648">
            <v>174.761904761905</v>
          </cell>
        </row>
        <row r="649">
          <cell r="M649">
            <v>95.7</v>
          </cell>
        </row>
        <row r="649">
          <cell r="Q649">
            <v>174.761904761905</v>
          </cell>
        </row>
        <row r="650">
          <cell r="M650">
            <v>99.9</v>
          </cell>
        </row>
        <row r="650">
          <cell r="Q650">
            <v>174.761904761905</v>
          </cell>
        </row>
        <row r="651">
          <cell r="M651">
            <v>101.1</v>
          </cell>
        </row>
        <row r="651">
          <cell r="Q651">
            <v>174.761904761905</v>
          </cell>
        </row>
        <row r="652">
          <cell r="M652">
            <v>105.3</v>
          </cell>
        </row>
        <row r="652">
          <cell r="Q652">
            <v>174.761904761905</v>
          </cell>
        </row>
        <row r="653">
          <cell r="M653">
            <v>106.5</v>
          </cell>
        </row>
        <row r="653">
          <cell r="Q653">
            <v>244.666666666667</v>
          </cell>
        </row>
        <row r="654">
          <cell r="M654">
            <v>110.7</v>
          </cell>
        </row>
        <row r="654">
          <cell r="Q654">
            <v>244.666666666667</v>
          </cell>
        </row>
        <row r="655">
          <cell r="M655">
            <v>111.9</v>
          </cell>
        </row>
        <row r="655">
          <cell r="Q655">
            <v>244.666666666667</v>
          </cell>
        </row>
        <row r="656">
          <cell r="M656">
            <v>116.1</v>
          </cell>
        </row>
        <row r="656">
          <cell r="Q656">
            <v>244.666666666667</v>
          </cell>
        </row>
        <row r="657">
          <cell r="M657">
            <v>117.3</v>
          </cell>
        </row>
        <row r="657">
          <cell r="Q657">
            <v>244.666666666667</v>
          </cell>
        </row>
        <row r="658">
          <cell r="M658">
            <v>121.5</v>
          </cell>
        </row>
        <row r="658">
          <cell r="Q658">
            <v>244.666666666667</v>
          </cell>
        </row>
        <row r="659">
          <cell r="M659">
            <v>122.7</v>
          </cell>
        </row>
        <row r="659">
          <cell r="Q659">
            <v>244.666666666667</v>
          </cell>
        </row>
        <row r="660">
          <cell r="M660">
            <v>126.9</v>
          </cell>
        </row>
        <row r="660">
          <cell r="Q660">
            <v>244.666666666667</v>
          </cell>
        </row>
        <row r="661">
          <cell r="M661">
            <v>128.1</v>
          </cell>
        </row>
        <row r="661">
          <cell r="Q661">
            <v>244.666666666667</v>
          </cell>
        </row>
        <row r="662">
          <cell r="M662">
            <v>132.3</v>
          </cell>
        </row>
        <row r="662">
          <cell r="Q662">
            <v>244.666666666667</v>
          </cell>
        </row>
        <row r="663">
          <cell r="M663">
            <v>133.5</v>
          </cell>
        </row>
        <row r="663">
          <cell r="Q663">
            <v>244.666666666667</v>
          </cell>
        </row>
        <row r="664">
          <cell r="M664">
            <v>137.7</v>
          </cell>
        </row>
        <row r="664">
          <cell r="Q664">
            <v>244.666666666667</v>
          </cell>
        </row>
        <row r="665">
          <cell r="M665">
            <v>115.75</v>
          </cell>
        </row>
        <row r="665">
          <cell r="Q665">
            <v>244.666666666667</v>
          </cell>
        </row>
        <row r="666">
          <cell r="M666">
            <v>119.25</v>
          </cell>
        </row>
        <row r="666">
          <cell r="Q666">
            <v>244.666666666667</v>
          </cell>
        </row>
        <row r="667">
          <cell r="M667">
            <v>120.25</v>
          </cell>
        </row>
        <row r="667">
          <cell r="Q667">
            <v>244.666666666667</v>
          </cell>
        </row>
        <row r="668">
          <cell r="M668">
            <v>123.75</v>
          </cell>
        </row>
        <row r="668">
          <cell r="Q668">
            <v>244.666666666667</v>
          </cell>
        </row>
        <row r="669">
          <cell r="M669">
            <v>124.75</v>
          </cell>
        </row>
        <row r="669">
          <cell r="Q669">
            <v>244.666666666667</v>
          </cell>
        </row>
        <row r="670">
          <cell r="M670">
            <v>128.25</v>
          </cell>
        </row>
        <row r="670">
          <cell r="Q670">
            <v>244.666666666667</v>
          </cell>
        </row>
        <row r="671">
          <cell r="M671">
            <v>129.25</v>
          </cell>
        </row>
        <row r="671">
          <cell r="Q671">
            <v>244.666666666667</v>
          </cell>
        </row>
        <row r="672">
          <cell r="M672">
            <v>132.75</v>
          </cell>
        </row>
        <row r="672">
          <cell r="Q672">
            <v>244.666666666667</v>
          </cell>
        </row>
        <row r="673">
          <cell r="M673">
            <v>133.75</v>
          </cell>
        </row>
        <row r="673">
          <cell r="Q673">
            <v>405.555555555556</v>
          </cell>
        </row>
        <row r="674">
          <cell r="M674">
            <v>137.25</v>
          </cell>
        </row>
        <row r="674">
          <cell r="Q674">
            <v>405.555555555556</v>
          </cell>
        </row>
        <row r="675">
          <cell r="M675">
            <v>103.6875</v>
          </cell>
        </row>
        <row r="675">
          <cell r="Q675">
            <v>405.555555555556</v>
          </cell>
        </row>
        <row r="676">
          <cell r="M676">
            <v>106.3125</v>
          </cell>
        </row>
        <row r="676">
          <cell r="Q676">
            <v>428.787878787879</v>
          </cell>
        </row>
        <row r="677">
          <cell r="M677">
            <v>107.0625</v>
          </cell>
        </row>
        <row r="677">
          <cell r="Q677">
            <v>428.787878787879</v>
          </cell>
        </row>
        <row r="678">
          <cell r="M678">
            <v>109.6875</v>
          </cell>
        </row>
        <row r="678">
          <cell r="Q678">
            <v>428.787878787879</v>
          </cell>
        </row>
        <row r="679">
          <cell r="M679">
            <v>110.4375</v>
          </cell>
        </row>
        <row r="679">
          <cell r="Q679">
            <v>428.787878787879</v>
          </cell>
        </row>
        <row r="680">
          <cell r="M680">
            <v>113.0625</v>
          </cell>
        </row>
        <row r="680">
          <cell r="Q680">
            <v>428.787878787879</v>
          </cell>
        </row>
        <row r="681">
          <cell r="M681">
            <v>116.5</v>
          </cell>
        </row>
        <row r="681">
          <cell r="Q681">
            <v>428.787878787879</v>
          </cell>
        </row>
        <row r="682">
          <cell r="M682">
            <v>119.3125</v>
          </cell>
        </row>
        <row r="682">
          <cell r="Q682">
            <v>428.787878787879</v>
          </cell>
        </row>
        <row r="683">
          <cell r="M683">
            <v>122.75</v>
          </cell>
        </row>
        <row r="683">
          <cell r="Q683">
            <v>428.787878787879</v>
          </cell>
        </row>
        <row r="684">
          <cell r="M684">
            <v>126.1875</v>
          </cell>
        </row>
        <row r="684">
          <cell r="Q684">
            <v>428.787878787879</v>
          </cell>
        </row>
        <row r="685">
          <cell r="M685">
            <v>104.15</v>
          </cell>
        </row>
        <row r="685">
          <cell r="Q685">
            <v>428.787878787879</v>
          </cell>
        </row>
        <row r="686">
          <cell r="M686">
            <v>107.35</v>
          </cell>
        </row>
        <row r="686">
          <cell r="Q686">
            <v>428.787878787879</v>
          </cell>
        </row>
        <row r="687">
          <cell r="M687">
            <v>110.55</v>
          </cell>
        </row>
        <row r="687">
          <cell r="Q687">
            <v>841.666666666667</v>
          </cell>
        </row>
        <row r="688">
          <cell r="M688">
            <v>113.75</v>
          </cell>
        </row>
        <row r="688">
          <cell r="Q688">
            <v>841.666666666667</v>
          </cell>
        </row>
        <row r="689">
          <cell r="M689">
            <v>116.95</v>
          </cell>
        </row>
        <row r="689">
          <cell r="Q689">
            <v>841.666666666667</v>
          </cell>
        </row>
        <row r="690">
          <cell r="M690">
            <v>100.125</v>
          </cell>
        </row>
        <row r="690">
          <cell r="Q690">
            <v>841.666666666667</v>
          </cell>
        </row>
        <row r="691">
          <cell r="M691">
            <v>102.791666666667</v>
          </cell>
        </row>
        <row r="691">
          <cell r="Q691">
            <v>841.666666666667</v>
          </cell>
        </row>
        <row r="692">
          <cell r="M692">
            <v>105.458333333333</v>
          </cell>
        </row>
        <row r="692">
          <cell r="Q692">
            <v>841.666666666667</v>
          </cell>
        </row>
        <row r="693">
          <cell r="M693">
            <v>108.125</v>
          </cell>
        </row>
        <row r="693">
          <cell r="Q693">
            <v>841.666666666667</v>
          </cell>
        </row>
        <row r="694">
          <cell r="M694">
            <v>110.791666666667</v>
          </cell>
        </row>
        <row r="694">
          <cell r="Q694">
            <v>841.666666666667</v>
          </cell>
        </row>
        <row r="695">
          <cell r="M695">
            <v>113.458333333333</v>
          </cell>
        </row>
        <row r="695">
          <cell r="Q695">
            <v>841.666666666667</v>
          </cell>
        </row>
        <row r="696">
          <cell r="M696">
            <v>99.5357142857143</v>
          </cell>
        </row>
        <row r="696">
          <cell r="Q696">
            <v>841.666666666667</v>
          </cell>
        </row>
        <row r="697">
          <cell r="M697">
            <v>101.821428571429</v>
          </cell>
        </row>
        <row r="697">
          <cell r="Q697">
            <v>841.666666666667</v>
          </cell>
        </row>
        <row r="698">
          <cell r="M698">
            <v>104.107142857143</v>
          </cell>
        </row>
        <row r="698">
          <cell r="Q698">
            <v>841.666666666667</v>
          </cell>
        </row>
        <row r="699">
          <cell r="M699">
            <v>106.392857142857</v>
          </cell>
        </row>
        <row r="699">
          <cell r="Q699">
            <v>840.416666666667</v>
          </cell>
        </row>
        <row r="700">
          <cell r="M700">
            <v>108.678571428571</v>
          </cell>
        </row>
        <row r="700">
          <cell r="Q700">
            <v>840.416666666667</v>
          </cell>
        </row>
        <row r="701">
          <cell r="M701">
            <v>110.964285714286</v>
          </cell>
        </row>
        <row r="701">
          <cell r="Q701">
            <v>840.416666666667</v>
          </cell>
        </row>
        <row r="702">
          <cell r="M702">
            <v>113.25</v>
          </cell>
        </row>
        <row r="702">
          <cell r="Q702">
            <v>840.416666666667</v>
          </cell>
        </row>
        <row r="703">
          <cell r="M703">
            <v>101.09375</v>
          </cell>
        </row>
        <row r="703">
          <cell r="Q703">
            <v>833.333333333333</v>
          </cell>
        </row>
        <row r="704">
          <cell r="M704">
            <v>103.09375</v>
          </cell>
        </row>
        <row r="704">
          <cell r="Q704">
            <v>833.333333333333</v>
          </cell>
        </row>
        <row r="705">
          <cell r="M705">
            <v>105.09375</v>
          </cell>
        </row>
        <row r="705">
          <cell r="Q705">
            <v>833.333333333333</v>
          </cell>
        </row>
        <row r="706">
          <cell r="M706">
            <v>107.09375</v>
          </cell>
        </row>
        <row r="706">
          <cell r="Q706">
            <v>833.333333333333</v>
          </cell>
        </row>
        <row r="707">
          <cell r="M707">
            <v>109.09375</v>
          </cell>
        </row>
        <row r="707">
          <cell r="Q707">
            <v>833.333333333333</v>
          </cell>
        </row>
        <row r="708">
          <cell r="M708">
            <v>111.09375</v>
          </cell>
        </row>
        <row r="708">
          <cell r="Q708">
            <v>833.333333333333</v>
          </cell>
        </row>
        <row r="709">
          <cell r="M709">
            <v>113.09375</v>
          </cell>
        </row>
        <row r="709">
          <cell r="Q709">
            <v>833.333333333333</v>
          </cell>
        </row>
        <row r="710">
          <cell r="M710">
            <v>115.09375</v>
          </cell>
        </row>
        <row r="710">
          <cell r="Q710">
            <v>833.333333333333</v>
          </cell>
        </row>
        <row r="711">
          <cell r="M711">
            <v>104.083333333333</v>
          </cell>
        </row>
        <row r="711">
          <cell r="Q711">
            <v>833.333333333333</v>
          </cell>
        </row>
        <row r="712">
          <cell r="M712">
            <v>105.861111111111</v>
          </cell>
        </row>
        <row r="712">
          <cell r="Q712">
            <v>833.333333333333</v>
          </cell>
        </row>
        <row r="713">
          <cell r="M713">
            <v>107.638888888889</v>
          </cell>
        </row>
        <row r="713">
          <cell r="Q713">
            <v>833.333333333333</v>
          </cell>
        </row>
        <row r="714">
          <cell r="M714">
            <v>109.416666666667</v>
          </cell>
        </row>
        <row r="714">
          <cell r="Q714">
            <v>833.333333333333</v>
          </cell>
        </row>
        <row r="715">
          <cell r="M715">
            <v>111.194444444444</v>
          </cell>
        </row>
        <row r="715">
          <cell r="Q715">
            <v>833.333333333333</v>
          </cell>
        </row>
        <row r="716">
          <cell r="M716">
            <v>112.972222222222</v>
          </cell>
        </row>
        <row r="716">
          <cell r="Q716">
            <v>833.333333333333</v>
          </cell>
        </row>
        <row r="717">
          <cell r="M717">
            <v>114.75</v>
          </cell>
        </row>
        <row r="717">
          <cell r="Q717">
            <v>833.333333333333</v>
          </cell>
        </row>
        <row r="718">
          <cell r="M718">
            <v>116.527777777778</v>
          </cell>
        </row>
        <row r="718">
          <cell r="Q718">
            <v>833.333333333333</v>
          </cell>
        </row>
        <row r="719">
          <cell r="M719">
            <v>118.305555555556</v>
          </cell>
        </row>
        <row r="719">
          <cell r="Q719">
            <v>833.333333333333</v>
          </cell>
        </row>
        <row r="720">
          <cell r="M720">
            <v>120.083333333333</v>
          </cell>
        </row>
        <row r="720">
          <cell r="Q720">
            <v>833.333333333333</v>
          </cell>
        </row>
        <row r="721">
          <cell r="M721">
            <v>109.675</v>
          </cell>
        </row>
        <row r="721">
          <cell r="Q721">
            <v>833.333333333333</v>
          </cell>
        </row>
        <row r="722">
          <cell r="M722">
            <v>111.275</v>
          </cell>
        </row>
        <row r="722">
          <cell r="Q722">
            <v>833.333333333333</v>
          </cell>
        </row>
        <row r="723">
          <cell r="M723">
            <v>112.875</v>
          </cell>
        </row>
        <row r="723">
          <cell r="Q723">
            <v>833.333333333333</v>
          </cell>
        </row>
        <row r="724">
          <cell r="M724">
            <v>114.475</v>
          </cell>
        </row>
        <row r="724">
          <cell r="Q724">
            <v>833.333333333333</v>
          </cell>
        </row>
        <row r="725">
          <cell r="M725">
            <v>116.075</v>
          </cell>
        </row>
        <row r="725">
          <cell r="Q725">
            <v>833.333333333333</v>
          </cell>
        </row>
        <row r="726">
          <cell r="M726">
            <v>117.675</v>
          </cell>
        </row>
        <row r="726">
          <cell r="Q726">
            <v>833.333333333333</v>
          </cell>
        </row>
        <row r="727">
          <cell r="M727">
            <v>119.275</v>
          </cell>
        </row>
        <row r="727">
          <cell r="Q727">
            <v>833.333333333333</v>
          </cell>
        </row>
        <row r="728">
          <cell r="M728">
            <v>120.875</v>
          </cell>
        </row>
        <row r="728">
          <cell r="Q728">
            <v>833.333333333333</v>
          </cell>
        </row>
        <row r="729">
          <cell r="M729">
            <v>122.475</v>
          </cell>
        </row>
        <row r="729">
          <cell r="Q729">
            <v>833.333333333333</v>
          </cell>
        </row>
        <row r="730">
          <cell r="M730">
            <v>124.075</v>
          </cell>
        </row>
        <row r="730">
          <cell r="Q730">
            <v>833.333333333333</v>
          </cell>
        </row>
        <row r="731">
          <cell r="M731">
            <v>111.711111111111</v>
          </cell>
        </row>
        <row r="731">
          <cell r="Q731">
            <v>833.333333333333</v>
          </cell>
        </row>
        <row r="732">
          <cell r="M732">
            <v>113.133333333333</v>
          </cell>
        </row>
        <row r="732">
          <cell r="Q732">
            <v>833.333333333333</v>
          </cell>
        </row>
        <row r="733">
          <cell r="M733">
            <v>114.555555555556</v>
          </cell>
        </row>
        <row r="733">
          <cell r="Q733">
            <v>833.333333333333</v>
          </cell>
        </row>
        <row r="734">
          <cell r="M734">
            <v>115.977777777778</v>
          </cell>
        </row>
        <row r="734">
          <cell r="Q734">
            <v>833.333333333333</v>
          </cell>
        </row>
        <row r="735">
          <cell r="M735">
            <v>117.4</v>
          </cell>
        </row>
        <row r="735">
          <cell r="Q735">
            <v>833.333333333333</v>
          </cell>
        </row>
        <row r="736">
          <cell r="M736">
            <v>118.822222222222</v>
          </cell>
        </row>
        <row r="736">
          <cell r="Q736">
            <v>833.333333333333</v>
          </cell>
        </row>
        <row r="737">
          <cell r="M737">
            <v>120.244444444444</v>
          </cell>
        </row>
        <row r="737">
          <cell r="Q737">
            <v>833.333333333333</v>
          </cell>
        </row>
        <row r="738">
          <cell r="M738">
            <v>121.666666666667</v>
          </cell>
        </row>
        <row r="738">
          <cell r="Q738">
            <v>833.333333333333</v>
          </cell>
        </row>
        <row r="739">
          <cell r="M739">
            <v>123.088888888889</v>
          </cell>
        </row>
        <row r="739">
          <cell r="Q739">
            <v>833.333333333333</v>
          </cell>
        </row>
        <row r="740">
          <cell r="M740">
            <v>124.511111111111</v>
          </cell>
        </row>
        <row r="740">
          <cell r="Q740">
            <v>833.333333333333</v>
          </cell>
        </row>
        <row r="741">
          <cell r="M741">
            <v>113.34</v>
          </cell>
        </row>
        <row r="741">
          <cell r="Q741">
            <v>833.333333333333</v>
          </cell>
        </row>
        <row r="742">
          <cell r="M742">
            <v>114.62</v>
          </cell>
        </row>
        <row r="742">
          <cell r="Q742">
            <v>833.333333333333</v>
          </cell>
        </row>
        <row r="743">
          <cell r="M743">
            <v>115.9</v>
          </cell>
        </row>
        <row r="743">
          <cell r="Q743">
            <v>833.333333333333</v>
          </cell>
        </row>
        <row r="744">
          <cell r="M744">
            <v>117.18</v>
          </cell>
        </row>
        <row r="744">
          <cell r="Q744">
            <v>833.333333333333</v>
          </cell>
        </row>
        <row r="745">
          <cell r="M745">
            <v>118.46</v>
          </cell>
        </row>
        <row r="745">
          <cell r="Q745">
            <v>833.333333333333</v>
          </cell>
        </row>
        <row r="746">
          <cell r="M746">
            <v>119.74</v>
          </cell>
        </row>
        <row r="746">
          <cell r="Q746">
            <v>833.333333333333</v>
          </cell>
        </row>
        <row r="747">
          <cell r="M747">
            <v>121.02</v>
          </cell>
        </row>
        <row r="747">
          <cell r="Q747">
            <v>833.333333333333</v>
          </cell>
        </row>
        <row r="748">
          <cell r="M748">
            <v>122.3</v>
          </cell>
        </row>
        <row r="748">
          <cell r="Q748">
            <v>833.333333333333</v>
          </cell>
        </row>
        <row r="749">
          <cell r="M749">
            <v>123.58</v>
          </cell>
        </row>
        <row r="749">
          <cell r="Q749">
            <v>833.333333333333</v>
          </cell>
        </row>
        <row r="750">
          <cell r="M750">
            <v>124.86</v>
          </cell>
        </row>
        <row r="750">
          <cell r="Q750">
            <v>833.333333333333</v>
          </cell>
        </row>
        <row r="751">
          <cell r="M751">
            <v>114.672727272727</v>
          </cell>
        </row>
        <row r="751">
          <cell r="Q751">
            <v>833.333333333333</v>
          </cell>
        </row>
        <row r="752">
          <cell r="M752">
            <v>115.836363636364</v>
          </cell>
        </row>
        <row r="752">
          <cell r="Q752">
            <v>833.333333333333</v>
          </cell>
        </row>
        <row r="753">
          <cell r="M753">
            <v>117</v>
          </cell>
        </row>
        <row r="753">
          <cell r="Q753">
            <v>833.333333333333</v>
          </cell>
        </row>
        <row r="754">
          <cell r="M754">
            <v>118.163636363636</v>
          </cell>
        </row>
        <row r="754">
          <cell r="Q754">
            <v>833.333333333333</v>
          </cell>
        </row>
        <row r="755">
          <cell r="M755">
            <v>119.327272727273</v>
          </cell>
        </row>
        <row r="755">
          <cell r="Q755">
            <v>833.333333333333</v>
          </cell>
        </row>
        <row r="756">
          <cell r="M756">
            <v>120.490909090909</v>
          </cell>
        </row>
        <row r="756">
          <cell r="Q756">
            <v>833.333333333333</v>
          </cell>
        </row>
        <row r="757">
          <cell r="M757">
            <v>121.654545454545</v>
          </cell>
        </row>
        <row r="757">
          <cell r="Q757">
            <v>833.333333333333</v>
          </cell>
        </row>
        <row r="758">
          <cell r="M758">
            <v>122.818181818182</v>
          </cell>
        </row>
        <row r="758">
          <cell r="Q758">
            <v>833.333333333333</v>
          </cell>
        </row>
        <row r="759">
          <cell r="M759">
            <v>123.981818181818</v>
          </cell>
        </row>
        <row r="759">
          <cell r="Q759">
            <v>833.333333333333</v>
          </cell>
        </row>
        <row r="760">
          <cell r="M760">
            <v>125.145454545455</v>
          </cell>
        </row>
        <row r="760">
          <cell r="Q760">
            <v>833.333333333333</v>
          </cell>
        </row>
        <row r="761">
          <cell r="M761">
            <v>115.783333333333</v>
          </cell>
        </row>
        <row r="761">
          <cell r="Q761">
            <v>833.333333333333</v>
          </cell>
        </row>
        <row r="762">
          <cell r="M762">
            <v>116.85</v>
          </cell>
        </row>
        <row r="762">
          <cell r="Q762">
            <v>833.333333333333</v>
          </cell>
        </row>
        <row r="763">
          <cell r="M763">
            <v>117.916666666667</v>
          </cell>
        </row>
        <row r="763">
          <cell r="Q763">
            <v>833.333333333333</v>
          </cell>
        </row>
        <row r="764">
          <cell r="M764">
            <v>118.983333333333</v>
          </cell>
        </row>
        <row r="764">
          <cell r="Q764">
            <v>833.333333333333</v>
          </cell>
        </row>
        <row r="765">
          <cell r="M765">
            <v>120.05</v>
          </cell>
        </row>
        <row r="765">
          <cell r="Q765">
            <v>833.333333333333</v>
          </cell>
        </row>
        <row r="766">
          <cell r="M766">
            <v>121.116666666667</v>
          </cell>
        </row>
        <row r="766">
          <cell r="Q766">
            <v>833.333333333333</v>
          </cell>
        </row>
        <row r="767">
          <cell r="M767">
            <v>122.183333333333</v>
          </cell>
        </row>
        <row r="767">
          <cell r="Q767">
            <v>833.333333333333</v>
          </cell>
        </row>
        <row r="768">
          <cell r="M768">
            <v>123.25</v>
          </cell>
        </row>
        <row r="768">
          <cell r="Q768">
            <v>833.333333333333</v>
          </cell>
        </row>
        <row r="769">
          <cell r="M769">
            <v>124.316666666667</v>
          </cell>
        </row>
        <row r="769">
          <cell r="Q769">
            <v>833.333333333333</v>
          </cell>
        </row>
        <row r="770">
          <cell r="M770">
            <v>125.383333333333</v>
          </cell>
        </row>
        <row r="770">
          <cell r="Q770">
            <v>833.333333333333</v>
          </cell>
        </row>
        <row r="771">
          <cell r="M771">
            <v>116.723076923077</v>
          </cell>
        </row>
        <row r="771">
          <cell r="Q771">
            <v>833.333333333333</v>
          </cell>
        </row>
        <row r="772">
          <cell r="M772">
            <v>117.707692307692</v>
          </cell>
        </row>
        <row r="772">
          <cell r="Q772">
            <v>833.333333333333</v>
          </cell>
        </row>
        <row r="773">
          <cell r="M773">
            <v>118.692307692308</v>
          </cell>
        </row>
        <row r="773">
          <cell r="Q773">
            <v>1062.33062330623</v>
          </cell>
        </row>
        <row r="774">
          <cell r="M774">
            <v>119.676923076923</v>
          </cell>
        </row>
        <row r="774">
          <cell r="Q774">
            <v>1062.33062330623</v>
          </cell>
        </row>
        <row r="775">
          <cell r="M775">
            <v>120.661538461538</v>
          </cell>
        </row>
        <row r="775">
          <cell r="Q775">
            <v>1062.33062330623</v>
          </cell>
        </row>
        <row r="776">
          <cell r="M776">
            <v>121.646153846154</v>
          </cell>
        </row>
        <row r="776">
          <cell r="Q776">
            <v>1062.33062330623</v>
          </cell>
        </row>
        <row r="777">
          <cell r="M777">
            <v>122.630769230769</v>
          </cell>
        </row>
        <row r="777">
          <cell r="Q777">
            <v>1062.33062330623</v>
          </cell>
        </row>
        <row r="778">
          <cell r="M778">
            <v>123.615384615385</v>
          </cell>
        </row>
        <row r="778">
          <cell r="Q778">
            <v>1062.33062330623</v>
          </cell>
        </row>
        <row r="779">
          <cell r="M779">
            <v>124.6</v>
          </cell>
        </row>
        <row r="779">
          <cell r="Q779">
            <v>1062.33062330623</v>
          </cell>
        </row>
        <row r="780">
          <cell r="M780">
            <v>125.584615384615</v>
          </cell>
        </row>
        <row r="780">
          <cell r="Q780">
            <v>1062.33062330623</v>
          </cell>
        </row>
        <row r="781">
          <cell r="M781">
            <v>117.528571428571</v>
          </cell>
        </row>
        <row r="781">
          <cell r="Q781">
            <v>1062.33062330623</v>
          </cell>
        </row>
        <row r="782">
          <cell r="M782">
            <v>118.442857142857</v>
          </cell>
        </row>
        <row r="782">
          <cell r="Q782">
            <v>1062.33062330623</v>
          </cell>
        </row>
        <row r="783">
          <cell r="M783">
            <v>119.357142857143</v>
          </cell>
        </row>
        <row r="783">
          <cell r="Q783">
            <v>1062.33062330623</v>
          </cell>
        </row>
        <row r="784">
          <cell r="M784">
            <v>120.271428571429</v>
          </cell>
        </row>
        <row r="784">
          <cell r="Q784">
            <v>1062.33062330623</v>
          </cell>
        </row>
        <row r="785">
          <cell r="M785">
            <v>121.185714285714</v>
          </cell>
        </row>
        <row r="785">
          <cell r="Q785">
            <v>1062.33062330623</v>
          </cell>
        </row>
        <row r="786">
          <cell r="M786">
            <v>122.1</v>
          </cell>
        </row>
        <row r="786">
          <cell r="Q786">
            <v>1062.33062330623</v>
          </cell>
        </row>
        <row r="787">
          <cell r="M787">
            <v>123.014285714286</v>
          </cell>
        </row>
        <row r="787">
          <cell r="Q787">
            <v>1062.33062330623</v>
          </cell>
        </row>
        <row r="788">
          <cell r="M788">
            <v>123.928571428571</v>
          </cell>
        </row>
        <row r="788">
          <cell r="Q788">
            <v>1062.33062330623</v>
          </cell>
        </row>
        <row r="789">
          <cell r="M789">
            <v>124.842857142857</v>
          </cell>
        </row>
        <row r="789">
          <cell r="Q789">
            <v>1062.33062330623</v>
          </cell>
        </row>
        <row r="790">
          <cell r="M790">
            <v>125.757142857143</v>
          </cell>
        </row>
        <row r="790">
          <cell r="Q790">
            <v>1062.33062330623</v>
          </cell>
        </row>
        <row r="791">
          <cell r="M791">
            <v>118.226666666667</v>
          </cell>
        </row>
        <row r="791">
          <cell r="Q791">
            <v>1062.33062330623</v>
          </cell>
        </row>
        <row r="792">
          <cell r="M792">
            <v>119.08</v>
          </cell>
        </row>
        <row r="792">
          <cell r="Q792">
            <v>1062.33062330623</v>
          </cell>
        </row>
        <row r="793">
          <cell r="M793">
            <v>119.933333333333</v>
          </cell>
        </row>
        <row r="793">
          <cell r="Q793">
            <v>1062.33062330623</v>
          </cell>
        </row>
        <row r="794">
          <cell r="M794">
            <v>120.786666666667</v>
          </cell>
        </row>
        <row r="794">
          <cell r="Q794">
            <v>1062.33062330623</v>
          </cell>
        </row>
        <row r="795">
          <cell r="M795">
            <v>121.64</v>
          </cell>
        </row>
        <row r="795">
          <cell r="Q795">
            <v>1062.33062330623</v>
          </cell>
        </row>
        <row r="796">
          <cell r="M796">
            <v>122.493333333333</v>
          </cell>
        </row>
        <row r="796">
          <cell r="Q796">
            <v>1062.33062330623</v>
          </cell>
        </row>
        <row r="797">
          <cell r="M797">
            <v>123.346666666667</v>
          </cell>
        </row>
        <row r="797">
          <cell r="Q797">
            <v>1062.33062330623</v>
          </cell>
        </row>
        <row r="798">
          <cell r="M798">
            <v>124.2</v>
          </cell>
        </row>
        <row r="798">
          <cell r="Q798">
            <v>1062.33062330623</v>
          </cell>
        </row>
        <row r="799">
          <cell r="M799">
            <v>125.053333333333</v>
          </cell>
        </row>
        <row r="799">
          <cell r="Q799">
            <v>1062.33062330623</v>
          </cell>
        </row>
        <row r="800">
          <cell r="M800">
            <v>125.906666666667</v>
          </cell>
        </row>
        <row r="800">
          <cell r="Q800">
            <v>1062.33062330623</v>
          </cell>
        </row>
        <row r="801">
          <cell r="M801">
            <v>118.8375</v>
          </cell>
        </row>
        <row r="801">
          <cell r="Q801">
            <v>1062.33062330623</v>
          </cell>
        </row>
        <row r="802">
          <cell r="M802">
            <v>119.6375</v>
          </cell>
        </row>
        <row r="802">
          <cell r="Q802">
            <v>1062.33062330623</v>
          </cell>
        </row>
        <row r="803">
          <cell r="M803">
            <v>120.4375</v>
          </cell>
        </row>
        <row r="803">
          <cell r="Q803">
            <v>1062.33062330623</v>
          </cell>
        </row>
        <row r="804">
          <cell r="M804">
            <v>121.2375</v>
          </cell>
        </row>
        <row r="804">
          <cell r="Q804">
            <v>1062.33062330623</v>
          </cell>
        </row>
        <row r="805">
          <cell r="M805">
            <v>122.0375</v>
          </cell>
        </row>
        <row r="805">
          <cell r="Q805">
            <v>1062.33062330623</v>
          </cell>
        </row>
        <row r="806">
          <cell r="M806">
            <v>122.8375</v>
          </cell>
        </row>
        <row r="806">
          <cell r="Q806">
            <v>1062.33062330623</v>
          </cell>
        </row>
        <row r="807">
          <cell r="M807">
            <v>123.6375</v>
          </cell>
        </row>
        <row r="807">
          <cell r="Q807">
            <v>1062.33062330623</v>
          </cell>
        </row>
        <row r="808">
          <cell r="M808">
            <v>124.4375</v>
          </cell>
        </row>
        <row r="808">
          <cell r="Q808">
            <v>1062.33062330623</v>
          </cell>
        </row>
        <row r="809">
          <cell r="M809">
            <v>125.2375</v>
          </cell>
        </row>
        <row r="809">
          <cell r="Q809">
            <v>1062.33062330623</v>
          </cell>
        </row>
        <row r="810">
          <cell r="M810">
            <v>126.0375</v>
          </cell>
        </row>
        <row r="810">
          <cell r="Q810">
            <v>1062.33062330623</v>
          </cell>
        </row>
        <row r="811">
          <cell r="M811">
            <v>119.376470588235</v>
          </cell>
        </row>
        <row r="811">
          <cell r="Q811">
            <v>1062.33062330623</v>
          </cell>
        </row>
        <row r="812">
          <cell r="M812">
            <v>120.129411764706</v>
          </cell>
        </row>
        <row r="812">
          <cell r="Q812">
            <v>1062.33062330623</v>
          </cell>
        </row>
        <row r="813">
          <cell r="M813">
            <v>120.882352941176</v>
          </cell>
        </row>
        <row r="813">
          <cell r="Q813">
            <v>1062.33062330623</v>
          </cell>
        </row>
        <row r="814">
          <cell r="M814">
            <v>121.635294117647</v>
          </cell>
        </row>
        <row r="814">
          <cell r="Q814">
            <v>1062.33062330623</v>
          </cell>
        </row>
        <row r="815">
          <cell r="M815">
            <v>122.388235294118</v>
          </cell>
        </row>
        <row r="815">
          <cell r="Q815">
            <v>1062.33062330623</v>
          </cell>
        </row>
        <row r="816">
          <cell r="M816">
            <v>123.141176470588</v>
          </cell>
        </row>
        <row r="816">
          <cell r="Q816">
            <v>1062.33062330623</v>
          </cell>
        </row>
        <row r="817">
          <cell r="M817">
            <v>123.894117647059</v>
          </cell>
        </row>
        <row r="817">
          <cell r="Q817">
            <v>1062.33062330623</v>
          </cell>
        </row>
        <row r="818">
          <cell r="M818">
            <v>124.647058823529</v>
          </cell>
        </row>
        <row r="818">
          <cell r="Q818">
            <v>1062.33062330623</v>
          </cell>
        </row>
        <row r="819">
          <cell r="M819">
            <v>125.4</v>
          </cell>
        </row>
        <row r="819">
          <cell r="Q819">
            <v>1062.33062330623</v>
          </cell>
        </row>
        <row r="820">
          <cell r="M820">
            <v>126.152941176471</v>
          </cell>
        </row>
        <row r="820">
          <cell r="Q820">
            <v>1062.33062330623</v>
          </cell>
        </row>
        <row r="821">
          <cell r="M821">
            <v>119.855555555556</v>
          </cell>
        </row>
        <row r="821">
          <cell r="Q821">
            <v>1062.33062330623</v>
          </cell>
        </row>
        <row r="822">
          <cell r="M822">
            <v>120.566666666667</v>
          </cell>
        </row>
        <row r="822">
          <cell r="Q822">
            <v>1062.33062330623</v>
          </cell>
        </row>
        <row r="823">
          <cell r="M823">
            <v>121.277777777778</v>
          </cell>
        </row>
        <row r="823">
          <cell r="Q823">
            <v>1062.33062330623</v>
          </cell>
        </row>
        <row r="824">
          <cell r="M824">
            <v>121.988888888889</v>
          </cell>
        </row>
        <row r="824">
          <cell r="Q824">
            <v>1062.33062330623</v>
          </cell>
        </row>
        <row r="825">
          <cell r="M825">
            <v>122.7</v>
          </cell>
        </row>
        <row r="825">
          <cell r="Q825">
            <v>1062.33062330623</v>
          </cell>
        </row>
        <row r="826">
          <cell r="M826">
            <v>123.411111111111</v>
          </cell>
        </row>
        <row r="826">
          <cell r="Q826">
            <v>1062.33062330623</v>
          </cell>
        </row>
        <row r="827">
          <cell r="M827">
            <v>124.122222222222</v>
          </cell>
        </row>
        <row r="827">
          <cell r="Q827">
            <v>1062.33062330623</v>
          </cell>
        </row>
        <row r="828">
          <cell r="M828">
            <v>124.833333333333</v>
          </cell>
        </row>
        <row r="828">
          <cell r="Q828">
            <v>1062.33062330623</v>
          </cell>
        </row>
        <row r="829">
          <cell r="M829">
            <v>125.544444444444</v>
          </cell>
        </row>
        <row r="829">
          <cell r="Q829">
            <v>1062.33062330623</v>
          </cell>
        </row>
        <row r="830">
          <cell r="M830">
            <v>126.255555555556</v>
          </cell>
        </row>
        <row r="830">
          <cell r="Q830">
            <v>1062.33062330623</v>
          </cell>
        </row>
        <row r="831">
          <cell r="M831">
            <v>120.284210526316</v>
          </cell>
        </row>
        <row r="831">
          <cell r="Q831">
            <v>1062.33062330623</v>
          </cell>
        </row>
        <row r="832">
          <cell r="M832">
            <v>120.957894736842</v>
          </cell>
        </row>
        <row r="832">
          <cell r="Q832">
            <v>1062.33062330623</v>
          </cell>
        </row>
        <row r="833">
          <cell r="M833">
            <v>121.631578947368</v>
          </cell>
        </row>
        <row r="833">
          <cell r="Q833">
            <v>1062.33062330623</v>
          </cell>
        </row>
        <row r="834">
          <cell r="M834">
            <v>122.305263157895</v>
          </cell>
        </row>
        <row r="834">
          <cell r="Q834">
            <v>1062.33062330623</v>
          </cell>
        </row>
        <row r="835">
          <cell r="M835">
            <v>122.978947368421</v>
          </cell>
        </row>
        <row r="835">
          <cell r="Q835">
            <v>1062.33062330623</v>
          </cell>
        </row>
        <row r="836">
          <cell r="M836">
            <v>123.652631578947</v>
          </cell>
        </row>
        <row r="836">
          <cell r="Q836">
            <v>1062.33062330623</v>
          </cell>
        </row>
        <row r="837">
          <cell r="M837">
            <v>124.326315789474</v>
          </cell>
        </row>
        <row r="837">
          <cell r="Q837">
            <v>1062.33062330623</v>
          </cell>
        </row>
        <row r="838">
          <cell r="M838">
            <v>125</v>
          </cell>
        </row>
        <row r="838">
          <cell r="Q838">
            <v>1062.33062330623</v>
          </cell>
        </row>
        <row r="839">
          <cell r="M839">
            <v>125.673684210526</v>
          </cell>
        </row>
        <row r="839">
          <cell r="Q839">
            <v>1062.33062330623</v>
          </cell>
        </row>
        <row r="840">
          <cell r="M840">
            <v>126.347368421053</v>
          </cell>
        </row>
        <row r="840">
          <cell r="Q840">
            <v>1062.33062330623</v>
          </cell>
        </row>
        <row r="841">
          <cell r="M841">
            <v>120.67</v>
          </cell>
        </row>
        <row r="841">
          <cell r="Q841">
            <v>1062.33062330623</v>
          </cell>
        </row>
        <row r="842">
          <cell r="M842">
            <v>121.31</v>
          </cell>
        </row>
        <row r="842">
          <cell r="Q842">
            <v>1062.33062330623</v>
          </cell>
        </row>
        <row r="843">
          <cell r="M843">
            <v>121.95</v>
          </cell>
        </row>
        <row r="843">
          <cell r="Q843">
            <v>1062.33062330623</v>
          </cell>
        </row>
        <row r="844">
          <cell r="M844">
            <v>122.59</v>
          </cell>
        </row>
        <row r="844">
          <cell r="Q844">
            <v>1062.33062330623</v>
          </cell>
        </row>
        <row r="845">
          <cell r="M845">
            <v>123.23</v>
          </cell>
        </row>
        <row r="845">
          <cell r="Q845">
            <v>1062.33062330623</v>
          </cell>
        </row>
        <row r="846">
          <cell r="M846">
            <v>123.87</v>
          </cell>
        </row>
        <row r="846">
          <cell r="Q846">
            <v>1062.33062330623</v>
          </cell>
        </row>
        <row r="847">
          <cell r="M847">
            <v>124.51</v>
          </cell>
        </row>
        <row r="847">
          <cell r="Q847">
            <v>1062.33062330623</v>
          </cell>
        </row>
        <row r="848">
          <cell r="M848">
            <v>125.15</v>
          </cell>
        </row>
        <row r="848">
          <cell r="Q848">
            <v>1062.33062330623</v>
          </cell>
        </row>
        <row r="849">
          <cell r="M849">
            <v>125.79</v>
          </cell>
        </row>
        <row r="849">
          <cell r="Q849">
            <v>1062.33062330623</v>
          </cell>
        </row>
        <row r="850">
          <cell r="M850">
            <v>126.43</v>
          </cell>
        </row>
        <row r="850">
          <cell r="Q850">
            <v>1062.33062330623</v>
          </cell>
        </row>
        <row r="851">
          <cell r="M851">
            <v>121.019047619048</v>
          </cell>
        </row>
        <row r="851">
          <cell r="Q851">
            <v>1062.33062330623</v>
          </cell>
        </row>
        <row r="852">
          <cell r="M852">
            <v>121.628571428571</v>
          </cell>
        </row>
        <row r="852">
          <cell r="Q852">
            <v>1062.33062330623</v>
          </cell>
        </row>
        <row r="853">
          <cell r="M853">
            <v>122.238095238095</v>
          </cell>
        </row>
        <row r="853">
          <cell r="Q853">
            <v>1062.33062330623</v>
          </cell>
        </row>
        <row r="854">
          <cell r="M854">
            <v>122.847619047619</v>
          </cell>
        </row>
        <row r="854">
          <cell r="Q854">
            <v>1062.33062330623</v>
          </cell>
        </row>
        <row r="855">
          <cell r="M855">
            <v>123.457142857143</v>
          </cell>
        </row>
        <row r="855">
          <cell r="Q855">
            <v>1062.33062330623</v>
          </cell>
        </row>
        <row r="856">
          <cell r="M856">
            <v>124.066666666667</v>
          </cell>
        </row>
        <row r="856">
          <cell r="Q856">
            <v>1062.33062330623</v>
          </cell>
        </row>
        <row r="857">
          <cell r="M857">
            <v>124.67619047619</v>
          </cell>
        </row>
        <row r="857">
          <cell r="Q857">
            <v>1062.33062330623</v>
          </cell>
        </row>
        <row r="858">
          <cell r="M858">
            <v>125.285714285714</v>
          </cell>
        </row>
        <row r="858">
          <cell r="Q858">
            <v>1062.33062330623</v>
          </cell>
        </row>
        <row r="859">
          <cell r="M859">
            <v>125.895238095238</v>
          </cell>
        </row>
        <row r="859">
          <cell r="Q859">
            <v>1062.33062330623</v>
          </cell>
        </row>
        <row r="860">
          <cell r="M860">
            <v>126.504761904762</v>
          </cell>
        </row>
        <row r="860">
          <cell r="Q860">
            <v>1062.33062330623</v>
          </cell>
        </row>
        <row r="861">
          <cell r="M861">
            <v>121.336363636364</v>
          </cell>
        </row>
        <row r="861">
          <cell r="Q861">
            <v>1062.33062330623</v>
          </cell>
        </row>
        <row r="862">
          <cell r="M862">
            <v>121.918181818182</v>
          </cell>
        </row>
        <row r="862">
          <cell r="Q862">
            <v>1062.33062330623</v>
          </cell>
        </row>
        <row r="863">
          <cell r="M863">
            <v>122.5</v>
          </cell>
        </row>
        <row r="863">
          <cell r="Q863">
            <v>1062.33062330623</v>
          </cell>
        </row>
        <row r="864">
          <cell r="M864">
            <v>123.081818181818</v>
          </cell>
        </row>
        <row r="864">
          <cell r="Q864">
            <v>1062.33062330623</v>
          </cell>
        </row>
        <row r="865">
          <cell r="M865">
            <v>123.663636363636</v>
          </cell>
        </row>
        <row r="865">
          <cell r="Q865">
            <v>1062.33062330623</v>
          </cell>
        </row>
        <row r="866">
          <cell r="M866">
            <v>124.245454545455</v>
          </cell>
        </row>
        <row r="866">
          <cell r="Q866">
            <v>1062.33062330623</v>
          </cell>
        </row>
        <row r="867">
          <cell r="M867">
            <v>124.827272727273</v>
          </cell>
        </row>
        <row r="867">
          <cell r="Q867">
            <v>1062.33062330623</v>
          </cell>
        </row>
        <row r="868">
          <cell r="M868">
            <v>125.409090909091</v>
          </cell>
        </row>
        <row r="868">
          <cell r="Q868">
            <v>1062.33062330623</v>
          </cell>
        </row>
        <row r="869">
          <cell r="M869">
            <v>125.990909090909</v>
          </cell>
        </row>
        <row r="869">
          <cell r="Q869">
            <v>1062.33062330623</v>
          </cell>
        </row>
        <row r="870">
          <cell r="M870">
            <v>126.572727272727</v>
          </cell>
        </row>
        <row r="870">
          <cell r="Q870">
            <v>1062.33062330623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版本日志"/>
      <sheetName val="设计思路"/>
      <sheetName val="主线关卡"/>
      <sheetName val="精英关卡"/>
      <sheetName val="挑战关卡"/>
      <sheetName val="金币本"/>
      <sheetName val="价值表"/>
    </sheetNames>
    <sheetDataSet>
      <sheetData sheetId="0"/>
      <sheetData sheetId="1"/>
      <sheetData sheetId="2">
        <row r="20">
          <cell r="D20" t="str">
            <v>关卡节奏</v>
          </cell>
        </row>
        <row r="21">
          <cell r="E21" t="str">
            <v>#设计关键1、50级非R11~14天，大R7天。 设计关键2，70级非R22天，大R14天。后续差距在2倍以内</v>
          </cell>
        </row>
        <row r="22">
          <cell r="D22" t="str">
            <v>产出设计</v>
          </cell>
        </row>
        <row r="26">
          <cell r="D26" t="str">
            <v>主线关卡</v>
          </cell>
          <cell r="E26" t="str">
            <v>小R通关</v>
          </cell>
        </row>
        <row r="27">
          <cell r="D27">
            <v>1</v>
          </cell>
          <cell r="E27">
            <v>1</v>
          </cell>
        </row>
        <row r="28">
          <cell r="D28">
            <v>2</v>
          </cell>
          <cell r="E28">
            <v>1</v>
          </cell>
        </row>
        <row r="29">
          <cell r="D29">
            <v>3</v>
          </cell>
          <cell r="E29">
            <v>1</v>
          </cell>
        </row>
        <row r="30">
          <cell r="D30">
            <v>4</v>
          </cell>
          <cell r="E30">
            <v>1</v>
          </cell>
        </row>
        <row r="31">
          <cell r="D31">
            <v>5</v>
          </cell>
          <cell r="E31">
            <v>1</v>
          </cell>
        </row>
        <row r="32">
          <cell r="D32">
            <v>6</v>
          </cell>
          <cell r="E32">
            <v>1</v>
          </cell>
        </row>
        <row r="33">
          <cell r="D33">
            <v>7</v>
          </cell>
          <cell r="E33">
            <v>1</v>
          </cell>
        </row>
        <row r="34">
          <cell r="D34">
            <v>8</v>
          </cell>
          <cell r="E34">
            <v>1</v>
          </cell>
        </row>
        <row r="35">
          <cell r="D35">
            <v>9</v>
          </cell>
          <cell r="E35">
            <v>1</v>
          </cell>
        </row>
        <row r="36">
          <cell r="D36">
            <v>10</v>
          </cell>
          <cell r="E36">
            <v>1</v>
          </cell>
        </row>
        <row r="37">
          <cell r="D37">
            <v>11</v>
          </cell>
          <cell r="E37">
            <v>1</v>
          </cell>
        </row>
        <row r="38">
          <cell r="D38">
            <v>12</v>
          </cell>
          <cell r="E38">
            <v>1</v>
          </cell>
        </row>
        <row r="39">
          <cell r="D39">
            <v>13</v>
          </cell>
          <cell r="E39">
            <v>2</v>
          </cell>
        </row>
        <row r="40">
          <cell r="D40">
            <v>14</v>
          </cell>
          <cell r="E40">
            <v>2</v>
          </cell>
        </row>
        <row r="41">
          <cell r="D41">
            <v>15</v>
          </cell>
          <cell r="E41">
            <v>2</v>
          </cell>
        </row>
        <row r="42">
          <cell r="D42">
            <v>16</v>
          </cell>
          <cell r="E42">
            <v>2</v>
          </cell>
        </row>
        <row r="43">
          <cell r="D43">
            <v>17</v>
          </cell>
          <cell r="E43">
            <v>2</v>
          </cell>
        </row>
        <row r="44">
          <cell r="D44">
            <v>18</v>
          </cell>
          <cell r="E44">
            <v>2</v>
          </cell>
        </row>
        <row r="45">
          <cell r="D45">
            <v>19</v>
          </cell>
          <cell r="E45">
            <v>2</v>
          </cell>
        </row>
        <row r="46">
          <cell r="D46">
            <v>20</v>
          </cell>
          <cell r="E46">
            <v>2</v>
          </cell>
        </row>
        <row r="47">
          <cell r="D47">
            <v>21</v>
          </cell>
          <cell r="E47">
            <v>3</v>
          </cell>
        </row>
        <row r="48">
          <cell r="D48">
            <v>22</v>
          </cell>
          <cell r="E48">
            <v>3</v>
          </cell>
        </row>
        <row r="49">
          <cell r="D49">
            <v>23</v>
          </cell>
          <cell r="E49">
            <v>3</v>
          </cell>
        </row>
        <row r="50">
          <cell r="D50">
            <v>24</v>
          </cell>
          <cell r="E50">
            <v>3</v>
          </cell>
        </row>
        <row r="51">
          <cell r="D51">
            <v>25</v>
          </cell>
          <cell r="E51">
            <v>3</v>
          </cell>
        </row>
        <row r="52">
          <cell r="D52">
            <v>26</v>
          </cell>
          <cell r="E52">
            <v>3</v>
          </cell>
        </row>
        <row r="53">
          <cell r="D53">
            <v>27</v>
          </cell>
          <cell r="E53">
            <v>4</v>
          </cell>
        </row>
        <row r="54">
          <cell r="D54">
            <v>28</v>
          </cell>
          <cell r="E54">
            <v>4</v>
          </cell>
        </row>
        <row r="55">
          <cell r="D55">
            <v>29</v>
          </cell>
          <cell r="E55">
            <v>4</v>
          </cell>
        </row>
        <row r="56">
          <cell r="D56">
            <v>30</v>
          </cell>
          <cell r="E56">
            <v>4</v>
          </cell>
        </row>
        <row r="57">
          <cell r="D57">
            <v>31</v>
          </cell>
          <cell r="E57">
            <v>4</v>
          </cell>
        </row>
        <row r="58">
          <cell r="D58">
            <v>32</v>
          </cell>
          <cell r="E58">
            <v>5</v>
          </cell>
        </row>
        <row r="59">
          <cell r="D59">
            <v>33</v>
          </cell>
          <cell r="E59">
            <v>5</v>
          </cell>
        </row>
        <row r="60">
          <cell r="D60">
            <v>34</v>
          </cell>
          <cell r="E60">
            <v>5</v>
          </cell>
        </row>
        <row r="61">
          <cell r="D61">
            <v>35</v>
          </cell>
          <cell r="E61">
            <v>5</v>
          </cell>
        </row>
        <row r="62">
          <cell r="D62">
            <v>36</v>
          </cell>
          <cell r="E62">
            <v>6</v>
          </cell>
        </row>
        <row r="63">
          <cell r="D63">
            <v>37</v>
          </cell>
          <cell r="E63">
            <v>6</v>
          </cell>
        </row>
        <row r="64">
          <cell r="D64">
            <v>38</v>
          </cell>
          <cell r="E64">
            <v>6</v>
          </cell>
        </row>
        <row r="65">
          <cell r="D65">
            <v>39</v>
          </cell>
          <cell r="E65">
            <v>6</v>
          </cell>
        </row>
        <row r="66">
          <cell r="D66">
            <v>40</v>
          </cell>
          <cell r="E66">
            <v>7</v>
          </cell>
        </row>
        <row r="67">
          <cell r="D67">
            <v>41</v>
          </cell>
          <cell r="E67">
            <v>7</v>
          </cell>
        </row>
        <row r="68">
          <cell r="D68">
            <v>42</v>
          </cell>
          <cell r="E68">
            <v>7</v>
          </cell>
        </row>
        <row r="69">
          <cell r="D69">
            <v>43</v>
          </cell>
          <cell r="E69">
            <v>8</v>
          </cell>
        </row>
        <row r="70">
          <cell r="D70">
            <v>44</v>
          </cell>
          <cell r="E70">
            <v>8</v>
          </cell>
        </row>
        <row r="71">
          <cell r="D71">
            <v>45</v>
          </cell>
          <cell r="E71">
            <v>8</v>
          </cell>
        </row>
        <row r="72">
          <cell r="D72">
            <v>46</v>
          </cell>
          <cell r="E72">
            <v>9</v>
          </cell>
        </row>
        <row r="73">
          <cell r="D73">
            <v>47</v>
          </cell>
          <cell r="E73">
            <v>9</v>
          </cell>
        </row>
        <row r="74">
          <cell r="D74">
            <v>48</v>
          </cell>
          <cell r="E74">
            <v>10</v>
          </cell>
        </row>
        <row r="75">
          <cell r="D75">
            <v>49</v>
          </cell>
          <cell r="E75">
            <v>10</v>
          </cell>
        </row>
        <row r="76">
          <cell r="D76">
            <v>50</v>
          </cell>
          <cell r="E76">
            <v>11</v>
          </cell>
        </row>
        <row r="77">
          <cell r="D77">
            <v>51</v>
          </cell>
          <cell r="E77">
            <v>11</v>
          </cell>
        </row>
        <row r="78">
          <cell r="D78">
            <v>52</v>
          </cell>
          <cell r="E78">
            <v>12</v>
          </cell>
        </row>
        <row r="79">
          <cell r="D79">
            <v>53</v>
          </cell>
          <cell r="E79">
            <v>12</v>
          </cell>
        </row>
        <row r="80">
          <cell r="D80">
            <v>54</v>
          </cell>
          <cell r="E80">
            <v>13</v>
          </cell>
        </row>
        <row r="81">
          <cell r="D81">
            <v>55</v>
          </cell>
          <cell r="E81">
            <v>13</v>
          </cell>
        </row>
        <row r="82">
          <cell r="D82">
            <v>56</v>
          </cell>
          <cell r="E82">
            <v>14</v>
          </cell>
        </row>
        <row r="83">
          <cell r="D83">
            <v>57</v>
          </cell>
          <cell r="E83">
            <v>14</v>
          </cell>
        </row>
        <row r="84">
          <cell r="D84">
            <v>58</v>
          </cell>
          <cell r="E84">
            <v>15</v>
          </cell>
        </row>
        <row r="85">
          <cell r="D85">
            <v>59</v>
          </cell>
          <cell r="E85">
            <v>15</v>
          </cell>
        </row>
        <row r="86">
          <cell r="D86">
            <v>60</v>
          </cell>
          <cell r="E86">
            <v>16</v>
          </cell>
        </row>
        <row r="87">
          <cell r="D87">
            <v>61</v>
          </cell>
          <cell r="E87">
            <v>16</v>
          </cell>
        </row>
        <row r="88">
          <cell r="D88">
            <v>62</v>
          </cell>
          <cell r="E88">
            <v>17</v>
          </cell>
        </row>
        <row r="89">
          <cell r="D89">
            <v>63</v>
          </cell>
          <cell r="E89">
            <v>17</v>
          </cell>
        </row>
        <row r="90">
          <cell r="D90">
            <v>64</v>
          </cell>
          <cell r="E90">
            <v>18</v>
          </cell>
        </row>
        <row r="91">
          <cell r="D91">
            <v>65</v>
          </cell>
          <cell r="E91">
            <v>18</v>
          </cell>
        </row>
        <row r="92">
          <cell r="D92">
            <v>66</v>
          </cell>
          <cell r="E92">
            <v>19</v>
          </cell>
        </row>
        <row r="93">
          <cell r="D93">
            <v>67</v>
          </cell>
          <cell r="E93">
            <v>19</v>
          </cell>
        </row>
        <row r="94">
          <cell r="D94">
            <v>68</v>
          </cell>
          <cell r="E94">
            <v>20</v>
          </cell>
        </row>
        <row r="95">
          <cell r="D95">
            <v>69</v>
          </cell>
          <cell r="E95">
            <v>21</v>
          </cell>
        </row>
        <row r="96">
          <cell r="D96">
            <v>70</v>
          </cell>
          <cell r="E96">
            <v>22</v>
          </cell>
        </row>
        <row r="97">
          <cell r="D97">
            <v>71</v>
          </cell>
          <cell r="E97">
            <v>23</v>
          </cell>
        </row>
        <row r="98">
          <cell r="D98">
            <v>72</v>
          </cell>
          <cell r="E98">
            <v>24</v>
          </cell>
        </row>
        <row r="99">
          <cell r="D99">
            <v>73</v>
          </cell>
          <cell r="E99">
            <v>25</v>
          </cell>
        </row>
        <row r="100">
          <cell r="D100">
            <v>74</v>
          </cell>
          <cell r="E100">
            <v>26</v>
          </cell>
        </row>
        <row r="101">
          <cell r="D101">
            <v>75</v>
          </cell>
          <cell r="E101">
            <v>27</v>
          </cell>
        </row>
        <row r="102">
          <cell r="D102">
            <v>76</v>
          </cell>
          <cell r="E102">
            <v>28</v>
          </cell>
        </row>
        <row r="103">
          <cell r="D103">
            <v>77</v>
          </cell>
          <cell r="E103">
            <v>29</v>
          </cell>
        </row>
        <row r="104">
          <cell r="D104">
            <v>78</v>
          </cell>
          <cell r="E104">
            <v>30</v>
          </cell>
        </row>
        <row r="105">
          <cell r="D105">
            <v>79</v>
          </cell>
          <cell r="E105">
            <v>31</v>
          </cell>
        </row>
        <row r="106">
          <cell r="D106">
            <v>80</v>
          </cell>
          <cell r="E106">
            <v>32</v>
          </cell>
        </row>
        <row r="107">
          <cell r="D107">
            <v>81</v>
          </cell>
          <cell r="E107">
            <v>33</v>
          </cell>
        </row>
        <row r="108">
          <cell r="D108">
            <v>82</v>
          </cell>
          <cell r="E108">
            <v>34</v>
          </cell>
        </row>
        <row r="109">
          <cell r="D109">
            <v>83</v>
          </cell>
          <cell r="E109">
            <v>35</v>
          </cell>
        </row>
        <row r="110">
          <cell r="D110">
            <v>84</v>
          </cell>
          <cell r="E110">
            <v>36</v>
          </cell>
        </row>
        <row r="111">
          <cell r="D111">
            <v>85</v>
          </cell>
          <cell r="E111">
            <v>37</v>
          </cell>
        </row>
        <row r="112">
          <cell r="D112">
            <v>86</v>
          </cell>
          <cell r="E112">
            <v>38</v>
          </cell>
        </row>
        <row r="113">
          <cell r="D113">
            <v>87</v>
          </cell>
          <cell r="E113">
            <v>39</v>
          </cell>
        </row>
        <row r="114">
          <cell r="D114">
            <v>88</v>
          </cell>
          <cell r="E114">
            <v>40</v>
          </cell>
        </row>
        <row r="115">
          <cell r="D115">
            <v>89</v>
          </cell>
          <cell r="E115">
            <v>41</v>
          </cell>
        </row>
        <row r="116">
          <cell r="D116">
            <v>90</v>
          </cell>
          <cell r="E116">
            <v>42</v>
          </cell>
        </row>
        <row r="117">
          <cell r="D117">
            <v>91</v>
          </cell>
          <cell r="E117">
            <v>43</v>
          </cell>
        </row>
        <row r="118">
          <cell r="D118">
            <v>92</v>
          </cell>
          <cell r="E118">
            <v>44</v>
          </cell>
        </row>
        <row r="119">
          <cell r="D119">
            <v>93</v>
          </cell>
          <cell r="E119">
            <v>45</v>
          </cell>
        </row>
        <row r="120">
          <cell r="D120">
            <v>94</v>
          </cell>
          <cell r="E120">
            <v>46</v>
          </cell>
        </row>
        <row r="121">
          <cell r="D121">
            <v>95</v>
          </cell>
          <cell r="E121">
            <v>47</v>
          </cell>
        </row>
        <row r="122">
          <cell r="D122">
            <v>96</v>
          </cell>
          <cell r="E122">
            <v>48</v>
          </cell>
        </row>
        <row r="123">
          <cell r="D123">
            <v>97</v>
          </cell>
          <cell r="E123">
            <v>49</v>
          </cell>
        </row>
        <row r="124">
          <cell r="D124">
            <v>98</v>
          </cell>
          <cell r="E124">
            <v>50</v>
          </cell>
        </row>
        <row r="125">
          <cell r="D125">
            <v>99</v>
          </cell>
          <cell r="E125">
            <v>51</v>
          </cell>
        </row>
        <row r="126">
          <cell r="D126">
            <v>100</v>
          </cell>
          <cell r="E126">
            <v>52</v>
          </cell>
        </row>
        <row r="127">
          <cell r="D127">
            <v>101</v>
          </cell>
          <cell r="E127">
            <v>53</v>
          </cell>
        </row>
        <row r="128">
          <cell r="D128">
            <v>102</v>
          </cell>
          <cell r="E128">
            <v>54</v>
          </cell>
        </row>
        <row r="129">
          <cell r="D129">
            <v>103</v>
          </cell>
          <cell r="E129">
            <v>55</v>
          </cell>
        </row>
        <row r="130">
          <cell r="D130">
            <v>104</v>
          </cell>
          <cell r="E130">
            <v>56</v>
          </cell>
        </row>
        <row r="131">
          <cell r="D131">
            <v>105</v>
          </cell>
          <cell r="E131">
            <v>57</v>
          </cell>
        </row>
        <row r="132">
          <cell r="D132">
            <v>106</v>
          </cell>
          <cell r="E132">
            <v>58</v>
          </cell>
        </row>
        <row r="133">
          <cell r="D133">
            <v>107</v>
          </cell>
          <cell r="E133">
            <v>59</v>
          </cell>
        </row>
        <row r="134">
          <cell r="D134">
            <v>108</v>
          </cell>
          <cell r="E134">
            <v>60</v>
          </cell>
        </row>
        <row r="135">
          <cell r="D135">
            <v>109</v>
          </cell>
          <cell r="E135">
            <v>61</v>
          </cell>
        </row>
        <row r="136">
          <cell r="D136">
            <v>110</v>
          </cell>
          <cell r="E136">
            <v>62</v>
          </cell>
        </row>
        <row r="137">
          <cell r="D137">
            <v>111</v>
          </cell>
          <cell r="E137">
            <v>64</v>
          </cell>
        </row>
        <row r="138">
          <cell r="D138">
            <v>112</v>
          </cell>
          <cell r="E138">
            <v>66</v>
          </cell>
        </row>
        <row r="139">
          <cell r="D139">
            <v>113</v>
          </cell>
          <cell r="E139">
            <v>68</v>
          </cell>
        </row>
        <row r="140">
          <cell r="D140">
            <v>114</v>
          </cell>
          <cell r="E140">
            <v>70</v>
          </cell>
        </row>
        <row r="141">
          <cell r="D141">
            <v>115</v>
          </cell>
          <cell r="E141">
            <v>72</v>
          </cell>
        </row>
        <row r="142">
          <cell r="D142">
            <v>116</v>
          </cell>
          <cell r="E142">
            <v>74</v>
          </cell>
        </row>
        <row r="143">
          <cell r="D143">
            <v>117</v>
          </cell>
          <cell r="E143">
            <v>76</v>
          </cell>
        </row>
        <row r="144">
          <cell r="D144">
            <v>118</v>
          </cell>
          <cell r="E144">
            <v>78</v>
          </cell>
        </row>
        <row r="145">
          <cell r="D145">
            <v>119</v>
          </cell>
          <cell r="E145">
            <v>80</v>
          </cell>
        </row>
        <row r="146">
          <cell r="D146">
            <v>120</v>
          </cell>
          <cell r="E146">
            <v>82</v>
          </cell>
        </row>
        <row r="147">
          <cell r="D147">
            <v>121</v>
          </cell>
          <cell r="E147">
            <v>84</v>
          </cell>
        </row>
        <row r="148">
          <cell r="D148">
            <v>122</v>
          </cell>
          <cell r="E148">
            <v>86</v>
          </cell>
        </row>
        <row r="149">
          <cell r="D149">
            <v>123</v>
          </cell>
          <cell r="E149">
            <v>88</v>
          </cell>
        </row>
        <row r="150">
          <cell r="D150">
            <v>124</v>
          </cell>
          <cell r="E150">
            <v>90</v>
          </cell>
        </row>
        <row r="151">
          <cell r="D151">
            <v>125</v>
          </cell>
          <cell r="E151">
            <v>92</v>
          </cell>
        </row>
        <row r="152">
          <cell r="D152">
            <v>126</v>
          </cell>
          <cell r="E152">
            <v>94</v>
          </cell>
        </row>
        <row r="153">
          <cell r="D153">
            <v>127</v>
          </cell>
          <cell r="E153">
            <v>96</v>
          </cell>
        </row>
        <row r="154">
          <cell r="D154">
            <v>128</v>
          </cell>
          <cell r="E154">
            <v>98</v>
          </cell>
        </row>
        <row r="155">
          <cell r="D155">
            <v>129</v>
          </cell>
          <cell r="E155">
            <v>100</v>
          </cell>
        </row>
        <row r="156">
          <cell r="D156">
            <v>130</v>
          </cell>
          <cell r="E156">
            <v>102</v>
          </cell>
        </row>
        <row r="157">
          <cell r="D157">
            <v>131</v>
          </cell>
          <cell r="E157">
            <v>104</v>
          </cell>
        </row>
        <row r="158">
          <cell r="D158">
            <v>132</v>
          </cell>
          <cell r="E158">
            <v>106</v>
          </cell>
        </row>
        <row r="159">
          <cell r="D159">
            <v>133</v>
          </cell>
          <cell r="E159">
            <v>108</v>
          </cell>
        </row>
        <row r="160">
          <cell r="D160">
            <v>134</v>
          </cell>
          <cell r="E160">
            <v>110</v>
          </cell>
        </row>
        <row r="161">
          <cell r="D161">
            <v>135</v>
          </cell>
          <cell r="E161">
            <v>112</v>
          </cell>
        </row>
        <row r="162">
          <cell r="D162">
            <v>136</v>
          </cell>
          <cell r="E162">
            <v>114</v>
          </cell>
        </row>
        <row r="163">
          <cell r="D163">
            <v>137</v>
          </cell>
          <cell r="E163">
            <v>116</v>
          </cell>
        </row>
        <row r="164">
          <cell r="D164">
            <v>138</v>
          </cell>
          <cell r="E164">
            <v>118</v>
          </cell>
        </row>
        <row r="165">
          <cell r="D165">
            <v>139</v>
          </cell>
          <cell r="E165">
            <v>120</v>
          </cell>
        </row>
        <row r="166">
          <cell r="D166">
            <v>140</v>
          </cell>
          <cell r="E166">
            <v>122</v>
          </cell>
        </row>
        <row r="167">
          <cell r="D167">
            <v>141</v>
          </cell>
          <cell r="E167">
            <v>124</v>
          </cell>
        </row>
        <row r="168">
          <cell r="D168">
            <v>142</v>
          </cell>
          <cell r="E168">
            <v>126</v>
          </cell>
        </row>
        <row r="169">
          <cell r="D169">
            <v>143</v>
          </cell>
          <cell r="E169">
            <v>128</v>
          </cell>
        </row>
        <row r="170">
          <cell r="D170">
            <v>144</v>
          </cell>
          <cell r="E170">
            <v>130</v>
          </cell>
        </row>
        <row r="171">
          <cell r="D171">
            <v>145</v>
          </cell>
          <cell r="E171">
            <v>132</v>
          </cell>
        </row>
        <row r="172">
          <cell r="D172">
            <v>146</v>
          </cell>
          <cell r="E172">
            <v>134</v>
          </cell>
        </row>
        <row r="173">
          <cell r="D173">
            <v>147</v>
          </cell>
          <cell r="E173">
            <v>136</v>
          </cell>
        </row>
        <row r="174">
          <cell r="D174">
            <v>148</v>
          </cell>
          <cell r="E174">
            <v>138</v>
          </cell>
        </row>
        <row r="175">
          <cell r="D175">
            <v>149</v>
          </cell>
          <cell r="E175">
            <v>140</v>
          </cell>
        </row>
        <row r="176">
          <cell r="D176">
            <v>150</v>
          </cell>
          <cell r="E176">
            <v>142</v>
          </cell>
        </row>
        <row r="177">
          <cell r="D177">
            <v>151</v>
          </cell>
          <cell r="E177">
            <v>144</v>
          </cell>
        </row>
        <row r="178">
          <cell r="D178">
            <v>152</v>
          </cell>
          <cell r="E178">
            <v>146</v>
          </cell>
        </row>
        <row r="179">
          <cell r="D179">
            <v>153</v>
          </cell>
          <cell r="E179">
            <v>148</v>
          </cell>
        </row>
        <row r="180">
          <cell r="D180">
            <v>154</v>
          </cell>
          <cell r="E180">
            <v>150</v>
          </cell>
        </row>
        <row r="181">
          <cell r="D181">
            <v>155</v>
          </cell>
          <cell r="E181">
            <v>152</v>
          </cell>
        </row>
        <row r="182">
          <cell r="D182">
            <v>156</v>
          </cell>
          <cell r="E182">
            <v>154</v>
          </cell>
        </row>
        <row r="183">
          <cell r="D183">
            <v>157</v>
          </cell>
          <cell r="E183">
            <v>156</v>
          </cell>
        </row>
        <row r="184">
          <cell r="D184">
            <v>158</v>
          </cell>
          <cell r="E184">
            <v>158</v>
          </cell>
        </row>
        <row r="185">
          <cell r="D185">
            <v>159</v>
          </cell>
          <cell r="E185">
            <v>160</v>
          </cell>
        </row>
        <row r="186">
          <cell r="D186">
            <v>160</v>
          </cell>
          <cell r="E186">
            <v>162</v>
          </cell>
        </row>
        <row r="187">
          <cell r="D187">
            <v>161</v>
          </cell>
          <cell r="E187">
            <v>164</v>
          </cell>
        </row>
        <row r="188">
          <cell r="D188">
            <v>162</v>
          </cell>
          <cell r="E188">
            <v>166</v>
          </cell>
        </row>
        <row r="189">
          <cell r="D189">
            <v>163</v>
          </cell>
          <cell r="E189">
            <v>168</v>
          </cell>
        </row>
        <row r="190">
          <cell r="D190">
            <v>164</v>
          </cell>
          <cell r="E190">
            <v>170</v>
          </cell>
        </row>
        <row r="191">
          <cell r="D191">
            <v>165</v>
          </cell>
          <cell r="E191">
            <v>172</v>
          </cell>
        </row>
        <row r="192">
          <cell r="D192">
            <v>166</v>
          </cell>
          <cell r="E192">
            <v>174</v>
          </cell>
        </row>
        <row r="193">
          <cell r="D193">
            <v>167</v>
          </cell>
          <cell r="E193">
            <v>176</v>
          </cell>
        </row>
        <row r="194">
          <cell r="D194">
            <v>168</v>
          </cell>
          <cell r="E194">
            <v>178</v>
          </cell>
        </row>
        <row r="195">
          <cell r="D195">
            <v>169</v>
          </cell>
          <cell r="E195">
            <v>180</v>
          </cell>
        </row>
        <row r="196">
          <cell r="D196">
            <v>170</v>
          </cell>
          <cell r="E196">
            <v>182</v>
          </cell>
        </row>
        <row r="197">
          <cell r="D197">
            <v>171</v>
          </cell>
          <cell r="E197">
            <v>184</v>
          </cell>
        </row>
        <row r="198">
          <cell r="D198">
            <v>172</v>
          </cell>
          <cell r="E198">
            <v>186</v>
          </cell>
        </row>
        <row r="199">
          <cell r="D199">
            <v>173</v>
          </cell>
          <cell r="E199">
            <v>188</v>
          </cell>
        </row>
        <row r="200">
          <cell r="D200">
            <v>174</v>
          </cell>
          <cell r="E200">
            <v>191</v>
          </cell>
        </row>
        <row r="201">
          <cell r="D201">
            <v>175</v>
          </cell>
          <cell r="E201">
            <v>194</v>
          </cell>
        </row>
        <row r="202">
          <cell r="D202">
            <v>176</v>
          </cell>
          <cell r="E202">
            <v>197</v>
          </cell>
        </row>
        <row r="203">
          <cell r="D203">
            <v>177</v>
          </cell>
          <cell r="E203">
            <v>200</v>
          </cell>
        </row>
        <row r="204">
          <cell r="D204">
            <v>178</v>
          </cell>
          <cell r="E204">
            <v>203</v>
          </cell>
        </row>
        <row r="205">
          <cell r="D205">
            <v>179</v>
          </cell>
          <cell r="E205">
            <v>206</v>
          </cell>
        </row>
        <row r="206">
          <cell r="D206">
            <v>180</v>
          </cell>
          <cell r="E206">
            <v>209</v>
          </cell>
        </row>
        <row r="207">
          <cell r="D207">
            <v>181</v>
          </cell>
          <cell r="E207">
            <v>212</v>
          </cell>
        </row>
        <row r="208">
          <cell r="D208">
            <v>182</v>
          </cell>
          <cell r="E208">
            <v>215</v>
          </cell>
        </row>
        <row r="209">
          <cell r="D209">
            <v>183</v>
          </cell>
          <cell r="E209">
            <v>218</v>
          </cell>
        </row>
        <row r="210">
          <cell r="D210">
            <v>184</v>
          </cell>
          <cell r="E210">
            <v>221</v>
          </cell>
        </row>
        <row r="211">
          <cell r="D211">
            <v>185</v>
          </cell>
          <cell r="E211">
            <v>224</v>
          </cell>
        </row>
        <row r="212">
          <cell r="D212">
            <v>186</v>
          </cell>
          <cell r="E212">
            <v>227</v>
          </cell>
        </row>
        <row r="213">
          <cell r="D213">
            <v>187</v>
          </cell>
          <cell r="E213">
            <v>230</v>
          </cell>
        </row>
        <row r="214">
          <cell r="D214">
            <v>188</v>
          </cell>
          <cell r="E214">
            <v>233</v>
          </cell>
        </row>
        <row r="215">
          <cell r="D215">
            <v>189</v>
          </cell>
          <cell r="E215">
            <v>236</v>
          </cell>
        </row>
        <row r="216">
          <cell r="D216">
            <v>190</v>
          </cell>
          <cell r="E216">
            <v>239</v>
          </cell>
        </row>
        <row r="217">
          <cell r="D217">
            <v>191</v>
          </cell>
          <cell r="E217">
            <v>242</v>
          </cell>
        </row>
        <row r="218">
          <cell r="D218">
            <v>192</v>
          </cell>
          <cell r="E218">
            <v>245</v>
          </cell>
        </row>
        <row r="219">
          <cell r="D219">
            <v>193</v>
          </cell>
          <cell r="E219">
            <v>248</v>
          </cell>
        </row>
        <row r="220">
          <cell r="D220">
            <v>194</v>
          </cell>
          <cell r="E220">
            <v>251</v>
          </cell>
        </row>
        <row r="221">
          <cell r="D221">
            <v>195</v>
          </cell>
          <cell r="E221">
            <v>254</v>
          </cell>
        </row>
        <row r="222">
          <cell r="D222">
            <v>196</v>
          </cell>
          <cell r="E222">
            <v>257</v>
          </cell>
        </row>
        <row r="223">
          <cell r="D223">
            <v>197</v>
          </cell>
          <cell r="E223">
            <v>260</v>
          </cell>
        </row>
        <row r="224">
          <cell r="D224">
            <v>198</v>
          </cell>
          <cell r="E224">
            <v>263</v>
          </cell>
        </row>
        <row r="225">
          <cell r="D225">
            <v>199</v>
          </cell>
          <cell r="E225">
            <v>266</v>
          </cell>
        </row>
        <row r="226">
          <cell r="D226">
            <v>200</v>
          </cell>
          <cell r="E226">
            <v>269</v>
          </cell>
        </row>
        <row r="227">
          <cell r="D227">
            <v>201</v>
          </cell>
          <cell r="E227">
            <v>272</v>
          </cell>
        </row>
        <row r="228">
          <cell r="D228">
            <v>202</v>
          </cell>
          <cell r="E228">
            <v>275</v>
          </cell>
        </row>
        <row r="229">
          <cell r="D229">
            <v>203</v>
          </cell>
          <cell r="E229">
            <v>278</v>
          </cell>
        </row>
        <row r="230">
          <cell r="D230">
            <v>204</v>
          </cell>
          <cell r="E230">
            <v>281</v>
          </cell>
        </row>
        <row r="231">
          <cell r="D231">
            <v>205</v>
          </cell>
          <cell r="E231">
            <v>284</v>
          </cell>
        </row>
        <row r="232">
          <cell r="D232">
            <v>206</v>
          </cell>
          <cell r="E232">
            <v>287</v>
          </cell>
        </row>
        <row r="233">
          <cell r="D233">
            <v>207</v>
          </cell>
          <cell r="E233">
            <v>290</v>
          </cell>
        </row>
        <row r="234">
          <cell r="D234">
            <v>208</v>
          </cell>
          <cell r="E234">
            <v>293</v>
          </cell>
        </row>
        <row r="235">
          <cell r="D235">
            <v>209</v>
          </cell>
          <cell r="E235">
            <v>296</v>
          </cell>
        </row>
        <row r="236">
          <cell r="D236">
            <v>210</v>
          </cell>
          <cell r="E236">
            <v>299</v>
          </cell>
        </row>
        <row r="237">
          <cell r="D237">
            <v>211</v>
          </cell>
          <cell r="E237">
            <v>302</v>
          </cell>
        </row>
        <row r="238">
          <cell r="D238">
            <v>212</v>
          </cell>
          <cell r="E238">
            <v>305</v>
          </cell>
        </row>
        <row r="239">
          <cell r="D239">
            <v>213</v>
          </cell>
          <cell r="E239">
            <v>308</v>
          </cell>
        </row>
        <row r="240">
          <cell r="D240">
            <v>214</v>
          </cell>
          <cell r="E240">
            <v>311</v>
          </cell>
        </row>
        <row r="241">
          <cell r="D241">
            <v>215</v>
          </cell>
          <cell r="E241">
            <v>314</v>
          </cell>
        </row>
        <row r="242">
          <cell r="D242">
            <v>216</v>
          </cell>
          <cell r="E242">
            <v>317</v>
          </cell>
        </row>
        <row r="243">
          <cell r="D243">
            <v>217</v>
          </cell>
          <cell r="E243">
            <v>320</v>
          </cell>
        </row>
        <row r="244">
          <cell r="D244">
            <v>218</v>
          </cell>
          <cell r="E244">
            <v>323</v>
          </cell>
        </row>
        <row r="245">
          <cell r="D245">
            <v>219</v>
          </cell>
          <cell r="E245">
            <v>326</v>
          </cell>
        </row>
        <row r="246">
          <cell r="D246">
            <v>220</v>
          </cell>
          <cell r="E246">
            <v>329</v>
          </cell>
        </row>
        <row r="247">
          <cell r="D247">
            <v>221</v>
          </cell>
          <cell r="E247">
            <v>332</v>
          </cell>
        </row>
        <row r="248">
          <cell r="D248">
            <v>222</v>
          </cell>
          <cell r="E248">
            <v>335</v>
          </cell>
        </row>
        <row r="249">
          <cell r="D249">
            <v>223</v>
          </cell>
          <cell r="E249">
            <v>338</v>
          </cell>
        </row>
        <row r="250">
          <cell r="D250">
            <v>224</v>
          </cell>
          <cell r="E250">
            <v>341</v>
          </cell>
        </row>
        <row r="251">
          <cell r="D251">
            <v>225</v>
          </cell>
          <cell r="E251">
            <v>344</v>
          </cell>
        </row>
        <row r="252">
          <cell r="D252">
            <v>226</v>
          </cell>
          <cell r="E252">
            <v>347</v>
          </cell>
        </row>
        <row r="253">
          <cell r="D253">
            <v>227</v>
          </cell>
          <cell r="E253">
            <v>350</v>
          </cell>
        </row>
        <row r="254">
          <cell r="D254">
            <v>228</v>
          </cell>
          <cell r="E254">
            <v>353</v>
          </cell>
        </row>
        <row r="255">
          <cell r="D255">
            <v>229</v>
          </cell>
          <cell r="E255">
            <v>356</v>
          </cell>
        </row>
        <row r="256">
          <cell r="D256">
            <v>230</v>
          </cell>
          <cell r="E256">
            <v>359</v>
          </cell>
        </row>
        <row r="257">
          <cell r="D257">
            <v>231</v>
          </cell>
          <cell r="E257">
            <v>362</v>
          </cell>
        </row>
        <row r="258">
          <cell r="D258">
            <v>232</v>
          </cell>
          <cell r="E258">
            <v>365</v>
          </cell>
        </row>
        <row r="259">
          <cell r="D259">
            <v>233</v>
          </cell>
          <cell r="E259">
            <v>368</v>
          </cell>
        </row>
        <row r="260">
          <cell r="D260">
            <v>234</v>
          </cell>
          <cell r="E260">
            <v>371</v>
          </cell>
        </row>
        <row r="261">
          <cell r="D261">
            <v>235</v>
          </cell>
          <cell r="E261">
            <v>374</v>
          </cell>
        </row>
        <row r="262">
          <cell r="D262">
            <v>236</v>
          </cell>
          <cell r="E262">
            <v>377</v>
          </cell>
        </row>
        <row r="263">
          <cell r="D263">
            <v>237</v>
          </cell>
          <cell r="E263">
            <v>380</v>
          </cell>
        </row>
        <row r="264">
          <cell r="D264">
            <v>238</v>
          </cell>
          <cell r="E264">
            <v>383</v>
          </cell>
        </row>
        <row r="265">
          <cell r="D265">
            <v>239</v>
          </cell>
          <cell r="E265">
            <v>386</v>
          </cell>
        </row>
        <row r="266">
          <cell r="D266">
            <v>240</v>
          </cell>
          <cell r="E266">
            <v>389</v>
          </cell>
        </row>
        <row r="267">
          <cell r="D267">
            <v>241</v>
          </cell>
          <cell r="E267">
            <v>392</v>
          </cell>
        </row>
        <row r="268">
          <cell r="D268">
            <v>242</v>
          </cell>
          <cell r="E268">
            <v>395</v>
          </cell>
        </row>
        <row r="269">
          <cell r="D269">
            <v>243</v>
          </cell>
          <cell r="E269">
            <v>398</v>
          </cell>
        </row>
        <row r="270">
          <cell r="D270">
            <v>244</v>
          </cell>
          <cell r="E270">
            <v>401</v>
          </cell>
        </row>
        <row r="271">
          <cell r="D271">
            <v>245</v>
          </cell>
          <cell r="E271">
            <v>404</v>
          </cell>
        </row>
        <row r="272">
          <cell r="D272">
            <v>246</v>
          </cell>
          <cell r="E272">
            <v>407</v>
          </cell>
        </row>
        <row r="273">
          <cell r="D273">
            <v>247</v>
          </cell>
          <cell r="E273">
            <v>410</v>
          </cell>
        </row>
        <row r="274">
          <cell r="D274">
            <v>248</v>
          </cell>
          <cell r="E274">
            <v>413</v>
          </cell>
        </row>
        <row r="275">
          <cell r="D275">
            <v>249</v>
          </cell>
          <cell r="E275">
            <v>416</v>
          </cell>
        </row>
        <row r="276">
          <cell r="D276">
            <v>250</v>
          </cell>
          <cell r="E276">
            <v>419</v>
          </cell>
        </row>
        <row r="277">
          <cell r="D277">
            <v>251</v>
          </cell>
          <cell r="E277">
            <v>422</v>
          </cell>
        </row>
        <row r="278">
          <cell r="D278">
            <v>252</v>
          </cell>
          <cell r="E278">
            <v>425</v>
          </cell>
        </row>
        <row r="279">
          <cell r="D279">
            <v>253</v>
          </cell>
          <cell r="E279">
            <v>428</v>
          </cell>
        </row>
        <row r="280">
          <cell r="D280">
            <v>254</v>
          </cell>
          <cell r="E280">
            <v>431</v>
          </cell>
        </row>
        <row r="281">
          <cell r="D281">
            <v>255</v>
          </cell>
          <cell r="E281">
            <v>434</v>
          </cell>
        </row>
        <row r="282">
          <cell r="D282">
            <v>256</v>
          </cell>
          <cell r="E282">
            <v>437</v>
          </cell>
        </row>
        <row r="283">
          <cell r="D283">
            <v>257</v>
          </cell>
          <cell r="E283">
            <v>440</v>
          </cell>
        </row>
        <row r="284">
          <cell r="D284">
            <v>258</v>
          </cell>
          <cell r="E284">
            <v>443</v>
          </cell>
        </row>
        <row r="285">
          <cell r="D285">
            <v>259</v>
          </cell>
          <cell r="E285">
            <v>446</v>
          </cell>
        </row>
        <row r="286">
          <cell r="D286">
            <v>260</v>
          </cell>
          <cell r="E286">
            <v>449</v>
          </cell>
        </row>
        <row r="287">
          <cell r="D287">
            <v>261</v>
          </cell>
          <cell r="E287">
            <v>452</v>
          </cell>
        </row>
        <row r="288">
          <cell r="D288">
            <v>262</v>
          </cell>
          <cell r="E288">
            <v>455</v>
          </cell>
        </row>
        <row r="289">
          <cell r="D289">
            <v>263</v>
          </cell>
          <cell r="E289">
            <v>458</v>
          </cell>
        </row>
        <row r="290">
          <cell r="D290">
            <v>264</v>
          </cell>
          <cell r="E290">
            <v>461</v>
          </cell>
        </row>
        <row r="291">
          <cell r="D291">
            <v>265</v>
          </cell>
          <cell r="E291">
            <v>464</v>
          </cell>
        </row>
        <row r="292">
          <cell r="D292">
            <v>266</v>
          </cell>
          <cell r="E292">
            <v>467</v>
          </cell>
        </row>
        <row r="293">
          <cell r="D293">
            <v>267</v>
          </cell>
          <cell r="E293">
            <v>470</v>
          </cell>
        </row>
        <row r="294">
          <cell r="D294">
            <v>268</v>
          </cell>
          <cell r="E294">
            <v>473</v>
          </cell>
        </row>
        <row r="295">
          <cell r="D295">
            <v>269</v>
          </cell>
          <cell r="E295">
            <v>476</v>
          </cell>
        </row>
        <row r="296">
          <cell r="D296">
            <v>270</v>
          </cell>
          <cell r="E296">
            <v>479</v>
          </cell>
        </row>
        <row r="297">
          <cell r="D297">
            <v>271</v>
          </cell>
          <cell r="E297">
            <v>482</v>
          </cell>
        </row>
        <row r="298">
          <cell r="D298">
            <v>272</v>
          </cell>
          <cell r="E298">
            <v>485</v>
          </cell>
        </row>
        <row r="299">
          <cell r="D299">
            <v>273</v>
          </cell>
          <cell r="E299">
            <v>488</v>
          </cell>
        </row>
        <row r="300">
          <cell r="D300">
            <v>274</v>
          </cell>
          <cell r="E300">
            <v>491</v>
          </cell>
        </row>
        <row r="301">
          <cell r="D301">
            <v>275</v>
          </cell>
          <cell r="E301">
            <v>494</v>
          </cell>
        </row>
        <row r="302">
          <cell r="D302">
            <v>276</v>
          </cell>
          <cell r="E302">
            <v>497</v>
          </cell>
        </row>
        <row r="303">
          <cell r="D303">
            <v>277</v>
          </cell>
          <cell r="E303">
            <v>500</v>
          </cell>
        </row>
        <row r="304">
          <cell r="D304">
            <v>278</v>
          </cell>
          <cell r="E304">
            <v>503</v>
          </cell>
        </row>
        <row r="305">
          <cell r="D305">
            <v>279</v>
          </cell>
          <cell r="E305">
            <v>506</v>
          </cell>
        </row>
        <row r="306">
          <cell r="D306">
            <v>280</v>
          </cell>
          <cell r="E306">
            <v>509</v>
          </cell>
        </row>
        <row r="307">
          <cell r="D307">
            <v>281</v>
          </cell>
          <cell r="E307">
            <v>512</v>
          </cell>
        </row>
        <row r="308">
          <cell r="D308">
            <v>282</v>
          </cell>
          <cell r="E308">
            <v>515</v>
          </cell>
        </row>
        <row r="309">
          <cell r="D309">
            <v>283</v>
          </cell>
          <cell r="E309">
            <v>518</v>
          </cell>
        </row>
        <row r="310">
          <cell r="D310">
            <v>284</v>
          </cell>
          <cell r="E310">
            <v>521</v>
          </cell>
        </row>
        <row r="311">
          <cell r="D311">
            <v>285</v>
          </cell>
          <cell r="E311">
            <v>524</v>
          </cell>
        </row>
        <row r="312">
          <cell r="D312">
            <v>286</v>
          </cell>
          <cell r="E312">
            <v>527</v>
          </cell>
        </row>
        <row r="313">
          <cell r="D313">
            <v>287</v>
          </cell>
          <cell r="E313">
            <v>530</v>
          </cell>
        </row>
        <row r="314">
          <cell r="D314">
            <v>288</v>
          </cell>
          <cell r="E314">
            <v>533</v>
          </cell>
        </row>
        <row r="315">
          <cell r="D315">
            <v>289</v>
          </cell>
          <cell r="E315">
            <v>536</v>
          </cell>
        </row>
        <row r="316">
          <cell r="D316">
            <v>290</v>
          </cell>
          <cell r="E316">
            <v>539</v>
          </cell>
        </row>
        <row r="317">
          <cell r="D317">
            <v>291</v>
          </cell>
          <cell r="E317">
            <v>542</v>
          </cell>
        </row>
        <row r="318">
          <cell r="D318">
            <v>292</v>
          </cell>
          <cell r="E318">
            <v>545</v>
          </cell>
        </row>
        <row r="319">
          <cell r="D319">
            <v>293</v>
          </cell>
          <cell r="E319">
            <v>548</v>
          </cell>
        </row>
      </sheetData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2" name="表2" displayName="表2" ref="H516:I520" totalsRowShown="0">
  <autoFilter xmlns:etc="http://www.wps.cn/officeDocument/2017/etCustomData" ref="H516:I520" etc:filterBottomFollowUsedRange="0"/>
  <tableColumns count="2">
    <tableColumn id="1" name="装备属性模拟" dataDxfId="0"/>
    <tableColumn id="2" name="属性" dataDxfId="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6" name="装备属性" displayName="装备属性" ref="K516:M521" totalsRowShown="0">
  <autoFilter xmlns:etc="http://www.wps.cn/officeDocument/2017/etCustomData" ref="K516:M521" etc:filterBottomFollowUsedRange="0"/>
  <tableColumns count="3">
    <tableColumn id="1" name="装备属性模拟" dataDxfId="2"/>
    <tableColumn id="2" name="属性" dataDxfId="3"/>
    <tableColumn id="3" name="列1" dataDxfId="4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分层玩家进度" displayName="分层玩家进度" ref="D69:G73" totalsRowShown="0">
  <tableColumns count="4">
    <tableColumn id="1" name="分层" dataDxfId="5"/>
    <tableColumn id="2" name="主线首通" dataDxfId="6"/>
    <tableColumn id="3" name="主线扫荡" dataDxfId="7">
      <calculatedColumnFormula>I23/F23</calculatedColumnFormula>
    </tableColumn>
    <tableColumn id="4" name="竞技场商店" dataDxfId="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表19" displayName="表19" ref="D77:H84" totalsRowShown="0">
  <tableColumns count="5">
    <tableColumn id="1" name="时间（天）" dataDxfId="9"/>
    <tableColumn id="2" name="非r" dataDxfId="10">
      <calculatedColumnFormula>SUM(F85:F144)</calculatedColumnFormula>
    </tableColumn>
    <tableColumn id="3" name="小r" dataDxfId="11"/>
    <tableColumn id="4" name="中r" dataDxfId="12"/>
    <tableColumn id="5" name="大r" dataDxfId="1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1" name="表1" displayName="表1" ref="B2:O202" totalsRowShown="0">
  <tableColumns count="14">
    <tableColumn id="1" name="节点" dataDxfId="14">
      <calculatedColumnFormula>B2+1</calculatedColumnFormula>
    </tableColumn>
    <tableColumn id="2" name="国王攻击力" dataDxfId="15"/>
    <tableColumn id="3" name="国王伤害%" dataDxfId="16"/>
    <tableColumn id="4" name="国王暴击率" dataDxfId="17"/>
    <tableColumn id="5" name="国王爆伤" dataDxfId="18"/>
    <tableColumn id="6" name="国王攻击速度" dataDxfId="19"/>
    <tableColumn id="7" name="特殊解锁" dataDxfId="20"/>
    <tableColumn id="8" name="天赋石" dataDxfId="21"/>
    <tableColumn id="9" name="金币" dataDxfId="22">
      <calculatedColumnFormula>J2+285</calculatedColumnFormula>
    </tableColumn>
    <tableColumn id="10" name="大节点" dataDxfId="23"/>
    <tableColumn id="11" name="攻击力" dataDxfId="24"/>
    <tableColumn id="12" name="核心加成" dataDxfId="25"/>
    <tableColumn id="13" name="传说天赋石" dataDxfId="26"/>
    <tableColumn id="14" name="金币2" dataDxfId="27">
      <calculatedColumnFormula>IF(L3&amp;M3="","",J3*5)</calculatedColumnFormula>
    </tableColumn>
  </tableColumns>
  <tableStyleInfo name="TableStylePreset3_Accent1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说明"/>
  <dimension ref="A1:P19"/>
  <sheetViews>
    <sheetView workbookViewId="0">
      <selection activeCell="N137" sqref="N137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20.4285714285714" customWidth="1"/>
    <col min="5" max="7" width="9.71428571428571" customWidth="1"/>
  </cols>
  <sheetData>
    <row r="1" ht="18" spans="1:16">
      <c r="A1" s="161" t="s">
        <v>0</v>
      </c>
      <c r="B1" s="144"/>
      <c r="C1" s="161"/>
      <c r="D1" s="144"/>
      <c r="E1" s="144"/>
      <c r="F1" s="144"/>
      <c r="G1" s="144"/>
    </row>
    <row r="2" ht="18" spans="1:16">
      <c r="A2" s="162"/>
      <c r="B2" s="145"/>
      <c r="C2" s="149"/>
      <c r="D2" s="145"/>
      <c r="E2" s="145"/>
      <c r="F2" s="145"/>
      <c r="G2" s="145"/>
    </row>
    <row r="3" ht="18" spans="1:16">
      <c r="A3" s="163" t="s">
        <v>1</v>
      </c>
      <c r="B3" s="164"/>
      <c r="C3" s="163"/>
      <c r="D3" s="164"/>
      <c r="E3" s="164"/>
      <c r="F3" s="164"/>
      <c r="G3" s="164"/>
    </row>
    <row r="4" ht="18" spans="1:16">
      <c r="A4" s="162"/>
      <c r="B4" s="145"/>
      <c r="C4" s="149"/>
      <c r="D4" s="145"/>
      <c r="E4" s="145"/>
      <c r="F4" s="145"/>
      <c r="G4" s="145"/>
    </row>
    <row r="5" ht="18" spans="1:16">
      <c r="A5" s="162"/>
      <c r="B5" s="165"/>
      <c r="C5" s="149" t="s">
        <v>2</v>
      </c>
      <c r="D5" s="145"/>
      <c r="E5" s="145"/>
      <c r="F5" s="145"/>
      <c r="G5" s="145"/>
    </row>
    <row r="6" ht="18" spans="1:16">
      <c r="A6" s="162"/>
      <c r="B6" s="145"/>
      <c r="C6" s="145"/>
      <c r="D6" s="145" t="s">
        <v>3</v>
      </c>
      <c r="E6" s="145"/>
      <c r="F6" s="145"/>
      <c r="G6" s="145"/>
      <c r="H6" s="145"/>
      <c r="I6" s="145"/>
      <c r="J6" s="145"/>
      <c r="P6" t="s">
        <v>4</v>
      </c>
    </row>
    <row r="7" ht="18" spans="1:16">
      <c r="A7" s="162"/>
      <c r="B7" s="145"/>
      <c r="C7" s="145"/>
      <c r="D7" s="145" t="s">
        <v>5</v>
      </c>
      <c r="E7" s="145"/>
      <c r="F7" s="145"/>
      <c r="G7" s="145"/>
      <c r="H7" s="145"/>
      <c r="I7" s="145"/>
      <c r="J7" s="145"/>
      <c r="P7" t="s">
        <v>6</v>
      </c>
    </row>
    <row r="8" ht="18" spans="1:16">
      <c r="A8" s="162"/>
      <c r="B8" s="145"/>
      <c r="C8" s="145"/>
      <c r="E8" s="145"/>
      <c r="F8" s="145"/>
      <c r="G8" s="145"/>
      <c r="H8" s="145"/>
      <c r="I8" s="145"/>
      <c r="J8" s="145"/>
      <c r="P8" t="s">
        <v>7</v>
      </c>
    </row>
    <row r="9" ht="18" spans="1:16">
      <c r="A9" s="162"/>
      <c r="B9" s="145"/>
      <c r="C9" s="145"/>
      <c r="D9" s="145"/>
      <c r="E9" s="145"/>
      <c r="F9" s="145"/>
      <c r="G9" s="145"/>
      <c r="H9" s="145"/>
      <c r="I9" s="145"/>
      <c r="J9" s="145"/>
      <c r="P9" t="s">
        <v>8</v>
      </c>
    </row>
    <row r="10" ht="18" spans="1:16">
      <c r="A10" s="162"/>
      <c r="B10" s="145"/>
      <c r="C10" s="145"/>
      <c r="D10" s="145"/>
      <c r="E10" s="145"/>
      <c r="F10" s="145"/>
      <c r="G10" s="145"/>
      <c r="H10" s="145"/>
      <c r="I10" s="145"/>
      <c r="J10" s="145"/>
      <c r="P10" t="s">
        <v>9</v>
      </c>
    </row>
    <row r="11" ht="18" spans="1:16">
      <c r="A11" s="162"/>
      <c r="B11" s="145"/>
      <c r="C11" s="145"/>
      <c r="D11" s="145"/>
      <c r="E11" s="145"/>
      <c r="F11" s="145"/>
      <c r="G11" s="145"/>
      <c r="H11" s="145"/>
      <c r="I11" s="145"/>
      <c r="J11" s="145"/>
    </row>
    <row r="12" ht="18" spans="1:16">
      <c r="A12" s="162"/>
      <c r="B12" s="165"/>
      <c r="C12" s="149" t="s">
        <v>10</v>
      </c>
      <c r="D12" s="145"/>
      <c r="E12" s="145"/>
      <c r="F12" s="145"/>
      <c r="G12" s="145"/>
    </row>
    <row r="13" ht="18" spans="1:16">
      <c r="A13" s="162"/>
      <c r="B13" s="145"/>
      <c r="C13" s="149"/>
      <c r="D13" s="145"/>
      <c r="E13" s="145"/>
      <c r="F13" s="145"/>
      <c r="G13" s="145"/>
    </row>
    <row r="14" ht="18" spans="1:16">
      <c r="A14" s="162"/>
      <c r="B14" s="145"/>
      <c r="C14" s="149"/>
      <c r="D14" s="35" t="s">
        <v>11</v>
      </c>
      <c r="E14" s="35" t="s">
        <v>12</v>
      </c>
      <c r="F14" s="35" t="s">
        <v>13</v>
      </c>
      <c r="G14" s="145" t="s">
        <v>1</v>
      </c>
    </row>
    <row r="15" ht="18" spans="1:16">
      <c r="A15" s="162"/>
      <c r="B15" s="145"/>
      <c r="C15" s="149"/>
      <c r="D15" s="35" t="s">
        <v>14</v>
      </c>
      <c r="E15" s="35"/>
      <c r="F15" s="35"/>
      <c r="G15" s="145"/>
    </row>
    <row r="16" ht="18" spans="1:16">
      <c r="A16" s="162"/>
      <c r="B16" s="145"/>
      <c r="C16" s="149"/>
      <c r="D16" s="166" t="s">
        <v>15</v>
      </c>
      <c r="E16" s="35"/>
      <c r="F16" s="35"/>
      <c r="G16" s="145" t="s">
        <v>16</v>
      </c>
    </row>
    <row r="17" ht="18" spans="1:7">
      <c r="A17" s="162"/>
      <c r="B17" s="145"/>
      <c r="C17" s="149"/>
      <c r="D17" s="35"/>
      <c r="E17" s="35"/>
      <c r="F17" s="35"/>
      <c r="G17" s="145" t="s">
        <v>17</v>
      </c>
    </row>
    <row r="18" ht="18" spans="1:7">
      <c r="A18" s="162"/>
      <c r="B18" s="145"/>
      <c r="C18" s="149"/>
      <c r="D18" s="145"/>
      <c r="E18" s="145"/>
      <c r="F18" s="145"/>
      <c r="G18" s="145"/>
    </row>
    <row r="19" ht="18" spans="1:7">
      <c r="A19" s="161" t="s">
        <v>18</v>
      </c>
      <c r="B19" s="144"/>
      <c r="C19" s="161"/>
      <c r="D19" s="144"/>
      <c r="E19" s="144"/>
      <c r="F19" s="144"/>
      <c r="G19" s="14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养成属性">
    <tabColor rgb="FFFFFFFF"/>
  </sheetPr>
  <dimension ref="A1:Q41"/>
  <sheetViews>
    <sheetView workbookViewId="0">
      <selection activeCell="N137" sqref="N137"/>
    </sheetView>
  </sheetViews>
  <sheetFormatPr defaultColWidth="10.2857142857143" defaultRowHeight="12.75"/>
  <cols>
    <col min="1" max="1" width="9.71428571428571" customWidth="1"/>
    <col min="2" max="3" width="2.71428571428571" customWidth="1"/>
    <col min="4" max="4" width="9.71428571428571" customWidth="1"/>
    <col min="5" max="5" width="16" customWidth="1"/>
    <col min="6" max="6" width="16.4285714285714" customWidth="1"/>
    <col min="7" max="7" width="15" customWidth="1"/>
    <col min="8" max="8" width="15.2857142857143" customWidth="1"/>
    <col min="9" max="9" width="15.8571428571429" customWidth="1"/>
    <col min="10" max="14" width="13" customWidth="1"/>
    <col min="15" max="15" width="13.4285714285714" customWidth="1"/>
  </cols>
  <sheetData>
    <row r="1" ht="15.75" spans="1:17">
      <c r="A1" s="144" t="s">
        <v>19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ht="15.75" spans="1:17">
      <c r="A2" s="145"/>
      <c r="B2" s="145"/>
      <c r="C2" s="146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ht="18" spans="1:17">
      <c r="A3" s="147"/>
      <c r="B3" s="148"/>
      <c r="C3" s="149" t="s">
        <v>20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7"/>
    </row>
    <row r="4" ht="15.75" spans="1:17">
      <c r="A4" s="147"/>
      <c r="B4" s="147"/>
      <c r="C4" s="150"/>
      <c r="D4" s="145"/>
      <c r="F4" s="145"/>
      <c r="G4" s="145"/>
      <c r="H4" s="145" t="s">
        <v>21</v>
      </c>
      <c r="I4" s="145"/>
      <c r="J4" s="145"/>
      <c r="K4" s="145"/>
      <c r="L4" s="145"/>
      <c r="M4" s="145"/>
      <c r="N4" s="145" t="s">
        <v>22</v>
      </c>
      <c r="O4" s="145" t="s">
        <v>23</v>
      </c>
    </row>
    <row r="5" ht="16.5" spans="1:17">
      <c r="A5" s="145"/>
      <c r="B5" s="145"/>
      <c r="C5" s="146"/>
      <c r="D5" s="151" t="s">
        <v>24</v>
      </c>
      <c r="E5" s="151" t="s">
        <v>25</v>
      </c>
      <c r="F5" s="151" t="s">
        <v>26</v>
      </c>
      <c r="G5" s="151" t="s">
        <v>27</v>
      </c>
      <c r="H5" s="151" t="s">
        <v>28</v>
      </c>
      <c r="I5" s="151" t="s">
        <v>29</v>
      </c>
      <c r="J5" s="151" t="s">
        <v>30</v>
      </c>
      <c r="K5" s="151" t="s">
        <v>31</v>
      </c>
      <c r="L5" s="151" t="s">
        <v>32</v>
      </c>
      <c r="M5" s="151" t="s">
        <v>33</v>
      </c>
      <c r="N5" s="151" t="s">
        <v>34</v>
      </c>
      <c r="O5" s="151" t="s">
        <v>35</v>
      </c>
    </row>
    <row r="6" ht="17.25" spans="1:17">
      <c r="A6" s="145"/>
      <c r="B6" s="152"/>
      <c r="C6" s="153"/>
      <c r="D6" s="76">
        <v>1</v>
      </c>
      <c r="E6" s="76">
        <v>12</v>
      </c>
      <c r="F6" s="76">
        <v>600</v>
      </c>
      <c r="G6" s="76">
        <v>1.2</v>
      </c>
      <c r="H6" s="154">
        <f>F6*(G6-1)</f>
        <v>120</v>
      </c>
      <c r="I6" s="155">
        <f>SQRT(N6)</f>
        <v>1.51657508881031</v>
      </c>
      <c r="J6" s="155">
        <f>(F6-1)/($F$29-1)*$J$29</f>
        <v>0.0696349686119507</v>
      </c>
      <c r="K6" s="155">
        <f>(F6-1)/($F$29-1)*$K$29</f>
        <v>0.00696349686119507</v>
      </c>
      <c r="L6" s="76">
        <f>SQRT(SQRT(N6))</f>
        <v>1.23149303238399</v>
      </c>
      <c r="M6" s="76">
        <f>L6*I6*(1+K6*(J6+600%))</f>
        <v>1.94658960325595</v>
      </c>
      <c r="N6" s="76">
        <v>2.3</v>
      </c>
      <c r="O6" s="76">
        <v>1000</v>
      </c>
      <c r="Q6" s="9" t="s">
        <v>36</v>
      </c>
    </row>
    <row r="7" ht="17.25" spans="1:17">
      <c r="A7" s="145"/>
      <c r="B7" s="152"/>
      <c r="C7" s="153"/>
      <c r="D7" s="76">
        <v>2</v>
      </c>
      <c r="E7" s="76">
        <v>18</v>
      </c>
      <c r="F7" s="76">
        <v>900</v>
      </c>
      <c r="G7" s="76">
        <v>1.2835</v>
      </c>
      <c r="H7" s="154">
        <f t="shared" ref="H7:H37" si="0">F7*(G7-1)</f>
        <v>255.15</v>
      </c>
      <c r="I7" s="155">
        <f t="shared" ref="I7:I37" si="1">SQRT(N7)</f>
        <v>1.51657508881031</v>
      </c>
      <c r="J7" s="155">
        <f t="shared" ref="J7:J28" si="2">(F7-1)/($F$29-1)*$J$29</f>
        <v>0.104510578935131</v>
      </c>
      <c r="K7" s="155">
        <f t="shared" ref="K7:K28" si="3">(F7-1)/($F$29-1)*$K$29</f>
        <v>0.0104510578935131</v>
      </c>
      <c r="L7" s="76">
        <f t="shared" ref="L7:L37" si="4">SQRT(SQRT(N7))</f>
        <v>1.23149303238399</v>
      </c>
      <c r="M7" s="76">
        <f t="shared" ref="M7:M37" si="5">L7*I7*(1+K7*(J7+600%))</f>
        <v>1.98680520363896</v>
      </c>
      <c r="N7" s="76">
        <v>2.3</v>
      </c>
      <c r="O7" s="76"/>
      <c r="Q7" s="9" t="s">
        <v>37</v>
      </c>
    </row>
    <row r="8" ht="17.25" spans="1:17">
      <c r="A8" s="145"/>
      <c r="B8" s="156"/>
      <c r="C8" s="157"/>
      <c r="D8" s="76">
        <v>3</v>
      </c>
      <c r="E8" s="76">
        <v>24</v>
      </c>
      <c r="F8" s="76">
        <v>1080</v>
      </c>
      <c r="G8" s="76">
        <v>1.367</v>
      </c>
      <c r="H8" s="154">
        <f t="shared" si="0"/>
        <v>396.36</v>
      </c>
      <c r="I8" s="155">
        <f t="shared" si="1"/>
        <v>1.51657508881031</v>
      </c>
      <c r="J8" s="155">
        <f t="shared" si="2"/>
        <v>0.12543594512904</v>
      </c>
      <c r="K8" s="155">
        <f t="shared" si="3"/>
        <v>0.012543594512904</v>
      </c>
      <c r="L8" s="76">
        <f t="shared" si="4"/>
        <v>1.23149303238399</v>
      </c>
      <c r="M8" s="76">
        <f t="shared" si="5"/>
        <v>2.01115264131012</v>
      </c>
      <c r="N8" s="76">
        <v>2.3</v>
      </c>
      <c r="O8" s="76"/>
      <c r="Q8" s="9" t="s">
        <v>38</v>
      </c>
    </row>
    <row r="9" ht="17.25" spans="1:17">
      <c r="A9" s="145"/>
      <c r="B9" s="156"/>
      <c r="C9" s="157"/>
      <c r="D9" s="76">
        <v>4</v>
      </c>
      <c r="E9" s="76">
        <v>29</v>
      </c>
      <c r="F9" s="76">
        <v>1296</v>
      </c>
      <c r="G9" s="76">
        <v>1.367</v>
      </c>
      <c r="H9" s="154">
        <f t="shared" si="0"/>
        <v>475.632</v>
      </c>
      <c r="I9" s="155">
        <f t="shared" si="1"/>
        <v>1.73205080756888</v>
      </c>
      <c r="J9" s="155">
        <f t="shared" si="2"/>
        <v>0.15054638456173</v>
      </c>
      <c r="K9" s="155">
        <f t="shared" si="3"/>
        <v>0.015054638456173</v>
      </c>
      <c r="L9" s="76">
        <f t="shared" si="4"/>
        <v>1.31607401295249</v>
      </c>
      <c r="M9" s="76">
        <f t="shared" si="5"/>
        <v>2.49057630811286</v>
      </c>
      <c r="N9" s="76">
        <v>3</v>
      </c>
      <c r="O9" s="76"/>
      <c r="Q9" s="9" t="s">
        <v>39</v>
      </c>
    </row>
    <row r="10" ht="17.25" spans="1:17">
      <c r="A10" s="145"/>
      <c r="B10" s="156"/>
      <c r="C10" s="157"/>
      <c r="D10" s="76">
        <v>5</v>
      </c>
      <c r="E10" s="76">
        <v>33</v>
      </c>
      <c r="F10" s="76">
        <v>1490</v>
      </c>
      <c r="G10" s="76">
        <v>1.27</v>
      </c>
      <c r="H10" s="154">
        <f t="shared" si="0"/>
        <v>402.3</v>
      </c>
      <c r="I10" s="155">
        <f t="shared" si="1"/>
        <v>1.73205080756888</v>
      </c>
      <c r="J10" s="155">
        <f t="shared" si="2"/>
        <v>0.173099279237387</v>
      </c>
      <c r="K10" s="155">
        <f t="shared" si="3"/>
        <v>0.0173099279237387</v>
      </c>
      <c r="L10" s="76">
        <f t="shared" si="4"/>
        <v>1.31607401295249</v>
      </c>
      <c r="M10" s="76">
        <f t="shared" si="5"/>
        <v>2.52308584326474</v>
      </c>
      <c r="N10" s="76">
        <v>3</v>
      </c>
      <c r="O10" s="76"/>
      <c r="Q10" s="9" t="s">
        <v>40</v>
      </c>
    </row>
    <row r="11" ht="17.25" spans="1:17">
      <c r="A11" s="145"/>
      <c r="B11" s="156"/>
      <c r="C11" s="157"/>
      <c r="D11" s="76">
        <v>6</v>
      </c>
      <c r="E11" s="76">
        <v>37</v>
      </c>
      <c r="F11" s="76">
        <v>1713</v>
      </c>
      <c r="G11" s="76">
        <v>1.3</v>
      </c>
      <c r="H11" s="154">
        <f t="shared" si="0"/>
        <v>513.9</v>
      </c>
      <c r="I11" s="155">
        <f t="shared" si="1"/>
        <v>1.73205080756888</v>
      </c>
      <c r="J11" s="155">
        <f t="shared" si="2"/>
        <v>0.199023482910951</v>
      </c>
      <c r="K11" s="155">
        <f t="shared" si="3"/>
        <v>0.0199023482910951</v>
      </c>
      <c r="L11" s="76">
        <f t="shared" si="4"/>
        <v>1.31607401295249</v>
      </c>
      <c r="M11" s="76">
        <f t="shared" si="5"/>
        <v>2.56074152372642</v>
      </c>
      <c r="N11" s="76">
        <v>3</v>
      </c>
      <c r="O11" s="76"/>
      <c r="Q11" s="9" t="s">
        <v>41</v>
      </c>
    </row>
    <row r="12" ht="17.25" spans="1:17">
      <c r="A12" s="145"/>
      <c r="B12" s="156"/>
      <c r="C12" s="157"/>
      <c r="D12" s="76">
        <v>7</v>
      </c>
      <c r="E12" s="76">
        <v>40</v>
      </c>
      <c r="F12" s="76">
        <v>1971</v>
      </c>
      <c r="G12" s="76">
        <v>1.33</v>
      </c>
      <c r="H12" s="154">
        <f t="shared" si="0"/>
        <v>650.43</v>
      </c>
      <c r="I12" s="155">
        <f t="shared" si="1"/>
        <v>1.73205080756888</v>
      </c>
      <c r="J12" s="155">
        <f t="shared" si="2"/>
        <v>0.229016507788886</v>
      </c>
      <c r="K12" s="155">
        <f t="shared" si="3"/>
        <v>0.0229016507788886</v>
      </c>
      <c r="L12" s="76">
        <f t="shared" si="4"/>
        <v>1.31607401295249</v>
      </c>
      <c r="M12" s="76">
        <f t="shared" si="5"/>
        <v>2.60468959080927</v>
      </c>
      <c r="N12" s="76">
        <v>3</v>
      </c>
      <c r="O12" s="76"/>
      <c r="Q12" s="9" t="s">
        <v>42</v>
      </c>
    </row>
    <row r="13" ht="17.25" spans="1:17">
      <c r="A13" s="145"/>
      <c r="B13" s="156"/>
      <c r="C13" s="157"/>
      <c r="D13" s="76">
        <v>8</v>
      </c>
      <c r="E13" s="76">
        <v>43</v>
      </c>
      <c r="F13" s="76">
        <v>2168</v>
      </c>
      <c r="G13" s="76">
        <v>1.36</v>
      </c>
      <c r="H13" s="154">
        <f t="shared" si="0"/>
        <v>780.48</v>
      </c>
      <c r="I13" s="155">
        <f t="shared" si="1"/>
        <v>1.73205080756888</v>
      </c>
      <c r="J13" s="155">
        <f t="shared" si="2"/>
        <v>0.251918158567775</v>
      </c>
      <c r="K13" s="155">
        <f t="shared" si="3"/>
        <v>0.0251918158567775</v>
      </c>
      <c r="L13" s="76">
        <f t="shared" si="4"/>
        <v>1.31607401295249</v>
      </c>
      <c r="M13" s="76">
        <f t="shared" si="5"/>
        <v>2.63852296970489</v>
      </c>
      <c r="N13" s="76">
        <v>3</v>
      </c>
      <c r="O13" s="76"/>
      <c r="Q13" s="9" t="s">
        <v>43</v>
      </c>
    </row>
    <row r="14" ht="17.25" spans="1:17">
      <c r="A14" s="145"/>
      <c r="B14" s="156"/>
      <c r="C14" s="157"/>
      <c r="D14" s="76">
        <v>9</v>
      </c>
      <c r="E14" s="76">
        <v>46</v>
      </c>
      <c r="F14" s="76">
        <v>2276</v>
      </c>
      <c r="G14" s="76">
        <v>1.39</v>
      </c>
      <c r="H14" s="154">
        <f t="shared" si="0"/>
        <v>887.64</v>
      </c>
      <c r="I14" s="155">
        <f t="shared" si="1"/>
        <v>1.73205080756888</v>
      </c>
      <c r="J14" s="155">
        <f t="shared" si="2"/>
        <v>0.26447337828412</v>
      </c>
      <c r="K14" s="155">
        <f t="shared" si="3"/>
        <v>0.026447337828412</v>
      </c>
      <c r="L14" s="76">
        <f t="shared" si="4"/>
        <v>1.31607401295249</v>
      </c>
      <c r="M14" s="76">
        <f t="shared" si="5"/>
        <v>2.65717269457547</v>
      </c>
      <c r="N14" s="76">
        <v>3</v>
      </c>
      <c r="O14" s="76"/>
      <c r="Q14" s="9" t="s">
        <v>44</v>
      </c>
    </row>
    <row r="15" ht="17.25" spans="1:17">
      <c r="A15" s="145"/>
      <c r="B15" s="156"/>
      <c r="C15" s="157"/>
      <c r="D15" s="76">
        <v>10</v>
      </c>
      <c r="E15" s="76">
        <v>49</v>
      </c>
      <c r="F15" s="76">
        <v>2390</v>
      </c>
      <c r="G15" s="76">
        <v>1.42</v>
      </c>
      <c r="H15" s="154">
        <f t="shared" si="0"/>
        <v>1003.8</v>
      </c>
      <c r="I15" s="155">
        <f t="shared" si="1"/>
        <v>1.73205080756888</v>
      </c>
      <c r="J15" s="155">
        <f t="shared" si="2"/>
        <v>0.277726110206929</v>
      </c>
      <c r="K15" s="155">
        <f t="shared" si="3"/>
        <v>0.0277726110206929</v>
      </c>
      <c r="L15" s="76">
        <f t="shared" si="4"/>
        <v>1.31607401295249</v>
      </c>
      <c r="M15" s="76">
        <f t="shared" si="5"/>
        <v>2.67693648030937</v>
      </c>
      <c r="N15" s="76">
        <v>3</v>
      </c>
      <c r="O15" s="76"/>
      <c r="Q15" s="9" t="s">
        <v>45</v>
      </c>
    </row>
    <row r="16" ht="17.25" spans="1:17">
      <c r="A16" s="145"/>
      <c r="B16" s="156"/>
      <c r="C16" s="157"/>
      <c r="D16" s="76">
        <v>11</v>
      </c>
      <c r="E16" s="76">
        <v>51</v>
      </c>
      <c r="F16" s="76">
        <v>2509</v>
      </c>
      <c r="G16" s="76">
        <v>1.45</v>
      </c>
      <c r="H16" s="154">
        <f t="shared" si="0"/>
        <v>1129.05</v>
      </c>
      <c r="I16" s="155">
        <f t="shared" si="1"/>
        <v>1.73205080756888</v>
      </c>
      <c r="J16" s="155">
        <f t="shared" si="2"/>
        <v>0.29156010230179</v>
      </c>
      <c r="K16" s="155">
        <f t="shared" si="3"/>
        <v>0.029156010230179</v>
      </c>
      <c r="L16" s="76">
        <f t="shared" si="4"/>
        <v>1.31607401295249</v>
      </c>
      <c r="M16" s="76">
        <f t="shared" si="5"/>
        <v>2.69765251587537</v>
      </c>
      <c r="N16" s="76">
        <v>3</v>
      </c>
      <c r="O16" s="76"/>
      <c r="Q16" s="9" t="s">
        <v>46</v>
      </c>
    </row>
    <row r="17" ht="17.25" spans="1:17">
      <c r="A17" s="145"/>
      <c r="B17" s="156"/>
      <c r="C17" s="157"/>
      <c r="D17" s="76">
        <v>12</v>
      </c>
      <c r="E17" s="76">
        <v>53</v>
      </c>
      <c r="F17" s="76">
        <v>2635</v>
      </c>
      <c r="G17" s="76">
        <v>1.48</v>
      </c>
      <c r="H17" s="154">
        <f t="shared" si="0"/>
        <v>1264.8</v>
      </c>
      <c r="I17" s="155">
        <f t="shared" si="1"/>
        <v>1.73205080756888</v>
      </c>
      <c r="J17" s="155">
        <f t="shared" si="2"/>
        <v>0.306207858637526</v>
      </c>
      <c r="K17" s="155">
        <f t="shared" si="3"/>
        <v>0.0306207858637526</v>
      </c>
      <c r="L17" s="76">
        <f t="shared" si="4"/>
        <v>1.31607401295249</v>
      </c>
      <c r="M17" s="76">
        <f t="shared" si="5"/>
        <v>2.71968224136963</v>
      </c>
      <c r="N17" s="76">
        <v>3</v>
      </c>
      <c r="O17" s="76"/>
      <c r="Q17" s="9" t="s">
        <v>47</v>
      </c>
    </row>
    <row r="18" ht="16.5" spans="1:17">
      <c r="A18" s="145"/>
      <c r="B18" s="156"/>
      <c r="C18" s="157"/>
      <c r="D18" s="76">
        <v>13</v>
      </c>
      <c r="E18" s="76">
        <v>55</v>
      </c>
      <c r="F18" s="76">
        <v>2767</v>
      </c>
      <c r="G18" s="76">
        <v>1.51</v>
      </c>
      <c r="H18" s="154">
        <f t="shared" si="0"/>
        <v>1411.17</v>
      </c>
      <c r="I18" s="155">
        <f t="shared" si="1"/>
        <v>1.73205080756888</v>
      </c>
      <c r="J18" s="155">
        <f t="shared" si="2"/>
        <v>0.321553127179726</v>
      </c>
      <c r="K18" s="155">
        <f t="shared" si="3"/>
        <v>0.0321553127179726</v>
      </c>
      <c r="L18" s="76">
        <f t="shared" si="4"/>
        <v>1.31607401295249</v>
      </c>
      <c r="M18" s="76">
        <f t="shared" si="5"/>
        <v>2.7428659159563</v>
      </c>
      <c r="N18" s="76">
        <v>3</v>
      </c>
      <c r="O18" s="76"/>
    </row>
    <row r="19" ht="16.5" spans="1:17">
      <c r="A19" s="145"/>
      <c r="B19" s="156"/>
      <c r="C19" s="157"/>
      <c r="D19" s="76">
        <v>14</v>
      </c>
      <c r="E19" s="76">
        <v>56</v>
      </c>
      <c r="F19" s="76">
        <v>2905</v>
      </c>
      <c r="G19" s="76">
        <v>1.54</v>
      </c>
      <c r="H19" s="154">
        <f t="shared" si="0"/>
        <v>1568.7</v>
      </c>
      <c r="I19" s="155">
        <f t="shared" si="1"/>
        <v>1.8165902124585</v>
      </c>
      <c r="J19" s="155">
        <f t="shared" si="2"/>
        <v>0.337595907928389</v>
      </c>
      <c r="K19" s="155">
        <f t="shared" si="3"/>
        <v>0.0337595907928389</v>
      </c>
      <c r="L19" s="76">
        <f t="shared" si="4"/>
        <v>1.34780941251295</v>
      </c>
      <c r="M19" s="76">
        <f t="shared" si="5"/>
        <v>2.97226765856721</v>
      </c>
      <c r="N19" s="76">
        <v>3.3</v>
      </c>
      <c r="O19" s="76"/>
    </row>
    <row r="20" ht="16.5" spans="1:17">
      <c r="A20" s="145"/>
      <c r="B20" s="156"/>
      <c r="C20" s="157"/>
      <c r="D20" s="76">
        <v>15</v>
      </c>
      <c r="E20" s="76">
        <v>57</v>
      </c>
      <c r="F20" s="76">
        <v>3050</v>
      </c>
      <c r="G20" s="76">
        <v>1.555</v>
      </c>
      <c r="H20" s="154">
        <f t="shared" si="0"/>
        <v>1692.75</v>
      </c>
      <c r="I20" s="155">
        <f t="shared" si="1"/>
        <v>1.8165902124585</v>
      </c>
      <c r="J20" s="155">
        <f t="shared" si="2"/>
        <v>0.354452452917926</v>
      </c>
      <c r="K20" s="155">
        <f t="shared" si="3"/>
        <v>0.0354452452917926</v>
      </c>
      <c r="L20" s="76">
        <f t="shared" si="4"/>
        <v>1.34780941251295</v>
      </c>
      <c r="M20" s="76">
        <f t="shared" si="5"/>
        <v>2.99988698542636</v>
      </c>
      <c r="N20" s="76">
        <v>3.3</v>
      </c>
      <c r="O20" s="76"/>
    </row>
    <row r="21" ht="16.5" spans="1:17">
      <c r="A21" s="145"/>
      <c r="B21" s="156"/>
      <c r="C21" s="157"/>
      <c r="D21" s="76">
        <v>16</v>
      </c>
      <c r="E21" s="76">
        <v>58</v>
      </c>
      <c r="F21" s="76">
        <v>3203</v>
      </c>
      <c r="G21" s="76">
        <v>1.57</v>
      </c>
      <c r="H21" s="154">
        <f t="shared" si="0"/>
        <v>1825.71</v>
      </c>
      <c r="I21" s="155">
        <f t="shared" si="1"/>
        <v>1.81659021245849</v>
      </c>
      <c r="J21" s="155">
        <f t="shared" si="2"/>
        <v>0.372239014182748</v>
      </c>
      <c r="K21" s="155">
        <f t="shared" si="3"/>
        <v>0.0372239014182748</v>
      </c>
      <c r="L21" s="76">
        <f t="shared" si="4"/>
        <v>1.34780941251295</v>
      </c>
      <c r="M21" s="76">
        <f t="shared" si="5"/>
        <v>3.02918100422224</v>
      </c>
      <c r="N21" s="76">
        <v>3.3</v>
      </c>
      <c r="O21" s="76"/>
    </row>
    <row r="22" ht="16.5" spans="1:17">
      <c r="A22" s="145"/>
      <c r="B22" s="156"/>
      <c r="C22" s="157"/>
      <c r="D22" s="76">
        <v>20</v>
      </c>
      <c r="E22" s="76">
        <v>62</v>
      </c>
      <c r="F22" s="76">
        <v>3893</v>
      </c>
      <c r="G22" s="76">
        <v>1.57</v>
      </c>
      <c r="H22" s="154">
        <f t="shared" si="0"/>
        <v>2219.01</v>
      </c>
      <c r="I22" s="155">
        <f t="shared" si="1"/>
        <v>1.89736659610103</v>
      </c>
      <c r="J22" s="155">
        <f t="shared" si="2"/>
        <v>0.452452917926064</v>
      </c>
      <c r="K22" s="155">
        <f t="shared" si="3"/>
        <v>0.0452452917926064</v>
      </c>
      <c r="L22" s="76">
        <f t="shared" si="4"/>
        <v>1.37744930799686</v>
      </c>
      <c r="M22" s="76">
        <f t="shared" si="5"/>
        <v>3.37652731550774</v>
      </c>
      <c r="N22" s="76">
        <v>3.6</v>
      </c>
      <c r="O22" s="76"/>
    </row>
    <row r="23" ht="16.5" spans="1:17">
      <c r="A23" s="145"/>
      <c r="B23" s="156"/>
      <c r="C23" s="157"/>
      <c r="D23" s="76">
        <v>27</v>
      </c>
      <c r="E23" s="154">
        <v>69</v>
      </c>
      <c r="F23" s="154">
        <v>4321</v>
      </c>
      <c r="G23" s="154">
        <v>1.61</v>
      </c>
      <c r="H23" s="154">
        <f t="shared" si="0"/>
        <v>2635.81</v>
      </c>
      <c r="I23" s="155">
        <f t="shared" si="1"/>
        <v>1.89736659610103</v>
      </c>
      <c r="J23" s="155">
        <f t="shared" si="2"/>
        <v>0.502208788653801</v>
      </c>
      <c r="K23" s="155">
        <f t="shared" si="3"/>
        <v>0.0502208788653802</v>
      </c>
      <c r="L23" s="76">
        <f t="shared" si="4"/>
        <v>1.37744930799686</v>
      </c>
      <c r="M23" s="76">
        <f t="shared" si="5"/>
        <v>3.46696453802821</v>
      </c>
      <c r="N23" s="154">
        <v>3.6</v>
      </c>
      <c r="O23" s="154"/>
    </row>
    <row r="24" ht="16.5" spans="1:17">
      <c r="A24" s="145"/>
      <c r="B24" s="156"/>
      <c r="C24" s="157"/>
      <c r="D24" s="76">
        <v>34</v>
      </c>
      <c r="E24" s="154">
        <v>74</v>
      </c>
      <c r="F24" s="154">
        <v>4796</v>
      </c>
      <c r="G24" s="154">
        <v>1.82</v>
      </c>
      <c r="H24" s="154">
        <f t="shared" si="0"/>
        <v>3932.72</v>
      </c>
      <c r="I24" s="155">
        <f t="shared" si="1"/>
        <v>1.89736659610103</v>
      </c>
      <c r="J24" s="155">
        <f t="shared" si="2"/>
        <v>0.557428504998837</v>
      </c>
      <c r="K24" s="155">
        <f t="shared" si="3"/>
        <v>0.0557428504998837</v>
      </c>
      <c r="L24" s="76">
        <f t="shared" si="4"/>
        <v>1.37744930799686</v>
      </c>
      <c r="M24" s="76">
        <f t="shared" si="5"/>
        <v>3.568847939452</v>
      </c>
      <c r="N24" s="154">
        <v>3.6</v>
      </c>
      <c r="O24" s="154"/>
    </row>
    <row r="25" ht="16.5" spans="1:17">
      <c r="A25" s="145"/>
      <c r="B25" s="156"/>
      <c r="C25" s="157"/>
      <c r="D25" s="76">
        <v>41</v>
      </c>
      <c r="E25" s="154">
        <v>79</v>
      </c>
      <c r="F25" s="154">
        <v>5322</v>
      </c>
      <c r="G25" s="154">
        <v>1.99</v>
      </c>
      <c r="H25" s="154">
        <f t="shared" si="0"/>
        <v>5268.78</v>
      </c>
      <c r="I25" s="155">
        <f t="shared" si="1"/>
        <v>2.03469899493758</v>
      </c>
      <c r="J25" s="155">
        <f t="shared" si="2"/>
        <v>0.618577075098814</v>
      </c>
      <c r="K25" s="155">
        <f t="shared" si="3"/>
        <v>0.0618577075098814</v>
      </c>
      <c r="L25" s="76">
        <f t="shared" si="4"/>
        <v>1.42642875564733</v>
      </c>
      <c r="M25" s="76">
        <f t="shared" si="5"/>
        <v>4.09060557490118</v>
      </c>
      <c r="N25" s="154">
        <v>4.14</v>
      </c>
      <c r="O25" s="154"/>
    </row>
    <row r="26" ht="16.5" spans="1:17">
      <c r="A26" s="145"/>
      <c r="B26" s="156"/>
      <c r="C26" s="157"/>
      <c r="D26" s="76">
        <v>48</v>
      </c>
      <c r="E26" s="154">
        <v>84</v>
      </c>
      <c r="F26" s="154">
        <v>5907</v>
      </c>
      <c r="G26" s="154">
        <v>2</v>
      </c>
      <c r="H26" s="154">
        <f t="shared" si="0"/>
        <v>5907</v>
      </c>
      <c r="I26" s="155">
        <f t="shared" si="1"/>
        <v>2.03469899493758</v>
      </c>
      <c r="J26" s="155">
        <f t="shared" si="2"/>
        <v>0.686584515229017</v>
      </c>
      <c r="K26" s="155">
        <f t="shared" si="3"/>
        <v>0.0686584515229017</v>
      </c>
      <c r="L26" s="76">
        <f t="shared" si="4"/>
        <v>1.42642875564733</v>
      </c>
      <c r="M26" s="76">
        <f t="shared" si="5"/>
        <v>4.23479602937492</v>
      </c>
      <c r="N26" s="154">
        <v>4.14</v>
      </c>
      <c r="O26" s="154"/>
    </row>
    <row r="27" ht="16.5" spans="1:17">
      <c r="A27" s="145"/>
      <c r="B27" s="156"/>
      <c r="C27" s="157"/>
      <c r="D27" s="76">
        <v>55</v>
      </c>
      <c r="E27" s="154">
        <v>89</v>
      </c>
      <c r="F27" s="154">
        <v>6556</v>
      </c>
      <c r="G27" s="154">
        <v>2</v>
      </c>
      <c r="H27" s="154">
        <f t="shared" si="0"/>
        <v>6556</v>
      </c>
      <c r="I27" s="155">
        <f t="shared" si="1"/>
        <v>2.03469899493758</v>
      </c>
      <c r="J27" s="155">
        <f t="shared" si="2"/>
        <v>0.762032085561497</v>
      </c>
      <c r="K27" s="155">
        <f t="shared" si="3"/>
        <v>0.0762032085561497</v>
      </c>
      <c r="L27" s="76">
        <f t="shared" si="4"/>
        <v>1.42642875564733</v>
      </c>
      <c r="M27" s="76">
        <f t="shared" si="5"/>
        <v>4.39790247922331</v>
      </c>
      <c r="N27" s="154">
        <v>4.14</v>
      </c>
      <c r="O27" s="154"/>
    </row>
    <row r="28" ht="16.5" spans="1:17">
      <c r="A28" s="145"/>
      <c r="B28" s="156"/>
      <c r="C28" s="157"/>
      <c r="D28" s="76">
        <v>62</v>
      </c>
      <c r="E28" s="154">
        <v>91.5</v>
      </c>
      <c r="F28" s="154">
        <v>7276</v>
      </c>
      <c r="G28" s="154">
        <v>2</v>
      </c>
      <c r="H28" s="154">
        <f t="shared" si="0"/>
        <v>7276</v>
      </c>
      <c r="I28" s="155">
        <f t="shared" si="1"/>
        <v>2</v>
      </c>
      <c r="J28" s="155">
        <f t="shared" si="2"/>
        <v>0.845733550337131</v>
      </c>
      <c r="K28" s="155">
        <f t="shared" si="3"/>
        <v>0.0845733550337131</v>
      </c>
      <c r="L28" s="76">
        <f t="shared" si="4"/>
        <v>1.4142135623731</v>
      </c>
      <c r="M28" s="76">
        <f t="shared" si="5"/>
        <v>4.46599211329669</v>
      </c>
      <c r="N28" s="154">
        <v>4</v>
      </c>
      <c r="O28" s="154"/>
    </row>
    <row r="29" ht="16.5" spans="1:17">
      <c r="A29" s="145"/>
      <c r="B29" s="156"/>
      <c r="C29" s="157"/>
      <c r="D29" s="76">
        <v>90</v>
      </c>
      <c r="E29" s="154">
        <v>101.5</v>
      </c>
      <c r="F29" s="154">
        <v>8603</v>
      </c>
      <c r="G29" s="154">
        <v>2</v>
      </c>
      <c r="H29" s="154">
        <f t="shared" si="0"/>
        <v>8603</v>
      </c>
      <c r="I29" s="155">
        <f t="shared" si="1"/>
        <v>2.17255609824004</v>
      </c>
      <c r="J29" s="155">
        <v>1</v>
      </c>
      <c r="K29" s="155">
        <v>0.1</v>
      </c>
      <c r="L29" s="76">
        <f t="shared" si="4"/>
        <v>1.47395932720006</v>
      </c>
      <c r="M29" s="76">
        <f t="shared" si="5"/>
        <v>5.44384085227266</v>
      </c>
      <c r="N29" s="154">
        <v>4.72</v>
      </c>
      <c r="O29" s="154"/>
    </row>
    <row r="30" ht="16.5" spans="1:17">
      <c r="A30" s="145"/>
      <c r="B30" s="156"/>
      <c r="C30" s="157"/>
      <c r="D30" s="76">
        <v>120</v>
      </c>
      <c r="E30" s="154">
        <v>106.857142857143</v>
      </c>
      <c r="F30" s="154">
        <v>10294</v>
      </c>
      <c r="G30" s="154">
        <v>2</v>
      </c>
      <c r="H30" s="154">
        <f t="shared" si="0"/>
        <v>10294</v>
      </c>
      <c r="I30" s="155">
        <f t="shared" si="1"/>
        <v>2.33238075793812</v>
      </c>
      <c r="J30" s="155">
        <f>(F30-1)/($F$29-1)*$J$29</f>
        <v>1.19658219018833</v>
      </c>
      <c r="K30" s="155">
        <f>K29</f>
        <v>0.1</v>
      </c>
      <c r="L30" s="76">
        <f t="shared" si="4"/>
        <v>1.52721339633272</v>
      </c>
      <c r="M30" s="76">
        <f t="shared" si="5"/>
        <v>6.12549676026046</v>
      </c>
      <c r="N30" s="154">
        <v>5.44</v>
      </c>
      <c r="O30" s="154"/>
    </row>
    <row r="31" ht="16.5" spans="1:17">
      <c r="A31" s="145"/>
      <c r="B31" s="156"/>
      <c r="C31" s="157"/>
      <c r="D31" s="76">
        <v>150</v>
      </c>
      <c r="E31" s="154">
        <v>112.214285714286</v>
      </c>
      <c r="F31" s="154">
        <v>12318</v>
      </c>
      <c r="G31" s="154">
        <v>2</v>
      </c>
      <c r="H31" s="154">
        <f t="shared" si="0"/>
        <v>12318</v>
      </c>
      <c r="I31" s="155">
        <f t="shared" si="1"/>
        <v>2.33238075793812</v>
      </c>
      <c r="J31" s="155">
        <f t="shared" ref="J31:J37" si="6">(F31-1)/($F$29-1)*$J$29</f>
        <v>1.43187630783539</v>
      </c>
      <c r="K31" s="155">
        <f t="shared" ref="K31:K37" si="7">K30</f>
        <v>0.1</v>
      </c>
      <c r="L31" s="76">
        <f t="shared" si="4"/>
        <v>1.52721339633272</v>
      </c>
      <c r="M31" s="76">
        <f t="shared" si="5"/>
        <v>6.20930953999862</v>
      </c>
      <c r="N31" s="154">
        <v>5.44</v>
      </c>
      <c r="O31" s="154"/>
    </row>
    <row r="32" ht="16.5" spans="1:17">
      <c r="A32" s="145"/>
      <c r="B32" s="156"/>
      <c r="C32" s="157"/>
      <c r="D32" s="76">
        <v>190</v>
      </c>
      <c r="E32" s="154">
        <v>119.357142857143</v>
      </c>
      <c r="F32" s="154">
        <v>13886</v>
      </c>
      <c r="G32" s="154">
        <v>2</v>
      </c>
      <c r="H32" s="154">
        <f t="shared" si="0"/>
        <v>13886</v>
      </c>
      <c r="I32" s="155">
        <f t="shared" si="1"/>
        <v>2.48193472919817</v>
      </c>
      <c r="J32" s="155">
        <f t="shared" si="6"/>
        <v>1.61415949779121</v>
      </c>
      <c r="K32" s="155">
        <f t="shared" si="7"/>
        <v>0.1</v>
      </c>
      <c r="L32" s="76">
        <f t="shared" si="4"/>
        <v>1.57541573217934</v>
      </c>
      <c r="M32" s="76">
        <f t="shared" si="5"/>
        <v>6.88727554829585</v>
      </c>
      <c r="N32" s="154">
        <v>6.16</v>
      </c>
      <c r="O32" s="154"/>
    </row>
    <row r="33" ht="16.5" spans="1:15">
      <c r="A33" s="145"/>
      <c r="B33" s="156"/>
      <c r="C33" s="157"/>
      <c r="D33" s="76">
        <v>250</v>
      </c>
      <c r="E33" s="154">
        <v>130.071428571429</v>
      </c>
      <c r="F33" s="154">
        <v>16620</v>
      </c>
      <c r="G33" s="154">
        <v>2</v>
      </c>
      <c r="H33" s="154">
        <f t="shared" si="0"/>
        <v>16620</v>
      </c>
      <c r="I33" s="155">
        <f t="shared" si="1"/>
        <v>2.48193472919817</v>
      </c>
      <c r="J33" s="155">
        <f t="shared" si="6"/>
        <v>1.9319925598698</v>
      </c>
      <c r="K33" s="155">
        <f t="shared" si="7"/>
        <v>0.1</v>
      </c>
      <c r="L33" s="76">
        <f t="shared" si="4"/>
        <v>1.57541573217934</v>
      </c>
      <c r="M33" s="76">
        <f t="shared" si="5"/>
        <v>7.01155078704161</v>
      </c>
      <c r="N33" s="154">
        <v>6.16</v>
      </c>
      <c r="O33" s="154"/>
    </row>
    <row r="34" ht="16.5" spans="1:15">
      <c r="A34" s="145"/>
      <c r="B34" s="156"/>
      <c r="C34" s="157"/>
      <c r="D34" s="76">
        <v>310</v>
      </c>
      <c r="E34" s="154">
        <v>140.785714285714</v>
      </c>
      <c r="F34" s="154">
        <v>19893</v>
      </c>
      <c r="G34" s="154">
        <v>2</v>
      </c>
      <c r="H34" s="154">
        <f t="shared" si="0"/>
        <v>19893</v>
      </c>
      <c r="I34" s="155">
        <f t="shared" si="1"/>
        <v>2.6229754097208</v>
      </c>
      <c r="J34" s="155">
        <f t="shared" si="6"/>
        <v>2.3124854684957</v>
      </c>
      <c r="K34" s="155">
        <f t="shared" si="7"/>
        <v>0.1</v>
      </c>
      <c r="L34" s="76">
        <f t="shared" si="4"/>
        <v>1.61956025195755</v>
      </c>
      <c r="M34" s="76">
        <f t="shared" si="5"/>
        <v>7.77926599958028</v>
      </c>
      <c r="N34" s="154">
        <v>6.88</v>
      </c>
      <c r="O34" s="154"/>
    </row>
    <row r="35" ht="16.5" spans="1:15">
      <c r="A35" s="145"/>
      <c r="B35" s="156"/>
      <c r="C35" s="157"/>
      <c r="D35" s="76">
        <v>370</v>
      </c>
      <c r="E35" s="154">
        <v>151.5</v>
      </c>
      <c r="F35" s="154">
        <v>23810</v>
      </c>
      <c r="G35" s="154">
        <v>2</v>
      </c>
      <c r="H35" s="154">
        <f t="shared" si="0"/>
        <v>23810</v>
      </c>
      <c r="I35" s="155">
        <f t="shared" si="1"/>
        <v>2.6229754097208</v>
      </c>
      <c r="J35" s="155">
        <f t="shared" si="6"/>
        <v>2.76784468728203</v>
      </c>
      <c r="K35" s="155">
        <f t="shared" si="7"/>
        <v>0.1</v>
      </c>
      <c r="L35" s="76">
        <f t="shared" si="4"/>
        <v>1.61956025195755</v>
      </c>
      <c r="M35" s="76">
        <f t="shared" si="5"/>
        <v>7.97270563367005</v>
      </c>
      <c r="N35" s="154">
        <v>6.88</v>
      </c>
      <c r="O35" s="154"/>
    </row>
    <row r="36" ht="16.5" spans="1:15">
      <c r="A36" s="145"/>
      <c r="B36" s="156"/>
      <c r="C36" s="157"/>
      <c r="D36" s="76">
        <v>430</v>
      </c>
      <c r="E36" s="154">
        <v>162.214285714286</v>
      </c>
      <c r="F36" s="154">
        <v>28498</v>
      </c>
      <c r="G36" s="154">
        <v>2</v>
      </c>
      <c r="H36" s="154">
        <f t="shared" si="0"/>
        <v>28498</v>
      </c>
      <c r="I36" s="155">
        <f t="shared" si="1"/>
        <v>2.75680975041804</v>
      </c>
      <c r="J36" s="155">
        <f t="shared" si="6"/>
        <v>3.31283422459893</v>
      </c>
      <c r="K36" s="155">
        <f t="shared" si="7"/>
        <v>0.1</v>
      </c>
      <c r="L36" s="76">
        <f t="shared" si="4"/>
        <v>1.66036434267243</v>
      </c>
      <c r="M36" s="76">
        <f t="shared" si="5"/>
        <v>8.8400802362876</v>
      </c>
      <c r="N36" s="154">
        <v>7.6</v>
      </c>
      <c r="O36" s="154"/>
    </row>
    <row r="37" ht="16.5" spans="1:15">
      <c r="A37" s="145"/>
      <c r="B37" s="156"/>
      <c r="C37" s="157"/>
      <c r="D37" s="76">
        <v>520</v>
      </c>
      <c r="E37" s="154">
        <v>178.285714285714</v>
      </c>
      <c r="F37" s="154">
        <v>32614</v>
      </c>
      <c r="G37" s="154">
        <v>2</v>
      </c>
      <c r="H37" s="154">
        <f t="shared" si="0"/>
        <v>32614</v>
      </c>
      <c r="I37" s="155">
        <f t="shared" si="1"/>
        <v>2.75680975041804</v>
      </c>
      <c r="J37" s="155">
        <f t="shared" si="6"/>
        <v>3.79132759823297</v>
      </c>
      <c r="K37" s="155">
        <f t="shared" si="7"/>
        <v>0.1</v>
      </c>
      <c r="L37" s="76">
        <f t="shared" si="4"/>
        <v>1.66036434267243</v>
      </c>
      <c r="M37" s="76">
        <f t="shared" si="5"/>
        <v>9.05910142014207</v>
      </c>
      <c r="N37" s="154">
        <v>7.6</v>
      </c>
      <c r="O37" s="154"/>
    </row>
    <row r="38" ht="15.75" spans="1:15">
      <c r="A38" s="145"/>
      <c r="B38" s="156"/>
      <c r="C38" s="157"/>
      <c r="D38" s="158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45"/>
    </row>
    <row r="39" ht="15.75" spans="1:15">
      <c r="A39" s="145"/>
      <c r="B39" s="156"/>
      <c r="C39" s="157"/>
      <c r="D39" s="160"/>
      <c r="E39" s="145"/>
      <c r="F39" s="145"/>
      <c r="G39" s="145"/>
      <c r="H39" s="145"/>
      <c r="I39" s="145"/>
      <c r="J39" s="159"/>
      <c r="K39" s="159"/>
      <c r="L39" s="159"/>
      <c r="M39" s="159"/>
      <c r="N39" s="159"/>
      <c r="O39" s="145"/>
    </row>
    <row r="40" ht="15.75" spans="1:15">
      <c r="A40" s="145"/>
      <c r="B40" s="145"/>
      <c r="C40" s="146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</row>
    <row r="41" ht="15.75" spans="1:15">
      <c r="A41" s="144" t="s">
        <v>18</v>
      </c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因升级">
    <tabColor rgb="FFFFFFFF"/>
  </sheetPr>
  <dimension ref="A1:AO521"/>
  <sheetViews>
    <sheetView tabSelected="1" topLeftCell="C120" workbookViewId="0">
      <selection activeCell="D137" sqref="D137"/>
    </sheetView>
  </sheetViews>
  <sheetFormatPr defaultColWidth="10.2857142857143" defaultRowHeight="16.5"/>
  <cols>
    <col min="1" max="1" width="58.5714285714286" style="15" customWidth="1"/>
    <col min="2" max="3" width="2.71428571428571" style="15" customWidth="1"/>
    <col min="4" max="4" width="18.5714285714286" style="15" customWidth="1"/>
    <col min="5" max="6" width="15.1428571428571" style="15" customWidth="1"/>
    <col min="7" max="7" width="17.4285714285714" style="15" customWidth="1"/>
    <col min="8" max="8" width="16.7142857142857" style="15" customWidth="1"/>
    <col min="9" max="9" width="21.1428571428571" style="15" customWidth="1"/>
    <col min="10" max="10" width="24.7142857142857" style="15" customWidth="1"/>
    <col min="11" max="12" width="21.1428571428571" style="15" customWidth="1"/>
    <col min="13" max="13" width="18.4285714285714" style="15" customWidth="1"/>
    <col min="14" max="15" width="17.7142857142857" style="15" customWidth="1"/>
    <col min="16" max="16" width="9.71428571428571" style="15" customWidth="1"/>
    <col min="17" max="18" width="17.5714285714286" style="15" customWidth="1"/>
    <col min="19" max="20" width="15.5714285714286" style="15" customWidth="1"/>
    <col min="21" max="21" width="16.1428571428571" style="15" customWidth="1"/>
    <col min="22" max="22" width="32.7142857142857" style="2" customWidth="1"/>
    <col min="23" max="24" width="17.5714285714286" style="15" customWidth="1"/>
    <col min="25" max="27" width="12.8571428571429" style="15"/>
    <col min="28" max="28" width="18.1428571428571" style="15" customWidth="1"/>
    <col min="29" max="30" width="12.8571428571429" style="15"/>
    <col min="31" max="31" width="14.5714285714286" style="15"/>
    <col min="32" max="34" width="16.2857142857143" style="15"/>
    <col min="35" max="36" width="14.5714285714286" style="15"/>
    <col min="37" max="38" width="10.2857142857143" style="15"/>
    <col min="39" max="39" width="12.8571428571429" style="15"/>
    <col min="40" max="40" width="10.2857142857143" style="15"/>
    <col min="41" max="41" width="14.5714285714286" style="15"/>
    <col min="42" max="42" width="10.2857142857143" style="15"/>
    <col min="43" max="43" width="14.5714285714286" style="15"/>
    <col min="44" max="44" width="10.2857142857143" style="15"/>
    <col min="45" max="45" width="15.7142857142857" style="15"/>
    <col min="46" max="46" width="14.5714285714286" style="15"/>
    <col min="47" max="47" width="10.2857142857143" style="15"/>
    <col min="48" max="48" width="12.8571428571429" style="15"/>
    <col min="49" max="52" width="14.5714285714286" style="15"/>
    <col min="53" max="53" width="10.2857142857143" style="15"/>
    <col min="54" max="54" width="15.7142857142857" style="15"/>
    <col min="55" max="57" width="14.5714285714286" style="15"/>
    <col min="58" max="58" width="10.2857142857143" style="15"/>
    <col min="59" max="59" width="12.8571428571429" style="15"/>
    <col min="60" max="61" width="15.7142857142857" style="15"/>
    <col min="62" max="62" width="14.5714285714286" style="15"/>
    <col min="63" max="16384" width="10.2857142857143" style="15"/>
  </cols>
  <sheetData>
    <row r="1" ht="18" spans="1:22">
      <c r="A1" s="16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18" spans="1:22">
      <c r="A2" s="9"/>
      <c r="B2" s="9"/>
      <c r="C2" s="5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ht="17.25" spans="1:22">
      <c r="A3" s="52"/>
      <c r="B3" s="18"/>
      <c r="C3" s="19" t="s">
        <v>20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ht="17.25" spans="1:22">
      <c r="A4" s="52"/>
      <c r="B4" s="52"/>
      <c r="C4" s="19"/>
      <c r="D4" s="9" t="s">
        <v>48</v>
      </c>
      <c r="E4" s="9"/>
      <c r="F4" s="9"/>
      <c r="G4" s="9"/>
      <c r="H4" s="9" t="s">
        <v>49</v>
      </c>
      <c r="I4" s="9"/>
      <c r="J4" s="9"/>
      <c r="K4" s="9" t="s">
        <v>50</v>
      </c>
      <c r="L4" s="9"/>
      <c r="M4" s="9"/>
      <c r="N4" s="9"/>
      <c r="O4" s="9"/>
      <c r="P4" s="9"/>
      <c r="Q4" s="9"/>
    </row>
    <row r="5" ht="18" spans="1:22">
      <c r="A5" s="9"/>
      <c r="B5" s="9"/>
      <c r="C5" s="51"/>
      <c r="D5" s="53" t="s">
        <v>51</v>
      </c>
      <c r="E5" s="53" t="s">
        <v>52</v>
      </c>
      <c r="F5" s="53"/>
      <c r="G5" s="53" t="s">
        <v>29</v>
      </c>
      <c r="H5" s="54" t="s">
        <v>30</v>
      </c>
      <c r="I5" s="54" t="s">
        <v>31</v>
      </c>
      <c r="J5" s="54" t="s">
        <v>32</v>
      </c>
      <c r="K5" s="54" t="s">
        <v>35</v>
      </c>
      <c r="L5" s="54" t="s">
        <v>53</v>
      </c>
      <c r="M5" s="54" t="s">
        <v>54</v>
      </c>
      <c r="N5" s="9"/>
      <c r="O5" s="9"/>
      <c r="P5" s="9"/>
    </row>
    <row r="6" ht="18" spans="1:22">
      <c r="A6" s="9"/>
      <c r="B6" s="9"/>
      <c r="C6" s="51"/>
      <c r="D6" s="55" t="s">
        <v>55</v>
      </c>
      <c r="E6" s="56">
        <f>养成属性!F32</f>
        <v>13886</v>
      </c>
      <c r="F6" s="56"/>
      <c r="G6" s="56">
        <f>养成属性!I32</f>
        <v>2.48193472919817</v>
      </c>
      <c r="H6" s="56">
        <f>养成属性!J32</f>
        <v>1.61415949779121</v>
      </c>
      <c r="I6" s="56">
        <f>养成属性!K32</f>
        <v>0.1</v>
      </c>
      <c r="J6" s="56">
        <f>养成属性!L32</f>
        <v>1.57541573217934</v>
      </c>
      <c r="K6" s="56">
        <v>500</v>
      </c>
      <c r="L6" s="56">
        <v>30</v>
      </c>
      <c r="M6" s="57"/>
      <c r="N6" s="9"/>
      <c r="O6" s="9"/>
      <c r="P6" s="9"/>
      <c r="R6" s="58"/>
    </row>
    <row r="7" ht="18" spans="1:22">
      <c r="A7" s="9"/>
      <c r="B7" s="9"/>
      <c r="C7" s="51"/>
      <c r="D7" s="55" t="s">
        <v>56</v>
      </c>
      <c r="E7" s="57"/>
      <c r="F7" s="59"/>
      <c r="G7" s="59"/>
      <c r="H7" s="57"/>
      <c r="I7" s="57"/>
      <c r="J7" s="57"/>
      <c r="K7" s="35"/>
      <c r="L7" s="57"/>
      <c r="M7" s="57"/>
      <c r="R7" s="58"/>
    </row>
    <row r="8" ht="18" spans="1:22">
      <c r="A8" s="9"/>
      <c r="B8" s="9"/>
      <c r="C8" s="51"/>
      <c r="D8" s="55" t="s">
        <v>57</v>
      </c>
      <c r="E8" s="57"/>
      <c r="F8" s="57"/>
      <c r="G8" s="57"/>
      <c r="H8" s="57"/>
      <c r="I8" s="57"/>
      <c r="J8" s="57"/>
      <c r="K8" s="57"/>
      <c r="L8" s="57"/>
      <c r="M8" s="57"/>
      <c r="N8" s="9"/>
      <c r="O8" s="9"/>
      <c r="P8" s="9"/>
    </row>
    <row r="9" ht="18" spans="1:22">
      <c r="A9" s="9"/>
      <c r="B9" s="9"/>
      <c r="C9" s="51"/>
      <c r="D9" s="55" t="s">
        <v>58</v>
      </c>
      <c r="E9" s="57"/>
      <c r="F9" s="57"/>
      <c r="G9" s="57"/>
      <c r="H9" s="60"/>
      <c r="I9" s="61"/>
      <c r="J9" s="61"/>
      <c r="K9" s="61"/>
      <c r="L9" s="61"/>
      <c r="M9" s="57"/>
      <c r="N9" s="9"/>
      <c r="O9" s="9"/>
      <c r="P9" s="9"/>
    </row>
    <row r="10" ht="18" spans="1:22">
      <c r="A10" s="9"/>
      <c r="B10" s="9"/>
      <c r="C10" s="51"/>
      <c r="D10" s="55" t="s">
        <v>59</v>
      </c>
      <c r="E10" s="57"/>
      <c r="F10" s="57"/>
      <c r="G10" s="57"/>
      <c r="H10" s="62"/>
      <c r="I10" s="62"/>
      <c r="J10" s="62"/>
      <c r="K10" s="62"/>
      <c r="L10" s="62"/>
      <c r="M10" s="57"/>
      <c r="N10" s="9"/>
      <c r="O10" s="9"/>
      <c r="P10" s="9"/>
    </row>
    <row r="11" ht="18" spans="1:22">
      <c r="A11" s="9"/>
      <c r="B11" s="9"/>
      <c r="C11" s="51"/>
      <c r="D11" s="9"/>
      <c r="E11" s="9"/>
      <c r="F11" s="9"/>
      <c r="G11" s="9"/>
      <c r="H11" s="9"/>
      <c r="I11" s="9"/>
      <c r="J11" s="9"/>
      <c r="K11" s="9"/>
      <c r="L11" s="9"/>
      <c r="M11" s="63"/>
      <c r="N11" s="9"/>
      <c r="O11" s="9"/>
      <c r="P11" s="9"/>
      <c r="Q11" s="9"/>
    </row>
    <row r="12" ht="17.25" spans="1:22">
      <c r="A12" s="52"/>
      <c r="B12" s="18"/>
      <c r="C12" s="19" t="s">
        <v>60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ht="18" spans="1:22">
      <c r="A13" s="9"/>
      <c r="B13" s="9"/>
      <c r="C13" s="51"/>
      <c r="D13" s="9"/>
      <c r="E13" s="9"/>
      <c r="F13" s="9"/>
      <c r="G13" s="9"/>
      <c r="H13" s="9"/>
      <c r="M13" s="9"/>
    </row>
    <row r="14" ht="18" spans="1:22">
      <c r="A14" s="9"/>
      <c r="B14" s="9"/>
      <c r="C14" s="51"/>
      <c r="D14" s="53" t="s">
        <v>61</v>
      </c>
      <c r="E14" s="53" t="s">
        <v>62</v>
      </c>
      <c r="F14" s="64"/>
      <c r="G14" s="9"/>
      <c r="I14" s="53" t="s">
        <v>61</v>
      </c>
      <c r="J14" s="65" t="s">
        <v>63</v>
      </c>
      <c r="K14" s="66"/>
      <c r="L14" s="53" t="s">
        <v>64</v>
      </c>
      <c r="M14" s="53" t="s">
        <v>65</v>
      </c>
      <c r="P14" s="2"/>
      <c r="V14" s="15"/>
    </row>
    <row r="15" ht="18" spans="1:22">
      <c r="A15" s="9"/>
      <c r="B15" s="9"/>
      <c r="C15" s="51"/>
      <c r="D15" s="67">
        <v>1</v>
      </c>
      <c r="E15" s="68" t="s">
        <v>66</v>
      </c>
      <c r="F15" s="69"/>
      <c r="G15"/>
      <c r="I15" s="70">
        <v>1</v>
      </c>
      <c r="J15" s="71" t="s">
        <v>66</v>
      </c>
      <c r="K15" s="72"/>
      <c r="L15" s="70"/>
      <c r="M15" s="73" t="s">
        <v>67</v>
      </c>
      <c r="P15" s="2"/>
      <c r="V15" s="15"/>
    </row>
    <row r="16" ht="18" spans="1:22">
      <c r="A16" s="9"/>
      <c r="B16" s="9"/>
      <c r="C16" s="51"/>
      <c r="D16" s="67">
        <v>4</v>
      </c>
      <c r="E16" s="74" t="s">
        <v>68</v>
      </c>
      <c r="F16" s="75"/>
      <c r="G16"/>
      <c r="H16" s="9"/>
      <c r="I16" s="76">
        <v>4</v>
      </c>
      <c r="J16" s="77" t="s">
        <v>68</v>
      </c>
      <c r="K16" s="78"/>
      <c r="L16" s="76"/>
      <c r="M16" s="79" t="s">
        <v>69</v>
      </c>
      <c r="P16" s="2"/>
      <c r="V16" s="15"/>
    </row>
    <row r="17" ht="18" spans="1:22">
      <c r="A17" s="9"/>
      <c r="B17" s="9"/>
      <c r="C17" s="51"/>
      <c r="D17" s="67">
        <v>8</v>
      </c>
      <c r="E17" s="74" t="s">
        <v>70</v>
      </c>
      <c r="F17" s="75"/>
      <c r="G17"/>
      <c r="H17" s="9"/>
      <c r="I17" s="76">
        <v>8</v>
      </c>
      <c r="J17" s="80" t="s">
        <v>71</v>
      </c>
      <c r="K17" s="81"/>
      <c r="L17" s="76"/>
      <c r="M17" s="82" t="s">
        <v>72</v>
      </c>
      <c r="P17" s="2"/>
      <c r="V17" s="15"/>
    </row>
    <row r="18" ht="18" spans="1:22">
      <c r="A18" s="9"/>
      <c r="B18" s="9"/>
      <c r="C18" s="51"/>
      <c r="D18" s="67">
        <v>12</v>
      </c>
      <c r="E18" s="74" t="s">
        <v>73</v>
      </c>
      <c r="F18" s="75"/>
      <c r="G18"/>
      <c r="H18" s="9"/>
      <c r="I18" s="76">
        <v>12</v>
      </c>
      <c r="J18" s="77" t="s">
        <v>70</v>
      </c>
      <c r="K18" s="78"/>
      <c r="L18" s="76"/>
      <c r="P18" s="2"/>
      <c r="V18" s="15"/>
    </row>
    <row r="19" ht="18" spans="1:22">
      <c r="A19" s="9"/>
      <c r="B19" s="9"/>
      <c r="C19" s="51"/>
      <c r="D19" s="67">
        <v>16</v>
      </c>
      <c r="E19" s="68" t="s">
        <v>74</v>
      </c>
      <c r="F19" s="69"/>
      <c r="G19"/>
      <c r="H19" s="9"/>
      <c r="I19" s="76">
        <v>16</v>
      </c>
      <c r="J19" s="80" t="s">
        <v>71</v>
      </c>
      <c r="K19" s="81"/>
      <c r="L19" s="76"/>
      <c r="V19" s="15"/>
    </row>
    <row r="20" ht="18" spans="1:22">
      <c r="A20" s="9"/>
      <c r="B20" s="9"/>
      <c r="C20" s="51"/>
      <c r="D20" s="67">
        <v>20</v>
      </c>
      <c r="E20" s="74" t="s">
        <v>75</v>
      </c>
      <c r="F20" s="75"/>
      <c r="G20"/>
      <c r="H20" s="9"/>
      <c r="I20" s="76">
        <v>20</v>
      </c>
      <c r="J20" s="83" t="s">
        <v>76</v>
      </c>
      <c r="K20" s="84"/>
      <c r="L20" s="76"/>
      <c r="N20" s="15" t="s">
        <v>73</v>
      </c>
      <c r="V20" s="15"/>
    </row>
    <row r="21" ht="18" spans="1:22">
      <c r="A21" s="9"/>
      <c r="B21" s="9"/>
      <c r="C21" s="51"/>
      <c r="D21" s="67">
        <v>24</v>
      </c>
      <c r="E21" s="74" t="s">
        <v>68</v>
      </c>
      <c r="F21" s="75"/>
      <c r="G21"/>
      <c r="H21" s="9"/>
      <c r="I21" s="76">
        <v>24</v>
      </c>
      <c r="J21" s="77" t="s">
        <v>68</v>
      </c>
      <c r="K21" s="78"/>
      <c r="L21" s="76"/>
      <c r="N21" s="15" t="s">
        <v>75</v>
      </c>
      <c r="V21" s="15"/>
    </row>
    <row r="22" ht="18" spans="1:22">
      <c r="A22" s="9"/>
      <c r="B22" s="9"/>
      <c r="C22" s="51"/>
      <c r="D22" s="67">
        <v>28</v>
      </c>
      <c r="E22" s="68" t="s">
        <v>76</v>
      </c>
      <c r="F22" s="69"/>
      <c r="G22"/>
      <c r="H22" s="9"/>
      <c r="I22" s="76">
        <v>28</v>
      </c>
      <c r="J22" s="80" t="s">
        <v>77</v>
      </c>
      <c r="K22" s="81"/>
      <c r="L22" s="76"/>
      <c r="N22" s="15" t="s">
        <v>78</v>
      </c>
      <c r="V22" s="15"/>
    </row>
    <row r="23" ht="18" spans="1:22">
      <c r="A23" s="9"/>
      <c r="B23" s="9"/>
      <c r="C23" s="51"/>
      <c r="D23" s="67">
        <v>32</v>
      </c>
      <c r="E23" s="68" t="s">
        <v>79</v>
      </c>
      <c r="F23" s="69"/>
      <c r="G23"/>
      <c r="H23" s="9"/>
      <c r="I23" s="76">
        <v>32</v>
      </c>
      <c r="J23" s="83" t="s">
        <v>79</v>
      </c>
      <c r="K23" s="84"/>
      <c r="L23" s="76"/>
      <c r="N23" s="15" t="s">
        <v>80</v>
      </c>
      <c r="V23" s="15"/>
    </row>
    <row r="24" ht="18" spans="1:22">
      <c r="A24" s="9"/>
      <c r="B24" s="9"/>
      <c r="C24" s="51"/>
      <c r="D24" s="67">
        <v>36</v>
      </c>
      <c r="E24" s="74" t="s">
        <v>78</v>
      </c>
      <c r="F24" s="75"/>
      <c r="G24"/>
      <c r="H24" s="9"/>
      <c r="I24" s="76">
        <v>36</v>
      </c>
      <c r="J24" s="77"/>
      <c r="K24" s="78"/>
      <c r="L24" s="76"/>
      <c r="N24" s="15" t="s">
        <v>75</v>
      </c>
      <c r="V24" s="15"/>
    </row>
    <row r="25" ht="18" spans="1:22">
      <c r="A25" s="9"/>
      <c r="B25" s="9"/>
      <c r="C25" s="51"/>
      <c r="D25" s="67">
        <v>40</v>
      </c>
      <c r="E25" s="85" t="s">
        <v>81</v>
      </c>
      <c r="F25" s="86"/>
      <c r="G25"/>
      <c r="H25" s="9"/>
      <c r="I25" s="76">
        <v>40</v>
      </c>
      <c r="J25" s="80" t="s">
        <v>77</v>
      </c>
      <c r="K25" s="81"/>
      <c r="L25" s="76"/>
      <c r="N25" s="15" t="s">
        <v>78</v>
      </c>
      <c r="V25" s="15"/>
    </row>
    <row r="26" ht="18" spans="1:22">
      <c r="A26" s="9"/>
      <c r="B26" s="9"/>
      <c r="C26" s="51"/>
      <c r="D26" s="67">
        <v>44</v>
      </c>
      <c r="E26" s="68" t="s">
        <v>82</v>
      </c>
      <c r="F26" s="69"/>
      <c r="G26"/>
      <c r="H26" s="9"/>
      <c r="I26" s="76">
        <v>44</v>
      </c>
      <c r="J26" s="83" t="s">
        <v>74</v>
      </c>
      <c r="K26" s="84"/>
      <c r="L26" s="76"/>
      <c r="V26" s="15"/>
    </row>
    <row r="27" ht="18" spans="1:22">
      <c r="A27" s="9"/>
      <c r="B27" s="9"/>
      <c r="C27" s="51"/>
      <c r="D27" s="67">
        <v>48</v>
      </c>
      <c r="E27" s="74" t="s">
        <v>80</v>
      </c>
      <c r="F27" s="75"/>
      <c r="H27" s="9"/>
      <c r="I27" s="76">
        <v>48</v>
      </c>
      <c r="J27" s="77"/>
      <c r="K27" s="78"/>
      <c r="L27" s="76"/>
      <c r="V27" s="15"/>
    </row>
    <row r="28" ht="18" spans="1:22">
      <c r="A28" s="9"/>
      <c r="B28" s="9"/>
      <c r="C28" s="51"/>
      <c r="D28" s="67">
        <v>52</v>
      </c>
      <c r="E28" s="68" t="s">
        <v>83</v>
      </c>
      <c r="F28" s="69"/>
      <c r="G28" s="9"/>
      <c r="H28" s="9"/>
      <c r="I28" s="76">
        <v>52</v>
      </c>
      <c r="J28" s="80" t="s">
        <v>84</v>
      </c>
      <c r="K28" s="81"/>
      <c r="L28" s="76"/>
      <c r="V28" s="15"/>
    </row>
    <row r="29" ht="18" spans="1:22">
      <c r="A29" s="9"/>
      <c r="B29" s="9"/>
      <c r="C29" s="51"/>
      <c r="D29" s="67">
        <v>56</v>
      </c>
      <c r="E29" s="74" t="s">
        <v>75</v>
      </c>
      <c r="F29" s="75"/>
      <c r="G29" s="9"/>
      <c r="H29" s="9"/>
      <c r="I29" s="76">
        <v>56</v>
      </c>
      <c r="J29" s="83" t="s">
        <v>82</v>
      </c>
      <c r="K29" s="84"/>
      <c r="L29" s="76"/>
      <c r="V29" s="15"/>
    </row>
    <row r="30" ht="18" spans="1:22">
      <c r="A30" s="9"/>
      <c r="B30" s="9"/>
      <c r="C30" s="51"/>
      <c r="D30" s="67">
        <v>60</v>
      </c>
      <c r="E30" s="68" t="s">
        <v>85</v>
      </c>
      <c r="F30" s="69"/>
      <c r="G30" s="63"/>
      <c r="H30" s="9"/>
      <c r="I30" s="76">
        <v>60</v>
      </c>
      <c r="J30" s="77"/>
      <c r="K30" s="78"/>
      <c r="L30" s="76"/>
      <c r="V30" s="15"/>
    </row>
    <row r="31" ht="18" spans="1:22">
      <c r="A31" s="9"/>
      <c r="B31" s="9"/>
      <c r="C31" s="51"/>
      <c r="D31" s="67">
        <v>64</v>
      </c>
      <c r="E31" s="85" t="s">
        <v>86</v>
      </c>
      <c r="F31" s="86"/>
      <c r="G31" s="63"/>
      <c r="H31" s="9"/>
      <c r="I31" s="76">
        <v>64</v>
      </c>
      <c r="J31" s="80" t="s">
        <v>84</v>
      </c>
      <c r="K31" s="81"/>
      <c r="L31" s="76"/>
      <c r="V31" s="15"/>
    </row>
    <row r="32" ht="18" spans="1:22">
      <c r="A32" s="9"/>
      <c r="B32" s="9"/>
      <c r="C32" s="51"/>
      <c r="D32" s="67">
        <v>68</v>
      </c>
      <c r="E32" s="68" t="s">
        <v>87</v>
      </c>
      <c r="F32" s="69"/>
      <c r="G32" s="63"/>
      <c r="H32" s="9"/>
      <c r="I32" s="76">
        <v>68</v>
      </c>
      <c r="J32" s="83" t="s">
        <v>83</v>
      </c>
      <c r="K32" s="84"/>
      <c r="L32" s="76"/>
      <c r="V32" s="15"/>
    </row>
    <row r="33" ht="18" spans="1:22">
      <c r="A33" s="9"/>
      <c r="B33" s="9"/>
      <c r="C33" s="51"/>
      <c r="D33" s="67">
        <v>72</v>
      </c>
      <c r="E33" s="85" t="s">
        <v>86</v>
      </c>
      <c r="F33" s="86"/>
      <c r="G33" s="63"/>
      <c r="H33" s="9"/>
      <c r="I33" s="76">
        <v>72</v>
      </c>
      <c r="J33" s="77"/>
      <c r="K33" s="78"/>
      <c r="L33" s="76"/>
      <c r="V33" s="15"/>
    </row>
    <row r="34" ht="18" spans="1:22">
      <c r="A34" s="9"/>
      <c r="B34" s="9"/>
      <c r="C34" s="51"/>
      <c r="D34" s="67">
        <v>76</v>
      </c>
      <c r="E34" s="68" t="s">
        <v>88</v>
      </c>
      <c r="F34" s="69"/>
      <c r="G34" s="63"/>
      <c r="H34" s="9"/>
      <c r="I34" s="76">
        <v>76</v>
      </c>
      <c r="J34" s="80" t="s">
        <v>89</v>
      </c>
      <c r="K34" s="81"/>
      <c r="L34" s="76"/>
      <c r="V34" s="15"/>
    </row>
    <row r="35" ht="18" spans="1:22">
      <c r="A35" s="9"/>
      <c r="B35" s="9"/>
      <c r="C35" s="51"/>
      <c r="D35" s="67">
        <v>80</v>
      </c>
      <c r="E35" s="74" t="s">
        <v>78</v>
      </c>
      <c r="F35" s="75"/>
      <c r="G35" s="63"/>
      <c r="H35" s="9"/>
      <c r="I35" s="76">
        <v>80</v>
      </c>
      <c r="J35" s="83" t="s">
        <v>85</v>
      </c>
      <c r="K35" s="84"/>
      <c r="L35" s="76"/>
      <c r="P35" s="2"/>
      <c r="V35" s="15"/>
    </row>
    <row r="36" ht="18" spans="1:22">
      <c r="A36" s="9"/>
      <c r="B36" s="9"/>
      <c r="C36" s="51"/>
      <c r="D36" s="67">
        <v>84</v>
      </c>
      <c r="E36" s="68" t="s">
        <v>90</v>
      </c>
      <c r="F36" s="69"/>
      <c r="G36" s="63"/>
      <c r="H36" s="9"/>
      <c r="I36" s="76">
        <v>84</v>
      </c>
      <c r="J36" s="77"/>
      <c r="K36" s="78"/>
      <c r="L36" s="76"/>
      <c r="P36" s="2"/>
      <c r="V36" s="15"/>
    </row>
    <row r="37" ht="18" spans="1:22">
      <c r="A37" s="9"/>
      <c r="B37" s="9"/>
      <c r="C37" s="51"/>
      <c r="D37" s="67">
        <v>88</v>
      </c>
      <c r="E37" s="85" t="s">
        <v>86</v>
      </c>
      <c r="F37" s="86"/>
      <c r="G37" s="9"/>
      <c r="H37" s="9"/>
      <c r="I37" s="76">
        <v>88</v>
      </c>
      <c r="J37" s="80" t="s">
        <v>89</v>
      </c>
      <c r="K37" s="81"/>
      <c r="L37" s="76"/>
      <c r="M37" s="63"/>
      <c r="N37" s="9"/>
      <c r="O37" s="9"/>
      <c r="P37" s="9"/>
    </row>
    <row r="38" ht="18" spans="1:22">
      <c r="A38" s="9"/>
      <c r="B38" s="9"/>
      <c r="C38" s="51"/>
      <c r="D38" s="67">
        <v>92</v>
      </c>
      <c r="E38" s="68" t="s">
        <v>79</v>
      </c>
      <c r="F38" s="69"/>
      <c r="G38" s="9"/>
      <c r="H38" s="9"/>
      <c r="I38" s="76">
        <v>92</v>
      </c>
      <c r="J38" s="83" t="s">
        <v>87</v>
      </c>
      <c r="K38" s="84"/>
      <c r="L38" s="76"/>
      <c r="M38" s="63"/>
      <c r="N38" s="9"/>
      <c r="O38" s="9"/>
      <c r="P38" s="9"/>
    </row>
    <row r="39" ht="18" spans="1:22">
      <c r="A39" s="9"/>
      <c r="B39" s="9"/>
      <c r="C39" s="51"/>
      <c r="D39" s="67">
        <v>96</v>
      </c>
      <c r="E39" s="85" t="s">
        <v>71</v>
      </c>
      <c r="F39" s="86"/>
      <c r="G39" s="9"/>
      <c r="H39" s="9"/>
      <c r="I39" s="76">
        <v>96</v>
      </c>
      <c r="J39" s="77"/>
      <c r="K39" s="78"/>
      <c r="L39" s="76"/>
      <c r="M39" s="63"/>
      <c r="N39" s="9"/>
      <c r="O39" s="9"/>
      <c r="P39" s="9"/>
    </row>
    <row r="40" ht="18" spans="1:22">
      <c r="A40" s="9"/>
      <c r="B40" s="9"/>
      <c r="C40" s="51"/>
      <c r="D40" s="67">
        <v>100</v>
      </c>
      <c r="E40" s="68" t="s">
        <v>91</v>
      </c>
      <c r="F40" s="69"/>
      <c r="G40" s="9"/>
      <c r="H40" s="9"/>
      <c r="I40" s="76">
        <v>100</v>
      </c>
      <c r="J40" s="80" t="s">
        <v>92</v>
      </c>
      <c r="K40" s="81"/>
      <c r="L40" s="76"/>
      <c r="M40" s="63"/>
      <c r="N40" s="9"/>
      <c r="O40" s="9"/>
      <c r="P40" s="9"/>
    </row>
    <row r="41" ht="18" spans="1:22">
      <c r="A41" s="9"/>
      <c r="B41" s="9"/>
      <c r="C41" s="51"/>
      <c r="D41" s="67">
        <v>104</v>
      </c>
      <c r="E41" s="85" t="s">
        <v>71</v>
      </c>
      <c r="F41" s="86"/>
      <c r="G41" s="9"/>
      <c r="H41" s="9"/>
      <c r="I41" s="76">
        <v>104</v>
      </c>
      <c r="J41" s="83" t="s">
        <v>88</v>
      </c>
      <c r="K41" s="84"/>
      <c r="L41" s="76"/>
      <c r="M41" s="63"/>
      <c r="N41" s="9"/>
      <c r="O41" s="9"/>
      <c r="P41" s="9"/>
    </row>
    <row r="42" ht="18" spans="1:22">
      <c r="A42" s="9"/>
      <c r="B42" s="9"/>
      <c r="C42" s="51"/>
      <c r="D42" s="67">
        <v>108</v>
      </c>
      <c r="E42" s="68" t="s">
        <v>93</v>
      </c>
      <c r="F42" s="69"/>
      <c r="G42" s="9"/>
      <c r="H42" s="9"/>
      <c r="I42" s="76">
        <v>108</v>
      </c>
      <c r="J42" s="77"/>
      <c r="K42" s="78"/>
      <c r="L42" s="76"/>
      <c r="M42" s="63"/>
      <c r="N42" s="9"/>
      <c r="O42" s="9"/>
      <c r="P42" s="9"/>
    </row>
    <row r="43" ht="18" spans="1:22">
      <c r="A43" s="9"/>
      <c r="B43" s="9"/>
      <c r="C43" s="51"/>
      <c r="D43" s="67">
        <v>112</v>
      </c>
      <c r="E43" s="85" t="s">
        <v>94</v>
      </c>
      <c r="F43" s="86"/>
      <c r="G43" s="9"/>
      <c r="H43" s="9"/>
      <c r="I43" s="76">
        <v>112</v>
      </c>
      <c r="J43" s="80" t="s">
        <v>92</v>
      </c>
      <c r="K43" s="81"/>
      <c r="L43" s="76"/>
      <c r="M43" s="63"/>
      <c r="N43" s="9"/>
      <c r="O43" s="9"/>
      <c r="P43" s="9"/>
    </row>
    <row r="44" ht="18" spans="1:22">
      <c r="A44" s="9"/>
      <c r="B44" s="9"/>
      <c r="C44" s="51"/>
      <c r="D44" s="67">
        <v>116</v>
      </c>
      <c r="E44" s="68" t="s">
        <v>91</v>
      </c>
      <c r="F44" s="69"/>
      <c r="G44" s="9"/>
      <c r="H44" s="9"/>
      <c r="I44" s="76">
        <v>116</v>
      </c>
      <c r="J44" s="83" t="s">
        <v>90</v>
      </c>
      <c r="K44" s="84"/>
      <c r="L44" s="76"/>
      <c r="M44" s="63"/>
      <c r="N44" s="9"/>
      <c r="O44" s="9"/>
      <c r="P44" s="9"/>
    </row>
    <row r="45" ht="18" spans="1:22">
      <c r="A45" s="9"/>
      <c r="B45" s="9"/>
      <c r="C45" s="51"/>
      <c r="D45" s="67">
        <v>120</v>
      </c>
      <c r="E45" s="85" t="s">
        <v>94</v>
      </c>
      <c r="F45" s="86"/>
      <c r="G45" s="9"/>
      <c r="H45" s="9"/>
      <c r="I45" s="76">
        <v>120</v>
      </c>
      <c r="J45" s="77"/>
      <c r="K45" s="78"/>
      <c r="L45" s="76"/>
      <c r="M45" s="63"/>
      <c r="N45" s="9"/>
      <c r="O45" s="9"/>
      <c r="P45" s="9"/>
    </row>
    <row r="46" ht="18" spans="1:22">
      <c r="A46" s="9"/>
      <c r="B46" s="9"/>
      <c r="C46" s="51"/>
      <c r="D46" s="67">
        <f>D45+8</f>
        <v>128</v>
      </c>
      <c r="E46" s="68" t="s">
        <v>91</v>
      </c>
      <c r="F46" s="69"/>
      <c r="G46" s="9"/>
      <c r="H46" s="9"/>
      <c r="I46" s="76">
        <f>I45+8</f>
        <v>128</v>
      </c>
      <c r="J46" s="80" t="s">
        <v>95</v>
      </c>
      <c r="K46" s="81"/>
      <c r="L46" s="76"/>
      <c r="M46" s="63"/>
      <c r="N46" s="9"/>
      <c r="O46" s="9"/>
      <c r="P46" s="9"/>
    </row>
    <row r="47" ht="18" spans="1:22">
      <c r="A47" s="9"/>
      <c r="B47" s="9"/>
      <c r="C47" s="51"/>
      <c r="D47" s="67">
        <f t="shared" ref="D47:D75" si="0">D46+8</f>
        <v>136</v>
      </c>
      <c r="E47" s="85" t="s">
        <v>94</v>
      </c>
      <c r="F47" s="86"/>
      <c r="G47" s="9"/>
      <c r="H47" s="9"/>
      <c r="I47" s="76">
        <f t="shared" ref="I47:I55" si="1">I46+8</f>
        <v>136</v>
      </c>
      <c r="J47" s="87" t="s">
        <v>79</v>
      </c>
      <c r="K47" s="88"/>
      <c r="L47" s="76"/>
      <c r="M47" s="63"/>
      <c r="N47" s="9"/>
      <c r="O47" s="9"/>
      <c r="P47" s="9"/>
    </row>
    <row r="48" ht="18" spans="1:22">
      <c r="A48" s="9"/>
      <c r="B48" s="9"/>
      <c r="C48" s="51"/>
      <c r="D48" s="67">
        <f t="shared" si="0"/>
        <v>144</v>
      </c>
      <c r="E48" s="68" t="s">
        <v>91</v>
      </c>
      <c r="F48" s="69"/>
      <c r="G48" s="9"/>
      <c r="H48" s="9"/>
      <c r="I48" s="76">
        <f t="shared" si="1"/>
        <v>144</v>
      </c>
      <c r="J48" s="77"/>
      <c r="K48" s="78"/>
      <c r="L48" s="76"/>
      <c r="M48" s="63"/>
      <c r="N48" s="9"/>
      <c r="O48" s="9"/>
      <c r="P48" s="9"/>
    </row>
    <row r="49" ht="18" spans="1:16">
      <c r="A49" s="9"/>
      <c r="B49" s="9"/>
      <c r="C49" s="51"/>
      <c r="D49" s="67">
        <f t="shared" si="0"/>
        <v>152</v>
      </c>
      <c r="E49" s="85" t="s">
        <v>94</v>
      </c>
      <c r="F49" s="86"/>
      <c r="G49" s="9"/>
      <c r="H49" s="9"/>
      <c r="I49" s="76">
        <f t="shared" si="1"/>
        <v>152</v>
      </c>
      <c r="J49" s="80" t="s">
        <v>95</v>
      </c>
      <c r="K49" s="81"/>
      <c r="L49" s="76"/>
      <c r="M49" s="63"/>
      <c r="N49" s="9"/>
      <c r="O49" s="9"/>
      <c r="P49" s="9"/>
    </row>
    <row r="50" ht="18" spans="1:16">
      <c r="A50" s="9"/>
      <c r="B50" s="9"/>
      <c r="C50" s="51"/>
      <c r="D50" s="67">
        <f t="shared" si="0"/>
        <v>160</v>
      </c>
      <c r="E50" s="68" t="s">
        <v>91</v>
      </c>
      <c r="F50" s="69"/>
      <c r="G50" s="9"/>
      <c r="H50" s="9"/>
      <c r="I50" s="76">
        <f t="shared" si="1"/>
        <v>160</v>
      </c>
      <c r="J50" s="89" t="s">
        <v>91</v>
      </c>
      <c r="K50" s="90"/>
      <c r="L50" s="76"/>
      <c r="M50" s="63"/>
      <c r="N50" s="9"/>
      <c r="O50" s="9"/>
      <c r="P50" s="9"/>
    </row>
    <row r="51" ht="18" spans="1:16">
      <c r="A51" s="9"/>
      <c r="B51" s="9"/>
      <c r="C51" s="51"/>
      <c r="D51" s="67">
        <f t="shared" si="0"/>
        <v>168</v>
      </c>
      <c r="E51" s="85" t="s">
        <v>77</v>
      </c>
      <c r="F51" s="86"/>
      <c r="G51" s="9"/>
      <c r="H51" s="9"/>
      <c r="I51" s="76">
        <f t="shared" si="1"/>
        <v>168</v>
      </c>
      <c r="J51" s="77"/>
      <c r="K51" s="78"/>
      <c r="L51" s="76"/>
      <c r="M51" s="63"/>
      <c r="N51" s="9"/>
      <c r="O51" s="9"/>
      <c r="P51" s="9"/>
    </row>
    <row r="52" ht="18" spans="1:16">
      <c r="A52" s="9"/>
      <c r="B52" s="9"/>
      <c r="C52" s="51"/>
      <c r="D52" s="67">
        <f t="shared" si="0"/>
        <v>176</v>
      </c>
      <c r="E52" s="68" t="s">
        <v>91</v>
      </c>
      <c r="F52" s="69"/>
      <c r="G52" s="9"/>
      <c r="H52" s="9"/>
      <c r="I52" s="76">
        <f t="shared" si="1"/>
        <v>176</v>
      </c>
      <c r="J52" s="80" t="s">
        <v>96</v>
      </c>
      <c r="K52" s="81"/>
      <c r="L52" s="76"/>
      <c r="M52" s="63"/>
      <c r="N52" s="9"/>
      <c r="O52" s="9"/>
      <c r="P52" s="9"/>
    </row>
    <row r="53" ht="18" spans="1:16">
      <c r="A53" s="9"/>
      <c r="B53" s="9"/>
      <c r="C53" s="51"/>
      <c r="D53" s="67">
        <f t="shared" si="0"/>
        <v>184</v>
      </c>
      <c r="E53" s="85" t="s">
        <v>77</v>
      </c>
      <c r="F53" s="86"/>
      <c r="G53" s="9"/>
      <c r="H53" s="9"/>
      <c r="I53" s="76">
        <f t="shared" si="1"/>
        <v>184</v>
      </c>
      <c r="J53" s="87" t="s">
        <v>97</v>
      </c>
      <c r="K53" s="88"/>
      <c r="L53" s="76"/>
      <c r="M53" s="63"/>
      <c r="N53" s="9"/>
      <c r="O53" s="9"/>
      <c r="P53" s="9"/>
    </row>
    <row r="54" ht="18" spans="1:16">
      <c r="A54" s="9"/>
      <c r="B54" s="9"/>
      <c r="C54" s="51"/>
      <c r="D54" s="67">
        <f t="shared" si="0"/>
        <v>192</v>
      </c>
      <c r="E54" s="68" t="s">
        <v>91</v>
      </c>
      <c r="F54" s="69"/>
      <c r="G54" s="9"/>
      <c r="H54" s="9"/>
      <c r="I54" s="76">
        <f t="shared" si="1"/>
        <v>192</v>
      </c>
      <c r="J54" s="77"/>
      <c r="K54" s="78"/>
      <c r="L54" s="76"/>
      <c r="M54" s="63"/>
      <c r="N54" s="9"/>
      <c r="O54" s="9"/>
      <c r="P54" s="9"/>
    </row>
    <row r="55" ht="18" spans="1:16">
      <c r="A55" s="9"/>
      <c r="B55" s="9"/>
      <c r="C55" s="51"/>
      <c r="D55" s="67">
        <f t="shared" si="0"/>
        <v>200</v>
      </c>
      <c r="E55" s="85" t="s">
        <v>77</v>
      </c>
      <c r="F55" s="86"/>
      <c r="G55" s="9"/>
      <c r="H55" s="9"/>
      <c r="I55" s="76">
        <f t="shared" si="1"/>
        <v>200</v>
      </c>
      <c r="J55" s="80" t="s">
        <v>96</v>
      </c>
      <c r="K55" s="81"/>
      <c r="L55" s="76"/>
      <c r="M55" s="63"/>
      <c r="N55" s="9"/>
      <c r="O55" s="9"/>
      <c r="P55" s="9"/>
    </row>
    <row r="56" ht="18" spans="1:16">
      <c r="A56" s="9"/>
      <c r="B56" s="9"/>
      <c r="C56" s="51"/>
      <c r="D56" s="67">
        <f t="shared" si="0"/>
        <v>208</v>
      </c>
      <c r="E56" s="68" t="s">
        <v>91</v>
      </c>
      <c r="F56" s="69"/>
      <c r="G56" s="9"/>
      <c r="H56" s="9"/>
      <c r="I56" s="76">
        <f t="shared" ref="I56:I65" si="2">I55+8</f>
        <v>208</v>
      </c>
      <c r="J56" s="89" t="s">
        <v>91</v>
      </c>
      <c r="K56" s="90"/>
      <c r="L56" s="76"/>
      <c r="M56" s="63"/>
      <c r="N56" s="9"/>
      <c r="O56" s="9"/>
      <c r="P56" s="9"/>
    </row>
    <row r="57" ht="18" spans="1:16">
      <c r="A57" s="9"/>
      <c r="B57" s="9"/>
      <c r="C57" s="51"/>
      <c r="D57" s="67">
        <f t="shared" si="0"/>
        <v>216</v>
      </c>
      <c r="E57" s="85" t="s">
        <v>77</v>
      </c>
      <c r="F57" s="86"/>
      <c r="G57" s="9"/>
      <c r="H57" s="9"/>
      <c r="I57" s="76">
        <f t="shared" si="2"/>
        <v>216</v>
      </c>
      <c r="J57" s="77"/>
      <c r="K57" s="78"/>
      <c r="L57" s="76"/>
      <c r="M57" s="63"/>
      <c r="N57" s="9"/>
      <c r="O57" s="9"/>
      <c r="P57" s="9"/>
    </row>
    <row r="58" ht="18" spans="1:16">
      <c r="A58" s="9"/>
      <c r="B58" s="9"/>
      <c r="C58" s="51"/>
      <c r="D58" s="67">
        <f t="shared" si="0"/>
        <v>224</v>
      </c>
      <c r="E58" s="68" t="s">
        <v>91</v>
      </c>
      <c r="F58" s="69"/>
      <c r="G58" s="9"/>
      <c r="H58" s="9"/>
      <c r="I58" s="76">
        <f t="shared" si="2"/>
        <v>224</v>
      </c>
      <c r="J58" s="80" t="s">
        <v>98</v>
      </c>
      <c r="K58" s="81"/>
      <c r="L58" s="76"/>
      <c r="M58" s="63"/>
      <c r="N58" s="9"/>
      <c r="O58" s="9"/>
      <c r="P58" s="9"/>
    </row>
    <row r="59" ht="18" spans="1:16">
      <c r="A59" s="9"/>
      <c r="B59" s="9"/>
      <c r="C59" s="51"/>
      <c r="D59" s="67">
        <f t="shared" si="0"/>
        <v>232</v>
      </c>
      <c r="E59" s="85" t="s">
        <v>99</v>
      </c>
      <c r="F59" s="86"/>
      <c r="G59" s="9"/>
      <c r="H59" s="9"/>
      <c r="I59" s="76">
        <f t="shared" si="2"/>
        <v>232</v>
      </c>
      <c r="J59" s="87" t="s">
        <v>93</v>
      </c>
      <c r="K59" s="88"/>
      <c r="L59" s="76"/>
      <c r="M59" s="63"/>
      <c r="N59" s="9"/>
      <c r="O59" s="9"/>
      <c r="P59" s="9"/>
    </row>
    <row r="60" ht="18" spans="1:16">
      <c r="A60" s="9"/>
      <c r="B60" s="9"/>
      <c r="C60" s="51"/>
      <c r="D60" s="67">
        <f t="shared" si="0"/>
        <v>240</v>
      </c>
      <c r="E60" s="68" t="s">
        <v>91</v>
      </c>
      <c r="F60" s="69"/>
      <c r="G60" s="9"/>
      <c r="H60" s="9"/>
      <c r="I60" s="76">
        <f t="shared" si="2"/>
        <v>240</v>
      </c>
      <c r="J60" s="77"/>
      <c r="K60" s="78"/>
      <c r="L60" s="76"/>
      <c r="M60" s="63"/>
      <c r="N60" s="9"/>
      <c r="O60" s="9"/>
      <c r="P60" s="9"/>
    </row>
    <row r="61" ht="18" spans="1:16">
      <c r="A61" s="9"/>
      <c r="B61" s="9"/>
      <c r="C61" s="51"/>
      <c r="D61" s="67">
        <f t="shared" si="0"/>
        <v>248</v>
      </c>
      <c r="E61" s="85" t="s">
        <v>99</v>
      </c>
      <c r="F61" s="86"/>
      <c r="G61" s="9"/>
      <c r="H61" s="9"/>
      <c r="I61" s="76">
        <f t="shared" si="2"/>
        <v>248</v>
      </c>
      <c r="J61" s="80" t="s">
        <v>98</v>
      </c>
      <c r="K61" s="81"/>
      <c r="L61" s="76"/>
      <c r="M61" s="63"/>
      <c r="N61" s="9"/>
      <c r="O61" s="9"/>
      <c r="P61" s="9"/>
    </row>
    <row r="62" ht="18" spans="1:16">
      <c r="A62" s="9"/>
      <c r="B62" s="9"/>
      <c r="C62" s="51"/>
      <c r="D62" s="67">
        <f t="shared" si="0"/>
        <v>256</v>
      </c>
      <c r="E62" s="68" t="s">
        <v>91</v>
      </c>
      <c r="F62" s="69"/>
      <c r="G62" s="9"/>
      <c r="H62" s="9"/>
      <c r="I62" s="76">
        <f t="shared" si="2"/>
        <v>256</v>
      </c>
      <c r="J62" s="89" t="s">
        <v>91</v>
      </c>
      <c r="K62" s="90"/>
      <c r="L62" s="76"/>
      <c r="M62" s="63"/>
      <c r="N62" s="9"/>
      <c r="O62" s="9"/>
      <c r="P62" s="9"/>
    </row>
    <row r="63" ht="18" spans="1:16">
      <c r="A63" s="9"/>
      <c r="B63" s="9"/>
      <c r="C63" s="51"/>
      <c r="D63" s="67">
        <f t="shared" si="0"/>
        <v>264</v>
      </c>
      <c r="E63" s="85" t="s">
        <v>99</v>
      </c>
      <c r="F63" s="86"/>
      <c r="G63" s="9"/>
      <c r="H63" s="9"/>
      <c r="I63" s="76">
        <f t="shared" si="2"/>
        <v>264</v>
      </c>
      <c r="J63" s="77"/>
      <c r="K63" s="78"/>
      <c r="L63" s="76"/>
      <c r="M63" s="63"/>
      <c r="N63" s="9"/>
      <c r="O63" s="9"/>
      <c r="P63" s="9"/>
    </row>
    <row r="64" ht="18" spans="1:16">
      <c r="A64" s="9"/>
      <c r="B64" s="9"/>
      <c r="C64" s="51"/>
      <c r="D64" s="67">
        <f t="shared" si="0"/>
        <v>272</v>
      </c>
      <c r="E64" s="68" t="s">
        <v>91</v>
      </c>
      <c r="F64" s="69"/>
      <c r="G64" s="9"/>
      <c r="H64" s="9"/>
      <c r="I64" s="76">
        <f t="shared" si="2"/>
        <v>272</v>
      </c>
      <c r="J64" s="80" t="s">
        <v>98</v>
      </c>
      <c r="K64" s="81"/>
      <c r="L64" s="76"/>
      <c r="M64" s="63"/>
      <c r="N64" s="9"/>
      <c r="O64" s="9"/>
      <c r="P64" s="9"/>
    </row>
    <row r="65" ht="18" spans="1:16">
      <c r="A65" s="9"/>
      <c r="B65" s="9"/>
      <c r="C65" s="51"/>
      <c r="D65" s="67">
        <f t="shared" si="0"/>
        <v>280</v>
      </c>
      <c r="E65" s="85" t="s">
        <v>99</v>
      </c>
      <c r="F65" s="86"/>
      <c r="G65" s="9"/>
      <c r="H65" s="9"/>
      <c r="I65" s="76">
        <f t="shared" si="2"/>
        <v>280</v>
      </c>
      <c r="J65" s="87" t="s">
        <v>100</v>
      </c>
      <c r="K65" s="88"/>
      <c r="L65" s="76"/>
      <c r="M65" s="63"/>
      <c r="N65" s="9"/>
      <c r="O65" s="9"/>
      <c r="P65" s="9"/>
    </row>
    <row r="66" ht="18" spans="1:16">
      <c r="A66" s="9"/>
      <c r="B66" s="9"/>
      <c r="C66" s="51"/>
      <c r="D66" s="67">
        <f t="shared" si="0"/>
        <v>288</v>
      </c>
      <c r="E66" s="68" t="s">
        <v>91</v>
      </c>
      <c r="F66" s="69"/>
      <c r="G66" s="9"/>
      <c r="H66" s="9"/>
      <c r="I66" s="76">
        <f t="shared" ref="I66:I75" si="3">I65+8</f>
        <v>288</v>
      </c>
      <c r="J66" s="77"/>
      <c r="K66" s="78"/>
      <c r="L66" s="76"/>
      <c r="M66" s="63"/>
      <c r="N66" s="9"/>
      <c r="O66" s="9"/>
      <c r="P66" s="9"/>
    </row>
    <row r="67" ht="18" spans="1:16">
      <c r="A67" s="9"/>
      <c r="B67" s="9"/>
      <c r="C67" s="51"/>
      <c r="D67" s="67">
        <f t="shared" si="0"/>
        <v>296</v>
      </c>
      <c r="E67" s="85" t="s">
        <v>84</v>
      </c>
      <c r="F67" s="86"/>
      <c r="G67" s="9"/>
      <c r="H67" s="9"/>
      <c r="I67" s="76">
        <f t="shared" si="3"/>
        <v>296</v>
      </c>
      <c r="J67" s="80" t="s">
        <v>98</v>
      </c>
      <c r="K67" s="81"/>
      <c r="L67" s="76"/>
      <c r="M67" s="63"/>
      <c r="N67" s="9"/>
      <c r="O67" s="9"/>
      <c r="P67" s="9"/>
    </row>
    <row r="68" ht="18" spans="1:16">
      <c r="A68" s="9"/>
      <c r="B68" s="9"/>
      <c r="C68" s="51"/>
      <c r="D68" s="67">
        <f t="shared" si="0"/>
        <v>304</v>
      </c>
      <c r="E68" s="68" t="s">
        <v>91</v>
      </c>
      <c r="F68" s="69"/>
      <c r="G68" s="9"/>
      <c r="H68" s="9"/>
      <c r="I68" s="76">
        <f t="shared" si="3"/>
        <v>304</v>
      </c>
      <c r="J68" s="89" t="s">
        <v>91</v>
      </c>
      <c r="K68" s="90"/>
      <c r="L68" s="76"/>
      <c r="M68" s="63"/>
      <c r="N68" s="9"/>
      <c r="O68" s="9"/>
      <c r="P68" s="9"/>
    </row>
    <row r="69" ht="18" spans="1:16">
      <c r="A69" s="9"/>
      <c r="B69" s="9"/>
      <c r="C69" s="51"/>
      <c r="D69" s="67">
        <f t="shared" si="0"/>
        <v>312</v>
      </c>
      <c r="E69" s="85" t="s">
        <v>84</v>
      </c>
      <c r="F69" s="86"/>
      <c r="G69" s="9"/>
      <c r="H69" s="9"/>
      <c r="I69" s="76">
        <f t="shared" si="3"/>
        <v>312</v>
      </c>
      <c r="J69" s="77"/>
      <c r="K69" s="78"/>
      <c r="L69" s="76"/>
      <c r="M69" s="63"/>
      <c r="N69" s="9"/>
      <c r="O69" s="9"/>
      <c r="P69" s="9"/>
    </row>
    <row r="70" ht="18" spans="1:16">
      <c r="A70" s="9"/>
      <c r="B70" s="9"/>
      <c r="C70" s="51"/>
      <c r="D70" s="67">
        <f t="shared" si="0"/>
        <v>320</v>
      </c>
      <c r="E70" s="68" t="s">
        <v>91</v>
      </c>
      <c r="F70" s="69"/>
      <c r="G70" s="9"/>
      <c r="H70" s="9"/>
      <c r="I70" s="76">
        <f t="shared" si="3"/>
        <v>320</v>
      </c>
      <c r="J70" s="80" t="s">
        <v>98</v>
      </c>
      <c r="K70" s="81"/>
      <c r="L70" s="76"/>
      <c r="M70" s="63"/>
      <c r="N70" s="9"/>
      <c r="O70" s="9"/>
      <c r="P70" s="9"/>
    </row>
    <row r="71" ht="18" spans="1:16">
      <c r="A71" s="9"/>
      <c r="B71" s="9"/>
      <c r="C71" s="51"/>
      <c r="D71" s="67">
        <f t="shared" si="0"/>
        <v>328</v>
      </c>
      <c r="E71" s="85" t="s">
        <v>84</v>
      </c>
      <c r="F71" s="86"/>
      <c r="G71" s="9"/>
      <c r="H71" s="9"/>
      <c r="I71" s="76">
        <f t="shared" si="3"/>
        <v>328</v>
      </c>
      <c r="J71" s="89" t="s">
        <v>91</v>
      </c>
      <c r="K71" s="90"/>
      <c r="L71" s="76"/>
      <c r="M71" s="63"/>
      <c r="N71" s="9"/>
      <c r="O71" s="9"/>
      <c r="P71" s="9"/>
    </row>
    <row r="72" ht="18" spans="1:16">
      <c r="A72" s="9"/>
      <c r="B72" s="9"/>
      <c r="C72" s="51"/>
      <c r="D72" s="67">
        <f t="shared" si="0"/>
        <v>336</v>
      </c>
      <c r="E72" s="68" t="s">
        <v>91</v>
      </c>
      <c r="F72" s="69"/>
      <c r="G72" s="9"/>
      <c r="H72" s="9"/>
      <c r="I72" s="76">
        <f t="shared" si="3"/>
        <v>336</v>
      </c>
      <c r="J72" s="77"/>
      <c r="K72" s="78"/>
      <c r="L72" s="76"/>
      <c r="M72" s="63"/>
      <c r="N72" s="9"/>
      <c r="O72" s="9"/>
      <c r="P72" s="9"/>
    </row>
    <row r="73" ht="18" spans="1:16">
      <c r="A73" s="9"/>
      <c r="B73" s="9"/>
      <c r="C73" s="51"/>
      <c r="D73" s="67">
        <f t="shared" si="0"/>
        <v>344</v>
      </c>
      <c r="E73" s="85" t="s">
        <v>84</v>
      </c>
      <c r="F73" s="86"/>
      <c r="G73" s="9"/>
      <c r="H73" s="9"/>
      <c r="I73" s="76">
        <f t="shared" si="3"/>
        <v>344</v>
      </c>
      <c r="J73" s="80" t="s">
        <v>98</v>
      </c>
      <c r="K73" s="81"/>
      <c r="L73" s="76"/>
      <c r="M73" s="63"/>
      <c r="N73" s="9"/>
      <c r="O73" s="9"/>
      <c r="P73" s="9"/>
    </row>
    <row r="74" ht="18" spans="1:16">
      <c r="A74" s="9"/>
      <c r="B74" s="9"/>
      <c r="C74" s="51"/>
      <c r="D74" s="67">
        <f t="shared" si="0"/>
        <v>352</v>
      </c>
      <c r="E74" s="68" t="s">
        <v>91</v>
      </c>
      <c r="F74" s="69"/>
      <c r="G74" s="9"/>
      <c r="H74" s="9"/>
      <c r="I74" s="76">
        <f t="shared" si="3"/>
        <v>352</v>
      </c>
      <c r="J74" s="89" t="s">
        <v>91</v>
      </c>
      <c r="K74" s="90"/>
      <c r="L74" s="76"/>
      <c r="M74" s="63"/>
      <c r="N74" s="9"/>
      <c r="O74" s="9"/>
      <c r="P74" s="9"/>
    </row>
    <row r="75" ht="18" spans="1:16">
      <c r="A75" s="9"/>
      <c r="B75" s="9"/>
      <c r="C75" s="51"/>
      <c r="D75" s="67">
        <f t="shared" si="0"/>
        <v>360</v>
      </c>
      <c r="E75" s="85" t="s">
        <v>101</v>
      </c>
      <c r="F75" s="86"/>
      <c r="G75" s="9"/>
      <c r="H75" s="9"/>
      <c r="I75" s="76">
        <f t="shared" si="3"/>
        <v>360</v>
      </c>
      <c r="J75" s="77"/>
      <c r="K75" s="78"/>
      <c r="L75" s="76"/>
      <c r="M75" s="63"/>
      <c r="N75" s="9"/>
      <c r="O75" s="9"/>
      <c r="P75" s="9"/>
    </row>
    <row r="76" ht="18" spans="1:16">
      <c r="A76" s="9"/>
      <c r="B76" s="9"/>
      <c r="C76" s="51"/>
      <c r="D76" s="2"/>
      <c r="E76" s="91"/>
      <c r="F76" s="91"/>
      <c r="G76" s="9"/>
      <c r="H76" s="9"/>
      <c r="I76" s="1"/>
      <c r="L76" s="1"/>
      <c r="M76" s="63"/>
      <c r="N76" s="9"/>
      <c r="O76" s="9"/>
      <c r="P76" s="9"/>
    </row>
    <row r="77" ht="17.25" spans="1:16">
      <c r="A77" s="52"/>
      <c r="B77" s="18"/>
      <c r="C77" s="19" t="s">
        <v>102</v>
      </c>
      <c r="D77" s="9"/>
      <c r="E77" s="9"/>
      <c r="F77" s="9"/>
      <c r="G77" s="9"/>
      <c r="H77" s="9"/>
      <c r="I77" s="9"/>
      <c r="L77" s="9"/>
      <c r="M77" s="9"/>
      <c r="N77" s="9"/>
      <c r="O77" s="9"/>
      <c r="P77" s="9"/>
    </row>
    <row r="78" ht="18" spans="1:16">
      <c r="A78" s="9"/>
      <c r="B78" s="9"/>
      <c r="C78" s="51"/>
      <c r="D78" s="9"/>
      <c r="E78" s="9"/>
      <c r="F78" s="9"/>
      <c r="G78" s="9"/>
      <c r="H78" s="9"/>
      <c r="M78" s="9"/>
    </row>
    <row r="79" ht="18" spans="1:16">
      <c r="A79" s="9"/>
      <c r="B79" s="9"/>
      <c r="C79" s="51"/>
      <c r="D79" s="92" t="s">
        <v>103</v>
      </c>
      <c r="E79" s="92"/>
      <c r="F79" s="92"/>
      <c r="G79" s="9"/>
      <c r="H79" s="9"/>
      <c r="I79" s="9"/>
      <c r="K79" s="9"/>
      <c r="L79" s="9"/>
      <c r="M79" s="9"/>
    </row>
    <row r="80" ht="18" spans="1:16">
      <c r="A80" s="9"/>
      <c r="B80" s="9"/>
      <c r="C80" s="51"/>
      <c r="D80" s="92" t="s">
        <v>104</v>
      </c>
      <c r="E80" s="92">
        <v>300</v>
      </c>
      <c r="F80" s="92"/>
      <c r="G80" s="9" t="s">
        <v>105</v>
      </c>
      <c r="H80" s="9"/>
      <c r="I80" s="9"/>
      <c r="J80" s="9"/>
      <c r="K80" s="9"/>
      <c r="L80" s="9"/>
      <c r="M80" s="9"/>
    </row>
    <row r="81" ht="18" spans="1:17">
      <c r="A81" s="9"/>
      <c r="B81" s="9"/>
      <c r="C81" s="51"/>
      <c r="D81" s="92" t="s">
        <v>106</v>
      </c>
      <c r="E81" s="92">
        <v>600</v>
      </c>
      <c r="F81" s="92"/>
      <c r="G81" s="9" t="s">
        <v>105</v>
      </c>
      <c r="H81" s="9"/>
      <c r="I81" s="9"/>
      <c r="J81" s="9"/>
      <c r="K81" s="9"/>
      <c r="L81" s="9"/>
      <c r="M81" s="9"/>
      <c r="N81" s="9"/>
      <c r="O81" s="9"/>
      <c r="P81" s="9"/>
    </row>
    <row r="82" ht="18" spans="1:17">
      <c r="A82" s="9"/>
      <c r="B82" s="9"/>
      <c r="C82" s="51"/>
      <c r="D82" s="92" t="s">
        <v>107</v>
      </c>
      <c r="E82" s="92">
        <v>300000</v>
      </c>
      <c r="F82" s="92"/>
      <c r="G82" s="9" t="s">
        <v>105</v>
      </c>
      <c r="H82" s="9"/>
      <c r="I82" s="9"/>
      <c r="J82" s="9"/>
      <c r="K82" s="9"/>
      <c r="L82" s="9"/>
      <c r="M82" s="9"/>
      <c r="N82" s="9"/>
      <c r="O82" s="9"/>
      <c r="P82" s="9"/>
    </row>
    <row r="83" ht="18" spans="1:17">
      <c r="A83" s="9"/>
      <c r="B83" s="9"/>
      <c r="C83" s="51"/>
      <c r="D83" s="92" t="s">
        <v>108</v>
      </c>
      <c r="E83" s="93">
        <f>基因产出!F65+基因产出!E61+基因产出!E56+基因产出!E57/7+24</f>
        <v>24</v>
      </c>
      <c r="F83" s="93"/>
      <c r="G83" s="9" t="s">
        <v>109</v>
      </c>
      <c r="H83" s="9"/>
      <c r="I83" s="9"/>
      <c r="J83" s="9"/>
      <c r="K83" s="9"/>
      <c r="L83" s="9"/>
      <c r="M83" s="9"/>
      <c r="N83" s="9"/>
      <c r="O83" s="9"/>
      <c r="P83" s="9"/>
      <c r="Q83" s="9"/>
    </row>
    <row r="84" ht="18" spans="1:17">
      <c r="A84" s="9"/>
      <c r="B84" s="9"/>
      <c r="C84" s="51"/>
      <c r="D84" s="1" t="s">
        <v>110</v>
      </c>
      <c r="E84" s="30">
        <v>1000</v>
      </c>
      <c r="F84" s="2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ht="18" spans="1:17">
      <c r="A85" s="9"/>
      <c r="B85" s="9"/>
      <c r="C85" s="51"/>
      <c r="D85" s="9"/>
      <c r="E85" s="9"/>
      <c r="F85" s="9"/>
      <c r="G85" s="9"/>
      <c r="H85" s="9"/>
      <c r="I85" s="9"/>
      <c r="J85" s="9"/>
      <c r="K85" s="9"/>
      <c r="L85" s="9"/>
      <c r="M85" s="9"/>
      <c r="N85" s="63"/>
      <c r="O85" s="63"/>
      <c r="P85" s="63"/>
      <c r="Q85" s="9"/>
    </row>
    <row r="86" ht="17.25" spans="1:17">
      <c r="A86" s="9"/>
      <c r="B86" s="18"/>
      <c r="C86" s="19" t="s">
        <v>111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63"/>
      <c r="O86" s="63"/>
      <c r="P86" s="63"/>
      <c r="Q86" s="9"/>
    </row>
    <row r="87" ht="18" spans="1:17">
      <c r="A87" s="9"/>
      <c r="B87" s="18"/>
      <c r="C87" s="19"/>
      <c r="D87" s="94" t="s">
        <v>112</v>
      </c>
      <c r="E87" s="9"/>
      <c r="F87" s="9"/>
      <c r="G87" s="9"/>
      <c r="H87" s="9"/>
      <c r="I87" s="9"/>
      <c r="J87" s="9"/>
      <c r="K87" s="9"/>
      <c r="L87" s="9"/>
      <c r="M87" s="9"/>
      <c r="N87" s="63"/>
      <c r="O87" s="63"/>
      <c r="P87" s="63"/>
      <c r="Q87" s="9"/>
    </row>
    <row r="88" ht="17.25" spans="1:17">
      <c r="A88" s="9"/>
      <c r="B88" s="18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63"/>
      <c r="O88" s="63"/>
      <c r="P88" s="63"/>
      <c r="Q88" s="9"/>
    </row>
    <row r="89" ht="18" spans="1:17">
      <c r="A89" s="9"/>
      <c r="B89" s="9"/>
      <c r="C89" s="51"/>
      <c r="D89" s="95" t="s">
        <v>113</v>
      </c>
      <c r="E89" s="96"/>
      <c r="F89" s="96"/>
      <c r="H89" s="9" t="s">
        <v>114</v>
      </c>
      <c r="I89" s="9" t="s">
        <v>115</v>
      </c>
      <c r="J89" s="9"/>
      <c r="K89" s="92" t="s">
        <v>116</v>
      </c>
      <c r="L89" s="92" t="s">
        <v>117</v>
      </c>
      <c r="M89" s="9"/>
      <c r="N89" s="63"/>
      <c r="O89" s="63"/>
      <c r="P89" s="63"/>
      <c r="Q89" s="9"/>
    </row>
    <row r="90" ht="18" spans="1:17">
      <c r="A90" s="9"/>
      <c r="B90" s="9"/>
      <c r="C90" s="51"/>
      <c r="D90" s="97" t="s">
        <v>118</v>
      </c>
      <c r="E90" s="97" t="s">
        <v>59</v>
      </c>
      <c r="F90" s="97"/>
      <c r="G90" s="97" t="s">
        <v>119</v>
      </c>
      <c r="H90" s="97" t="s">
        <v>120</v>
      </c>
      <c r="I90" s="97" t="s">
        <v>121</v>
      </c>
      <c r="J90" s="97" t="s">
        <v>122</v>
      </c>
      <c r="K90" s="97" t="s">
        <v>123</v>
      </c>
      <c r="L90" s="97" t="s">
        <v>123</v>
      </c>
      <c r="M90" s="63"/>
      <c r="N90" s="9"/>
      <c r="O90" s="9"/>
      <c r="P90" s="9"/>
      <c r="Q90" s="9"/>
    </row>
    <row r="91" ht="18" spans="1:17">
      <c r="A91" s="9"/>
      <c r="B91" s="9"/>
      <c r="C91" s="51"/>
      <c r="D91" s="97">
        <v>1</v>
      </c>
      <c r="E91" s="98">
        <v>8</v>
      </c>
      <c r="F91" s="98"/>
      <c r="G91" s="99">
        <f t="shared" ref="G91:G100" si="4">INT(D91*E91/4)</f>
        <v>2</v>
      </c>
      <c r="H91" s="99"/>
      <c r="I91" s="100">
        <v>0.125</v>
      </c>
      <c r="J91" s="101">
        <v>0.25</v>
      </c>
      <c r="K91" s="101">
        <f>IFERROR(MATCH(SUM($E$91:E91),基因产出!#REF!,1),0)+1</f>
        <v>1</v>
      </c>
      <c r="L91" s="101">
        <f>IFERROR(MATCH(SUM($E$91:E91),基因产出!#REF!,1),0)+1</f>
        <v>1</v>
      </c>
      <c r="M91" s="63"/>
      <c r="N91" s="9">
        <f>I91/2</f>
        <v>0.0625</v>
      </c>
      <c r="O91" s="9"/>
      <c r="P91" s="9"/>
      <c r="Q91" s="9"/>
    </row>
    <row r="92" ht="18" spans="1:17">
      <c r="A92" s="9"/>
      <c r="B92" s="9"/>
      <c r="C92" s="51"/>
      <c r="D92" s="97">
        <v>2</v>
      </c>
      <c r="E92" s="98">
        <v>8</v>
      </c>
      <c r="F92" s="98"/>
      <c r="G92" s="99">
        <f t="shared" si="4"/>
        <v>4</v>
      </c>
      <c r="H92" s="102">
        <f>G92/G91/(E92/E91)</f>
        <v>2</v>
      </c>
      <c r="I92" s="100">
        <v>1</v>
      </c>
      <c r="J92" s="101">
        <f>I92-I91</f>
        <v>0.875</v>
      </c>
      <c r="K92" s="101">
        <f>IFERROR(MATCH(SUM($E$91:E92),基因产出!#REF!,1),0)+1</f>
        <v>1</v>
      </c>
      <c r="L92" s="101">
        <f>IFERROR(MATCH(SUM($E$91:E92),基因产出!#REF!,1),0)+1</f>
        <v>1</v>
      </c>
      <c r="M92" s="63"/>
      <c r="N92" s="9">
        <f t="shared" ref="N92:N120" si="5">I92/2</f>
        <v>0.5</v>
      </c>
      <c r="O92" s="9"/>
      <c r="P92" s="9"/>
      <c r="Q92" s="9"/>
    </row>
    <row r="93" ht="18" spans="1:17">
      <c r="A93" s="9"/>
      <c r="B93" s="9"/>
      <c r="C93" s="51"/>
      <c r="D93" s="97">
        <v>3</v>
      </c>
      <c r="E93" s="98">
        <v>8</v>
      </c>
      <c r="F93" s="98"/>
      <c r="G93" s="99">
        <f t="shared" si="4"/>
        <v>6</v>
      </c>
      <c r="H93" s="102">
        <f t="shared" ref="H93:H120" si="6">G93/G92/(E93/E92)</f>
        <v>1.5</v>
      </c>
      <c r="I93" s="103">
        <v>2.5</v>
      </c>
      <c r="J93" s="101">
        <f t="shared" ref="J93:J111" si="7">I93-I92</f>
        <v>1.5</v>
      </c>
      <c r="K93" s="101">
        <f>IFERROR(MATCH(SUM($E$91:E93),基因产出!#REF!,1),0)+1</f>
        <v>1</v>
      </c>
      <c r="L93" s="101">
        <f>IFERROR(MATCH(SUM($E$91:E93),基因产出!#REF!,1),0)+1</f>
        <v>1</v>
      </c>
      <c r="M93" s="63"/>
      <c r="N93" s="9">
        <f t="shared" si="5"/>
        <v>1.25</v>
      </c>
      <c r="O93" s="9"/>
      <c r="P93" s="9"/>
      <c r="Q93" s="9"/>
    </row>
    <row r="94" ht="18" spans="1:17">
      <c r="A94" s="9"/>
      <c r="B94" s="9"/>
      <c r="C94" s="51"/>
      <c r="D94" s="97">
        <v>4</v>
      </c>
      <c r="E94" s="98">
        <v>8</v>
      </c>
      <c r="F94" s="98"/>
      <c r="G94" s="99">
        <f t="shared" si="4"/>
        <v>8</v>
      </c>
      <c r="H94" s="102">
        <f t="shared" si="6"/>
        <v>1.33333333333333</v>
      </c>
      <c r="I94" s="104">
        <v>4.5</v>
      </c>
      <c r="J94" s="105">
        <f t="shared" si="7"/>
        <v>2</v>
      </c>
      <c r="K94" s="101">
        <f>IFERROR(MATCH(SUM($E$91:E94),基因产出!#REF!,1),0)+1</f>
        <v>1</v>
      </c>
      <c r="L94" s="101">
        <f>IFERROR(MATCH(SUM($E$91:E94),基因产出!#REF!,1),0)+1</f>
        <v>1</v>
      </c>
      <c r="M94" s="63"/>
      <c r="N94" s="9">
        <f t="shared" si="5"/>
        <v>2.25</v>
      </c>
      <c r="O94" s="9"/>
      <c r="P94" s="9"/>
      <c r="Q94" s="9"/>
    </row>
    <row r="95" ht="18" spans="1:17">
      <c r="A95" s="9"/>
      <c r="B95" s="9"/>
      <c r="C95" s="51"/>
      <c r="D95" s="97">
        <v>5</v>
      </c>
      <c r="E95" s="98">
        <v>8</v>
      </c>
      <c r="F95" s="98"/>
      <c r="G95" s="99">
        <f t="shared" si="4"/>
        <v>10</v>
      </c>
      <c r="H95" s="102">
        <f t="shared" si="6"/>
        <v>1.25</v>
      </c>
      <c r="I95" s="106">
        <v>7</v>
      </c>
      <c r="J95" s="101">
        <f t="shared" si="7"/>
        <v>2.5</v>
      </c>
      <c r="K95" s="101">
        <f>IFERROR(MATCH(SUM($E$91:E95),基因产出!#REF!,1),0)+1</f>
        <v>1</v>
      </c>
      <c r="L95" s="101">
        <f>IFERROR(MATCH(SUM($E$91:E95),基因产出!#REF!,1),0)+1</f>
        <v>1</v>
      </c>
      <c r="M95" s="63"/>
      <c r="N95" s="9">
        <f t="shared" si="5"/>
        <v>3.5</v>
      </c>
      <c r="O95" s="9"/>
      <c r="P95" s="63"/>
      <c r="Q95" s="9"/>
    </row>
    <row r="96" ht="18" spans="1:17">
      <c r="A96" s="9"/>
      <c r="B96" s="9"/>
      <c r="C96" s="51"/>
      <c r="D96" s="97">
        <v>6</v>
      </c>
      <c r="E96" s="98">
        <v>8</v>
      </c>
      <c r="F96" s="98"/>
      <c r="G96" s="99">
        <f t="shared" si="4"/>
        <v>12</v>
      </c>
      <c r="H96" s="102">
        <f t="shared" si="6"/>
        <v>1.2</v>
      </c>
      <c r="I96" s="106">
        <v>10</v>
      </c>
      <c r="J96" s="101">
        <f t="shared" si="7"/>
        <v>3</v>
      </c>
      <c r="K96" s="101">
        <f>IFERROR(MATCH(SUM($E$91:E96),基因产出!#REF!,1),0)+1</f>
        <v>1</v>
      </c>
      <c r="L96" s="101">
        <f>IFERROR(MATCH(SUM($E$91:E96),基因产出!#REF!,1),0)+1</f>
        <v>1</v>
      </c>
      <c r="M96" s="63"/>
      <c r="N96" s="9">
        <f t="shared" si="5"/>
        <v>5</v>
      </c>
      <c r="O96" s="9"/>
      <c r="P96" s="63"/>
      <c r="Q96" s="9"/>
    </row>
    <row r="97" ht="18" spans="1:17">
      <c r="A97" s="9"/>
      <c r="B97" s="9"/>
      <c r="C97" s="51"/>
      <c r="D97" s="97">
        <v>7</v>
      </c>
      <c r="E97" s="98">
        <v>8</v>
      </c>
      <c r="F97" s="98"/>
      <c r="G97" s="99">
        <f t="shared" si="4"/>
        <v>14</v>
      </c>
      <c r="H97" s="102">
        <f t="shared" si="6"/>
        <v>1.16666666666667</v>
      </c>
      <c r="I97" s="106">
        <v>14</v>
      </c>
      <c r="J97" s="101">
        <f t="shared" si="7"/>
        <v>4</v>
      </c>
      <c r="K97" s="101">
        <f>IFERROR(MATCH(SUM($E$91:E97),基因产出!#REF!,1),0)+1</f>
        <v>1</v>
      </c>
      <c r="L97" s="101">
        <f>IFERROR(MATCH(SUM($E$91:E97),基因产出!#REF!,1),0)+1</f>
        <v>1</v>
      </c>
      <c r="M97" s="63"/>
      <c r="N97" s="9">
        <f t="shared" si="5"/>
        <v>7</v>
      </c>
      <c r="O97" s="9"/>
      <c r="P97" s="63"/>
      <c r="Q97" s="9"/>
    </row>
    <row r="98" ht="18" spans="1:17">
      <c r="A98" s="9"/>
      <c r="B98" s="9"/>
      <c r="C98" s="51"/>
      <c r="D98" s="97">
        <v>8</v>
      </c>
      <c r="E98" s="98">
        <v>8</v>
      </c>
      <c r="F98" s="98"/>
      <c r="G98" s="99">
        <f t="shared" si="4"/>
        <v>16</v>
      </c>
      <c r="H98" s="102">
        <f t="shared" si="6"/>
        <v>1.14285714285714</v>
      </c>
      <c r="I98" s="106">
        <v>22</v>
      </c>
      <c r="J98" s="101">
        <f t="shared" si="7"/>
        <v>8</v>
      </c>
      <c r="K98" s="101">
        <f>IFERROR(MATCH(SUM($E$91:E98),基因产出!#REF!,1),0)+1</f>
        <v>1</v>
      </c>
      <c r="L98" s="101">
        <f>IFERROR(MATCH(SUM($E$91:E98),基因产出!#REF!,1),0)+1</f>
        <v>1</v>
      </c>
      <c r="M98" s="63"/>
      <c r="N98" s="9">
        <f t="shared" si="5"/>
        <v>11</v>
      </c>
      <c r="O98" s="9"/>
      <c r="P98" s="63"/>
      <c r="Q98" s="9"/>
    </row>
    <row r="99" ht="18" spans="1:17">
      <c r="A99" s="9"/>
      <c r="B99" s="9"/>
      <c r="C99" s="51"/>
      <c r="D99" s="97">
        <v>9</v>
      </c>
      <c r="E99" s="98">
        <v>8</v>
      </c>
      <c r="F99" s="98"/>
      <c r="G99" s="99">
        <f t="shared" si="4"/>
        <v>18</v>
      </c>
      <c r="H99" s="102">
        <f t="shared" si="6"/>
        <v>1.125</v>
      </c>
      <c r="I99" s="106">
        <v>30</v>
      </c>
      <c r="J99" s="101">
        <f t="shared" si="7"/>
        <v>8</v>
      </c>
      <c r="K99" s="101">
        <f>IFERROR(MATCH(SUM($E$91:E99),基因产出!#REF!,1),0)+1</f>
        <v>1</v>
      </c>
      <c r="L99" s="101">
        <f>IFERROR(MATCH(SUM($E$91:E99),基因产出!#REF!,1),0)+1</f>
        <v>1</v>
      </c>
      <c r="M99" s="63"/>
      <c r="N99" s="9">
        <f t="shared" si="5"/>
        <v>15</v>
      </c>
      <c r="O99" s="9"/>
      <c r="P99" s="63"/>
      <c r="Q99" s="9"/>
    </row>
    <row r="100" ht="18" spans="1:17">
      <c r="A100" s="9"/>
      <c r="B100" s="9"/>
      <c r="C100" s="51"/>
      <c r="D100" s="97">
        <v>10</v>
      </c>
      <c r="E100" s="98">
        <v>8</v>
      </c>
      <c r="F100" s="98"/>
      <c r="G100" s="99">
        <f t="shared" si="4"/>
        <v>20</v>
      </c>
      <c r="H100" s="102">
        <f t="shared" si="6"/>
        <v>1.11111111111111</v>
      </c>
      <c r="I100" s="106">
        <v>42</v>
      </c>
      <c r="J100" s="101">
        <f t="shared" si="7"/>
        <v>12</v>
      </c>
      <c r="K100" s="101">
        <f>IFERROR(MATCH(SUM($E$91:E100),基因产出!#REF!,1),0)+1</f>
        <v>1</v>
      </c>
      <c r="L100" s="101">
        <f>IFERROR(MATCH(SUM($E$91:E100),基因产出!#REF!,1),0)+1</f>
        <v>1</v>
      </c>
      <c r="M100" s="63"/>
      <c r="N100" s="9">
        <f t="shared" si="5"/>
        <v>21</v>
      </c>
      <c r="O100" s="9"/>
      <c r="P100" s="63"/>
      <c r="Q100" s="9"/>
    </row>
    <row r="101" ht="18" spans="1:17">
      <c r="A101" s="9"/>
      <c r="B101" s="9"/>
      <c r="C101" s="51"/>
      <c r="D101" s="97">
        <v>11</v>
      </c>
      <c r="E101" s="98">
        <v>8</v>
      </c>
      <c r="F101" s="98"/>
      <c r="G101" s="99">
        <f t="shared" ref="G101:G106" si="8">INT(D101*E101/4)</f>
        <v>22</v>
      </c>
      <c r="H101" s="102">
        <f t="shared" si="6"/>
        <v>1.1</v>
      </c>
      <c r="I101" s="106">
        <v>54</v>
      </c>
      <c r="J101" s="101">
        <f t="shared" si="7"/>
        <v>12</v>
      </c>
      <c r="K101" s="101">
        <f>IFERROR(MATCH(SUM($E$91:E101),基因产出!#REF!,1),0)+1</f>
        <v>1</v>
      </c>
      <c r="L101" s="101">
        <f>IFERROR(MATCH(SUM($E$91:E101),基因产出!#REF!,1),0)+1</f>
        <v>1</v>
      </c>
      <c r="M101" s="63"/>
      <c r="N101" s="9">
        <f t="shared" si="5"/>
        <v>27</v>
      </c>
      <c r="O101" s="9"/>
      <c r="P101" s="63"/>
      <c r="Q101" s="9"/>
    </row>
    <row r="102" ht="18" spans="1:17">
      <c r="A102" s="9"/>
      <c r="B102" s="9"/>
      <c r="C102" s="51"/>
      <c r="D102" s="97">
        <v>12</v>
      </c>
      <c r="E102" s="98">
        <v>8</v>
      </c>
      <c r="F102" s="98"/>
      <c r="G102" s="99">
        <f t="shared" si="8"/>
        <v>24</v>
      </c>
      <c r="H102" s="102">
        <f t="shared" si="6"/>
        <v>1.09090909090909</v>
      </c>
      <c r="I102" s="106">
        <v>66</v>
      </c>
      <c r="J102" s="101">
        <v>13</v>
      </c>
      <c r="K102" s="101">
        <f>IFERROR(MATCH(SUM($E$91:E102),基因产出!#REF!,1),0)+1</f>
        <v>1</v>
      </c>
      <c r="L102" s="101">
        <f>IFERROR(MATCH(SUM($E$91:E102),基因产出!#REF!,1),0)+1</f>
        <v>1</v>
      </c>
      <c r="M102" s="63"/>
      <c r="N102" s="9">
        <f t="shared" si="5"/>
        <v>33</v>
      </c>
      <c r="O102" s="9"/>
      <c r="P102" s="63"/>
      <c r="Q102" s="9"/>
    </row>
    <row r="103" ht="18" spans="1:17">
      <c r="A103" s="9"/>
      <c r="B103" s="9"/>
      <c r="C103" s="51"/>
      <c r="D103" s="97">
        <v>13</v>
      </c>
      <c r="E103" s="98">
        <v>8</v>
      </c>
      <c r="F103" s="98"/>
      <c r="G103" s="99">
        <f t="shared" si="8"/>
        <v>26</v>
      </c>
      <c r="H103" s="102">
        <f t="shared" si="6"/>
        <v>1.08333333333333</v>
      </c>
      <c r="I103" s="106">
        <v>80</v>
      </c>
      <c r="J103" s="101">
        <v>14</v>
      </c>
      <c r="K103" s="101">
        <f>IFERROR(MATCH(SUM($E$91:E103),基因产出!#REF!,1),0)+1</f>
        <v>1</v>
      </c>
      <c r="L103" s="101">
        <f>IFERROR(MATCH(SUM($E$91:E103),基因产出!#REF!,1),0)+1</f>
        <v>1</v>
      </c>
      <c r="M103" s="63"/>
      <c r="N103" s="9">
        <f t="shared" si="5"/>
        <v>40</v>
      </c>
      <c r="O103" s="9"/>
      <c r="P103" s="63"/>
      <c r="Q103" s="9"/>
    </row>
    <row r="104" ht="18" spans="1:17">
      <c r="A104" s="9"/>
      <c r="B104" s="9"/>
      <c r="C104" s="51"/>
      <c r="D104" s="97">
        <v>14</v>
      </c>
      <c r="E104" s="98">
        <v>8</v>
      </c>
      <c r="F104" s="98"/>
      <c r="G104" s="99">
        <f t="shared" si="8"/>
        <v>28</v>
      </c>
      <c r="H104" s="102">
        <f t="shared" si="6"/>
        <v>1.07692307692308</v>
      </c>
      <c r="I104" s="106">
        <v>96</v>
      </c>
      <c r="J104" s="101">
        <f t="shared" si="7"/>
        <v>16</v>
      </c>
      <c r="K104" s="101">
        <f>IFERROR(MATCH(SUM($E$91:E104),基因产出!#REF!,1),0)+1</f>
        <v>1</v>
      </c>
      <c r="L104" s="101">
        <f>IFERROR(MATCH(SUM($E$91:E104),基因产出!#REF!,1),0)+1</f>
        <v>1</v>
      </c>
      <c r="M104" s="63"/>
      <c r="N104" s="9">
        <f t="shared" si="5"/>
        <v>48</v>
      </c>
      <c r="O104" s="9"/>
      <c r="P104" s="63"/>
      <c r="Q104" s="9"/>
    </row>
    <row r="105" ht="18" spans="1:17">
      <c r="A105" s="9"/>
      <c r="B105" s="9"/>
      <c r="C105" s="51"/>
      <c r="D105" s="97">
        <v>15</v>
      </c>
      <c r="E105" s="98">
        <v>8</v>
      </c>
      <c r="F105" s="98"/>
      <c r="G105" s="99">
        <f t="shared" si="8"/>
        <v>30</v>
      </c>
      <c r="H105" s="102">
        <f t="shared" si="6"/>
        <v>1.07142857142857</v>
      </c>
      <c r="I105" s="106">
        <v>112</v>
      </c>
      <c r="J105" s="101">
        <f t="shared" si="7"/>
        <v>16</v>
      </c>
      <c r="K105" s="101">
        <f>IFERROR(MATCH(SUM($E$91:E105),基因产出!#REF!,1),0)+1</f>
        <v>1</v>
      </c>
      <c r="L105" s="101">
        <f>IFERROR(MATCH(SUM($E$91:E105),基因产出!#REF!,1),0)+1</f>
        <v>1</v>
      </c>
      <c r="M105" s="63"/>
      <c r="N105" s="9">
        <f t="shared" si="5"/>
        <v>56</v>
      </c>
      <c r="O105" s="9"/>
      <c r="P105" s="63"/>
      <c r="Q105" s="9"/>
    </row>
    <row r="106" ht="18" spans="1:17">
      <c r="A106" s="9"/>
      <c r="B106" s="9"/>
      <c r="C106" s="51"/>
      <c r="D106" s="97">
        <v>16</v>
      </c>
      <c r="E106" s="98">
        <v>16</v>
      </c>
      <c r="F106" s="98"/>
      <c r="G106" s="99">
        <f t="shared" si="8"/>
        <v>64</v>
      </c>
      <c r="H106" s="102">
        <f t="shared" si="6"/>
        <v>1.06666666666667</v>
      </c>
      <c r="I106" s="106">
        <v>144</v>
      </c>
      <c r="J106" s="101">
        <f t="shared" si="7"/>
        <v>32</v>
      </c>
      <c r="K106" s="101">
        <f>IFERROR(MATCH(SUM($E$91:E106),基因产出!#REF!,1),0)+1</f>
        <v>1</v>
      </c>
      <c r="L106" s="101">
        <f>IFERROR(MATCH(SUM($E$91:E106),基因产出!#REF!,1),0)+1</f>
        <v>1</v>
      </c>
      <c r="M106" s="63"/>
      <c r="N106" s="9">
        <f t="shared" si="5"/>
        <v>72</v>
      </c>
      <c r="O106" s="9"/>
      <c r="P106" s="63"/>
      <c r="Q106" s="9"/>
    </row>
    <row r="107" ht="18" spans="1:17">
      <c r="A107" s="9"/>
      <c r="B107" s="9"/>
      <c r="C107" s="51"/>
      <c r="D107" s="97">
        <v>17</v>
      </c>
      <c r="E107" s="98">
        <v>16</v>
      </c>
      <c r="F107" s="98"/>
      <c r="G107" s="99">
        <f t="shared" ref="G107:G120" si="9">INT(D107*E107/4)</f>
        <v>68</v>
      </c>
      <c r="H107" s="102">
        <f t="shared" si="6"/>
        <v>1.0625</v>
      </c>
      <c r="I107" s="106">
        <v>176</v>
      </c>
      <c r="J107" s="101">
        <f t="shared" si="7"/>
        <v>32</v>
      </c>
      <c r="K107" s="101">
        <f>IFERROR(MATCH(SUM($E$91:E107),基因产出!#REF!,1),0)+1</f>
        <v>1</v>
      </c>
      <c r="L107" s="101">
        <f>IFERROR(MATCH(SUM($E$91:E107),基因产出!#REF!,1),0)+1</f>
        <v>1</v>
      </c>
      <c r="M107" s="63"/>
      <c r="N107" s="9">
        <f t="shared" si="5"/>
        <v>88</v>
      </c>
      <c r="O107" s="9"/>
      <c r="P107" s="63"/>
      <c r="Q107" s="9"/>
    </row>
    <row r="108" ht="18" spans="1:17">
      <c r="A108" s="9"/>
      <c r="B108" s="9"/>
      <c r="C108" s="51"/>
      <c r="D108" s="97">
        <v>18</v>
      </c>
      <c r="E108" s="98">
        <v>16</v>
      </c>
      <c r="F108" s="98"/>
      <c r="G108" s="99">
        <f t="shared" si="9"/>
        <v>72</v>
      </c>
      <c r="H108" s="102">
        <f t="shared" si="6"/>
        <v>1.05882352941176</v>
      </c>
      <c r="I108" s="106">
        <v>212</v>
      </c>
      <c r="J108" s="101">
        <f t="shared" si="7"/>
        <v>36</v>
      </c>
      <c r="K108" s="101">
        <f>IFERROR(MATCH(SUM($E$91:E108),基因产出!#REF!,1),0)+1</f>
        <v>1</v>
      </c>
      <c r="L108" s="101">
        <f>IFERROR(MATCH(SUM($E$91:E108),基因产出!#REF!,1),0)+1</f>
        <v>1</v>
      </c>
      <c r="M108" s="63"/>
      <c r="N108" s="9">
        <f t="shared" si="5"/>
        <v>106</v>
      </c>
      <c r="O108" s="9"/>
      <c r="P108" s="63"/>
      <c r="Q108" s="9"/>
    </row>
    <row r="109" ht="18" spans="1:17">
      <c r="A109" s="9"/>
      <c r="B109" s="9"/>
      <c r="C109" s="51"/>
      <c r="D109" s="97">
        <v>19</v>
      </c>
      <c r="E109" s="98">
        <v>16</v>
      </c>
      <c r="F109" s="98"/>
      <c r="G109" s="99">
        <f t="shared" si="9"/>
        <v>76</v>
      </c>
      <c r="H109" s="102">
        <f t="shared" si="6"/>
        <v>1.05555555555556</v>
      </c>
      <c r="I109" s="106">
        <v>260</v>
      </c>
      <c r="J109" s="101">
        <f t="shared" si="7"/>
        <v>48</v>
      </c>
      <c r="K109" s="101">
        <f>IFERROR(MATCH(SUM($E$91:E109),基因产出!#REF!,1),0)+1</f>
        <v>1</v>
      </c>
      <c r="L109" s="101">
        <f>IFERROR(MATCH(SUM($E$91:E109),基因产出!#REF!,1),0)+1</f>
        <v>1</v>
      </c>
      <c r="M109" s="63"/>
      <c r="N109" s="9">
        <f t="shared" si="5"/>
        <v>130</v>
      </c>
      <c r="O109" s="9"/>
      <c r="P109" s="63"/>
      <c r="Q109" s="9"/>
    </row>
    <row r="110" ht="18" spans="1:17">
      <c r="A110" s="9"/>
      <c r="B110" s="9"/>
      <c r="C110" s="51"/>
      <c r="D110" s="107">
        <v>20</v>
      </c>
      <c r="E110" s="98">
        <v>16</v>
      </c>
      <c r="F110" s="98"/>
      <c r="G110" s="108">
        <f t="shared" si="9"/>
        <v>80</v>
      </c>
      <c r="H110" s="109">
        <f t="shared" si="6"/>
        <v>1.05263157894737</v>
      </c>
      <c r="I110" s="106">
        <v>308</v>
      </c>
      <c r="J110" s="110">
        <f t="shared" si="7"/>
        <v>48</v>
      </c>
      <c r="K110" s="101">
        <f>IFERROR(MATCH(SUM($E$91:E110),基因产出!#REF!,1),0)+1</f>
        <v>1</v>
      </c>
      <c r="L110" s="101">
        <f>IFERROR(MATCH(SUM($E$91:E110),基因产出!#REF!,1),0)+1</f>
        <v>1</v>
      </c>
      <c r="M110" s="63"/>
      <c r="N110" s="9">
        <f t="shared" si="5"/>
        <v>154</v>
      </c>
      <c r="O110" s="9"/>
      <c r="P110" s="63"/>
      <c r="Q110" s="9"/>
    </row>
    <row r="111" ht="18" spans="1:17">
      <c r="A111" s="9"/>
      <c r="B111" s="9"/>
      <c r="C111" s="51"/>
      <c r="D111" s="97">
        <v>21</v>
      </c>
      <c r="E111" s="98">
        <v>16</v>
      </c>
      <c r="F111" s="98"/>
      <c r="G111" s="99">
        <f t="shared" si="9"/>
        <v>84</v>
      </c>
      <c r="H111" s="102">
        <f t="shared" si="6"/>
        <v>1.05</v>
      </c>
      <c r="I111" s="106">
        <v>356</v>
      </c>
      <c r="J111" s="101">
        <f t="shared" si="7"/>
        <v>48</v>
      </c>
      <c r="K111" s="101">
        <f>IFERROR(MATCH(SUM($E$91:E111),基因产出!#REF!,1),0)+1</f>
        <v>1</v>
      </c>
      <c r="L111" s="101">
        <f>IFERROR(MATCH(SUM($E$91:E111),基因产出!#REF!,1),0)+1</f>
        <v>1</v>
      </c>
      <c r="M111" s="9"/>
      <c r="N111" s="9">
        <f t="shared" si="5"/>
        <v>178</v>
      </c>
      <c r="O111" s="9"/>
      <c r="P111" s="63"/>
      <c r="Q111" s="9"/>
    </row>
    <row r="112" ht="18" spans="1:17">
      <c r="A112" s="9"/>
      <c r="B112" s="9"/>
      <c r="C112" s="51"/>
      <c r="D112" s="97">
        <v>22</v>
      </c>
      <c r="E112" s="98">
        <v>16</v>
      </c>
      <c r="F112" s="98"/>
      <c r="G112" s="99">
        <f t="shared" si="9"/>
        <v>88</v>
      </c>
      <c r="H112" s="102">
        <f t="shared" si="6"/>
        <v>1.04761904761905</v>
      </c>
      <c r="I112" s="106">
        <v>404</v>
      </c>
      <c r="J112" s="101">
        <f t="shared" ref="J112:J120" si="10">I112-I111</f>
        <v>48</v>
      </c>
      <c r="K112" s="101">
        <f>IFERROR(MATCH(SUM($E$91:E112),基因产出!#REF!,1),0)+1</f>
        <v>1</v>
      </c>
      <c r="L112" s="101">
        <f>IFERROR(MATCH(SUM($E$91:E112),基因产出!#REF!,1),0)+1</f>
        <v>1</v>
      </c>
      <c r="M112" s="9"/>
      <c r="N112" s="9">
        <f t="shared" si="5"/>
        <v>202</v>
      </c>
      <c r="O112" s="9"/>
      <c r="P112" s="63"/>
      <c r="Q112" s="9"/>
    </row>
    <row r="113" ht="18" spans="1:17">
      <c r="A113" s="9"/>
      <c r="B113" s="9"/>
      <c r="C113" s="51"/>
      <c r="D113" s="97">
        <v>23</v>
      </c>
      <c r="E113" s="98">
        <v>16</v>
      </c>
      <c r="F113" s="98"/>
      <c r="G113" s="99">
        <f t="shared" si="9"/>
        <v>92</v>
      </c>
      <c r="H113" s="102">
        <f t="shared" si="6"/>
        <v>1.04545454545455</v>
      </c>
      <c r="I113" s="106">
        <v>452</v>
      </c>
      <c r="J113" s="101">
        <f t="shared" si="10"/>
        <v>48</v>
      </c>
      <c r="K113" s="101">
        <f>IFERROR(MATCH(SUM($E$91:E113),基因产出!#REF!,1),0)+1</f>
        <v>1</v>
      </c>
      <c r="L113" s="101">
        <f>IFERROR(MATCH(SUM($E$91:E113),基因产出!#REF!,1),0)+1</f>
        <v>1</v>
      </c>
      <c r="M113" s="9"/>
      <c r="N113" s="9">
        <f t="shared" si="5"/>
        <v>226</v>
      </c>
      <c r="O113" s="9"/>
      <c r="P113" s="63"/>
      <c r="Q113" s="9"/>
    </row>
    <row r="114" ht="18" spans="1:17">
      <c r="A114" s="9"/>
      <c r="B114" s="9"/>
      <c r="C114" s="51"/>
      <c r="D114" s="97">
        <v>24</v>
      </c>
      <c r="E114" s="98">
        <v>16</v>
      </c>
      <c r="F114" s="98"/>
      <c r="G114" s="99">
        <f t="shared" si="9"/>
        <v>96</v>
      </c>
      <c r="H114" s="102">
        <f t="shared" si="6"/>
        <v>1.04347826086957</v>
      </c>
      <c r="I114" s="106">
        <v>500</v>
      </c>
      <c r="J114" s="101">
        <f t="shared" si="10"/>
        <v>48</v>
      </c>
      <c r="K114" s="101">
        <f>IFERROR(MATCH(SUM($E$91:E114),基因产出!#REF!,1),0)+1</f>
        <v>1</v>
      </c>
      <c r="L114" s="101">
        <f>IFERROR(MATCH(SUM($E$91:E114),基因产出!#REF!,1),0)+1</f>
        <v>1</v>
      </c>
      <c r="M114" s="9"/>
      <c r="N114" s="9">
        <f t="shared" si="5"/>
        <v>250</v>
      </c>
      <c r="O114" s="9"/>
      <c r="P114" s="63"/>
      <c r="Q114" s="9"/>
    </row>
    <row r="115" ht="18" spans="1:17">
      <c r="A115" s="9"/>
      <c r="B115" s="9"/>
      <c r="C115" s="51"/>
      <c r="D115" s="97">
        <v>25</v>
      </c>
      <c r="E115" s="98">
        <v>16</v>
      </c>
      <c r="F115" s="98"/>
      <c r="G115" s="99">
        <f t="shared" si="9"/>
        <v>100</v>
      </c>
      <c r="H115" s="102">
        <f t="shared" si="6"/>
        <v>1.04166666666667</v>
      </c>
      <c r="I115" s="106">
        <v>548</v>
      </c>
      <c r="J115" s="101">
        <f t="shared" si="10"/>
        <v>48</v>
      </c>
      <c r="K115" s="101">
        <f>IFERROR(MATCH(SUM($E$91:E115),基因产出!#REF!,1),0)+1</f>
        <v>1</v>
      </c>
      <c r="L115" s="101">
        <f>IFERROR(MATCH(SUM($E$91:E115),基因产出!#REF!,1),0)+1</f>
        <v>1</v>
      </c>
      <c r="M115" s="9"/>
      <c r="N115" s="9">
        <f t="shared" si="5"/>
        <v>274</v>
      </c>
      <c r="O115" s="9"/>
      <c r="P115" s="63"/>
      <c r="Q115" s="9"/>
    </row>
    <row r="116" ht="18" spans="1:17">
      <c r="A116" s="9"/>
      <c r="B116" s="9"/>
      <c r="C116" s="51"/>
      <c r="D116" s="97">
        <v>26</v>
      </c>
      <c r="E116" s="98">
        <v>16</v>
      </c>
      <c r="F116" s="98"/>
      <c r="G116" s="99">
        <f t="shared" si="9"/>
        <v>104</v>
      </c>
      <c r="H116" s="102">
        <f t="shared" si="6"/>
        <v>1.04</v>
      </c>
      <c r="I116" s="106">
        <v>596</v>
      </c>
      <c r="J116" s="101">
        <f t="shared" si="10"/>
        <v>48</v>
      </c>
      <c r="K116" s="101">
        <f>IFERROR(MATCH(SUM($E$91:E116),基因产出!#REF!,1),0)+1</f>
        <v>1</v>
      </c>
      <c r="L116" s="101">
        <f>IFERROR(MATCH(SUM($E$91:E116),基因产出!#REF!,1),0)+1</f>
        <v>1</v>
      </c>
      <c r="M116" s="9"/>
      <c r="N116" s="9">
        <f t="shared" si="5"/>
        <v>298</v>
      </c>
      <c r="O116" s="9"/>
      <c r="P116" s="63"/>
      <c r="Q116" s="9"/>
    </row>
    <row r="117" ht="18" spans="1:17">
      <c r="A117" s="9"/>
      <c r="B117" s="9"/>
      <c r="C117" s="51"/>
      <c r="D117" s="97">
        <v>27</v>
      </c>
      <c r="E117" s="98">
        <v>16</v>
      </c>
      <c r="F117" s="98"/>
      <c r="G117" s="99">
        <f t="shared" si="9"/>
        <v>108</v>
      </c>
      <c r="H117" s="102">
        <f t="shared" si="6"/>
        <v>1.03846153846154</v>
      </c>
      <c r="I117" s="106">
        <v>644</v>
      </c>
      <c r="J117" s="101">
        <f t="shared" si="10"/>
        <v>48</v>
      </c>
      <c r="K117" s="101">
        <f>IFERROR(MATCH(SUM($E$91:E117),基因产出!#REF!,1),0)+1</f>
        <v>1</v>
      </c>
      <c r="L117" s="101">
        <f>IFERROR(MATCH(SUM($E$91:E117),基因产出!#REF!,1),0)+1</f>
        <v>1</v>
      </c>
      <c r="M117" s="9"/>
      <c r="N117" s="9">
        <f t="shared" si="5"/>
        <v>322</v>
      </c>
      <c r="O117" s="9"/>
      <c r="P117" s="63"/>
      <c r="Q117" s="9"/>
    </row>
    <row r="118" ht="18" spans="1:17">
      <c r="A118" s="9"/>
      <c r="B118" s="9"/>
      <c r="C118" s="51"/>
      <c r="D118" s="97">
        <v>28</v>
      </c>
      <c r="E118" s="98">
        <v>16</v>
      </c>
      <c r="F118" s="98"/>
      <c r="G118" s="99">
        <f t="shared" si="9"/>
        <v>112</v>
      </c>
      <c r="H118" s="102">
        <f t="shared" si="6"/>
        <v>1.03703703703704</v>
      </c>
      <c r="I118" s="106">
        <v>692</v>
      </c>
      <c r="J118" s="101">
        <f t="shared" si="10"/>
        <v>48</v>
      </c>
      <c r="K118" s="101">
        <f>IFERROR(MATCH(SUM($E$91:E118),基因产出!#REF!,1),0)+1</f>
        <v>1</v>
      </c>
      <c r="L118" s="101">
        <f>IFERROR(MATCH(SUM($E$91:E118),基因产出!#REF!,1),0)+1</f>
        <v>1</v>
      </c>
      <c r="M118" s="9"/>
      <c r="N118" s="9">
        <f t="shared" si="5"/>
        <v>346</v>
      </c>
      <c r="O118" s="9"/>
      <c r="P118" s="63"/>
      <c r="Q118" s="9"/>
    </row>
    <row r="119" ht="18" spans="1:17">
      <c r="A119" s="9"/>
      <c r="B119" s="9"/>
      <c r="C119" s="51"/>
      <c r="D119" s="97">
        <v>29</v>
      </c>
      <c r="E119" s="98">
        <v>16</v>
      </c>
      <c r="F119" s="98"/>
      <c r="G119" s="99">
        <f t="shared" si="9"/>
        <v>116</v>
      </c>
      <c r="H119" s="102">
        <f t="shared" si="6"/>
        <v>1.03571428571429</v>
      </c>
      <c r="I119" s="106">
        <v>740</v>
      </c>
      <c r="J119" s="101">
        <f t="shared" si="10"/>
        <v>48</v>
      </c>
      <c r="K119" s="101">
        <f>IFERROR(MATCH(SUM($E$91:E119),基因产出!#REF!,1),0)+1</f>
        <v>1</v>
      </c>
      <c r="L119" s="101">
        <f>IFERROR(MATCH(SUM($E$91:E119),基因产出!#REF!,1),0)+1</f>
        <v>1</v>
      </c>
      <c r="M119" s="9"/>
      <c r="N119" s="9">
        <f t="shared" si="5"/>
        <v>370</v>
      </c>
      <c r="O119" s="9"/>
      <c r="P119" s="63"/>
      <c r="Q119" s="9"/>
    </row>
    <row r="120" ht="18" spans="1:17">
      <c r="A120" s="9"/>
      <c r="B120" s="9"/>
      <c r="C120" s="51"/>
      <c r="D120" s="97">
        <v>30</v>
      </c>
      <c r="E120" s="98">
        <v>16</v>
      </c>
      <c r="F120" s="98"/>
      <c r="G120" s="99">
        <f t="shared" si="9"/>
        <v>120</v>
      </c>
      <c r="H120" s="102">
        <f t="shared" si="6"/>
        <v>1.03448275862069</v>
      </c>
      <c r="I120" s="106">
        <v>788</v>
      </c>
      <c r="J120" s="101">
        <f t="shared" si="10"/>
        <v>48</v>
      </c>
      <c r="K120" s="101">
        <f>IFERROR(MATCH(SUM($E$91:E120),基因产出!#REF!,1),0)+1</f>
        <v>1</v>
      </c>
      <c r="L120" s="101">
        <f>IFERROR(MATCH(SUM($E$91:E120),基因产出!#REF!,1),0)+1</f>
        <v>1</v>
      </c>
      <c r="M120" s="9"/>
      <c r="N120" s="9">
        <f t="shared" si="5"/>
        <v>394</v>
      </c>
      <c r="O120" s="9"/>
      <c r="P120" s="63"/>
      <c r="Q120" s="9"/>
    </row>
    <row r="121" ht="18" spans="1:17">
      <c r="A121" s="9"/>
      <c r="B121" s="9"/>
      <c r="C121" s="51"/>
      <c r="D121" s="111"/>
      <c r="E121" s="111"/>
      <c r="F121" s="111"/>
      <c r="G121" s="112"/>
      <c r="H121" s="112"/>
      <c r="I121" s="113"/>
      <c r="J121" s="9"/>
      <c r="K121" s="9"/>
      <c r="L121" s="9"/>
      <c r="M121" s="9"/>
      <c r="N121" s="63"/>
      <c r="O121" s="63"/>
      <c r="P121" s="63"/>
      <c r="Q121" s="9"/>
    </row>
    <row r="122" ht="18" spans="1:17">
      <c r="A122" s="9"/>
      <c r="B122" s="9"/>
      <c r="C122" s="51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63"/>
      <c r="O122" s="63"/>
      <c r="P122" s="63"/>
      <c r="Q122" s="9"/>
    </row>
    <row r="123" ht="18" spans="1:17">
      <c r="A123" s="9"/>
      <c r="B123" s="9"/>
      <c r="C123" s="51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ht="18" spans="1:17">
      <c r="A124" s="114" t="s">
        <v>124</v>
      </c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</row>
    <row r="125" ht="18" spans="1:17">
      <c r="A125" s="9"/>
      <c r="B125" s="9"/>
      <c r="C125" s="51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ht="17.25" spans="1:17">
      <c r="A126" s="52"/>
      <c r="B126" s="18"/>
      <c r="C126" s="19" t="s">
        <v>125</v>
      </c>
      <c r="D126" s="9"/>
      <c r="E126" s="9"/>
      <c r="F126" s="9"/>
      <c r="G126" s="9"/>
      <c r="H126" s="9"/>
      <c r="I126" s="9"/>
      <c r="K126" s="9"/>
      <c r="L126" s="9"/>
      <c r="M126" s="9"/>
      <c r="Q126" s="9"/>
    </row>
    <row r="127" ht="18" spans="1:17">
      <c r="A127" s="9"/>
      <c r="B127" s="9"/>
      <c r="C127" s="51"/>
      <c r="D127" s="9"/>
      <c r="E127" s="9"/>
      <c r="F127" s="9"/>
      <c r="G127" s="9"/>
      <c r="H127" s="9"/>
      <c r="I127" s="9"/>
      <c r="J127" s="9"/>
      <c r="Q127" s="9"/>
    </row>
    <row r="128" ht="18" spans="1:17">
      <c r="A128" s="9"/>
      <c r="B128" s="9"/>
      <c r="C128" s="51"/>
      <c r="D128" s="53" t="s">
        <v>125</v>
      </c>
      <c r="E128" s="53" t="s">
        <v>126</v>
      </c>
      <c r="F128" s="53"/>
      <c r="G128" s="53" t="s">
        <v>127</v>
      </c>
      <c r="H128" s="9"/>
      <c r="I128" s="9"/>
      <c r="J128" s="9"/>
      <c r="Q128" s="9"/>
    </row>
    <row r="129" ht="18" spans="1:41">
      <c r="A129" s="9"/>
      <c r="B129" s="9"/>
      <c r="C129" s="51"/>
      <c r="D129" s="55" t="s">
        <v>128</v>
      </c>
      <c r="E129" s="55">
        <v>1</v>
      </c>
      <c r="F129" s="55"/>
      <c r="G129" s="55">
        <v>8</v>
      </c>
      <c r="H129" s="9"/>
      <c r="I129" s="9"/>
      <c r="J129" s="9"/>
      <c r="Q129" s="9"/>
    </row>
    <row r="130" ht="18" spans="1:41">
      <c r="A130" s="9"/>
      <c r="B130" s="9"/>
      <c r="C130" s="51"/>
      <c r="D130" s="55" t="s">
        <v>129</v>
      </c>
      <c r="E130" s="55">
        <v>1</v>
      </c>
      <c r="F130" s="55"/>
      <c r="G130" s="55">
        <v>3</v>
      </c>
      <c r="H130" s="9"/>
      <c r="I130" s="9"/>
      <c r="Q130" s="9"/>
    </row>
    <row r="131" ht="18" spans="1:41">
      <c r="A131" s="9"/>
      <c r="B131" s="9"/>
      <c r="C131" s="51"/>
      <c r="D131" s="55" t="s">
        <v>130</v>
      </c>
      <c r="E131" s="55">
        <v>1</v>
      </c>
      <c r="F131" s="55"/>
      <c r="G131" s="55">
        <v>60</v>
      </c>
      <c r="H131" s="9" t="s">
        <v>131</v>
      </c>
      <c r="I131" s="9"/>
      <c r="J131" s="9"/>
      <c r="K131" s="9"/>
      <c r="L131" s="9"/>
      <c r="M131" s="9"/>
      <c r="N131" s="9"/>
      <c r="O131" s="9"/>
      <c r="P131" s="9"/>
      <c r="Q131" s="9"/>
    </row>
    <row r="132" ht="18" spans="1:41">
      <c r="A132" s="9"/>
      <c r="B132" s="9"/>
      <c r="C132" s="51"/>
      <c r="D132" s="55" t="s">
        <v>132</v>
      </c>
      <c r="E132" s="55">
        <v>1</v>
      </c>
      <c r="F132" s="55"/>
      <c r="G132" s="55">
        <v>20</v>
      </c>
      <c r="H132" s="9"/>
      <c r="I132" s="9"/>
      <c r="J132" s="9"/>
      <c r="K132" s="9"/>
      <c r="L132" s="9"/>
      <c r="M132" s="9"/>
      <c r="N132" s="9"/>
      <c r="O132" s="9"/>
      <c r="P132" s="9"/>
      <c r="Q132" s="9">
        <v>0.0007</v>
      </c>
    </row>
    <row r="133" ht="18" spans="1:41">
      <c r="A133" s="9"/>
      <c r="B133" s="9"/>
      <c r="C133" s="51"/>
      <c r="D133" s="55" t="s">
        <v>133</v>
      </c>
      <c r="E133" s="55">
        <v>1</v>
      </c>
      <c r="F133" s="55"/>
      <c r="G133" s="55">
        <v>50</v>
      </c>
      <c r="H133" s="9"/>
      <c r="I133" s="9"/>
      <c r="J133" s="9"/>
      <c r="K133" s="9"/>
      <c r="L133" s="9"/>
      <c r="M133" s="9"/>
      <c r="N133" s="9"/>
      <c r="O133" s="9"/>
      <c r="P133" s="9"/>
      <c r="Q133" s="9">
        <f>Q132*60*24</f>
        <v>1.008</v>
      </c>
    </row>
    <row r="134" ht="18" spans="1:41">
      <c r="A134" s="9"/>
      <c r="B134" s="9"/>
      <c r="C134" s="51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ht="17.25" spans="1:41">
      <c r="A135" s="52"/>
      <c r="B135" s="18"/>
      <c r="C135" s="19" t="s">
        <v>134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ht="18" spans="1:41">
      <c r="A136" s="9"/>
      <c r="B136" s="9"/>
      <c r="C136" s="51"/>
      <c r="D136" s="9" t="s">
        <v>135</v>
      </c>
      <c r="E136" s="9"/>
      <c r="F136" s="9"/>
      <c r="G136" s="9"/>
      <c r="H136" s="9"/>
      <c r="I136" s="9"/>
      <c r="J136" s="9"/>
      <c r="K136" s="9"/>
      <c r="L136" s="9"/>
      <c r="M136" s="9"/>
      <c r="N136" s="9">
        <f>SUM(N141:N500)</f>
        <v>0.6</v>
      </c>
      <c r="O136" s="9"/>
      <c r="P136" s="9"/>
      <c r="Q136" s="9"/>
    </row>
    <row r="137" ht="18" spans="1:41">
      <c r="A137" s="9"/>
      <c r="B137" s="9"/>
      <c r="C137" s="51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15">
        <v>0.0075</v>
      </c>
      <c r="O137" s="9"/>
      <c r="P137" s="9"/>
      <c r="Q137" s="9" t="s">
        <v>136</v>
      </c>
      <c r="R137" s="9"/>
      <c r="X137" s="15" t="s">
        <v>137</v>
      </c>
    </row>
    <row r="138" ht="18" spans="1:41">
      <c r="A138" s="9"/>
      <c r="B138" s="9"/>
      <c r="C138" s="51"/>
      <c r="D138" s="116" t="s">
        <v>138</v>
      </c>
      <c r="J138" s="117" t="s">
        <v>55</v>
      </c>
      <c r="K138" s="117"/>
      <c r="L138" s="117"/>
      <c r="M138" s="117"/>
      <c r="N138" s="117"/>
      <c r="O138" s="117"/>
      <c r="P138" s="117"/>
      <c r="Q138" s="117"/>
      <c r="R138" s="117"/>
      <c r="S138" s="118"/>
      <c r="T138" s="119"/>
      <c r="U138" s="120" t="s">
        <v>57</v>
      </c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17" t="s">
        <v>139</v>
      </c>
      <c r="AF138" s="117"/>
      <c r="AG138" s="117"/>
      <c r="AH138" s="117"/>
    </row>
    <row r="139" ht="18" spans="1:41">
      <c r="A139" s="9"/>
      <c r="B139" s="9"/>
      <c r="C139" s="51"/>
      <c r="D139" s="116" t="s">
        <v>54</v>
      </c>
      <c r="I139" s="1">
        <v>200</v>
      </c>
      <c r="J139" s="122">
        <f ca="1">SUM(OFFSET(J$141,0,0,MATCH($I$139,$F$141:$F$500,1),1))</f>
        <v>4468</v>
      </c>
      <c r="K139" s="122">
        <f ca="1">SUM(OFFSET(K$141,0,0,$I$139,1))</f>
        <v>2.5</v>
      </c>
      <c r="L139" s="122">
        <f ca="1">((6+SUM(OFFSET(L$141,0,0,$I$139,1)))*M139+1-M139)*(1+K139)</f>
        <v>5.775</v>
      </c>
      <c r="M139" s="122">
        <f ca="1">SUM(OFFSET(M$141,0,0,$I$139,1))</f>
        <v>0.1</v>
      </c>
      <c r="N139" s="122">
        <f ca="1">30/(1+SUM(OFFSET(N$141,0,0,$I$139,1)))</f>
        <v>21.8181818181818</v>
      </c>
      <c r="O139" s="122">
        <f ca="1">SUM(OFFSET(O$141,0,0,$I$139,1))</f>
        <v>1</v>
      </c>
      <c r="P139" s="123"/>
      <c r="Q139" s="124"/>
      <c r="R139" s="124"/>
      <c r="S139" s="124">
        <v>600</v>
      </c>
      <c r="T139" s="125"/>
      <c r="U139" s="126">
        <v>1000</v>
      </c>
      <c r="V139" s="127">
        <v>1</v>
      </c>
      <c r="W139" s="126">
        <f>300/5*3</f>
        <v>180</v>
      </c>
      <c r="X139" s="126"/>
      <c r="Y139" s="126" t="s">
        <v>140</v>
      </c>
      <c r="Z139" s="119"/>
      <c r="AA139" s="119"/>
      <c r="AB139" s="119"/>
      <c r="AC139" s="119"/>
      <c r="AD139" s="119"/>
      <c r="AE139" s="117">
        <f>AE340</f>
        <v>2369190</v>
      </c>
      <c r="AF139" s="117">
        <f>AF340</f>
        <v>90968</v>
      </c>
      <c r="AG139" s="117">
        <f>AG340</f>
        <v>2642094</v>
      </c>
      <c r="AH139" s="117">
        <f>AH340</f>
        <v>1786.87955785424</v>
      </c>
    </row>
    <row r="140" ht="18" spans="1:41">
      <c r="A140" s="9"/>
      <c r="B140" s="9"/>
      <c r="C140" s="51"/>
      <c r="D140" s="13" t="s">
        <v>141</v>
      </c>
      <c r="E140" s="13" t="s">
        <v>142</v>
      </c>
      <c r="F140" s="13" t="s">
        <v>143</v>
      </c>
      <c r="G140" s="13" t="s">
        <v>144</v>
      </c>
      <c r="H140" s="13" t="s">
        <v>145</v>
      </c>
      <c r="I140" s="13" t="s">
        <v>146</v>
      </c>
      <c r="J140" s="13" t="s">
        <v>147</v>
      </c>
      <c r="K140" s="13" t="s">
        <v>148</v>
      </c>
      <c r="L140" s="13" t="s">
        <v>149</v>
      </c>
      <c r="M140" s="13" t="s">
        <v>150</v>
      </c>
      <c r="N140" s="13" t="s">
        <v>151</v>
      </c>
      <c r="O140" s="13" t="s">
        <v>152</v>
      </c>
      <c r="P140" s="13" t="s">
        <v>153</v>
      </c>
      <c r="Q140" s="13" t="s">
        <v>129</v>
      </c>
      <c r="R140" s="13" t="s">
        <v>128</v>
      </c>
      <c r="S140" s="13" t="s">
        <v>154</v>
      </c>
      <c r="T140" s="128" t="s">
        <v>59</v>
      </c>
      <c r="U140" s="54" t="s">
        <v>35</v>
      </c>
      <c r="V140" s="129" t="s">
        <v>53</v>
      </c>
      <c r="W140" s="13" t="s">
        <v>155</v>
      </c>
      <c r="X140" s="13" t="s">
        <v>128</v>
      </c>
      <c r="Y140" s="53" t="s">
        <v>156</v>
      </c>
      <c r="Z140" s="13" t="s">
        <v>157</v>
      </c>
      <c r="AA140" s="13" t="s">
        <v>158</v>
      </c>
      <c r="AB140" s="13" t="s">
        <v>159</v>
      </c>
      <c r="AC140" s="13" t="s">
        <v>160</v>
      </c>
      <c r="AD140" s="13"/>
      <c r="AE140" s="13" t="s">
        <v>161</v>
      </c>
      <c r="AF140" s="13" t="s">
        <v>162</v>
      </c>
      <c r="AG140" s="13" t="s">
        <v>163</v>
      </c>
      <c r="AH140" s="13" t="s">
        <v>154</v>
      </c>
      <c r="AL140" s="13" t="s">
        <v>154</v>
      </c>
      <c r="AM140" s="13" t="s">
        <v>164</v>
      </c>
    </row>
    <row r="141" ht="18" spans="1:41">
      <c r="A141" s="9" t="s">
        <v>165</v>
      </c>
      <c r="B141" s="9" t="str">
        <f>"[{5205001,3},{2,"&amp;X141&amp;"}]"</f>
        <v>[{5205001,3},{2,200}]</v>
      </c>
      <c r="C141" s="51" t="str">
        <f>"[{5203001,"&amp;Q142&amp;"},{2,"&amp;R142&amp;"}]"</f>
        <v>[{5203001,5},{2,100}]</v>
      </c>
      <c r="D141" s="130">
        <v>1</v>
      </c>
      <c r="E141" s="130">
        <f>INT(AH141)+1</f>
        <v>1</v>
      </c>
      <c r="F141" s="130">
        <v>16</v>
      </c>
      <c r="G141" s="130">
        <v>1</v>
      </c>
      <c r="H141" s="130">
        <f>SUMIFS(基因产出!$F$90:$F$389,基因产出!$D$90:$D$389,"&lt;="&amp;E141,基因产出!$D$90:$D$389,"&gt;"&amp;_xlfn.MAXIFS($E$141:E141,$E$141:E141,"&lt;"&amp;E141))/COUNTIF($E$141:$E$500,E141)</f>
        <v>33.3333333333333</v>
      </c>
      <c r="I141" s="130">
        <v>1</v>
      </c>
      <c r="J141" s="131">
        <f>--SUBSTITUTE(LEFT(A141,FIND("\",A141)-1),"队长攻击力+","")</f>
        <v>6</v>
      </c>
      <c r="K141" s="132">
        <f>IFERROR(IF(FIND(K$140,$A141)&gt;0,5%,0%),"")</f>
        <v>0.05</v>
      </c>
      <c r="L141" s="132" t="str">
        <f>IFERROR(IF(FIND(L$140,$A141)&gt;0,3%,0%),"")</f>
        <v/>
      </c>
      <c r="M141" s="132" t="str">
        <f>IFERROR(IF(FIND(M$140,$A141)&gt;0,0.2%,0%),"")</f>
        <v/>
      </c>
      <c r="N141" s="132" t="str">
        <f>IFERROR(IF(FIND(N$140,$A141)&gt;0,$N$137,0%),IF(O141="","",$N$137))</f>
        <v/>
      </c>
      <c r="O141" s="132" t="str">
        <f>IFERROR(IF(FIND(O$140,$A141)&gt;0,5%,0%),"")</f>
        <v/>
      </c>
      <c r="P141" s="132"/>
      <c r="Q141" s="132" t="s">
        <v>166</v>
      </c>
      <c r="R141" s="132" t="s">
        <v>166</v>
      </c>
      <c r="S141" s="133" t="s">
        <v>166</v>
      </c>
      <c r="T141" s="134">
        <f>INT(SUM($W$141:W141)/3)+1</f>
        <v>1</v>
      </c>
      <c r="U141" s="135" t="str">
        <f>IFERROR(IF(FIND("攻击",V141)&gt;0,SUBSTITUTE(V141,"攻击+",""),""),"")</f>
        <v/>
      </c>
      <c r="V141" s="136" t="s">
        <v>66</v>
      </c>
      <c r="W141" s="137">
        <v>0</v>
      </c>
      <c r="X141" s="137">
        <v>200</v>
      </c>
      <c r="Y141" s="137"/>
      <c r="Z141" s="137"/>
      <c r="AA141" s="137"/>
      <c r="AB141" s="137"/>
      <c r="AC141" s="137"/>
      <c r="AD141" s="137"/>
      <c r="AE141" s="138">
        <f>SUM($R$141:$R141)+SUM($X$141:$X141)</f>
        <v>200</v>
      </c>
      <c r="AF141" s="137"/>
      <c r="AG141" s="137"/>
      <c r="AH141" s="139">
        <f>SUM($S$141:S141)</f>
        <v>0</v>
      </c>
      <c r="AL141" s="15">
        <v>1</v>
      </c>
      <c r="AM141" s="15">
        <f>SUMIF($E$141:$E$500,"&lt;="&amp;AL141,$R$141:$R$500)</f>
        <v>7640</v>
      </c>
      <c r="AN141" s="15">
        <f>SUMIF([1]装备属性!$M$571:$M$870,"&lt;="&amp;AL141,[1]装备属性!$Q$571:$Q$870)</f>
        <v>0</v>
      </c>
      <c r="AO141" s="15" t="e">
        <f>AM141/AN141</f>
        <v>#DIV/0!</v>
      </c>
    </row>
    <row r="142" ht="18" spans="1:41">
      <c r="A142" s="9" t="s">
        <v>167</v>
      </c>
      <c r="B142" s="9" t="str">
        <f t="shared" ref="B142:B205" si="11">"[{5205001,3},{2,"&amp;X142&amp;"}]"</f>
        <v>[{5205001,3},{2,}]</v>
      </c>
      <c r="C142" s="51" t="str">
        <f t="shared" ref="C142:C205" si="12">"[{5203001,"&amp;Q143&amp;"},{2,"&amp;R143&amp;"}]"</f>
        <v>[{5203001,7},{2,160}]</v>
      </c>
      <c r="D142" s="140">
        <v>2</v>
      </c>
      <c r="E142" s="130">
        <f t="shared" ref="E142:E205" si="13">INT(AH142)+1</f>
        <v>1</v>
      </c>
      <c r="F142" s="130">
        <v>16</v>
      </c>
      <c r="G142" s="130">
        <v>1</v>
      </c>
      <c r="H142" s="130">
        <f>SUMIFS(基因产出!$F$90:$F$389,基因产出!$D$90:$D$389,"&lt;="&amp;E142,基因产出!$D$90:$D$389,"&gt;"&amp;_xlfn.MAXIFS($E$141:E142,$E$141:E142,"&lt;"&amp;E142))/COUNTIF($E$141:$E$500,E142)</f>
        <v>33.3333333333333</v>
      </c>
      <c r="I142" s="130">
        <f>IF(COUNTIF($I$141:$I141,$I141)=VLOOKUP($I141,$D$90:$E$120,2,0),$I141+1,$I141)</f>
        <v>1</v>
      </c>
      <c r="J142" s="131">
        <f t="shared" ref="J142:J205" si="14">--SUBSTITUTE(LEFT(A142,FIND("\",A142)-1),"队长攻击力+","")</f>
        <v>6</v>
      </c>
      <c r="K142" s="132" t="str">
        <f t="shared" ref="K142:K205" si="15">IFERROR(IF(FIND(K$140,$A142)&gt;0,5%,0%),"")</f>
        <v/>
      </c>
      <c r="L142" s="132" t="str">
        <f t="shared" ref="L142:L205" si="16">IFERROR(IF(FIND(L$140,$A142)&gt;0,3%,0%),"")</f>
        <v/>
      </c>
      <c r="M142" s="132" t="str">
        <f t="shared" ref="M142:M205" si="17">IFERROR(IF(FIND(M$140,$A142)&gt;0,0.2%,0%),"")</f>
        <v/>
      </c>
      <c r="N142" s="132">
        <f>IFERROR(IF(FIND(N$140,$A142)&gt;0,$N$137,0%),IF(O142="","",$N$137))</f>
        <v>0.0075</v>
      </c>
      <c r="O142" s="132">
        <f t="shared" ref="O142:O205" si="18">IFERROR(IF(FIND(O$140,$A142)&gt;0,5%,0%),"")</f>
        <v>0.05</v>
      </c>
      <c r="P142" s="141">
        <f>(SUM($Q$142:Q142)-SUM($H$141:H142))/SUM($H$141:H142)</f>
        <v>-0.925</v>
      </c>
      <c r="Q142" s="142">
        <f>INT(D142*2.5)</f>
        <v>5</v>
      </c>
      <c r="R142" s="142">
        <v>100</v>
      </c>
      <c r="S142" s="133">
        <f>MAX(VLOOKUP(I142,$D$91:$J$120,6,0)*($D141)/(SUMIF($I$141:$I$500,$I142,$D$141:$D$500))*$E$83/24,IF(ISNUMBER(S141),S141+0.0007,0))</f>
        <v>0.00347222222222222</v>
      </c>
      <c r="T142" s="134">
        <f>INT(SUM($W$141:W142)/3)+1</f>
        <v>1</v>
      </c>
      <c r="U142" s="135" t="str">
        <f t="shared" ref="U142:U205" si="19">IFERROR(IF(FIND("攻击",V142)&gt;0,SUBSTITUTE(V142,"攻击+",""),""),"")</f>
        <v/>
      </c>
      <c r="V142" s="136" t="s">
        <v>168</v>
      </c>
      <c r="W142" s="137" t="str">
        <f>IF(U142&amp;V142="","",3)</f>
        <v/>
      </c>
      <c r="X142" s="137" t="str">
        <f t="shared" ref="X142:X205" si="20">IFERROR(IF(W142="","",R142*4),"")</f>
        <v/>
      </c>
      <c r="Y142" s="138"/>
      <c r="Z142" s="138"/>
      <c r="AA142" s="138"/>
      <c r="AB142" s="138"/>
      <c r="AC142" s="138"/>
      <c r="AD142" s="138"/>
      <c r="AE142" s="138">
        <f>SUM($R$141:$R142)+SUM($X$141:$X142)</f>
        <v>300</v>
      </c>
      <c r="AF142" s="138">
        <f>SUM($Q$142:Q142)</f>
        <v>5</v>
      </c>
      <c r="AG142" s="137">
        <f>AF142*3+AE142</f>
        <v>315</v>
      </c>
      <c r="AH142" s="139">
        <f>SUM($S$141:S142)</f>
        <v>0.00347222222222222</v>
      </c>
      <c r="AI142" s="133">
        <f>S142/2</f>
        <v>0.00173611111111111</v>
      </c>
      <c r="AJ142" s="15">
        <f>CEILING(AI142*3600*24,300)</f>
        <v>300</v>
      </c>
      <c r="AL142" s="15">
        <v>2</v>
      </c>
      <c r="AM142" s="15">
        <f t="shared" ref="AM142:AM205" si="21">SUMIF($E$141:$E$500,"&lt;="&amp;AL142,$R$141:$R$500)</f>
        <v>12340</v>
      </c>
      <c r="AN142" s="15">
        <f>SUMIF([1]装备属性!$M$571:$M$870,"&lt;="&amp;AL142,[1]装备属性!$Q$571:$Q$870)</f>
        <v>0</v>
      </c>
      <c r="AO142" s="15" t="e">
        <f t="shared" ref="AO142:AO205" si="22">AM142/AN142</f>
        <v>#DIV/0!</v>
      </c>
    </row>
    <row r="143" ht="18" spans="1:41">
      <c r="A143" s="9" t="s">
        <v>169</v>
      </c>
      <c r="B143" s="9" t="str">
        <f t="shared" si="11"/>
        <v>[{5205001,3},{2,}]</v>
      </c>
      <c r="C143" s="51" t="str">
        <f t="shared" si="12"/>
        <v>[{5203001,10},{2,230}]</v>
      </c>
      <c r="D143" s="140">
        <v>3</v>
      </c>
      <c r="E143" s="130">
        <f t="shared" si="13"/>
        <v>1</v>
      </c>
      <c r="F143" s="130">
        <v>16</v>
      </c>
      <c r="G143" s="130">
        <v>1</v>
      </c>
      <c r="H143" s="130">
        <f>SUMIFS(基因产出!$F$90:$F$389,基因产出!$D$90:$D$389,"&lt;="&amp;E143,基因产出!$D$90:$D$389,"&gt;"&amp;_xlfn.MAXIFS($E$141:E143,$E$141:E143,"&lt;"&amp;E143))/COUNTIF($E$141:$E$500,E143)</f>
        <v>33.3333333333333</v>
      </c>
      <c r="I143" s="130">
        <f>IF(COUNTIF($I$141:$I142,$I142)=VLOOKUP($I142,$D$90:$E$120,2,0),$I142+1,$I142)</f>
        <v>1</v>
      </c>
      <c r="J143" s="131">
        <f t="shared" si="14"/>
        <v>6</v>
      </c>
      <c r="K143" s="132" t="str">
        <f t="shared" si="15"/>
        <v/>
      </c>
      <c r="L143" s="132" t="str">
        <f t="shared" si="16"/>
        <v/>
      </c>
      <c r="M143" s="132">
        <f t="shared" si="17"/>
        <v>0.002</v>
      </c>
      <c r="N143" s="132" t="str">
        <f t="shared" ref="N143:N206" si="23">IFERROR(IF(FIND(N$140,$A143)&gt;0,$N$137,0%),IF(O143="","",$N$137))</f>
        <v/>
      </c>
      <c r="O143" s="132" t="str">
        <f t="shared" si="18"/>
        <v/>
      </c>
      <c r="P143" s="141">
        <f>(SUM($Q$142:Q143)-SUM($H$141:H143))/SUM($H$141:H143)</f>
        <v>-0.88</v>
      </c>
      <c r="Q143" s="142">
        <f t="shared" ref="Q143:Q160" si="24">INT(D143*2.5)</f>
        <v>7</v>
      </c>
      <c r="R143" s="142">
        <v>160</v>
      </c>
      <c r="S143" s="133">
        <f t="shared" ref="S143:S206" si="25">MAX(VLOOKUP(I143,$D$91:$J$120,6,0)*($D142)/(SUMIF($I$141:$I$500,$I143,$D$141:$D$500))*$E$83/24,IF(ISNUMBER(S142),S142+0.0007,0))</f>
        <v>0.00694444444444444</v>
      </c>
      <c r="T143" s="134">
        <f>INT(SUM($W$141:W143)/3)+1</f>
        <v>1</v>
      </c>
      <c r="U143" s="135" t="str">
        <f t="shared" si="19"/>
        <v/>
      </c>
      <c r="V143" s="136" t="s">
        <v>168</v>
      </c>
      <c r="W143" s="137" t="str">
        <f t="shared" ref="W143:W206" si="26">IF(U143&amp;V143="","",3)</f>
        <v/>
      </c>
      <c r="X143" s="137" t="str">
        <f t="shared" si="20"/>
        <v/>
      </c>
      <c r="Y143" s="138"/>
      <c r="Z143" s="138"/>
      <c r="AA143" s="138"/>
      <c r="AB143" s="138"/>
      <c r="AC143" s="138"/>
      <c r="AD143" s="138"/>
      <c r="AE143" s="138">
        <f>SUM($R$141:$R143)+SUM($X$141:$X143)</f>
        <v>460</v>
      </c>
      <c r="AF143" s="138">
        <f>SUM($Q$142:Q143)</f>
        <v>12</v>
      </c>
      <c r="AG143" s="137">
        <f t="shared" ref="AG143:AG206" si="27">AF143*3+AE143</f>
        <v>496</v>
      </c>
      <c r="AH143" s="139">
        <f>SUM($S$141:S143)</f>
        <v>0.0104166666666667</v>
      </c>
      <c r="AI143" s="133">
        <f t="shared" ref="AI143:AI206" si="28">S143/2</f>
        <v>0.00347222222222222</v>
      </c>
      <c r="AJ143" s="15">
        <f t="shared" ref="AJ143:AJ206" si="29">CEILING(AI143*3600*24,300)</f>
        <v>300</v>
      </c>
      <c r="AL143" s="15">
        <v>3</v>
      </c>
      <c r="AM143" s="15">
        <f t="shared" si="21"/>
        <v>16600</v>
      </c>
      <c r="AN143" s="15">
        <f>SUMIF([1]装备属性!$M$571:$M$870,"&lt;="&amp;AL143,[1]装备属性!$Q$571:$Q$870)</f>
        <v>0</v>
      </c>
      <c r="AO143" s="15" t="e">
        <f t="shared" si="22"/>
        <v>#DIV/0!</v>
      </c>
    </row>
    <row r="144" ht="18" spans="1:41">
      <c r="A144" s="9" t="s">
        <v>170</v>
      </c>
      <c r="B144" s="9" t="str">
        <f t="shared" si="11"/>
        <v>[{5205001,3},{2,920}]</v>
      </c>
      <c r="C144" s="51" t="str">
        <f t="shared" si="12"/>
        <v>[{5203001,12},{2,300}]</v>
      </c>
      <c r="D144" s="140">
        <v>4</v>
      </c>
      <c r="E144" s="130">
        <f t="shared" si="13"/>
        <v>1</v>
      </c>
      <c r="F144" s="130">
        <v>16</v>
      </c>
      <c r="G144" s="130">
        <v>1</v>
      </c>
      <c r="H144" s="130">
        <f>SUMIFS(基因产出!$F$90:$F$389,基因产出!$D$90:$D$389,"&lt;="&amp;E144,基因产出!$D$90:$D$389,"&gt;"&amp;_xlfn.MAXIFS($E$141:E144,$E$141:E144,"&lt;"&amp;E144))/COUNTIF($E$141:$E$500,E144)</f>
        <v>33.3333333333333</v>
      </c>
      <c r="I144" s="130">
        <f>IF(COUNTIF($I$141:$I143,$I143)=VLOOKUP($I143,$D$90:$E$120,2,0),$I143+1,$I143)</f>
        <v>1</v>
      </c>
      <c r="J144" s="131">
        <f t="shared" si="14"/>
        <v>6</v>
      </c>
      <c r="K144" s="132" t="str">
        <f t="shared" si="15"/>
        <v/>
      </c>
      <c r="L144" s="132">
        <f t="shared" si="16"/>
        <v>0.03</v>
      </c>
      <c r="M144" s="132" t="str">
        <f t="shared" si="17"/>
        <v/>
      </c>
      <c r="N144" s="132" t="str">
        <f t="shared" si="23"/>
        <v/>
      </c>
      <c r="O144" s="132" t="str">
        <f t="shared" si="18"/>
        <v/>
      </c>
      <c r="P144" s="141">
        <f>(SUM($Q$142:Q144)-SUM($H$141:H144))/SUM($H$141:H144)</f>
        <v>-0.835</v>
      </c>
      <c r="Q144" s="142">
        <f t="shared" si="24"/>
        <v>10</v>
      </c>
      <c r="R144" s="142">
        <v>230</v>
      </c>
      <c r="S144" s="133">
        <f t="shared" si="25"/>
        <v>0.0104166666666667</v>
      </c>
      <c r="T144" s="134">
        <f>INT(SUM($W$141:W144)/3)+1</f>
        <v>2</v>
      </c>
      <c r="U144" s="135" t="str">
        <f t="shared" si="19"/>
        <v/>
      </c>
      <c r="V144" s="136" t="s">
        <v>70</v>
      </c>
      <c r="W144" s="137">
        <f t="shared" si="26"/>
        <v>3</v>
      </c>
      <c r="X144" s="137">
        <f t="shared" si="20"/>
        <v>920</v>
      </c>
      <c r="Y144" s="138"/>
      <c r="Z144" s="138">
        <v>1</v>
      </c>
      <c r="AA144" s="138">
        <v>2</v>
      </c>
      <c r="AB144" s="138" t="str">
        <f>"{"&amp;6000+AD144&amp;","&amp;5000+AD144&amp;","&amp;4000+AD144&amp;"}"</f>
        <v>{6000,5000,4000}</v>
      </c>
      <c r="AC144" s="138"/>
      <c r="AD144" s="138"/>
      <c r="AE144" s="138">
        <f>SUM($R$141:$R144)+SUM($X$141:$X144)</f>
        <v>1610</v>
      </c>
      <c r="AF144" s="138">
        <f>SUM($Q$142:Q144)</f>
        <v>22</v>
      </c>
      <c r="AG144" s="137">
        <f t="shared" si="27"/>
        <v>1676</v>
      </c>
      <c r="AH144" s="139">
        <f>SUM($S$141:S144)</f>
        <v>0.0208333333333333</v>
      </c>
      <c r="AI144" s="133">
        <f t="shared" si="28"/>
        <v>0.00520833333333333</v>
      </c>
      <c r="AJ144" s="15">
        <f t="shared" si="29"/>
        <v>600</v>
      </c>
      <c r="AL144" s="15">
        <v>4</v>
      </c>
      <c r="AM144" s="15">
        <f t="shared" si="21"/>
        <v>21490</v>
      </c>
      <c r="AN144" s="15">
        <f>SUMIF([1]装备属性!$M$571:$M$870,"&lt;="&amp;AL144,[1]装备属性!$Q$571:$Q$870)</f>
        <v>0</v>
      </c>
      <c r="AO144" s="15" t="e">
        <f t="shared" si="22"/>
        <v>#DIV/0!</v>
      </c>
    </row>
    <row r="145" ht="18" spans="1:41">
      <c r="A145" s="9" t="s">
        <v>165</v>
      </c>
      <c r="B145" s="9" t="str">
        <f t="shared" si="11"/>
        <v>[{5205001,3},{2,}]</v>
      </c>
      <c r="C145" s="51" t="str">
        <f t="shared" si="12"/>
        <v>[{5203001,15},{2,370}]</v>
      </c>
      <c r="D145" s="140">
        <v>5</v>
      </c>
      <c r="E145" s="130">
        <f t="shared" si="13"/>
        <v>1</v>
      </c>
      <c r="F145" s="130">
        <v>16</v>
      </c>
      <c r="G145" s="130">
        <v>1</v>
      </c>
      <c r="H145" s="130">
        <f>SUMIFS(基因产出!$F$90:$F$389,基因产出!$D$90:$D$389,"&lt;="&amp;E145,基因产出!$D$90:$D$389,"&gt;"&amp;_xlfn.MAXIFS($E$141:E145,$E$141:E145,"&lt;"&amp;E145))/COUNTIF($E$141:$E$500,E145)</f>
        <v>33.3333333333333</v>
      </c>
      <c r="I145" s="130">
        <f>IF(COUNTIF($I$141:$I144,$I144)=VLOOKUP($I144,$D$90:$E$120,2,0),$I144+1,$I144)</f>
        <v>1</v>
      </c>
      <c r="J145" s="131">
        <f t="shared" si="14"/>
        <v>6</v>
      </c>
      <c r="K145" s="132">
        <f t="shared" si="15"/>
        <v>0.05</v>
      </c>
      <c r="L145" s="132" t="str">
        <f t="shared" si="16"/>
        <v/>
      </c>
      <c r="M145" s="132" t="str">
        <f t="shared" si="17"/>
        <v/>
      </c>
      <c r="N145" s="132" t="str">
        <f t="shared" si="23"/>
        <v/>
      </c>
      <c r="O145" s="132" t="str">
        <f t="shared" si="18"/>
        <v/>
      </c>
      <c r="P145" s="141">
        <f>(SUM($Q$142:Q145)-SUM($H$141:H145))/SUM($H$141:H145)</f>
        <v>-0.796</v>
      </c>
      <c r="Q145" s="142">
        <f t="shared" si="24"/>
        <v>12</v>
      </c>
      <c r="R145" s="142">
        <v>300</v>
      </c>
      <c r="S145" s="133">
        <f t="shared" si="25"/>
        <v>0.0138888888888889</v>
      </c>
      <c r="T145" s="134">
        <f>INT(SUM($W$141:W145)/3)+1</f>
        <v>2</v>
      </c>
      <c r="U145" s="135" t="str">
        <f t="shared" si="19"/>
        <v/>
      </c>
      <c r="V145" s="136" t="s">
        <v>168</v>
      </c>
      <c r="W145" s="137" t="str">
        <f t="shared" si="26"/>
        <v/>
      </c>
      <c r="X145" s="137" t="str">
        <f t="shared" si="20"/>
        <v/>
      </c>
      <c r="Y145" s="138"/>
      <c r="Z145" s="138">
        <v>1</v>
      </c>
      <c r="AA145" s="138">
        <v>2</v>
      </c>
      <c r="AB145" s="138" t="str">
        <f t="shared" ref="AB145:AB208" si="30">"{"&amp;6000+AD145&amp;","&amp;5000+AD145&amp;","&amp;4000+AD145&amp;"}"</f>
        <v>{6000,5000,4000}</v>
      </c>
      <c r="AC145" s="138"/>
      <c r="AD145" s="138"/>
      <c r="AE145" s="138">
        <f>SUM($R$141:$R145)+SUM($X$141:$X145)</f>
        <v>1910</v>
      </c>
      <c r="AF145" s="138">
        <f>SUM($Q$142:Q145)</f>
        <v>34</v>
      </c>
      <c r="AG145" s="137">
        <f t="shared" si="27"/>
        <v>2012</v>
      </c>
      <c r="AH145" s="139">
        <f>SUM($S$141:S145)</f>
        <v>0.0347222222222222</v>
      </c>
      <c r="AI145" s="133">
        <f t="shared" si="28"/>
        <v>0.00694444444444444</v>
      </c>
      <c r="AJ145" s="15">
        <f t="shared" si="29"/>
        <v>600</v>
      </c>
      <c r="AL145" s="15">
        <v>5</v>
      </c>
      <c r="AM145" s="15">
        <f t="shared" si="21"/>
        <v>25100</v>
      </c>
      <c r="AN145" s="15">
        <f>SUMIF([1]装备属性!$M$571:$M$870,"&lt;="&amp;AL145,[1]装备属性!$Q$571:$Q$870)</f>
        <v>0</v>
      </c>
      <c r="AO145" s="15" t="e">
        <f t="shared" si="22"/>
        <v>#DIV/0!</v>
      </c>
    </row>
    <row r="146" ht="18" spans="1:41">
      <c r="A146" s="9" t="s">
        <v>167</v>
      </c>
      <c r="B146" s="9" t="str">
        <f t="shared" si="11"/>
        <v>[{5205001,3},{2,}]</v>
      </c>
      <c r="C146" s="51" t="str">
        <f t="shared" si="12"/>
        <v>[{5203001,17},{2,440}]</v>
      </c>
      <c r="D146" s="140">
        <v>6</v>
      </c>
      <c r="E146" s="130">
        <f t="shared" si="13"/>
        <v>1</v>
      </c>
      <c r="F146" s="130">
        <v>16</v>
      </c>
      <c r="G146" s="130">
        <v>1</v>
      </c>
      <c r="H146" s="130">
        <f>SUMIFS(基因产出!$F$90:$F$389,基因产出!$D$90:$D$389,"&lt;="&amp;E146,基因产出!$D$90:$D$389,"&gt;"&amp;_xlfn.MAXIFS($E$141:E146,$E$141:E146,"&lt;"&amp;E146))/COUNTIF($E$141:$E$500,E146)</f>
        <v>33.3333333333333</v>
      </c>
      <c r="I146" s="130">
        <f>IF(COUNTIF($I$141:$I145,$I145)=VLOOKUP($I145,$D$90:$E$120,2,0),$I145+1,$I145)</f>
        <v>1</v>
      </c>
      <c r="J146" s="131">
        <f t="shared" si="14"/>
        <v>6</v>
      </c>
      <c r="K146" s="132" t="str">
        <f t="shared" si="15"/>
        <v/>
      </c>
      <c r="L146" s="132" t="str">
        <f t="shared" si="16"/>
        <v/>
      </c>
      <c r="M146" s="132" t="str">
        <f t="shared" si="17"/>
        <v/>
      </c>
      <c r="N146" s="132">
        <f t="shared" si="23"/>
        <v>0.0075</v>
      </c>
      <c r="O146" s="132">
        <f t="shared" si="18"/>
        <v>0.05</v>
      </c>
      <c r="P146" s="141">
        <f>(SUM($Q$142:Q146)-SUM($H$141:H146))/SUM($H$141:H146)</f>
        <v>-0.755</v>
      </c>
      <c r="Q146" s="142">
        <f t="shared" si="24"/>
        <v>15</v>
      </c>
      <c r="R146" s="142">
        <v>370</v>
      </c>
      <c r="S146" s="133">
        <f t="shared" si="25"/>
        <v>0.0173611111111111</v>
      </c>
      <c r="T146" s="134">
        <f>INT(SUM($W$141:W146)/3)+1</f>
        <v>2</v>
      </c>
      <c r="U146" s="135" t="str">
        <f t="shared" si="19"/>
        <v/>
      </c>
      <c r="V146" s="136" t="s">
        <v>168</v>
      </c>
      <c r="W146" s="137" t="str">
        <f t="shared" si="26"/>
        <v/>
      </c>
      <c r="X146" s="137" t="str">
        <f t="shared" si="20"/>
        <v/>
      </c>
      <c r="Y146" s="138"/>
      <c r="Z146" s="138">
        <v>1</v>
      </c>
      <c r="AA146" s="138">
        <v>2</v>
      </c>
      <c r="AB146" s="138" t="str">
        <f t="shared" si="30"/>
        <v>{6000,5000,4000}</v>
      </c>
      <c r="AC146" s="138"/>
      <c r="AD146" s="138"/>
      <c r="AE146" s="138">
        <f>SUM($R$141:$R146)+SUM($X$141:$X146)</f>
        <v>2280</v>
      </c>
      <c r="AF146" s="138">
        <f>SUM($Q$142:Q146)</f>
        <v>49</v>
      </c>
      <c r="AG146" s="137">
        <f t="shared" si="27"/>
        <v>2427</v>
      </c>
      <c r="AH146" s="139">
        <f>SUM($S$141:S146)</f>
        <v>0.0520833333333333</v>
      </c>
      <c r="AI146" s="133">
        <f t="shared" si="28"/>
        <v>0.00868055555555556</v>
      </c>
      <c r="AJ146" s="15">
        <f t="shared" si="29"/>
        <v>900</v>
      </c>
      <c r="AL146" s="15">
        <v>6</v>
      </c>
      <c r="AM146" s="15">
        <f t="shared" si="21"/>
        <v>28990</v>
      </c>
      <c r="AN146" s="15">
        <f>SUMIF([1]装备属性!$M$571:$M$870,"&lt;="&amp;AL146,[1]装备属性!$Q$571:$Q$870)</f>
        <v>0</v>
      </c>
      <c r="AO146" s="15" t="e">
        <f t="shared" si="22"/>
        <v>#DIV/0!</v>
      </c>
    </row>
    <row r="147" ht="18" spans="1:41">
      <c r="A147" s="9" t="s">
        <v>169</v>
      </c>
      <c r="B147" s="9" t="str">
        <f t="shared" si="11"/>
        <v>[{5205001,3},{2,}]</v>
      </c>
      <c r="C147" s="51" t="str">
        <f t="shared" si="12"/>
        <v>[{5203001,20},{2,510}]</v>
      </c>
      <c r="D147" s="140">
        <v>7</v>
      </c>
      <c r="E147" s="130">
        <f t="shared" si="13"/>
        <v>1</v>
      </c>
      <c r="F147" s="130">
        <v>16</v>
      </c>
      <c r="G147" s="130">
        <v>1</v>
      </c>
      <c r="H147" s="130">
        <f>SUMIFS(基因产出!$F$90:$F$389,基因产出!$D$90:$D$389,"&lt;="&amp;E147,基因产出!$D$90:$D$389,"&gt;"&amp;_xlfn.MAXIFS($E$141:E147,$E$141:E147,"&lt;"&amp;E147))/COUNTIF($E$141:$E$500,E147)</f>
        <v>33.3333333333333</v>
      </c>
      <c r="I147" s="130">
        <f>IF(COUNTIF($I$141:$I146,$I146)=VLOOKUP($I146,$D$90:$E$120,2,0),$I146+1,$I146)</f>
        <v>1</v>
      </c>
      <c r="J147" s="131">
        <f t="shared" si="14"/>
        <v>6</v>
      </c>
      <c r="K147" s="132" t="str">
        <f t="shared" si="15"/>
        <v/>
      </c>
      <c r="L147" s="132" t="str">
        <f t="shared" si="16"/>
        <v/>
      </c>
      <c r="M147" s="132">
        <f t="shared" si="17"/>
        <v>0.002</v>
      </c>
      <c r="N147" s="132" t="str">
        <f t="shared" si="23"/>
        <v/>
      </c>
      <c r="O147" s="132" t="str">
        <f t="shared" si="18"/>
        <v/>
      </c>
      <c r="P147" s="141">
        <f>(SUM($Q$142:Q147)-SUM($H$141:H147))/SUM($H$141:H147)</f>
        <v>-0.717142857142857</v>
      </c>
      <c r="Q147" s="142">
        <f t="shared" si="24"/>
        <v>17</v>
      </c>
      <c r="R147" s="142">
        <v>440</v>
      </c>
      <c r="S147" s="133">
        <f t="shared" si="25"/>
        <v>0.0208333333333333</v>
      </c>
      <c r="T147" s="134">
        <f>INT(SUM($W$141:W147)/3)+1</f>
        <v>2</v>
      </c>
      <c r="U147" s="135" t="str">
        <f t="shared" si="19"/>
        <v/>
      </c>
      <c r="V147" s="136" t="s">
        <v>168</v>
      </c>
      <c r="W147" s="137" t="str">
        <f t="shared" si="26"/>
        <v/>
      </c>
      <c r="X147" s="137" t="str">
        <f t="shared" si="20"/>
        <v/>
      </c>
      <c r="Y147" s="138"/>
      <c r="Z147" s="138">
        <v>1</v>
      </c>
      <c r="AA147" s="138">
        <v>2</v>
      </c>
      <c r="AB147" s="138" t="str">
        <f t="shared" si="30"/>
        <v>{6000,5000,4000}</v>
      </c>
      <c r="AC147" s="138"/>
      <c r="AD147" s="138"/>
      <c r="AE147" s="138">
        <f>SUM($R$141:$R147)+SUM($X$141:$X147)</f>
        <v>2720</v>
      </c>
      <c r="AF147" s="138">
        <f>SUM($Q$142:Q147)</f>
        <v>66</v>
      </c>
      <c r="AG147" s="137">
        <f t="shared" si="27"/>
        <v>2918</v>
      </c>
      <c r="AH147" s="139">
        <f>SUM($S$141:S147)</f>
        <v>0.0729166666666667</v>
      </c>
      <c r="AI147" s="133">
        <f t="shared" si="28"/>
        <v>0.0104166666666667</v>
      </c>
      <c r="AJ147" s="15">
        <f t="shared" si="29"/>
        <v>900</v>
      </c>
      <c r="AL147" s="15">
        <v>7</v>
      </c>
      <c r="AM147" s="15">
        <f t="shared" si="21"/>
        <v>31040</v>
      </c>
      <c r="AN147" s="15">
        <f>SUMIF([1]装备属性!$M$571:$M$870,"&lt;="&amp;AL147,[1]装备属性!$Q$571:$Q$870)</f>
        <v>0</v>
      </c>
      <c r="AO147" s="15" t="e">
        <f t="shared" si="22"/>
        <v>#DIV/0!</v>
      </c>
    </row>
    <row r="148" ht="18" spans="1:41">
      <c r="A148" s="9" t="s">
        <v>170</v>
      </c>
      <c r="B148" s="9" t="str">
        <f t="shared" si="11"/>
        <v>[{5205001,3},{2,2040}]</v>
      </c>
      <c r="C148" s="51" t="str">
        <f t="shared" si="12"/>
        <v>[{5203001,22},{2,580}]</v>
      </c>
      <c r="D148" s="140">
        <v>8</v>
      </c>
      <c r="E148" s="130">
        <f t="shared" si="13"/>
        <v>1</v>
      </c>
      <c r="F148" s="130">
        <v>16</v>
      </c>
      <c r="G148" s="130">
        <v>1</v>
      </c>
      <c r="H148" s="130">
        <f>SUMIFS(基因产出!$F$90:$F$389,基因产出!$D$90:$D$389,"&lt;="&amp;E148,基因产出!$D$90:$D$389,"&gt;"&amp;_xlfn.MAXIFS($E$141:E148,$E$141:E148,"&lt;"&amp;E148))/COUNTIF($E$141:$E$500,E148)</f>
        <v>33.3333333333333</v>
      </c>
      <c r="I148" s="130">
        <f>IF(COUNTIF($I$141:$I147,$I147)=VLOOKUP($I147,$D$90:$E$120,2,0),$I147+1,$I147)</f>
        <v>1</v>
      </c>
      <c r="J148" s="131">
        <f t="shared" si="14"/>
        <v>6</v>
      </c>
      <c r="K148" s="132" t="str">
        <f t="shared" si="15"/>
        <v/>
      </c>
      <c r="L148" s="132">
        <f t="shared" si="16"/>
        <v>0.03</v>
      </c>
      <c r="M148" s="132" t="str">
        <f t="shared" si="17"/>
        <v/>
      </c>
      <c r="N148" s="132" t="str">
        <f t="shared" si="23"/>
        <v/>
      </c>
      <c r="O148" s="132" t="str">
        <f t="shared" si="18"/>
        <v/>
      </c>
      <c r="P148" s="141">
        <f>(SUM($Q$142:Q148)-SUM($H$141:H148))/SUM($H$141:H148)</f>
        <v>-0.6775</v>
      </c>
      <c r="Q148" s="142">
        <f t="shared" si="24"/>
        <v>20</v>
      </c>
      <c r="R148" s="142">
        <v>510</v>
      </c>
      <c r="S148" s="133">
        <f t="shared" si="25"/>
        <v>0.0243055555555556</v>
      </c>
      <c r="T148" s="134">
        <f>INT(SUM($W$141:W148)/3)+1</f>
        <v>3</v>
      </c>
      <c r="U148" s="135" t="str">
        <f t="shared" si="19"/>
        <v/>
      </c>
      <c r="V148" s="136" t="s">
        <v>73</v>
      </c>
      <c r="W148" s="137">
        <f t="shared" si="26"/>
        <v>3</v>
      </c>
      <c r="X148" s="137">
        <f t="shared" si="20"/>
        <v>2040</v>
      </c>
      <c r="Y148" s="138"/>
      <c r="Z148" s="138">
        <v>1</v>
      </c>
      <c r="AA148" s="138">
        <v>2</v>
      </c>
      <c r="AB148" s="138" t="str">
        <f t="shared" si="30"/>
        <v>{6000,5000,4000}</v>
      </c>
      <c r="AC148" s="138">
        <v>500</v>
      </c>
      <c r="AD148" s="138"/>
      <c r="AE148" s="138">
        <f>SUM($R$141:$R148)+SUM($X$141:$X148)</f>
        <v>5270</v>
      </c>
      <c r="AF148" s="138">
        <f>SUM($Q$142:Q148)</f>
        <v>86</v>
      </c>
      <c r="AG148" s="137">
        <f t="shared" si="27"/>
        <v>5528</v>
      </c>
      <c r="AH148" s="139">
        <f>SUM($S$141:S148)</f>
        <v>0.0972222222222222</v>
      </c>
      <c r="AI148" s="133">
        <f t="shared" si="28"/>
        <v>0.0121527777777778</v>
      </c>
      <c r="AJ148" s="15">
        <f t="shared" si="29"/>
        <v>1200</v>
      </c>
      <c r="AL148" s="15">
        <v>8</v>
      </c>
      <c r="AM148" s="15">
        <f t="shared" si="21"/>
        <v>35350</v>
      </c>
      <c r="AN148" s="15">
        <f>SUMIF([1]装备属性!$M$571:$M$870,"&lt;="&amp;AL148,[1]装备属性!$Q$571:$Q$870)</f>
        <v>0</v>
      </c>
      <c r="AO148" s="15" t="e">
        <f t="shared" si="22"/>
        <v>#DIV/0!</v>
      </c>
    </row>
    <row r="149" ht="18" spans="1:41">
      <c r="A149" s="9" t="s">
        <v>171</v>
      </c>
      <c r="B149" s="9" t="str">
        <f t="shared" si="11"/>
        <v>[{5205001,3},{2,}]</v>
      </c>
      <c r="C149" s="51" t="str">
        <f t="shared" si="12"/>
        <v>[{5203001,25},{2,650}]</v>
      </c>
      <c r="D149" s="140">
        <v>9</v>
      </c>
      <c r="E149" s="130">
        <f t="shared" si="13"/>
        <v>1</v>
      </c>
      <c r="F149" s="130">
        <v>16</v>
      </c>
      <c r="G149" s="130">
        <v>1</v>
      </c>
      <c r="H149" s="130">
        <f>SUMIFS(基因产出!$F$90:$F$389,基因产出!$D$90:$D$389,"&lt;="&amp;E149,基因产出!$D$90:$D$389,"&gt;"&amp;_xlfn.MAXIFS($E$141:E149,$E$141:E149,"&lt;"&amp;E149))/COUNTIF($E$141:$E$500,E149)</f>
        <v>33.3333333333333</v>
      </c>
      <c r="I149" s="130">
        <f>IF(COUNTIF($I$141:$I148,$I148)=VLOOKUP($I148,$D$90:$E$120,2,0),$I148+1,$I148)</f>
        <v>2</v>
      </c>
      <c r="J149" s="131">
        <f t="shared" si="14"/>
        <v>12</v>
      </c>
      <c r="K149" s="132">
        <f t="shared" si="15"/>
        <v>0.05</v>
      </c>
      <c r="L149" s="132" t="str">
        <f t="shared" si="16"/>
        <v/>
      </c>
      <c r="M149" s="132" t="str">
        <f t="shared" si="17"/>
        <v/>
      </c>
      <c r="N149" s="132" t="str">
        <f t="shared" si="23"/>
        <v/>
      </c>
      <c r="O149" s="132" t="str">
        <f t="shared" si="18"/>
        <v/>
      </c>
      <c r="P149" s="141">
        <f>(SUM($Q$142:Q149)-SUM($H$141:H149))/SUM($H$141:H149)</f>
        <v>-0.64</v>
      </c>
      <c r="Q149" s="142">
        <f t="shared" si="24"/>
        <v>22</v>
      </c>
      <c r="R149" s="142">
        <v>580</v>
      </c>
      <c r="S149" s="133">
        <f t="shared" si="25"/>
        <v>0.08</v>
      </c>
      <c r="T149" s="134">
        <f>INT(SUM($W$141:W149)/3)+1</f>
        <v>3</v>
      </c>
      <c r="U149" s="135" t="str">
        <f t="shared" si="19"/>
        <v/>
      </c>
      <c r="V149" s="136" t="s">
        <v>168</v>
      </c>
      <c r="W149" s="137" t="str">
        <f t="shared" si="26"/>
        <v/>
      </c>
      <c r="X149" s="137" t="str">
        <f t="shared" si="20"/>
        <v/>
      </c>
      <c r="Y149" s="138"/>
      <c r="Z149" s="138">
        <v>1</v>
      </c>
      <c r="AA149" s="138">
        <v>2</v>
      </c>
      <c r="AB149" s="138" t="str">
        <f t="shared" si="30"/>
        <v>{6000,5000,4000}</v>
      </c>
      <c r="AC149" s="138">
        <v>500</v>
      </c>
      <c r="AD149" s="138"/>
      <c r="AE149" s="138">
        <f>SUM($R$141:$R149)+SUM($X$141:$X149)</f>
        <v>5850</v>
      </c>
      <c r="AF149" s="138">
        <f>SUM($Q$142:Q149)</f>
        <v>108</v>
      </c>
      <c r="AG149" s="137">
        <f t="shared" si="27"/>
        <v>6174</v>
      </c>
      <c r="AH149" s="139">
        <f>SUM($S$141:S149)</f>
        <v>0.177222222222222</v>
      </c>
      <c r="AI149" s="133">
        <f t="shared" si="28"/>
        <v>0.04</v>
      </c>
      <c r="AJ149" s="15">
        <f t="shared" si="29"/>
        <v>3600</v>
      </c>
      <c r="AL149" s="15">
        <v>9</v>
      </c>
      <c r="AM149" s="15">
        <f t="shared" si="21"/>
        <v>37610</v>
      </c>
      <c r="AN149" s="15">
        <f>SUMIF([1]装备属性!$M$571:$M$870,"&lt;="&amp;AL149,[1]装备属性!$Q$571:$Q$870)</f>
        <v>0</v>
      </c>
      <c r="AO149" s="15" t="e">
        <f t="shared" si="22"/>
        <v>#DIV/0!</v>
      </c>
    </row>
    <row r="150" ht="18" spans="1:41">
      <c r="A150" s="9" t="s">
        <v>172</v>
      </c>
      <c r="B150" s="9" t="str">
        <f t="shared" si="11"/>
        <v>[{5205001,3},{2,}]</v>
      </c>
      <c r="C150" s="51" t="str">
        <f t="shared" si="12"/>
        <v>[{5203001,27},{2,720}]</v>
      </c>
      <c r="D150" s="140">
        <v>10</v>
      </c>
      <c r="E150" s="130">
        <f t="shared" si="13"/>
        <v>1</v>
      </c>
      <c r="F150" s="130">
        <v>16</v>
      </c>
      <c r="G150" s="130">
        <v>1</v>
      </c>
      <c r="H150" s="130">
        <f>SUMIFS(基因产出!$F$90:$F$389,基因产出!$D$90:$D$389,"&lt;="&amp;E150,基因产出!$D$90:$D$389,"&gt;"&amp;_xlfn.MAXIFS($E$141:E150,$E$141:E150,"&lt;"&amp;E150))/COUNTIF($E$141:$E$500,E150)</f>
        <v>33.3333333333333</v>
      </c>
      <c r="I150" s="130">
        <f>IF(COUNTIF($I$141:$I149,$I149)=VLOOKUP($I149,$D$90:$E$120,2,0),$I149+1,$I149)</f>
        <v>2</v>
      </c>
      <c r="J150" s="131">
        <f t="shared" si="14"/>
        <v>12</v>
      </c>
      <c r="K150" s="132" t="str">
        <f t="shared" si="15"/>
        <v/>
      </c>
      <c r="L150" s="132" t="str">
        <f t="shared" si="16"/>
        <v/>
      </c>
      <c r="M150" s="132" t="str">
        <f t="shared" si="17"/>
        <v/>
      </c>
      <c r="N150" s="132">
        <f t="shared" si="23"/>
        <v>0.0075</v>
      </c>
      <c r="O150" s="132">
        <f t="shared" si="18"/>
        <v>0.05</v>
      </c>
      <c r="P150" s="141">
        <f>(SUM($Q$142:Q150)-SUM($H$141:H150))/SUM($H$141:H150)</f>
        <v>-0.601</v>
      </c>
      <c r="Q150" s="142">
        <f t="shared" si="24"/>
        <v>25</v>
      </c>
      <c r="R150" s="142">
        <v>650</v>
      </c>
      <c r="S150" s="133">
        <f t="shared" si="25"/>
        <v>0.09</v>
      </c>
      <c r="T150" s="134">
        <f>INT(SUM($W$141:W150)/3)+1</f>
        <v>3</v>
      </c>
      <c r="U150" s="135" t="str">
        <f t="shared" si="19"/>
        <v/>
      </c>
      <c r="V150" s="136" t="s">
        <v>168</v>
      </c>
      <c r="W150" s="137" t="str">
        <f t="shared" si="26"/>
        <v/>
      </c>
      <c r="X150" s="137" t="str">
        <f t="shared" si="20"/>
        <v/>
      </c>
      <c r="Y150" s="138"/>
      <c r="Z150" s="138">
        <v>1</v>
      </c>
      <c r="AA150" s="138">
        <v>2</v>
      </c>
      <c r="AB150" s="138" t="str">
        <f t="shared" si="30"/>
        <v>{6000,5000,4000}</v>
      </c>
      <c r="AC150" s="138">
        <v>500</v>
      </c>
      <c r="AD150" s="138"/>
      <c r="AE150" s="138">
        <f>SUM($R$141:$R150)+SUM($X$141:$X150)</f>
        <v>6500</v>
      </c>
      <c r="AF150" s="138">
        <f>SUM($Q$142:Q150)</f>
        <v>133</v>
      </c>
      <c r="AG150" s="137">
        <f t="shared" si="27"/>
        <v>6899</v>
      </c>
      <c r="AH150" s="139">
        <f>SUM($S$141:S150)</f>
        <v>0.267222222222222</v>
      </c>
      <c r="AI150" s="133">
        <f t="shared" si="28"/>
        <v>0.045</v>
      </c>
      <c r="AJ150" s="15">
        <f t="shared" si="29"/>
        <v>3900</v>
      </c>
      <c r="AL150" s="15">
        <v>10</v>
      </c>
      <c r="AM150" s="15">
        <f t="shared" si="21"/>
        <v>39940</v>
      </c>
      <c r="AN150" s="15">
        <f>SUMIF([1]装备属性!$M$571:$M$870,"&lt;="&amp;AL150,[1]装备属性!$Q$571:$Q$870)</f>
        <v>0</v>
      </c>
      <c r="AO150" s="15" t="e">
        <f t="shared" si="22"/>
        <v>#DIV/0!</v>
      </c>
    </row>
    <row r="151" ht="18" spans="1:41">
      <c r="A151" s="9" t="s">
        <v>173</v>
      </c>
      <c r="B151" s="9" t="str">
        <f t="shared" si="11"/>
        <v>[{5205001,3},{2,}]</v>
      </c>
      <c r="C151" s="51" t="str">
        <f t="shared" si="12"/>
        <v>[{5203001,30},{2,790}]</v>
      </c>
      <c r="D151" s="140">
        <v>11</v>
      </c>
      <c r="E151" s="130">
        <f t="shared" si="13"/>
        <v>1</v>
      </c>
      <c r="F151" s="130">
        <v>16</v>
      </c>
      <c r="G151" s="130">
        <v>1</v>
      </c>
      <c r="H151" s="130">
        <f>SUMIFS(基因产出!$F$90:$F$389,基因产出!$D$90:$D$389,"&lt;="&amp;E151,基因产出!$D$90:$D$389,"&gt;"&amp;_xlfn.MAXIFS($E$141:E151,$E$141:E151,"&lt;"&amp;E151))/COUNTIF($E$141:$E$500,E151)</f>
        <v>33.3333333333333</v>
      </c>
      <c r="I151" s="130">
        <f>IF(COUNTIF($I$141:$I150,$I150)=VLOOKUP($I150,$D$90:$E$120,2,0),$I150+1,$I150)</f>
        <v>2</v>
      </c>
      <c r="J151" s="131">
        <f t="shared" si="14"/>
        <v>12</v>
      </c>
      <c r="K151" s="132" t="str">
        <f t="shared" si="15"/>
        <v/>
      </c>
      <c r="L151" s="132" t="str">
        <f t="shared" si="16"/>
        <v/>
      </c>
      <c r="M151" s="132">
        <f t="shared" si="17"/>
        <v>0.002</v>
      </c>
      <c r="N151" s="132" t="str">
        <f t="shared" si="23"/>
        <v/>
      </c>
      <c r="O151" s="132" t="str">
        <f t="shared" si="18"/>
        <v/>
      </c>
      <c r="P151" s="141">
        <f>(SUM($Q$142:Q151)-SUM($H$141:H151))/SUM($H$141:H151)</f>
        <v>-0.563636363636364</v>
      </c>
      <c r="Q151" s="142">
        <f t="shared" si="24"/>
        <v>27</v>
      </c>
      <c r="R151" s="142">
        <v>720</v>
      </c>
      <c r="S151" s="133">
        <f t="shared" si="25"/>
        <v>0.1</v>
      </c>
      <c r="T151" s="134">
        <f>INT(SUM($W$141:W151)/3)+1</f>
        <v>3</v>
      </c>
      <c r="U151" s="135" t="str">
        <f t="shared" si="19"/>
        <v/>
      </c>
      <c r="V151" s="136" t="s">
        <v>168</v>
      </c>
      <c r="W151" s="137" t="str">
        <f t="shared" si="26"/>
        <v/>
      </c>
      <c r="X151" s="137" t="str">
        <f t="shared" si="20"/>
        <v/>
      </c>
      <c r="Y151" s="138"/>
      <c r="Z151" s="138">
        <v>1</v>
      </c>
      <c r="AA151" s="138">
        <v>2</v>
      </c>
      <c r="AB151" s="138" t="str">
        <f t="shared" si="30"/>
        <v>{6000,5000,4000}</v>
      </c>
      <c r="AC151" s="138">
        <v>500</v>
      </c>
      <c r="AD151" s="138"/>
      <c r="AE151" s="138">
        <f>SUM($R$141:$R151)+SUM($X$141:$X151)</f>
        <v>7220</v>
      </c>
      <c r="AF151" s="138">
        <f>SUM($Q$142:Q151)</f>
        <v>160</v>
      </c>
      <c r="AG151" s="137">
        <f t="shared" si="27"/>
        <v>7700</v>
      </c>
      <c r="AH151" s="139">
        <f>SUM($S$141:S151)</f>
        <v>0.367222222222222</v>
      </c>
      <c r="AI151" s="133">
        <f t="shared" si="28"/>
        <v>0.05</v>
      </c>
      <c r="AJ151" s="15">
        <f t="shared" si="29"/>
        <v>4500</v>
      </c>
      <c r="AL151" s="15">
        <v>11</v>
      </c>
      <c r="AM151" s="15">
        <f t="shared" si="21"/>
        <v>44810</v>
      </c>
      <c r="AN151" s="15">
        <f>SUMIF([1]装备属性!$M$571:$M$870,"&lt;="&amp;AL151,[1]装备属性!$Q$571:$Q$870)</f>
        <v>0</v>
      </c>
      <c r="AO151" s="15" t="e">
        <f t="shared" si="22"/>
        <v>#DIV/0!</v>
      </c>
    </row>
    <row r="152" ht="18" spans="1:41">
      <c r="A152" s="9" t="s">
        <v>174</v>
      </c>
      <c r="B152" s="9" t="str">
        <f t="shared" si="11"/>
        <v>[{5205001,3},{2,3160}]</v>
      </c>
      <c r="C152" s="51" t="str">
        <f t="shared" si="12"/>
        <v>[{5203001,32},{2,860}]</v>
      </c>
      <c r="D152" s="140">
        <v>12</v>
      </c>
      <c r="E152" s="130">
        <f t="shared" si="13"/>
        <v>1</v>
      </c>
      <c r="F152" s="130">
        <v>16</v>
      </c>
      <c r="G152" s="130">
        <v>1</v>
      </c>
      <c r="H152" s="130">
        <f>SUMIFS(基因产出!$F$90:$F$389,基因产出!$D$90:$D$389,"&lt;="&amp;E152,基因产出!$D$90:$D$389,"&gt;"&amp;_xlfn.MAXIFS($E$141:E152,$E$141:E152,"&lt;"&amp;E152))/COUNTIF($E$141:$E$500,E152)</f>
        <v>33.3333333333333</v>
      </c>
      <c r="I152" s="130">
        <f>IF(COUNTIF($I$141:$I151,$I151)=VLOOKUP($I151,$D$90:$E$120,2,0),$I151+1,$I151)</f>
        <v>2</v>
      </c>
      <c r="J152" s="131">
        <f t="shared" si="14"/>
        <v>12</v>
      </c>
      <c r="K152" s="132" t="str">
        <f t="shared" si="15"/>
        <v/>
      </c>
      <c r="L152" s="132">
        <f t="shared" si="16"/>
        <v>0.03</v>
      </c>
      <c r="M152" s="132" t="str">
        <f t="shared" si="17"/>
        <v/>
      </c>
      <c r="N152" s="132" t="str">
        <f t="shared" si="23"/>
        <v/>
      </c>
      <c r="O152" s="132" t="str">
        <f t="shared" si="18"/>
        <v/>
      </c>
      <c r="P152" s="141">
        <f>(SUM($Q$142:Q152)-SUM($H$141:H152))/SUM($H$141:H152)</f>
        <v>-0.525</v>
      </c>
      <c r="Q152" s="142">
        <f t="shared" si="24"/>
        <v>30</v>
      </c>
      <c r="R152" s="142">
        <v>790</v>
      </c>
      <c r="S152" s="133">
        <f t="shared" si="25"/>
        <v>0.11</v>
      </c>
      <c r="T152" s="134">
        <f>INT(SUM($W$141:W152)/3)+1</f>
        <v>4</v>
      </c>
      <c r="U152" s="135" t="str">
        <f t="shared" si="19"/>
        <v/>
      </c>
      <c r="V152" s="136" t="s">
        <v>175</v>
      </c>
      <c r="W152" s="137">
        <f t="shared" si="26"/>
        <v>3</v>
      </c>
      <c r="X152" s="137">
        <f t="shared" si="20"/>
        <v>3160</v>
      </c>
      <c r="Y152" s="138"/>
      <c r="Z152" s="138">
        <v>1</v>
      </c>
      <c r="AA152" s="138">
        <v>2</v>
      </c>
      <c r="AB152" s="138" t="str">
        <f t="shared" si="30"/>
        <v>{6000,5000,4000}</v>
      </c>
      <c r="AC152" s="138">
        <v>500</v>
      </c>
      <c r="AD152" s="138"/>
      <c r="AE152" s="138">
        <f>SUM($R$141:$R152)+SUM($X$141:$X152)</f>
        <v>11170</v>
      </c>
      <c r="AF152" s="138">
        <f>SUM($Q$142:Q152)</f>
        <v>190</v>
      </c>
      <c r="AG152" s="137">
        <f t="shared" si="27"/>
        <v>11740</v>
      </c>
      <c r="AH152" s="139">
        <f>SUM($S$141:S152)</f>
        <v>0.477222222222222</v>
      </c>
      <c r="AI152" s="133">
        <f t="shared" si="28"/>
        <v>0.055</v>
      </c>
      <c r="AJ152" s="15">
        <f t="shared" si="29"/>
        <v>4800</v>
      </c>
      <c r="AL152" s="15">
        <v>12</v>
      </c>
      <c r="AM152" s="15">
        <f t="shared" si="21"/>
        <v>47350</v>
      </c>
      <c r="AN152" s="15">
        <f>SUMIF([1]装备属性!$M$571:$M$870,"&lt;="&amp;AL152,[1]装备属性!$Q$571:$Q$870)</f>
        <v>0</v>
      </c>
      <c r="AO152" s="15" t="e">
        <f t="shared" si="22"/>
        <v>#DIV/0!</v>
      </c>
    </row>
    <row r="153" ht="18" spans="1:41">
      <c r="A153" s="9" t="s">
        <v>171</v>
      </c>
      <c r="B153" s="9" t="str">
        <f t="shared" si="11"/>
        <v>[{5205001,3},{2,}]</v>
      </c>
      <c r="C153" s="51" t="str">
        <f t="shared" si="12"/>
        <v>[{5203001,35},{2,930}]</v>
      </c>
      <c r="D153" s="140">
        <v>13</v>
      </c>
      <c r="E153" s="130">
        <f t="shared" si="13"/>
        <v>1</v>
      </c>
      <c r="F153" s="130">
        <v>16</v>
      </c>
      <c r="G153" s="130">
        <v>1</v>
      </c>
      <c r="H153" s="130">
        <f>SUMIFS(基因产出!$F$90:$F$389,基因产出!$D$90:$D$389,"&lt;="&amp;E153,基因产出!$D$90:$D$389,"&gt;"&amp;_xlfn.MAXIFS($E$141:E153,$E$141:E153,"&lt;"&amp;E153))/COUNTIF($E$141:$E$500,E153)</f>
        <v>33.3333333333333</v>
      </c>
      <c r="I153" s="130">
        <f>IF(COUNTIF($I$141:$I152,$I152)=VLOOKUP($I152,$D$90:$E$120,2,0),$I152+1,$I152)</f>
        <v>2</v>
      </c>
      <c r="J153" s="131">
        <f t="shared" si="14"/>
        <v>12</v>
      </c>
      <c r="K153" s="132">
        <f t="shared" si="15"/>
        <v>0.05</v>
      </c>
      <c r="L153" s="132" t="str">
        <f t="shared" si="16"/>
        <v/>
      </c>
      <c r="M153" s="132" t="str">
        <f t="shared" si="17"/>
        <v/>
      </c>
      <c r="N153" s="132" t="str">
        <f t="shared" si="23"/>
        <v/>
      </c>
      <c r="O153" s="132" t="str">
        <f t="shared" si="18"/>
        <v/>
      </c>
      <c r="P153" s="141">
        <f>(SUM($Q$142:Q153)-SUM($H$141:H153))/SUM($H$141:H153)</f>
        <v>-0.487692307692308</v>
      </c>
      <c r="Q153" s="142">
        <f t="shared" si="24"/>
        <v>32</v>
      </c>
      <c r="R153" s="142">
        <v>860</v>
      </c>
      <c r="S153" s="133">
        <f t="shared" si="25"/>
        <v>0.12</v>
      </c>
      <c r="T153" s="134">
        <f>INT(SUM($W$141:W153)/3)+1</f>
        <v>4</v>
      </c>
      <c r="U153" s="135" t="str">
        <f t="shared" si="19"/>
        <v/>
      </c>
      <c r="V153" s="136" t="s">
        <v>168</v>
      </c>
      <c r="W153" s="137" t="str">
        <f t="shared" si="26"/>
        <v/>
      </c>
      <c r="X153" s="137" t="str">
        <f t="shared" si="20"/>
        <v/>
      </c>
      <c r="Y153" s="138"/>
      <c r="Z153" s="138">
        <v>1</v>
      </c>
      <c r="AA153" s="138">
        <v>2</v>
      </c>
      <c r="AB153" s="138" t="str">
        <f t="shared" si="30"/>
        <v>{6000,5000,4000}</v>
      </c>
      <c r="AC153" s="138">
        <v>500</v>
      </c>
      <c r="AD153" s="138"/>
      <c r="AE153" s="138">
        <f>SUM($R$141:$R153)+SUM($X$141:$X153)</f>
        <v>12030</v>
      </c>
      <c r="AF153" s="138">
        <f>SUM($Q$142:Q153)</f>
        <v>222</v>
      </c>
      <c r="AG153" s="137">
        <f t="shared" si="27"/>
        <v>12696</v>
      </c>
      <c r="AH153" s="139">
        <f>SUM($S$141:S153)</f>
        <v>0.597222222222222</v>
      </c>
      <c r="AI153" s="133">
        <f t="shared" si="28"/>
        <v>0.06</v>
      </c>
      <c r="AJ153" s="15">
        <f t="shared" si="29"/>
        <v>5400</v>
      </c>
      <c r="AL153" s="15">
        <v>13</v>
      </c>
      <c r="AM153" s="15">
        <f t="shared" si="21"/>
        <v>49960</v>
      </c>
      <c r="AN153" s="15">
        <f>SUMIF([1]装备属性!$M$571:$M$870,"&lt;="&amp;AL153,[1]装备属性!$Q$571:$Q$870)</f>
        <v>0</v>
      </c>
      <c r="AO153" s="15" t="e">
        <f t="shared" si="22"/>
        <v>#DIV/0!</v>
      </c>
    </row>
    <row r="154" ht="18" spans="1:41">
      <c r="A154" s="9" t="s">
        <v>172</v>
      </c>
      <c r="B154" s="9" t="str">
        <f t="shared" si="11"/>
        <v>[{5205001,3},{2,}]</v>
      </c>
      <c r="C154" s="51" t="str">
        <f t="shared" si="12"/>
        <v>[{5203001,37},{2,1000}]</v>
      </c>
      <c r="D154" s="140">
        <v>14</v>
      </c>
      <c r="E154" s="130">
        <f t="shared" si="13"/>
        <v>1</v>
      </c>
      <c r="F154" s="130">
        <v>16</v>
      </c>
      <c r="G154" s="130">
        <v>1</v>
      </c>
      <c r="H154" s="130">
        <f>SUMIFS(基因产出!$F$90:$F$389,基因产出!$D$90:$D$389,"&lt;="&amp;E154,基因产出!$D$90:$D$389,"&gt;"&amp;_xlfn.MAXIFS($E$141:E154,$E$141:E154,"&lt;"&amp;E154))/COUNTIF($E$141:$E$500,E154)</f>
        <v>33.3333333333333</v>
      </c>
      <c r="I154" s="130">
        <f>IF(COUNTIF($I$141:$I153,$I153)=VLOOKUP($I153,$D$90:$E$120,2,0),$I153+1,$I153)</f>
        <v>2</v>
      </c>
      <c r="J154" s="131">
        <f t="shared" si="14"/>
        <v>12</v>
      </c>
      <c r="K154" s="132" t="str">
        <f t="shared" si="15"/>
        <v/>
      </c>
      <c r="L154" s="132" t="str">
        <f t="shared" si="16"/>
        <v/>
      </c>
      <c r="M154" s="132" t="str">
        <f t="shared" si="17"/>
        <v/>
      </c>
      <c r="N154" s="132">
        <f t="shared" si="23"/>
        <v>0.0075</v>
      </c>
      <c r="O154" s="132">
        <f t="shared" si="18"/>
        <v>0.05</v>
      </c>
      <c r="P154" s="141">
        <f>(SUM($Q$142:Q154)-SUM($H$141:H154))/SUM($H$141:H154)</f>
        <v>-0.449285714285714</v>
      </c>
      <c r="Q154" s="142">
        <f t="shared" si="24"/>
        <v>35</v>
      </c>
      <c r="R154" s="142">
        <v>930</v>
      </c>
      <c r="S154" s="133">
        <f t="shared" si="25"/>
        <v>0.13</v>
      </c>
      <c r="T154" s="134">
        <f>INT(SUM($W$141:W154)/3)+1</f>
        <v>4</v>
      </c>
      <c r="U154" s="135" t="str">
        <f t="shared" si="19"/>
        <v/>
      </c>
      <c r="V154" s="136" t="s">
        <v>168</v>
      </c>
      <c r="W154" s="137" t="str">
        <f t="shared" si="26"/>
        <v/>
      </c>
      <c r="X154" s="137" t="str">
        <f t="shared" si="20"/>
        <v/>
      </c>
      <c r="Y154" s="138"/>
      <c r="Z154" s="138">
        <v>1</v>
      </c>
      <c r="AA154" s="138">
        <v>2</v>
      </c>
      <c r="AB154" s="138" t="str">
        <f t="shared" si="30"/>
        <v>{6000,5000,4000}</v>
      </c>
      <c r="AC154" s="138">
        <v>500</v>
      </c>
      <c r="AD154" s="138"/>
      <c r="AE154" s="138">
        <f>SUM($R$141:$R154)+SUM($X$141:$X154)</f>
        <v>12960</v>
      </c>
      <c r="AF154" s="138">
        <f>SUM($Q$142:Q154)</f>
        <v>257</v>
      </c>
      <c r="AG154" s="137">
        <f t="shared" si="27"/>
        <v>13731</v>
      </c>
      <c r="AH154" s="139">
        <f>SUM($S$141:S154)</f>
        <v>0.727222222222222</v>
      </c>
      <c r="AI154" s="133">
        <f t="shared" si="28"/>
        <v>0.065</v>
      </c>
      <c r="AJ154" s="15">
        <f t="shared" si="29"/>
        <v>5700</v>
      </c>
      <c r="AL154" s="15">
        <v>14</v>
      </c>
      <c r="AM154" s="15">
        <f t="shared" si="21"/>
        <v>52640</v>
      </c>
      <c r="AN154" s="15">
        <f>SUMIF([1]装备属性!$M$571:$M$870,"&lt;="&amp;AL154,[1]装备属性!$Q$571:$Q$870)</f>
        <v>0</v>
      </c>
      <c r="AO154" s="15" t="e">
        <f t="shared" si="22"/>
        <v>#DIV/0!</v>
      </c>
    </row>
    <row r="155" ht="18" spans="1:41">
      <c r="A155" s="9" t="s">
        <v>173</v>
      </c>
      <c r="B155" s="9" t="str">
        <f t="shared" si="11"/>
        <v>[{5205001,3},{2,}]</v>
      </c>
      <c r="C155" s="51" t="str">
        <f t="shared" si="12"/>
        <v>[{5203001,40},{2,1070}]</v>
      </c>
      <c r="D155" s="140">
        <v>15</v>
      </c>
      <c r="E155" s="130">
        <f t="shared" si="13"/>
        <v>1</v>
      </c>
      <c r="F155" s="130">
        <v>16</v>
      </c>
      <c r="G155" s="130">
        <v>1</v>
      </c>
      <c r="H155" s="130">
        <f>SUMIFS(基因产出!$F$90:$F$389,基因产出!$D$90:$D$389,"&lt;="&amp;E155,基因产出!$D$90:$D$389,"&gt;"&amp;_xlfn.MAXIFS($E$141:E155,$E$141:E155,"&lt;"&amp;E155))/COUNTIF($E$141:$E$500,E155)</f>
        <v>33.3333333333333</v>
      </c>
      <c r="I155" s="130">
        <f>IF(COUNTIF($I$141:$I154,$I154)=VLOOKUP($I154,$D$90:$E$120,2,0),$I154+1,$I154)</f>
        <v>2</v>
      </c>
      <c r="J155" s="131">
        <f t="shared" si="14"/>
        <v>12</v>
      </c>
      <c r="K155" s="132" t="str">
        <f t="shared" si="15"/>
        <v/>
      </c>
      <c r="L155" s="132" t="str">
        <f t="shared" si="16"/>
        <v/>
      </c>
      <c r="M155" s="132">
        <f t="shared" si="17"/>
        <v>0.002</v>
      </c>
      <c r="N155" s="132" t="str">
        <f t="shared" si="23"/>
        <v/>
      </c>
      <c r="O155" s="132" t="str">
        <f t="shared" si="18"/>
        <v/>
      </c>
      <c r="P155" s="141">
        <f>(SUM($Q$142:Q155)-SUM($H$141:H155))/SUM($H$141:H155)</f>
        <v>-0.412</v>
      </c>
      <c r="Q155" s="142">
        <f t="shared" si="24"/>
        <v>37</v>
      </c>
      <c r="R155" s="142">
        <v>1000</v>
      </c>
      <c r="S155" s="133">
        <f t="shared" si="25"/>
        <v>0.14</v>
      </c>
      <c r="T155" s="134">
        <f>INT(SUM($W$141:W155)/3)+1</f>
        <v>4</v>
      </c>
      <c r="U155" s="135" t="str">
        <f t="shared" si="19"/>
        <v/>
      </c>
      <c r="V155" s="136" t="s">
        <v>168</v>
      </c>
      <c r="W155" s="137" t="str">
        <f t="shared" si="26"/>
        <v/>
      </c>
      <c r="X155" s="137" t="str">
        <f t="shared" si="20"/>
        <v/>
      </c>
      <c r="Y155" s="138"/>
      <c r="Z155" s="138">
        <v>1</v>
      </c>
      <c r="AA155" s="138">
        <v>2</v>
      </c>
      <c r="AB155" s="138" t="str">
        <f t="shared" si="30"/>
        <v>{6000,5000,4000}</v>
      </c>
      <c r="AC155" s="138">
        <v>500</v>
      </c>
      <c r="AD155" s="138"/>
      <c r="AE155" s="138">
        <f>SUM($R$141:$R155)+SUM($X$141:$X155)</f>
        <v>13960</v>
      </c>
      <c r="AF155" s="138">
        <f>SUM($Q$142:Q155)</f>
        <v>294</v>
      </c>
      <c r="AG155" s="137">
        <f t="shared" si="27"/>
        <v>14842</v>
      </c>
      <c r="AH155" s="139">
        <f>SUM($S$141:S155)</f>
        <v>0.867222222222222</v>
      </c>
      <c r="AI155" s="133">
        <f t="shared" si="28"/>
        <v>0.07</v>
      </c>
      <c r="AJ155" s="15">
        <f t="shared" si="29"/>
        <v>6300</v>
      </c>
      <c r="AL155" s="15">
        <v>15</v>
      </c>
      <c r="AM155" s="15">
        <f t="shared" si="21"/>
        <v>55390</v>
      </c>
      <c r="AN155" s="15">
        <f>SUMIF([1]装备属性!$M$571:$M$870,"&lt;="&amp;AL155,[1]装备属性!$Q$571:$Q$870)</f>
        <v>0</v>
      </c>
      <c r="AO155" s="15" t="e">
        <f t="shared" si="22"/>
        <v>#DIV/0!</v>
      </c>
    </row>
    <row r="156" ht="18" spans="1:41">
      <c r="A156" s="9" t="s">
        <v>174</v>
      </c>
      <c r="B156" s="9" t="str">
        <f t="shared" si="11"/>
        <v>[{5205001,3},{2,4280}]</v>
      </c>
      <c r="C156" s="51" t="str">
        <f t="shared" si="12"/>
        <v>[{5203001,42},{2,1140}]</v>
      </c>
      <c r="D156" s="140">
        <v>16</v>
      </c>
      <c r="E156" s="130">
        <f t="shared" si="13"/>
        <v>2</v>
      </c>
      <c r="F156" s="130">
        <v>24</v>
      </c>
      <c r="G156" s="130">
        <v>1</v>
      </c>
      <c r="H156" s="130">
        <f>SUMIFS(基因产出!$F$90:$F$389,基因产出!$D$90:$D$389,"&lt;="&amp;E156,基因产出!$D$90:$D$389,"&gt;"&amp;_xlfn.MAXIFS($E$141:E156,$E$141:E156,"&lt;"&amp;E156))/COUNTIF($E$141:$E$500,E156)</f>
        <v>140</v>
      </c>
      <c r="I156" s="130">
        <f>IF(COUNTIF($I$141:$I155,$I155)=VLOOKUP($I155,$D$90:$E$120,2,0),$I155+1,$I155)</f>
        <v>2</v>
      </c>
      <c r="J156" s="131">
        <f t="shared" si="14"/>
        <v>12</v>
      </c>
      <c r="K156" s="132" t="str">
        <f t="shared" si="15"/>
        <v/>
      </c>
      <c r="L156" s="132">
        <f t="shared" si="16"/>
        <v>0.03</v>
      </c>
      <c r="M156" s="132" t="str">
        <f t="shared" si="17"/>
        <v/>
      </c>
      <c r="N156" s="132" t="str">
        <f t="shared" si="23"/>
        <v/>
      </c>
      <c r="O156" s="132" t="str">
        <f t="shared" si="18"/>
        <v/>
      </c>
      <c r="P156" s="141">
        <f>(SUM($Q$142:Q156)-SUM($H$141:H156))/SUM($H$141:H156)</f>
        <v>-0.478125</v>
      </c>
      <c r="Q156" s="142">
        <f t="shared" si="24"/>
        <v>40</v>
      </c>
      <c r="R156" s="142">
        <v>1070</v>
      </c>
      <c r="S156" s="133">
        <f t="shared" si="25"/>
        <v>0.15</v>
      </c>
      <c r="T156" s="134">
        <f>INT(SUM($W$141:W156)/3)+1</f>
        <v>5</v>
      </c>
      <c r="U156" s="135" t="str">
        <f t="shared" si="19"/>
        <v/>
      </c>
      <c r="V156" s="136" t="s">
        <v>75</v>
      </c>
      <c r="W156" s="137">
        <f t="shared" si="26"/>
        <v>3</v>
      </c>
      <c r="X156" s="137">
        <f t="shared" si="20"/>
        <v>4280</v>
      </c>
      <c r="Y156" s="138"/>
      <c r="Z156" s="138">
        <v>1</v>
      </c>
      <c r="AA156" s="138">
        <v>2</v>
      </c>
      <c r="AB156" s="138" t="str">
        <f t="shared" si="30"/>
        <v>{8000,7000,6000}</v>
      </c>
      <c r="AC156" s="138">
        <v>500</v>
      </c>
      <c r="AD156" s="138">
        <v>2000</v>
      </c>
      <c r="AE156" s="138">
        <f>SUM($R$141:$R156)+SUM($X$141:$X156)</f>
        <v>19310</v>
      </c>
      <c r="AF156" s="138">
        <f>SUM($Q$142:Q156)</f>
        <v>334</v>
      </c>
      <c r="AG156" s="137">
        <f t="shared" si="27"/>
        <v>20312</v>
      </c>
      <c r="AH156" s="139">
        <f>SUM($S$141:S156)</f>
        <v>1.01722222222222</v>
      </c>
      <c r="AI156" s="133">
        <f t="shared" si="28"/>
        <v>0.075</v>
      </c>
      <c r="AJ156" s="15">
        <f t="shared" si="29"/>
        <v>6600</v>
      </c>
      <c r="AL156" s="15">
        <v>16</v>
      </c>
      <c r="AM156" s="15">
        <f t="shared" si="21"/>
        <v>58210</v>
      </c>
      <c r="AN156" s="15">
        <f>SUMIF([1]装备属性!$M$571:$M$870,"&lt;="&amp;AL156,[1]装备属性!$Q$571:$Q$870)</f>
        <v>0</v>
      </c>
      <c r="AO156" s="15" t="e">
        <f t="shared" si="22"/>
        <v>#DIV/0!</v>
      </c>
    </row>
    <row r="157" ht="18" spans="1:41">
      <c r="A157" s="9" t="s">
        <v>176</v>
      </c>
      <c r="B157" s="9" t="str">
        <f t="shared" si="11"/>
        <v>[{5205001,3},{2,}]</v>
      </c>
      <c r="C157" s="51" t="str">
        <f t="shared" si="12"/>
        <v>[{5203001,45},{2,1210}]</v>
      </c>
      <c r="D157" s="140">
        <v>17</v>
      </c>
      <c r="E157" s="130">
        <f t="shared" si="13"/>
        <v>2</v>
      </c>
      <c r="F157" s="130">
        <v>24</v>
      </c>
      <c r="G157" s="130">
        <v>1</v>
      </c>
      <c r="H157" s="130">
        <f>SUMIFS(基因产出!$F$90:$F$389,基因产出!$D$90:$D$389,"&lt;="&amp;E157,基因产出!$D$90:$D$389,"&gt;"&amp;_xlfn.MAXIFS($E$141:E157,$E$141:E157,"&lt;"&amp;E157))/COUNTIF($E$141:$E$500,E157)</f>
        <v>140</v>
      </c>
      <c r="I157" s="130">
        <f>IF(COUNTIF($I$141:$I156,$I156)=VLOOKUP($I156,$D$90:$E$120,2,0),$I156+1,$I156)</f>
        <v>3</v>
      </c>
      <c r="J157" s="131">
        <f t="shared" si="14"/>
        <v>18</v>
      </c>
      <c r="K157" s="132">
        <f t="shared" si="15"/>
        <v>0.05</v>
      </c>
      <c r="L157" s="132" t="str">
        <f t="shared" si="16"/>
        <v/>
      </c>
      <c r="M157" s="132" t="str">
        <f t="shared" si="17"/>
        <v/>
      </c>
      <c r="N157" s="132" t="str">
        <f t="shared" si="23"/>
        <v/>
      </c>
      <c r="O157" s="132" t="str">
        <f t="shared" si="18"/>
        <v/>
      </c>
      <c r="P157" s="141">
        <f>(SUM($Q$142:Q157)-SUM($H$141:H157))/SUM($H$141:H157)</f>
        <v>-0.517948717948718</v>
      </c>
      <c r="Q157" s="142">
        <f t="shared" si="24"/>
        <v>42</v>
      </c>
      <c r="R157" s="142">
        <v>1140</v>
      </c>
      <c r="S157" s="133">
        <f t="shared" si="25"/>
        <v>0.24390243902439</v>
      </c>
      <c r="T157" s="134">
        <f>INT(SUM($W$141:W157)/3)+1</f>
        <v>5</v>
      </c>
      <c r="U157" s="135" t="str">
        <f t="shared" si="19"/>
        <v/>
      </c>
      <c r="V157" s="136" t="s">
        <v>168</v>
      </c>
      <c r="W157" s="137" t="str">
        <f t="shared" si="26"/>
        <v/>
      </c>
      <c r="X157" s="137" t="str">
        <f t="shared" si="20"/>
        <v/>
      </c>
      <c r="Y157" s="138"/>
      <c r="Z157" s="138">
        <v>1</v>
      </c>
      <c r="AA157" s="138">
        <v>2</v>
      </c>
      <c r="AB157" s="138" t="str">
        <f t="shared" si="30"/>
        <v>{8000,7000,6000}</v>
      </c>
      <c r="AC157" s="138">
        <v>500</v>
      </c>
      <c r="AD157" s="138">
        <v>2000</v>
      </c>
      <c r="AE157" s="138">
        <f>SUM($R$141:$R157)+SUM($X$141:$X157)</f>
        <v>20450</v>
      </c>
      <c r="AF157" s="138">
        <f>SUM($Q$142:Q157)</f>
        <v>376</v>
      </c>
      <c r="AG157" s="137">
        <f t="shared" si="27"/>
        <v>21578</v>
      </c>
      <c r="AH157" s="139">
        <f>SUM($S$141:S157)</f>
        <v>1.26112466124661</v>
      </c>
      <c r="AI157" s="133">
        <f t="shared" si="28"/>
        <v>0.121951219512195</v>
      </c>
      <c r="AJ157" s="15">
        <f t="shared" si="29"/>
        <v>10800</v>
      </c>
      <c r="AL157" s="15">
        <v>17</v>
      </c>
      <c r="AM157" s="15">
        <f t="shared" si="21"/>
        <v>61100</v>
      </c>
      <c r="AN157" s="15">
        <f>SUMIF([1]装备属性!$M$571:$M$870,"&lt;="&amp;AL157,[1]装备属性!$Q$571:$Q$870)</f>
        <v>0</v>
      </c>
      <c r="AO157" s="15" t="e">
        <f t="shared" si="22"/>
        <v>#DIV/0!</v>
      </c>
    </row>
    <row r="158" ht="18" spans="1:41">
      <c r="A158" s="9" t="s">
        <v>177</v>
      </c>
      <c r="B158" s="9" t="str">
        <f t="shared" si="11"/>
        <v>[{5205001,3},{2,}]</v>
      </c>
      <c r="C158" s="51" t="str">
        <f t="shared" si="12"/>
        <v>[{5203001,47},{2,1280}]</v>
      </c>
      <c r="D158" s="140">
        <v>18</v>
      </c>
      <c r="E158" s="130">
        <f t="shared" si="13"/>
        <v>2</v>
      </c>
      <c r="F158" s="130">
        <v>24</v>
      </c>
      <c r="G158" s="130">
        <v>1</v>
      </c>
      <c r="H158" s="130">
        <f>SUMIFS(基因产出!$F$90:$F$389,基因产出!$D$90:$D$389,"&lt;="&amp;E158,基因产出!$D$90:$D$389,"&gt;"&amp;_xlfn.MAXIFS($E$141:E158,$E$141:E158,"&lt;"&amp;E158))/COUNTIF($E$141:$E$500,E158)</f>
        <v>140</v>
      </c>
      <c r="I158" s="130">
        <f>IF(COUNTIF($I$141:$I157,$I157)=VLOOKUP($I157,$D$90:$E$120,2,0),$I157+1,$I157)</f>
        <v>3</v>
      </c>
      <c r="J158" s="131">
        <f t="shared" si="14"/>
        <v>18</v>
      </c>
      <c r="K158" s="132" t="str">
        <f t="shared" si="15"/>
        <v/>
      </c>
      <c r="L158" s="132" t="str">
        <f t="shared" si="16"/>
        <v/>
      </c>
      <c r="M158" s="132" t="str">
        <f t="shared" si="17"/>
        <v/>
      </c>
      <c r="N158" s="132">
        <f t="shared" si="23"/>
        <v>0.0075</v>
      </c>
      <c r="O158" s="132">
        <f t="shared" si="18"/>
        <v>0.05</v>
      </c>
      <c r="P158" s="141">
        <f>(SUM($Q$142:Q158)-SUM($H$141:H158))/SUM($H$141:H158)</f>
        <v>-0.542391304347826</v>
      </c>
      <c r="Q158" s="142">
        <f t="shared" si="24"/>
        <v>45</v>
      </c>
      <c r="R158" s="142">
        <v>1210</v>
      </c>
      <c r="S158" s="133">
        <f t="shared" si="25"/>
        <v>0.259146341463415</v>
      </c>
      <c r="T158" s="134">
        <f>INT(SUM($W$141:W158)/3)+1</f>
        <v>5</v>
      </c>
      <c r="U158" s="135" t="str">
        <f t="shared" si="19"/>
        <v/>
      </c>
      <c r="V158" s="136" t="s">
        <v>168</v>
      </c>
      <c r="W158" s="137" t="str">
        <f t="shared" si="26"/>
        <v/>
      </c>
      <c r="X158" s="137" t="str">
        <f t="shared" si="20"/>
        <v/>
      </c>
      <c r="Y158" s="138"/>
      <c r="Z158" s="138">
        <v>1</v>
      </c>
      <c r="AA158" s="138">
        <v>2</v>
      </c>
      <c r="AB158" s="138" t="str">
        <f t="shared" si="30"/>
        <v>{8000,7000,6000}</v>
      </c>
      <c r="AC158" s="138">
        <v>500</v>
      </c>
      <c r="AD158" s="138">
        <v>2000</v>
      </c>
      <c r="AE158" s="138">
        <f>SUM($R$141:$R158)+SUM($X$141:$X158)</f>
        <v>21660</v>
      </c>
      <c r="AF158" s="138">
        <f>SUM($Q$142:Q158)</f>
        <v>421</v>
      </c>
      <c r="AG158" s="137">
        <f t="shared" si="27"/>
        <v>22923</v>
      </c>
      <c r="AH158" s="139">
        <f>SUM($S$141:S158)</f>
        <v>1.52027100271003</v>
      </c>
      <c r="AI158" s="133">
        <f t="shared" si="28"/>
        <v>0.129573170731707</v>
      </c>
      <c r="AJ158" s="15">
        <f t="shared" si="29"/>
        <v>11400</v>
      </c>
      <c r="AL158" s="15">
        <v>18</v>
      </c>
      <c r="AM158" s="15">
        <f t="shared" si="21"/>
        <v>61100</v>
      </c>
      <c r="AN158" s="15">
        <f>SUMIF([1]装备属性!$M$571:$M$870,"&lt;="&amp;AL158,[1]装备属性!$Q$571:$Q$870)</f>
        <v>32.962962962963</v>
      </c>
      <c r="AO158" s="15">
        <f t="shared" si="22"/>
        <v>1853.59550561798</v>
      </c>
    </row>
    <row r="159" ht="18" spans="1:41">
      <c r="A159" s="9" t="s">
        <v>178</v>
      </c>
      <c r="B159" s="9" t="str">
        <f t="shared" si="11"/>
        <v>[{5205001,3},{2,}]</v>
      </c>
      <c r="C159" s="51" t="str">
        <f t="shared" si="12"/>
        <v>[{5203001,50},{2,1350}]</v>
      </c>
      <c r="D159" s="140">
        <v>19</v>
      </c>
      <c r="E159" s="130">
        <f t="shared" si="13"/>
        <v>2</v>
      </c>
      <c r="F159" s="130">
        <v>24</v>
      </c>
      <c r="G159" s="130">
        <v>1</v>
      </c>
      <c r="H159" s="130">
        <f>SUMIFS(基因产出!$F$90:$F$389,基因产出!$D$90:$D$389,"&lt;="&amp;E159,基因产出!$D$90:$D$389,"&gt;"&amp;_xlfn.MAXIFS($E$141:E159,$E$141:E159,"&lt;"&amp;E159))/COUNTIF($E$141:$E$500,E159)</f>
        <v>140</v>
      </c>
      <c r="I159" s="130">
        <f>IF(COUNTIF($I$141:$I158,$I158)=VLOOKUP($I158,$D$90:$E$120,2,0),$I158+1,$I158)</f>
        <v>3</v>
      </c>
      <c r="J159" s="131">
        <f t="shared" si="14"/>
        <v>18</v>
      </c>
      <c r="K159" s="132" t="str">
        <f t="shared" si="15"/>
        <v/>
      </c>
      <c r="L159" s="132" t="str">
        <f t="shared" si="16"/>
        <v/>
      </c>
      <c r="M159" s="132">
        <f t="shared" si="17"/>
        <v>0.002</v>
      </c>
      <c r="N159" s="132" t="str">
        <f t="shared" si="23"/>
        <v/>
      </c>
      <c r="O159" s="132" t="str">
        <f t="shared" si="18"/>
        <v/>
      </c>
      <c r="P159" s="141">
        <f>(SUM($Q$142:Q159)-SUM($H$141:H159))/SUM($H$141:H159)</f>
        <v>-0.558490566037736</v>
      </c>
      <c r="Q159" s="142">
        <f t="shared" si="24"/>
        <v>47</v>
      </c>
      <c r="R159" s="142">
        <f>R158+70</f>
        <v>1280</v>
      </c>
      <c r="S159" s="133">
        <f t="shared" si="25"/>
        <v>0.274390243902439</v>
      </c>
      <c r="T159" s="134">
        <f>INT(SUM($W$141:W159)/3)+1</f>
        <v>5</v>
      </c>
      <c r="U159" s="135" t="str">
        <f t="shared" si="19"/>
        <v/>
      </c>
      <c r="V159" s="136" t="s">
        <v>168</v>
      </c>
      <c r="W159" s="137" t="str">
        <f t="shared" si="26"/>
        <v/>
      </c>
      <c r="X159" s="137" t="str">
        <f t="shared" si="20"/>
        <v/>
      </c>
      <c r="Y159" s="138"/>
      <c r="Z159" s="138">
        <v>1</v>
      </c>
      <c r="AA159" s="138">
        <v>2</v>
      </c>
      <c r="AB159" s="138" t="str">
        <f t="shared" si="30"/>
        <v>{8000,7000,6000}</v>
      </c>
      <c r="AC159" s="138">
        <v>500</v>
      </c>
      <c r="AD159" s="138">
        <v>2000</v>
      </c>
      <c r="AE159" s="138">
        <f>SUM($R$141:$R159)+SUM($X$141:$X159)</f>
        <v>22940</v>
      </c>
      <c r="AF159" s="138">
        <f>SUM($Q$142:Q159)</f>
        <v>468</v>
      </c>
      <c r="AG159" s="137">
        <f t="shared" si="27"/>
        <v>24344</v>
      </c>
      <c r="AH159" s="139">
        <f>SUM($S$141:S159)</f>
        <v>1.79466124661247</v>
      </c>
      <c r="AI159" s="133">
        <f t="shared" si="28"/>
        <v>0.13719512195122</v>
      </c>
      <c r="AJ159" s="15">
        <f t="shared" si="29"/>
        <v>12000</v>
      </c>
      <c r="AL159" s="15">
        <v>19</v>
      </c>
      <c r="AM159" s="15">
        <f t="shared" si="21"/>
        <v>64060</v>
      </c>
      <c r="AN159" s="15">
        <f>SUMIF([1]装备属性!$M$571:$M$870,"&lt;="&amp;AL159,[1]装备属性!$Q$571:$Q$870)</f>
        <v>32.962962962963</v>
      </c>
      <c r="AO159" s="15">
        <f t="shared" si="22"/>
        <v>1943.39325842696</v>
      </c>
    </row>
    <row r="160" ht="18" spans="1:41">
      <c r="A160" s="9" t="s">
        <v>179</v>
      </c>
      <c r="B160" s="9" t="str">
        <f t="shared" si="11"/>
        <v>[{5205001,3},{2,5400}]</v>
      </c>
      <c r="C160" s="51" t="str">
        <f t="shared" si="12"/>
        <v>[{5203001,55},{2,1420}]</v>
      </c>
      <c r="D160" s="140">
        <v>20</v>
      </c>
      <c r="E160" s="130">
        <f t="shared" si="13"/>
        <v>3</v>
      </c>
      <c r="F160" s="130">
        <v>29</v>
      </c>
      <c r="G160" s="130">
        <v>1</v>
      </c>
      <c r="H160" s="130">
        <f>SUMIFS(基因产出!$F$90:$F$389,基因产出!$D$90:$D$389,"&lt;="&amp;E160,基因产出!$D$90:$D$389,"&gt;"&amp;_xlfn.MAXIFS($E$141:E160,$E$141:E160,"&lt;"&amp;E160))/COUNTIF($E$141:$E$500,E160)</f>
        <v>166.666666666667</v>
      </c>
      <c r="I160" s="130">
        <f>IF(COUNTIF($I$141:$I159,$I159)=VLOOKUP($I159,$D$90:$E$120,2,0),$I159+1,$I159)</f>
        <v>3</v>
      </c>
      <c r="J160" s="131">
        <f t="shared" si="14"/>
        <v>18</v>
      </c>
      <c r="K160" s="132" t="str">
        <f t="shared" si="15"/>
        <v/>
      </c>
      <c r="L160" s="132">
        <f t="shared" si="16"/>
        <v>0.03</v>
      </c>
      <c r="M160" s="132" t="str">
        <f t="shared" si="17"/>
        <v/>
      </c>
      <c r="N160" s="132" t="str">
        <f t="shared" si="23"/>
        <v/>
      </c>
      <c r="O160" s="132" t="str">
        <f t="shared" si="18"/>
        <v/>
      </c>
      <c r="P160" s="141">
        <f>(SUM($Q$142:Q160)-SUM($H$141:H160))/SUM($H$141:H160)</f>
        <v>-0.577717391304348</v>
      </c>
      <c r="Q160" s="142">
        <f t="shared" si="24"/>
        <v>50</v>
      </c>
      <c r="R160" s="142">
        <f t="shared" ref="R160:R223" si="31">R159+70</f>
        <v>1350</v>
      </c>
      <c r="S160" s="133">
        <f t="shared" si="25"/>
        <v>0.289634146341463</v>
      </c>
      <c r="T160" s="134">
        <f>INT(SUM($W$141:W160)/3)+1</f>
        <v>6</v>
      </c>
      <c r="U160" s="135" t="str">
        <f t="shared" si="19"/>
        <v/>
      </c>
      <c r="V160" s="136" t="s">
        <v>76</v>
      </c>
      <c r="W160" s="137">
        <f t="shared" si="26"/>
        <v>3</v>
      </c>
      <c r="X160" s="137">
        <f t="shared" si="20"/>
        <v>5400</v>
      </c>
      <c r="Y160" s="138"/>
      <c r="Z160" s="138">
        <v>1</v>
      </c>
      <c r="AA160" s="138">
        <v>2</v>
      </c>
      <c r="AB160" s="138" t="str">
        <f t="shared" si="30"/>
        <v>{8000,7000,6000}</v>
      </c>
      <c r="AC160" s="138">
        <v>500</v>
      </c>
      <c r="AD160" s="138">
        <v>2000</v>
      </c>
      <c r="AE160" s="138">
        <f>SUM($R$141:$R160)+SUM($X$141:$X160)</f>
        <v>29690</v>
      </c>
      <c r="AF160" s="138">
        <f>SUM($Q$142:Q160)</f>
        <v>518</v>
      </c>
      <c r="AG160" s="137">
        <f t="shared" si="27"/>
        <v>31244</v>
      </c>
      <c r="AH160" s="139">
        <f>SUM($S$141:S160)</f>
        <v>2.08429539295393</v>
      </c>
      <c r="AI160" s="133">
        <f t="shared" si="28"/>
        <v>0.144817073170732</v>
      </c>
      <c r="AJ160" s="15">
        <f t="shared" si="29"/>
        <v>12600</v>
      </c>
      <c r="AL160" s="15">
        <v>20</v>
      </c>
      <c r="AM160" s="15">
        <f t="shared" si="21"/>
        <v>67090</v>
      </c>
      <c r="AN160" s="15">
        <f>SUMIF([1]装备属性!$M$571:$M$870,"&lt;="&amp;AL160,[1]装备属性!$Q$571:$Q$870)</f>
        <v>32.962962962963</v>
      </c>
      <c r="AO160" s="15">
        <f t="shared" si="22"/>
        <v>2035.31460674157</v>
      </c>
    </row>
    <row r="161" ht="18" spans="1:41">
      <c r="A161" s="9" t="s">
        <v>176</v>
      </c>
      <c r="B161" s="9" t="str">
        <f t="shared" si="11"/>
        <v>[{5205001,3},{2,}]</v>
      </c>
      <c r="C161" s="51" t="str">
        <f t="shared" si="12"/>
        <v>[{5203001,60},{2,1490}]</v>
      </c>
      <c r="D161" s="140">
        <v>21</v>
      </c>
      <c r="E161" s="130">
        <f t="shared" si="13"/>
        <v>3</v>
      </c>
      <c r="F161" s="130">
        <v>29</v>
      </c>
      <c r="G161" s="130">
        <v>1</v>
      </c>
      <c r="H161" s="130">
        <f>SUMIFS(基因产出!$F$90:$F$389,基因产出!$D$90:$D$389,"&lt;="&amp;E161,基因产出!$D$90:$D$389,"&gt;"&amp;_xlfn.MAXIFS($E$141:E161,$E$141:E161,"&lt;"&amp;E161))/COUNTIF($E$141:$E$500,E161)</f>
        <v>166.666666666667</v>
      </c>
      <c r="I161" s="130">
        <f>IF(COUNTIF($I$141:$I160,$I160)=VLOOKUP($I160,$D$90:$E$120,2,0),$I160+1,$I160)</f>
        <v>3</v>
      </c>
      <c r="J161" s="131">
        <f t="shared" si="14"/>
        <v>18</v>
      </c>
      <c r="K161" s="132">
        <f t="shared" si="15"/>
        <v>0.05</v>
      </c>
      <c r="L161" s="132" t="str">
        <f t="shared" si="16"/>
        <v/>
      </c>
      <c r="M161" s="132" t="str">
        <f t="shared" si="17"/>
        <v/>
      </c>
      <c r="N161" s="132" t="str">
        <f t="shared" si="23"/>
        <v/>
      </c>
      <c r="O161" s="132" t="str">
        <f t="shared" si="18"/>
        <v/>
      </c>
      <c r="P161" s="141">
        <f>(SUM($Q$142:Q161)-SUM($H$141:H161))/SUM($H$141:H161)</f>
        <v>-0.588755980861244</v>
      </c>
      <c r="Q161" s="142">
        <f t="shared" ref="Q161:Q171" si="32">Q160+5</f>
        <v>55</v>
      </c>
      <c r="R161" s="142">
        <f t="shared" si="31"/>
        <v>1420</v>
      </c>
      <c r="S161" s="133">
        <f t="shared" si="25"/>
        <v>0.304878048780488</v>
      </c>
      <c r="T161" s="134">
        <f>INT(SUM($W$141:W161)/3)+1</f>
        <v>6</v>
      </c>
      <c r="U161" s="135" t="str">
        <f t="shared" si="19"/>
        <v/>
      </c>
      <c r="V161" s="136" t="s">
        <v>168</v>
      </c>
      <c r="W161" s="137" t="str">
        <f t="shared" si="26"/>
        <v/>
      </c>
      <c r="X161" s="137" t="str">
        <f t="shared" si="20"/>
        <v/>
      </c>
      <c r="Y161" s="138"/>
      <c r="Z161" s="138">
        <v>1</v>
      </c>
      <c r="AA161" s="138">
        <v>2</v>
      </c>
      <c r="AB161" s="138" t="str">
        <f t="shared" si="30"/>
        <v>{8000,7000,6000}</v>
      </c>
      <c r="AC161" s="138">
        <v>500</v>
      </c>
      <c r="AD161" s="138">
        <v>2000</v>
      </c>
      <c r="AE161" s="138">
        <f>SUM($R$141:$R161)+SUM($X$141:$X161)</f>
        <v>31110</v>
      </c>
      <c r="AF161" s="138">
        <f>SUM($Q$142:Q161)</f>
        <v>573</v>
      </c>
      <c r="AG161" s="137">
        <f t="shared" si="27"/>
        <v>32829</v>
      </c>
      <c r="AH161" s="139">
        <f>SUM($S$141:S161)</f>
        <v>2.38917344173442</v>
      </c>
      <c r="AI161" s="133">
        <f t="shared" si="28"/>
        <v>0.152439024390244</v>
      </c>
      <c r="AJ161" s="15">
        <f t="shared" si="29"/>
        <v>13200</v>
      </c>
      <c r="AL161" s="15">
        <v>21</v>
      </c>
      <c r="AM161" s="15">
        <f t="shared" si="21"/>
        <v>70190</v>
      </c>
      <c r="AN161" s="15">
        <f>SUMIF([1]装备属性!$M$571:$M$870,"&lt;="&amp;AL161,[1]装备属性!$Q$571:$Q$870)</f>
        <v>65.9259259259259</v>
      </c>
      <c r="AO161" s="15">
        <f t="shared" si="22"/>
        <v>1064.6797752809</v>
      </c>
    </row>
    <row r="162" ht="18" spans="1:41">
      <c r="A162" s="9" t="s">
        <v>177</v>
      </c>
      <c r="B162" s="9" t="str">
        <f t="shared" si="11"/>
        <v>[{5205001,3},{2,}]</v>
      </c>
      <c r="C162" s="51" t="str">
        <f t="shared" si="12"/>
        <v>[{5203001,65},{2,1560}]</v>
      </c>
      <c r="D162" s="140">
        <v>22</v>
      </c>
      <c r="E162" s="130">
        <f t="shared" si="13"/>
        <v>3</v>
      </c>
      <c r="F162" s="130">
        <v>29</v>
      </c>
      <c r="G162" s="130">
        <v>1</v>
      </c>
      <c r="H162" s="130">
        <f>SUMIFS(基因产出!$F$90:$F$389,基因产出!$D$90:$D$389,"&lt;="&amp;E162,基因产出!$D$90:$D$389,"&gt;"&amp;_xlfn.MAXIFS($E$141:E162,$E$141:E162,"&lt;"&amp;E162))/COUNTIF($E$141:$E$500,E162)</f>
        <v>166.666666666667</v>
      </c>
      <c r="I162" s="130">
        <f>IF(COUNTIF($I$141:$I161,$I161)=VLOOKUP($I161,$D$90:$E$120,2,0),$I161+1,$I161)</f>
        <v>3</v>
      </c>
      <c r="J162" s="131">
        <f t="shared" si="14"/>
        <v>18</v>
      </c>
      <c r="K162" s="132" t="str">
        <f t="shared" si="15"/>
        <v/>
      </c>
      <c r="L162" s="132" t="str">
        <f t="shared" si="16"/>
        <v/>
      </c>
      <c r="M162" s="132" t="str">
        <f t="shared" si="17"/>
        <v/>
      </c>
      <c r="N162" s="132">
        <f t="shared" si="23"/>
        <v>0.0075</v>
      </c>
      <c r="O162" s="132">
        <f t="shared" si="18"/>
        <v>0.05</v>
      </c>
      <c r="P162" s="141">
        <f>(SUM($Q$142:Q162)-SUM($H$141:H162))/SUM($H$141:H162)</f>
        <v>-0.594230769230769</v>
      </c>
      <c r="Q162" s="142">
        <f t="shared" si="32"/>
        <v>60</v>
      </c>
      <c r="R162" s="142">
        <f t="shared" si="31"/>
        <v>1490</v>
      </c>
      <c r="S162" s="133">
        <f t="shared" si="25"/>
        <v>0.320121951219512</v>
      </c>
      <c r="T162" s="134">
        <f>INT(SUM($W$141:W162)/3)+1</f>
        <v>6</v>
      </c>
      <c r="U162" s="135" t="str">
        <f t="shared" si="19"/>
        <v/>
      </c>
      <c r="V162" s="136" t="s">
        <v>168</v>
      </c>
      <c r="W162" s="137" t="str">
        <f t="shared" si="26"/>
        <v/>
      </c>
      <c r="X162" s="137" t="str">
        <f t="shared" si="20"/>
        <v/>
      </c>
      <c r="Y162" s="138"/>
      <c r="Z162" s="138">
        <v>1</v>
      </c>
      <c r="AA162" s="138">
        <v>2</v>
      </c>
      <c r="AB162" s="138" t="str">
        <f t="shared" si="30"/>
        <v>{8000,7000,6000}</v>
      </c>
      <c r="AC162" s="138">
        <v>500</v>
      </c>
      <c r="AD162" s="138">
        <v>2000</v>
      </c>
      <c r="AE162" s="138">
        <f>SUM($R$141:$R162)+SUM($X$141:$X162)</f>
        <v>32600</v>
      </c>
      <c r="AF162" s="138">
        <f>SUM($Q$142:Q162)</f>
        <v>633</v>
      </c>
      <c r="AG162" s="137">
        <f t="shared" si="27"/>
        <v>34499</v>
      </c>
      <c r="AH162" s="139">
        <f>SUM($S$141:S162)</f>
        <v>2.70929539295393</v>
      </c>
      <c r="AI162" s="133">
        <f t="shared" si="28"/>
        <v>0.160060975609756</v>
      </c>
      <c r="AJ162" s="15">
        <f t="shared" si="29"/>
        <v>14100</v>
      </c>
      <c r="AL162" s="15">
        <v>22</v>
      </c>
      <c r="AM162" s="15">
        <f t="shared" si="21"/>
        <v>73360</v>
      </c>
      <c r="AN162" s="15">
        <f>SUMIF([1]装备属性!$M$571:$M$870,"&lt;="&amp;AL162,[1]装备属性!$Q$571:$Q$870)</f>
        <v>65.9259259259259</v>
      </c>
      <c r="AO162" s="15">
        <f t="shared" si="22"/>
        <v>1112.76404494382</v>
      </c>
    </row>
    <row r="163" ht="18" spans="1:41">
      <c r="A163" s="9" t="s">
        <v>178</v>
      </c>
      <c r="B163" s="9" t="str">
        <f t="shared" si="11"/>
        <v>[{5205001,3},{2,}]</v>
      </c>
      <c r="C163" s="51" t="str">
        <f t="shared" si="12"/>
        <v>[{5203001,70},{2,1630}]</v>
      </c>
      <c r="D163" s="140">
        <v>23</v>
      </c>
      <c r="E163" s="130">
        <f t="shared" si="13"/>
        <v>4</v>
      </c>
      <c r="F163" s="130">
        <v>34</v>
      </c>
      <c r="G163" s="130">
        <v>1</v>
      </c>
      <c r="H163" s="130">
        <f>SUMIFS(基因产出!$F$90:$F$389,基因产出!$D$90:$D$389,"&lt;="&amp;E163,基因产出!$D$90:$D$389,"&gt;"&amp;_xlfn.MAXIFS($E$141:E163,$E$141:E163,"&lt;"&amp;E163))/COUNTIF($E$141:$E$500,E163)</f>
        <v>156.666666666667</v>
      </c>
      <c r="I163" s="130">
        <f>IF(COUNTIF($I$141:$I162,$I162)=VLOOKUP($I162,$D$90:$E$120,2,0),$I162+1,$I162)</f>
        <v>3</v>
      </c>
      <c r="J163" s="131">
        <f t="shared" si="14"/>
        <v>18</v>
      </c>
      <c r="K163" s="132" t="str">
        <f t="shared" si="15"/>
        <v/>
      </c>
      <c r="L163" s="132" t="str">
        <f t="shared" si="16"/>
        <v/>
      </c>
      <c r="M163" s="132">
        <f t="shared" si="17"/>
        <v>0.002</v>
      </c>
      <c r="N163" s="132" t="str">
        <f t="shared" si="23"/>
        <v/>
      </c>
      <c r="O163" s="132" t="str">
        <f t="shared" si="18"/>
        <v/>
      </c>
      <c r="P163" s="141">
        <f>(SUM($Q$142:Q163)-SUM($H$141:H163))/SUM($H$141:H163)</f>
        <v>-0.593398058252427</v>
      </c>
      <c r="Q163" s="142">
        <f t="shared" si="32"/>
        <v>65</v>
      </c>
      <c r="R163" s="142">
        <f t="shared" si="31"/>
        <v>1560</v>
      </c>
      <c r="S163" s="133">
        <f t="shared" si="25"/>
        <v>0.335365853658537</v>
      </c>
      <c r="T163" s="134">
        <f>INT(SUM($W$141:W163)/3)+1</f>
        <v>6</v>
      </c>
      <c r="U163" s="135" t="str">
        <f t="shared" si="19"/>
        <v/>
      </c>
      <c r="V163" s="67" t="s">
        <v>168</v>
      </c>
      <c r="W163" s="137" t="str">
        <f t="shared" si="26"/>
        <v/>
      </c>
      <c r="X163" s="137" t="str">
        <f t="shared" si="20"/>
        <v/>
      </c>
      <c r="Y163" s="138"/>
      <c r="Z163" s="138">
        <v>1</v>
      </c>
      <c r="AA163" s="138">
        <v>2</v>
      </c>
      <c r="AB163" s="138" t="str">
        <f t="shared" si="30"/>
        <v>{8000,7000,6000}</v>
      </c>
      <c r="AC163" s="138">
        <v>500</v>
      </c>
      <c r="AD163" s="138">
        <v>2000</v>
      </c>
      <c r="AE163" s="138">
        <f>SUM($R$141:$R163)+SUM($X$141:$X163)</f>
        <v>34160</v>
      </c>
      <c r="AF163" s="138">
        <f>SUM($Q$142:Q163)</f>
        <v>698</v>
      </c>
      <c r="AG163" s="137">
        <f t="shared" si="27"/>
        <v>36254</v>
      </c>
      <c r="AH163" s="139">
        <f>SUM($S$141:S163)</f>
        <v>3.04466124661247</v>
      </c>
      <c r="AI163" s="133">
        <f t="shared" si="28"/>
        <v>0.167682926829268</v>
      </c>
      <c r="AJ163" s="15">
        <f t="shared" si="29"/>
        <v>14700</v>
      </c>
      <c r="AL163" s="15">
        <v>23</v>
      </c>
      <c r="AM163" s="15">
        <f t="shared" si="21"/>
        <v>73360</v>
      </c>
      <c r="AN163" s="15">
        <f>SUMIF([1]装备属性!$M$571:$M$870,"&lt;="&amp;AL163,[1]装备属性!$Q$571:$Q$870)</f>
        <v>65.9259259259259</v>
      </c>
      <c r="AO163" s="15">
        <f t="shared" si="22"/>
        <v>1112.76404494382</v>
      </c>
    </row>
    <row r="164" ht="18" spans="1:41">
      <c r="A164" s="9" t="s">
        <v>179</v>
      </c>
      <c r="B164" s="9" t="str">
        <f t="shared" si="11"/>
        <v>[{5205001,3},{2,6520}]</v>
      </c>
      <c r="C164" s="51" t="str">
        <f t="shared" si="12"/>
        <v>[{5203001,75},{2,1700}]</v>
      </c>
      <c r="D164" s="140">
        <v>24</v>
      </c>
      <c r="E164" s="130">
        <f t="shared" si="13"/>
        <v>4</v>
      </c>
      <c r="F164" s="130">
        <v>34</v>
      </c>
      <c r="G164" s="130">
        <v>1</v>
      </c>
      <c r="H164" s="130">
        <f>SUMIFS(基因产出!$F$90:$F$389,基因产出!$D$90:$D$389,"&lt;="&amp;E164,基因产出!$D$90:$D$389,"&gt;"&amp;_xlfn.MAXIFS($E$141:E164,$E$141:E164,"&lt;"&amp;E164))/COUNTIF($E$141:$E$500,E164)</f>
        <v>156.666666666667</v>
      </c>
      <c r="I164" s="130">
        <f>IF(COUNTIF($I$141:$I163,$I163)=VLOOKUP($I163,$D$90:$E$120,2,0),$I163+1,$I163)</f>
        <v>3</v>
      </c>
      <c r="J164" s="131">
        <f t="shared" si="14"/>
        <v>18</v>
      </c>
      <c r="K164" s="132" t="str">
        <f t="shared" si="15"/>
        <v/>
      </c>
      <c r="L164" s="132">
        <f t="shared" si="16"/>
        <v>0.03</v>
      </c>
      <c r="M164" s="132" t="str">
        <f t="shared" si="17"/>
        <v/>
      </c>
      <c r="N164" s="132" t="str">
        <f t="shared" si="23"/>
        <v/>
      </c>
      <c r="O164" s="132" t="str">
        <f t="shared" si="18"/>
        <v/>
      </c>
      <c r="P164" s="141">
        <f>(SUM($Q$142:Q164)-SUM($H$141:H164))/SUM($H$141:H164)</f>
        <v>-0.590035587188612</v>
      </c>
      <c r="Q164" s="142">
        <f t="shared" si="32"/>
        <v>70</v>
      </c>
      <c r="R164" s="142">
        <f t="shared" si="31"/>
        <v>1630</v>
      </c>
      <c r="S164" s="133">
        <f t="shared" si="25"/>
        <v>0.350609756097561</v>
      </c>
      <c r="T164" s="134">
        <f>INT(SUM($W$141:W164)/3)+1</f>
        <v>7</v>
      </c>
      <c r="U164" s="135" t="str">
        <f t="shared" si="19"/>
        <v/>
      </c>
      <c r="V164" s="143" t="s">
        <v>180</v>
      </c>
      <c r="W164" s="137">
        <f t="shared" si="26"/>
        <v>3</v>
      </c>
      <c r="X164" s="137">
        <f t="shared" si="20"/>
        <v>6520</v>
      </c>
      <c r="Y164" s="138"/>
      <c r="Z164" s="138">
        <v>1</v>
      </c>
      <c r="AA164" s="138">
        <v>2.5</v>
      </c>
      <c r="AB164" s="138" t="str">
        <f t="shared" si="30"/>
        <v>{8000,7000,6000}</v>
      </c>
      <c r="AC164" s="138">
        <v>500</v>
      </c>
      <c r="AD164" s="138">
        <v>2000</v>
      </c>
      <c r="AE164" s="138">
        <f>SUM($R$141:$R164)+SUM($X$141:$X164)</f>
        <v>42310</v>
      </c>
      <c r="AF164" s="138">
        <f>SUM($Q$142:Q164)</f>
        <v>768</v>
      </c>
      <c r="AG164" s="137">
        <f t="shared" si="27"/>
        <v>44614</v>
      </c>
      <c r="AH164" s="139">
        <f>SUM($S$141:S164)</f>
        <v>3.39527100271003</v>
      </c>
      <c r="AI164" s="133">
        <f t="shared" si="28"/>
        <v>0.17530487804878</v>
      </c>
      <c r="AJ164" s="15">
        <f t="shared" si="29"/>
        <v>15300</v>
      </c>
      <c r="AL164" s="15">
        <v>24</v>
      </c>
      <c r="AM164" s="15">
        <f t="shared" si="21"/>
        <v>76600</v>
      </c>
      <c r="AN164" s="15">
        <f>SUMIF([1]装备属性!$M$571:$M$870,"&lt;="&amp;AL164,[1]装备属性!$Q$571:$Q$870)</f>
        <v>65.9259259259259</v>
      </c>
      <c r="AO164" s="15">
        <f t="shared" si="22"/>
        <v>1161.91011235955</v>
      </c>
    </row>
    <row r="165" ht="18" spans="1:41">
      <c r="A165" s="9" t="s">
        <v>181</v>
      </c>
      <c r="B165" s="9" t="str">
        <f t="shared" si="11"/>
        <v>[{5205001,3},{2,}]</v>
      </c>
      <c r="C165" s="51" t="str">
        <f t="shared" si="12"/>
        <v>[{5203001,80},{2,1770}]</v>
      </c>
      <c r="D165" s="140">
        <v>25</v>
      </c>
      <c r="E165" s="130">
        <f t="shared" si="13"/>
        <v>4</v>
      </c>
      <c r="F165" s="130">
        <v>34</v>
      </c>
      <c r="G165" s="130">
        <v>3</v>
      </c>
      <c r="H165" s="130">
        <f>SUMIFS(基因产出!$F$90:$F$389,基因产出!$D$90:$D$389,"&lt;="&amp;E165,基因产出!$D$90:$D$389,"&gt;"&amp;_xlfn.MAXIFS($E$141:E165,$E$141:E165,"&lt;"&amp;E165))/COUNTIF($E$141:$E$500,E165)</f>
        <v>156.666666666667</v>
      </c>
      <c r="I165" s="130">
        <f>IF(COUNTIF($I$141:$I164,$I164)=VLOOKUP($I164,$D$90:$E$120,2,0),$I164+1,$I164)</f>
        <v>4</v>
      </c>
      <c r="J165" s="131">
        <f t="shared" si="14"/>
        <v>24</v>
      </c>
      <c r="K165" s="132">
        <f t="shared" si="15"/>
        <v>0.05</v>
      </c>
      <c r="L165" s="132" t="str">
        <f t="shared" si="16"/>
        <v/>
      </c>
      <c r="M165" s="132" t="str">
        <f t="shared" si="17"/>
        <v/>
      </c>
      <c r="N165" s="132" t="str">
        <f t="shared" si="23"/>
        <v/>
      </c>
      <c r="O165" s="132" t="str">
        <f t="shared" si="18"/>
        <v/>
      </c>
      <c r="P165" s="141">
        <f>(SUM($Q$142:Q165)-SUM($H$141:H165))/SUM($H$141:H165)</f>
        <v>-0.584729064039409</v>
      </c>
      <c r="Q165" s="142">
        <f t="shared" si="32"/>
        <v>75</v>
      </c>
      <c r="R165" s="142">
        <f t="shared" si="31"/>
        <v>1700</v>
      </c>
      <c r="S165" s="133">
        <f t="shared" si="25"/>
        <v>0.473684210526316</v>
      </c>
      <c r="T165" s="134">
        <f>INT(SUM($W$141:W165)/3)+1</f>
        <v>7</v>
      </c>
      <c r="U165" s="135" t="str">
        <f t="shared" si="19"/>
        <v/>
      </c>
      <c r="V165" s="67" t="s">
        <v>168</v>
      </c>
      <c r="W165" s="137" t="str">
        <f t="shared" si="26"/>
        <v/>
      </c>
      <c r="X165" s="137" t="str">
        <f t="shared" si="20"/>
        <v/>
      </c>
      <c r="Y165" s="138"/>
      <c r="Z165" s="138">
        <v>1</v>
      </c>
      <c r="AA165" s="138">
        <v>2.5</v>
      </c>
      <c r="AB165" s="138" t="str">
        <f t="shared" si="30"/>
        <v>{8000,7000,6000}</v>
      </c>
      <c r="AC165" s="138">
        <v>500</v>
      </c>
      <c r="AD165" s="138">
        <v>2000</v>
      </c>
      <c r="AE165" s="138">
        <f>SUM($R$141:$R165)+SUM($X$141:$X165)</f>
        <v>44010</v>
      </c>
      <c r="AF165" s="138">
        <f>SUM($Q$142:Q165)</f>
        <v>843</v>
      </c>
      <c r="AG165" s="137">
        <f t="shared" si="27"/>
        <v>46539</v>
      </c>
      <c r="AH165" s="139">
        <f>SUM($S$141:S165)</f>
        <v>3.86895521323634</v>
      </c>
      <c r="AI165" s="133">
        <f t="shared" si="28"/>
        <v>0.236842105263158</v>
      </c>
      <c r="AJ165" s="15">
        <f t="shared" si="29"/>
        <v>20700</v>
      </c>
      <c r="AL165" s="15">
        <v>25</v>
      </c>
      <c r="AM165" s="15">
        <f t="shared" si="21"/>
        <v>79910</v>
      </c>
      <c r="AN165" s="15">
        <f>SUMIF([1]装备属性!$M$571:$M$870,"&lt;="&amp;AL165,[1]装备属性!$Q$571:$Q$870)</f>
        <v>65.9259259259259</v>
      </c>
      <c r="AO165" s="15">
        <f t="shared" si="22"/>
        <v>1212.11797752809</v>
      </c>
    </row>
    <row r="166" ht="18" spans="1:41">
      <c r="A166" s="9" t="s">
        <v>182</v>
      </c>
      <c r="B166" s="9" t="str">
        <f t="shared" si="11"/>
        <v>[{5205001,3},{2,}]</v>
      </c>
      <c r="C166" s="51" t="str">
        <f t="shared" si="12"/>
        <v>[{5203001,85},{2,1840}]</v>
      </c>
      <c r="D166" s="140">
        <v>26</v>
      </c>
      <c r="E166" s="130">
        <f t="shared" si="13"/>
        <v>5</v>
      </c>
      <c r="F166" s="130">
        <v>38</v>
      </c>
      <c r="G166" s="130">
        <v>3</v>
      </c>
      <c r="H166" s="130">
        <f>SUMIFS(基因产出!$F$90:$F$389,基因产出!$D$90:$D$389,"&lt;="&amp;E166,基因产出!$D$90:$D$389,"&gt;"&amp;_xlfn.MAXIFS($E$141:E166,$E$141:E166,"&lt;"&amp;E166))/COUNTIF($E$141:$E$500,E166)</f>
        <v>220</v>
      </c>
      <c r="I166" s="130">
        <f>IF(COUNTIF($I$141:$I165,$I165)=VLOOKUP($I165,$D$90:$E$120,2,0),$I165+1,$I165)</f>
        <v>4</v>
      </c>
      <c r="J166" s="131">
        <f t="shared" si="14"/>
        <v>24</v>
      </c>
      <c r="K166" s="132" t="str">
        <f t="shared" si="15"/>
        <v/>
      </c>
      <c r="L166" s="132" t="str">
        <f t="shared" si="16"/>
        <v/>
      </c>
      <c r="M166" s="132" t="str">
        <f t="shared" si="17"/>
        <v/>
      </c>
      <c r="N166" s="132">
        <f t="shared" si="23"/>
        <v>0.0075</v>
      </c>
      <c r="O166" s="132">
        <f t="shared" si="18"/>
        <v>0.05</v>
      </c>
      <c r="P166" s="141">
        <f>(SUM($Q$142:Q166)-SUM($H$141:H166))/SUM($H$141:H166)</f>
        <v>-0.589777777777778</v>
      </c>
      <c r="Q166" s="142">
        <f t="shared" si="32"/>
        <v>80</v>
      </c>
      <c r="R166" s="142">
        <f t="shared" si="31"/>
        <v>1770</v>
      </c>
      <c r="S166" s="133">
        <f t="shared" si="25"/>
        <v>0.493421052631579</v>
      </c>
      <c r="T166" s="134">
        <f>INT(SUM($W$141:W166)/3)+1</f>
        <v>7</v>
      </c>
      <c r="U166" s="135" t="str">
        <f t="shared" si="19"/>
        <v/>
      </c>
      <c r="V166" s="67" t="s">
        <v>168</v>
      </c>
      <c r="W166" s="137" t="str">
        <f t="shared" si="26"/>
        <v/>
      </c>
      <c r="X166" s="137" t="str">
        <f t="shared" si="20"/>
        <v/>
      </c>
      <c r="Y166" s="138"/>
      <c r="Z166" s="138">
        <v>1</v>
      </c>
      <c r="AA166" s="138">
        <v>2.5</v>
      </c>
      <c r="AB166" s="138" t="str">
        <f t="shared" si="30"/>
        <v>{8000,7000,6000}</v>
      </c>
      <c r="AC166" s="138">
        <v>500</v>
      </c>
      <c r="AD166" s="138">
        <v>2000</v>
      </c>
      <c r="AE166" s="138">
        <f>SUM($R$141:$R166)+SUM($X$141:$X166)</f>
        <v>45780</v>
      </c>
      <c r="AF166" s="138">
        <f>SUM($Q$142:Q166)</f>
        <v>923</v>
      </c>
      <c r="AG166" s="137">
        <f t="shared" si="27"/>
        <v>48549</v>
      </c>
      <c r="AH166" s="139">
        <f>SUM($S$141:S166)</f>
        <v>4.36237626586792</v>
      </c>
      <c r="AI166" s="133">
        <f t="shared" si="28"/>
        <v>0.246710526315789</v>
      </c>
      <c r="AJ166" s="15">
        <f t="shared" si="29"/>
        <v>21600</v>
      </c>
      <c r="AL166" s="15">
        <v>26</v>
      </c>
      <c r="AM166" s="15">
        <f t="shared" si="21"/>
        <v>83290</v>
      </c>
      <c r="AN166" s="15">
        <f>SUMIF([1]装备属性!$M$571:$M$870,"&lt;="&amp;AL166,[1]装备属性!$Q$571:$Q$870)</f>
        <v>65.9259259259259</v>
      </c>
      <c r="AO166" s="15">
        <f t="shared" si="22"/>
        <v>1263.38764044944</v>
      </c>
    </row>
    <row r="167" ht="18" spans="1:41">
      <c r="A167" s="9" t="s">
        <v>183</v>
      </c>
      <c r="B167" s="9" t="str">
        <f t="shared" si="11"/>
        <v>[{5205001,3},{2,}]</v>
      </c>
      <c r="C167" s="51" t="str">
        <f t="shared" si="12"/>
        <v>[{5203001,90},{2,1910}]</v>
      </c>
      <c r="D167" s="140">
        <v>27</v>
      </c>
      <c r="E167" s="130">
        <f t="shared" si="13"/>
        <v>5</v>
      </c>
      <c r="F167" s="130">
        <v>38</v>
      </c>
      <c r="G167" s="130">
        <v>3</v>
      </c>
      <c r="H167" s="130">
        <f>SUMIFS(基因产出!$F$90:$F$389,基因产出!$D$90:$D$389,"&lt;="&amp;E167,基因产出!$D$90:$D$389,"&gt;"&amp;_xlfn.MAXIFS($E$141:E167,$E$141:E167,"&lt;"&amp;E167))/COUNTIF($E$141:$E$500,E167)</f>
        <v>220</v>
      </c>
      <c r="I167" s="130">
        <f>IF(COUNTIF($I$141:$I166,$I166)=VLOOKUP($I166,$D$90:$E$120,2,0),$I166+1,$I166)</f>
        <v>4</v>
      </c>
      <c r="J167" s="131">
        <f t="shared" si="14"/>
        <v>24</v>
      </c>
      <c r="K167" s="132" t="str">
        <f t="shared" si="15"/>
        <v/>
      </c>
      <c r="L167" s="132" t="str">
        <f t="shared" si="16"/>
        <v/>
      </c>
      <c r="M167" s="132">
        <f t="shared" si="17"/>
        <v>0.002</v>
      </c>
      <c r="N167" s="132" t="str">
        <f t="shared" si="23"/>
        <v/>
      </c>
      <c r="O167" s="132" t="str">
        <f t="shared" si="18"/>
        <v/>
      </c>
      <c r="P167" s="141">
        <f>(SUM($Q$142:Q167)-SUM($H$141:H167))/SUM($H$141:H167)</f>
        <v>-0.591902834008097</v>
      </c>
      <c r="Q167" s="142">
        <f t="shared" si="32"/>
        <v>85</v>
      </c>
      <c r="R167" s="142">
        <f t="shared" si="31"/>
        <v>1840</v>
      </c>
      <c r="S167" s="133">
        <f t="shared" si="25"/>
        <v>0.513157894736842</v>
      </c>
      <c r="T167" s="134">
        <f>INT(SUM($W$141:W167)/3)+1</f>
        <v>7</v>
      </c>
      <c r="U167" s="135" t="str">
        <f t="shared" si="19"/>
        <v/>
      </c>
      <c r="V167" s="67" t="s">
        <v>168</v>
      </c>
      <c r="W167" s="137" t="str">
        <f t="shared" si="26"/>
        <v/>
      </c>
      <c r="X167" s="137" t="str">
        <f t="shared" si="20"/>
        <v/>
      </c>
      <c r="Y167" s="138"/>
      <c r="Z167" s="138">
        <v>1</v>
      </c>
      <c r="AA167" s="138">
        <v>2.5</v>
      </c>
      <c r="AB167" s="138" t="str">
        <f t="shared" si="30"/>
        <v>{8000,7000,6000}</v>
      </c>
      <c r="AC167" s="138">
        <v>500</v>
      </c>
      <c r="AD167" s="138">
        <v>2000</v>
      </c>
      <c r="AE167" s="138">
        <f>SUM($R$141:$R167)+SUM($X$141:$X167)</f>
        <v>47620</v>
      </c>
      <c r="AF167" s="138">
        <f>SUM($Q$142:Q167)</f>
        <v>1008</v>
      </c>
      <c r="AG167" s="137">
        <f t="shared" si="27"/>
        <v>50644</v>
      </c>
      <c r="AH167" s="139">
        <f>SUM($S$141:S167)</f>
        <v>4.87553416060476</v>
      </c>
      <c r="AI167" s="133">
        <f t="shared" si="28"/>
        <v>0.256578947368421</v>
      </c>
      <c r="AJ167" s="15">
        <f t="shared" si="29"/>
        <v>22200</v>
      </c>
      <c r="AL167" s="15">
        <v>27</v>
      </c>
      <c r="AM167" s="15">
        <f t="shared" si="21"/>
        <v>83290</v>
      </c>
      <c r="AN167" s="15">
        <f>SUMIF([1]装备属性!$M$571:$M$870,"&lt;="&amp;AL167,[1]装备属性!$Q$571:$Q$870)</f>
        <v>65.9259259259259</v>
      </c>
      <c r="AO167" s="15">
        <f t="shared" si="22"/>
        <v>1263.38764044944</v>
      </c>
    </row>
    <row r="168" ht="18" spans="1:41">
      <c r="A168" s="9" t="s">
        <v>184</v>
      </c>
      <c r="B168" s="9" t="str">
        <f t="shared" si="11"/>
        <v>[{5205001,3},{2,7640}]</v>
      </c>
      <c r="C168" s="51" t="str">
        <f t="shared" si="12"/>
        <v>[{5203001,95},{2,1980}]</v>
      </c>
      <c r="D168" s="140">
        <v>28</v>
      </c>
      <c r="E168" s="130">
        <f t="shared" si="13"/>
        <v>6</v>
      </c>
      <c r="F168" s="130">
        <v>41</v>
      </c>
      <c r="G168" s="130">
        <v>3</v>
      </c>
      <c r="H168" s="130">
        <f>SUMIFS(基因产出!$F$90:$F$389,基因产出!$D$90:$D$389,"&lt;="&amp;E168,基因产出!$D$90:$D$389,"&gt;"&amp;_xlfn.MAXIFS($E$141:E168,$E$141:E168,"&lt;"&amp;E168))/COUNTIF($E$141:$E$500,E168)</f>
        <v>220</v>
      </c>
      <c r="I168" s="130">
        <f>IF(COUNTIF($I$141:$I167,$I167)=VLOOKUP($I167,$D$90:$E$120,2,0),$I167+1,$I167)</f>
        <v>4</v>
      </c>
      <c r="J168" s="131">
        <f t="shared" si="14"/>
        <v>24</v>
      </c>
      <c r="K168" s="132" t="str">
        <f t="shared" si="15"/>
        <v/>
      </c>
      <c r="L168" s="132">
        <f t="shared" si="16"/>
        <v>0.03</v>
      </c>
      <c r="M168" s="132" t="str">
        <f t="shared" si="17"/>
        <v/>
      </c>
      <c r="N168" s="132" t="str">
        <f t="shared" si="23"/>
        <v/>
      </c>
      <c r="O168" s="132" t="str">
        <f t="shared" si="18"/>
        <v/>
      </c>
      <c r="P168" s="141">
        <f>(SUM($Q$142:Q168)-SUM($H$141:H168))/SUM($H$141:H168)</f>
        <v>-0.59182156133829</v>
      </c>
      <c r="Q168" s="142">
        <f t="shared" si="32"/>
        <v>90</v>
      </c>
      <c r="R168" s="142">
        <f t="shared" si="31"/>
        <v>1910</v>
      </c>
      <c r="S168" s="133">
        <f t="shared" si="25"/>
        <v>0.532894736842105</v>
      </c>
      <c r="T168" s="134">
        <f>INT(SUM($W$141:W168)/3)+1</f>
        <v>8</v>
      </c>
      <c r="U168" s="135" t="str">
        <f t="shared" si="19"/>
        <v/>
      </c>
      <c r="V168" s="67" t="s">
        <v>79</v>
      </c>
      <c r="W168" s="137">
        <f t="shared" si="26"/>
        <v>3</v>
      </c>
      <c r="X168" s="137">
        <f t="shared" si="20"/>
        <v>7640</v>
      </c>
      <c r="Y168" s="138"/>
      <c r="Z168" s="138">
        <v>1</v>
      </c>
      <c r="AA168" s="138">
        <v>2.5</v>
      </c>
      <c r="AB168" s="138" t="str">
        <f t="shared" si="30"/>
        <v>{8000,7000,6000}</v>
      </c>
      <c r="AC168" s="138">
        <v>500</v>
      </c>
      <c r="AD168" s="138">
        <v>2000</v>
      </c>
      <c r="AE168" s="138">
        <f>SUM($R$141:$R168)+SUM($X$141:$X168)</f>
        <v>57170</v>
      </c>
      <c r="AF168" s="138">
        <f>SUM($Q$142:Q168)</f>
        <v>1098</v>
      </c>
      <c r="AG168" s="137">
        <f t="shared" si="27"/>
        <v>60464</v>
      </c>
      <c r="AH168" s="139">
        <f>SUM($S$141:S168)</f>
        <v>5.40842889744687</v>
      </c>
      <c r="AI168" s="133">
        <f t="shared" si="28"/>
        <v>0.266447368421053</v>
      </c>
      <c r="AJ168" s="15">
        <f t="shared" si="29"/>
        <v>23100</v>
      </c>
      <c r="AL168" s="15">
        <v>28</v>
      </c>
      <c r="AM168" s="15">
        <f t="shared" si="21"/>
        <v>86740</v>
      </c>
      <c r="AN168" s="15">
        <f>SUMIF([1]装备属性!$M$571:$M$870,"&lt;="&amp;AL168,[1]装备属性!$Q$571:$Q$870)</f>
        <v>65.9259259259259</v>
      </c>
      <c r="AO168" s="15">
        <f t="shared" si="22"/>
        <v>1315.7191011236</v>
      </c>
    </row>
    <row r="169" ht="18" spans="1:41">
      <c r="A169" s="9" t="s">
        <v>181</v>
      </c>
      <c r="B169" s="9" t="str">
        <f t="shared" si="11"/>
        <v>[{5205001,3},{2,}]</v>
      </c>
      <c r="C169" s="51" t="str">
        <f t="shared" si="12"/>
        <v>[{5203001,100},{2,2050}]</v>
      </c>
      <c r="D169" s="140">
        <v>29</v>
      </c>
      <c r="E169" s="130">
        <f t="shared" si="13"/>
        <v>6</v>
      </c>
      <c r="F169" s="130">
        <v>41</v>
      </c>
      <c r="G169" s="130">
        <v>3</v>
      </c>
      <c r="H169" s="130">
        <f>SUMIFS(基因产出!$F$90:$F$389,基因产出!$D$90:$D$389,"&lt;="&amp;E169,基因产出!$D$90:$D$389,"&gt;"&amp;_xlfn.MAXIFS($E$141:E169,$E$141:E169,"&lt;"&amp;E169))/COUNTIF($E$141:$E$500,E169)</f>
        <v>220</v>
      </c>
      <c r="I169" s="130">
        <f>IF(COUNTIF($I$141:$I168,$I168)=VLOOKUP($I168,$D$90:$E$120,2,0),$I168+1,$I168)</f>
        <v>4</v>
      </c>
      <c r="J169" s="131">
        <f t="shared" si="14"/>
        <v>24</v>
      </c>
      <c r="K169" s="132">
        <f t="shared" si="15"/>
        <v>0.05</v>
      </c>
      <c r="L169" s="132" t="str">
        <f t="shared" si="16"/>
        <v/>
      </c>
      <c r="M169" s="132" t="str">
        <f t="shared" si="17"/>
        <v/>
      </c>
      <c r="N169" s="132" t="str">
        <f t="shared" si="23"/>
        <v/>
      </c>
      <c r="O169" s="132" t="str">
        <f t="shared" si="18"/>
        <v/>
      </c>
      <c r="P169" s="141">
        <f>(SUM($Q$142:Q169)-SUM($H$141:H169))/SUM($H$141:H169)</f>
        <v>-0.590034364261168</v>
      </c>
      <c r="Q169" s="142">
        <f t="shared" si="32"/>
        <v>95</v>
      </c>
      <c r="R169" s="142">
        <f t="shared" si="31"/>
        <v>1980</v>
      </c>
      <c r="S169" s="133">
        <f t="shared" si="25"/>
        <v>0.552631578947368</v>
      </c>
      <c r="T169" s="134">
        <f>INT(SUM($W$141:W169)/3)+1</f>
        <v>8</v>
      </c>
      <c r="U169" s="135" t="str">
        <f t="shared" si="19"/>
        <v/>
      </c>
      <c r="V169" s="67" t="s">
        <v>168</v>
      </c>
      <c r="W169" s="137" t="str">
        <f t="shared" si="26"/>
        <v/>
      </c>
      <c r="X169" s="137" t="str">
        <f t="shared" si="20"/>
        <v/>
      </c>
      <c r="Y169" s="138"/>
      <c r="Z169" s="138">
        <v>1</v>
      </c>
      <c r="AA169" s="138">
        <v>2.5</v>
      </c>
      <c r="AB169" s="138" t="str">
        <f t="shared" si="30"/>
        <v>{8000,7000,6000}</v>
      </c>
      <c r="AC169" s="138">
        <v>500</v>
      </c>
      <c r="AD169" s="138">
        <v>2000</v>
      </c>
      <c r="AE169" s="138">
        <f>SUM($R$141:$R169)+SUM($X$141:$X169)</f>
        <v>59150</v>
      </c>
      <c r="AF169" s="138">
        <f>SUM($Q$142:Q169)</f>
        <v>1193</v>
      </c>
      <c r="AG169" s="137">
        <f t="shared" si="27"/>
        <v>62729</v>
      </c>
      <c r="AH169" s="139">
        <f>SUM($S$141:S169)</f>
        <v>5.96106047639424</v>
      </c>
      <c r="AI169" s="133">
        <f t="shared" si="28"/>
        <v>0.276315789473684</v>
      </c>
      <c r="AJ169" s="15">
        <f t="shared" si="29"/>
        <v>24000</v>
      </c>
      <c r="AL169" s="15">
        <v>29</v>
      </c>
      <c r="AM169" s="15">
        <f t="shared" si="21"/>
        <v>86740</v>
      </c>
      <c r="AN169" s="15">
        <f>SUMIF([1]装备属性!$M$571:$M$870,"&lt;="&amp;AL169,[1]装备属性!$Q$571:$Q$870)</f>
        <v>65.9259259259259</v>
      </c>
      <c r="AO169" s="15">
        <f t="shared" si="22"/>
        <v>1315.7191011236</v>
      </c>
    </row>
    <row r="170" ht="18" spans="1:41">
      <c r="A170" s="9" t="s">
        <v>182</v>
      </c>
      <c r="B170" s="9" t="str">
        <f t="shared" si="11"/>
        <v>[{5205001,3},{2,}]</v>
      </c>
      <c r="C170" s="51" t="str">
        <f t="shared" si="12"/>
        <v>[{5203001,105},{2,2120}]</v>
      </c>
      <c r="D170" s="140">
        <v>30</v>
      </c>
      <c r="E170" s="130">
        <f t="shared" si="13"/>
        <v>7</v>
      </c>
      <c r="F170" s="130">
        <v>44</v>
      </c>
      <c r="G170" s="130">
        <v>3</v>
      </c>
      <c r="H170" s="130">
        <f>SUMIFS(基因产出!$F$90:$F$389,基因产出!$D$90:$D$389,"&lt;="&amp;E170,基因产出!$D$90:$D$389,"&gt;"&amp;_xlfn.MAXIFS($E$141:E170,$E$141:E170,"&lt;"&amp;E170))/COUNTIF($E$141:$E$500,E170)</f>
        <v>410</v>
      </c>
      <c r="I170" s="130">
        <f>IF(COUNTIF($I$141:$I169,$I169)=VLOOKUP($I169,$D$90:$E$120,2,0),$I169+1,$I169)</f>
        <v>4</v>
      </c>
      <c r="J170" s="131">
        <f t="shared" si="14"/>
        <v>24</v>
      </c>
      <c r="K170" s="132" t="str">
        <f t="shared" si="15"/>
        <v/>
      </c>
      <c r="L170" s="132" t="str">
        <f t="shared" si="16"/>
        <v/>
      </c>
      <c r="M170" s="132" t="str">
        <f t="shared" si="17"/>
        <v/>
      </c>
      <c r="N170" s="132">
        <f t="shared" si="23"/>
        <v>0.0075</v>
      </c>
      <c r="O170" s="132">
        <f t="shared" si="18"/>
        <v>0.05</v>
      </c>
      <c r="P170" s="141">
        <f>(SUM($Q$142:Q170)-SUM($H$141:H170))/SUM($H$141:H170)</f>
        <v>-0.610542168674699</v>
      </c>
      <c r="Q170" s="142">
        <f t="shared" si="32"/>
        <v>100</v>
      </c>
      <c r="R170" s="142">
        <f t="shared" si="31"/>
        <v>2050</v>
      </c>
      <c r="S170" s="133">
        <f t="shared" si="25"/>
        <v>0.572368421052632</v>
      </c>
      <c r="T170" s="134">
        <f>INT(SUM($W$141:W170)/3)+1</f>
        <v>8</v>
      </c>
      <c r="U170" s="135" t="str">
        <f t="shared" si="19"/>
        <v/>
      </c>
      <c r="V170" s="67" t="s">
        <v>168</v>
      </c>
      <c r="W170" s="137" t="str">
        <f t="shared" si="26"/>
        <v/>
      </c>
      <c r="X170" s="137" t="str">
        <f t="shared" si="20"/>
        <v/>
      </c>
      <c r="Y170" s="138"/>
      <c r="Z170" s="138">
        <v>1</v>
      </c>
      <c r="AA170" s="138">
        <v>2.5</v>
      </c>
      <c r="AB170" s="138" t="str">
        <f t="shared" si="30"/>
        <v>{8000,7000,6000}</v>
      </c>
      <c r="AC170" s="138">
        <v>500</v>
      </c>
      <c r="AD170" s="138">
        <v>2000</v>
      </c>
      <c r="AE170" s="138">
        <f>SUM($R$141:$R170)+SUM($X$141:$X170)</f>
        <v>61200</v>
      </c>
      <c r="AF170" s="138">
        <f>SUM($Q$142:Q170)</f>
        <v>1293</v>
      </c>
      <c r="AG170" s="137">
        <f t="shared" si="27"/>
        <v>65079</v>
      </c>
      <c r="AH170" s="139">
        <f>SUM($S$141:S170)</f>
        <v>6.53342889744687</v>
      </c>
      <c r="AI170" s="133">
        <f t="shared" si="28"/>
        <v>0.286184210526316</v>
      </c>
      <c r="AJ170" s="15">
        <f t="shared" si="29"/>
        <v>24900</v>
      </c>
      <c r="AL170" s="15">
        <v>30</v>
      </c>
      <c r="AM170" s="15">
        <f t="shared" si="21"/>
        <v>90260</v>
      </c>
      <c r="AN170" s="15">
        <f>SUMIF([1]装备属性!$M$571:$M$870,"&lt;="&amp;AL170,[1]装备属性!$Q$571:$Q$870)</f>
        <v>65.9259259259259</v>
      </c>
      <c r="AO170" s="15">
        <f t="shared" si="22"/>
        <v>1369.11235955056</v>
      </c>
    </row>
    <row r="171" ht="18" spans="1:41">
      <c r="A171" s="9" t="s">
        <v>183</v>
      </c>
      <c r="B171" s="9" t="str">
        <f t="shared" si="11"/>
        <v>[{5205001,3},{2,}]</v>
      </c>
      <c r="C171" s="51" t="str">
        <f t="shared" si="12"/>
        <v>[{5203001,110},{2,2190}]</v>
      </c>
      <c r="D171" s="140">
        <v>31</v>
      </c>
      <c r="E171" s="130">
        <f t="shared" si="13"/>
        <v>8</v>
      </c>
      <c r="F171" s="130">
        <v>47</v>
      </c>
      <c r="G171" s="130">
        <v>3</v>
      </c>
      <c r="H171" s="130">
        <f>SUMIFS(基因产出!$F$90:$F$389,基因产出!$D$90:$D$389,"&lt;="&amp;E171,基因产出!$D$90:$D$389,"&gt;"&amp;_xlfn.MAXIFS($E$141:E171,$E$141:E171,"&lt;"&amp;E171))/COUNTIF($E$141:$E$500,E171)</f>
        <v>205</v>
      </c>
      <c r="I171" s="130">
        <f>IF(COUNTIF($I$141:$I170,$I170)=VLOOKUP($I170,$D$90:$E$120,2,0),$I170+1,$I170)</f>
        <v>4</v>
      </c>
      <c r="J171" s="131">
        <f t="shared" si="14"/>
        <v>24</v>
      </c>
      <c r="K171" s="132" t="str">
        <f t="shared" si="15"/>
        <v/>
      </c>
      <c r="L171" s="132" t="str">
        <f t="shared" si="16"/>
        <v/>
      </c>
      <c r="M171" s="132">
        <f t="shared" si="17"/>
        <v>0.002</v>
      </c>
      <c r="N171" s="132" t="str">
        <f t="shared" si="23"/>
        <v/>
      </c>
      <c r="O171" s="132" t="str">
        <f t="shared" si="18"/>
        <v/>
      </c>
      <c r="P171" s="141">
        <f>(SUM($Q$142:Q171)-SUM($H$141:H171))/SUM($H$141:H171)</f>
        <v>-0.603404255319149</v>
      </c>
      <c r="Q171" s="142">
        <f t="shared" si="32"/>
        <v>105</v>
      </c>
      <c r="R171" s="142">
        <f t="shared" si="31"/>
        <v>2120</v>
      </c>
      <c r="S171" s="133">
        <f t="shared" si="25"/>
        <v>0.592105263157895</v>
      </c>
      <c r="T171" s="134">
        <f>INT(SUM($W$141:W171)/3)+1</f>
        <v>8</v>
      </c>
      <c r="U171" s="135" t="str">
        <f t="shared" si="19"/>
        <v/>
      </c>
      <c r="V171" s="67" t="s">
        <v>168</v>
      </c>
      <c r="W171" s="137" t="str">
        <f t="shared" si="26"/>
        <v/>
      </c>
      <c r="X171" s="137" t="str">
        <f t="shared" si="20"/>
        <v/>
      </c>
      <c r="Y171" s="138"/>
      <c r="Z171" s="138">
        <v>1</v>
      </c>
      <c r="AA171" s="138">
        <v>2.5</v>
      </c>
      <c r="AB171" s="138" t="str">
        <f t="shared" si="30"/>
        <v>{8000,7000,6000}</v>
      </c>
      <c r="AC171" s="138">
        <v>500</v>
      </c>
      <c r="AD171" s="138">
        <v>2000</v>
      </c>
      <c r="AE171" s="138">
        <f>SUM($R$141:$R171)+SUM($X$141:$X171)</f>
        <v>63320</v>
      </c>
      <c r="AF171" s="138">
        <f>SUM($Q$142:Q171)</f>
        <v>1398</v>
      </c>
      <c r="AG171" s="137">
        <f t="shared" si="27"/>
        <v>67514</v>
      </c>
      <c r="AH171" s="139">
        <f>SUM($S$141:S171)</f>
        <v>7.12553416060476</v>
      </c>
      <c r="AI171" s="133">
        <f t="shared" si="28"/>
        <v>0.296052631578947</v>
      </c>
      <c r="AJ171" s="15">
        <f t="shared" si="29"/>
        <v>25800</v>
      </c>
      <c r="AL171" s="15">
        <v>31</v>
      </c>
      <c r="AM171" s="15">
        <f t="shared" si="21"/>
        <v>93850</v>
      </c>
      <c r="AN171" s="15">
        <f>SUMIF([1]装备属性!$M$571:$M$870,"&lt;="&amp;AL171,[1]装备属性!$Q$571:$Q$870)</f>
        <v>65.9259259259259</v>
      </c>
      <c r="AO171" s="15">
        <f t="shared" si="22"/>
        <v>1423.56741573034</v>
      </c>
    </row>
    <row r="172" ht="18" spans="1:41">
      <c r="A172" s="9" t="s">
        <v>184</v>
      </c>
      <c r="B172" s="9" t="str">
        <f t="shared" si="11"/>
        <v>[{5205001,3},{2,8760}]</v>
      </c>
      <c r="C172" s="51" t="str">
        <f t="shared" si="12"/>
        <v>[{5203001,115},{2,2260}]</v>
      </c>
      <c r="D172" s="140">
        <v>32</v>
      </c>
      <c r="E172" s="130">
        <f t="shared" si="13"/>
        <v>8</v>
      </c>
      <c r="F172" s="130">
        <v>47</v>
      </c>
      <c r="G172" s="130">
        <v>3</v>
      </c>
      <c r="H172" s="130">
        <f>SUMIFS(基因产出!$F$90:$F$389,基因产出!$D$90:$D$389,"&lt;="&amp;E172,基因产出!$D$90:$D$389,"&gt;"&amp;_xlfn.MAXIFS($E$141:E172,$E$141:E172,"&lt;"&amp;E172))/COUNTIF($E$141:$E$500,E172)</f>
        <v>205</v>
      </c>
      <c r="I172" s="130">
        <f>IF(COUNTIF($I$141:$I171,$I171)=VLOOKUP($I171,$D$90:$E$120,2,0),$I171+1,$I171)</f>
        <v>4</v>
      </c>
      <c r="J172" s="131">
        <f t="shared" si="14"/>
        <v>24</v>
      </c>
      <c r="K172" s="132" t="str">
        <f t="shared" si="15"/>
        <v/>
      </c>
      <c r="L172" s="132">
        <f t="shared" si="16"/>
        <v>0.03</v>
      </c>
      <c r="M172" s="132" t="str">
        <f t="shared" si="17"/>
        <v/>
      </c>
      <c r="N172" s="132" t="str">
        <f t="shared" si="23"/>
        <v/>
      </c>
      <c r="O172" s="132" t="str">
        <f t="shared" si="18"/>
        <v/>
      </c>
      <c r="P172" s="141">
        <f>(SUM($Q$142:Q172)-SUM($H$141:H172))/SUM($H$141:H172)</f>
        <v>-0.595710455764075</v>
      </c>
      <c r="Q172" s="142">
        <f t="shared" ref="Q172:Q235" si="33">Q171+5</f>
        <v>110</v>
      </c>
      <c r="R172" s="142">
        <f t="shared" si="31"/>
        <v>2190</v>
      </c>
      <c r="S172" s="133">
        <f t="shared" si="25"/>
        <v>0.611842105263158</v>
      </c>
      <c r="T172" s="134">
        <f>INT(SUM($W$141:W172)/3)+1</f>
        <v>9</v>
      </c>
      <c r="U172" s="135" t="str">
        <f t="shared" si="19"/>
        <v/>
      </c>
      <c r="V172" s="67" t="s">
        <v>78</v>
      </c>
      <c r="W172" s="137">
        <f t="shared" si="26"/>
        <v>3</v>
      </c>
      <c r="X172" s="137">
        <f t="shared" si="20"/>
        <v>8760</v>
      </c>
      <c r="Y172" s="138"/>
      <c r="Z172" s="138">
        <v>1</v>
      </c>
      <c r="AA172" s="138">
        <v>2.5</v>
      </c>
      <c r="AB172" s="138" t="str">
        <f t="shared" si="30"/>
        <v>{8000,7000,6000}</v>
      </c>
      <c r="AC172" s="138">
        <v>1000</v>
      </c>
      <c r="AD172" s="138">
        <v>2000</v>
      </c>
      <c r="AE172" s="138">
        <f>SUM($R$141:$R172)+SUM($X$141:$X172)</f>
        <v>74270</v>
      </c>
      <c r="AF172" s="138">
        <f>SUM($Q$142:Q172)</f>
        <v>1508</v>
      </c>
      <c r="AG172" s="137">
        <f t="shared" si="27"/>
        <v>78794</v>
      </c>
      <c r="AH172" s="139">
        <f>SUM($S$141:S172)</f>
        <v>7.73737626586792</v>
      </c>
      <c r="AI172" s="133">
        <f t="shared" si="28"/>
        <v>0.305921052631579</v>
      </c>
      <c r="AJ172" s="15">
        <f t="shared" si="29"/>
        <v>26700</v>
      </c>
      <c r="AL172" s="15">
        <v>32</v>
      </c>
      <c r="AM172" s="15">
        <f t="shared" si="21"/>
        <v>93850</v>
      </c>
      <c r="AN172" s="15">
        <f>SUMIF([1]装备属性!$M$571:$M$870,"&lt;="&amp;AL172,[1]装备属性!$Q$571:$Q$870)</f>
        <v>65.9259259259259</v>
      </c>
      <c r="AO172" s="15">
        <f t="shared" si="22"/>
        <v>1423.56741573034</v>
      </c>
    </row>
    <row r="173" ht="18" spans="1:41">
      <c r="A173" s="9" t="s">
        <v>185</v>
      </c>
      <c r="B173" s="9" t="str">
        <f t="shared" si="11"/>
        <v>[{5205001,3},{2,}]</v>
      </c>
      <c r="C173" s="51" t="str">
        <f t="shared" si="12"/>
        <v>[{5203001,120},{2,2330}]</v>
      </c>
      <c r="D173" s="140">
        <v>33</v>
      </c>
      <c r="E173" s="130">
        <f t="shared" si="13"/>
        <v>9</v>
      </c>
      <c r="F173" s="130">
        <v>49</v>
      </c>
      <c r="G173" s="130">
        <v>5</v>
      </c>
      <c r="H173" s="130">
        <f>SUMIFS(基因产出!$F$90:$F$389,基因产出!$D$90:$D$389,"&lt;="&amp;E173,基因产出!$D$90:$D$389,"&gt;"&amp;_xlfn.MAXIFS($E$141:E173,$E$141:E173,"&lt;"&amp;E173))/COUNTIF($E$141:$E$500,E173)</f>
        <v>380</v>
      </c>
      <c r="I173" s="130">
        <f>IF(COUNTIF($I$141:$I172,$I172)=VLOOKUP($I172,$D$90:$E$120,2,0),$I172+1,$I172)</f>
        <v>5</v>
      </c>
      <c r="J173" s="131">
        <f t="shared" si="14"/>
        <v>30</v>
      </c>
      <c r="K173" s="132">
        <f t="shared" si="15"/>
        <v>0.05</v>
      </c>
      <c r="L173" s="132" t="str">
        <f t="shared" si="16"/>
        <v/>
      </c>
      <c r="M173" s="132" t="str">
        <f t="shared" si="17"/>
        <v/>
      </c>
      <c r="N173" s="132" t="str">
        <f t="shared" si="23"/>
        <v/>
      </c>
      <c r="O173" s="132" t="str">
        <f t="shared" si="18"/>
        <v/>
      </c>
      <c r="P173" s="141">
        <f>(SUM($Q$142:Q173)-SUM($H$141:H173))/SUM($H$141:H173)</f>
        <v>-0.605109489051095</v>
      </c>
      <c r="Q173" s="142">
        <f t="shared" si="33"/>
        <v>115</v>
      </c>
      <c r="R173" s="142">
        <f t="shared" si="31"/>
        <v>2260</v>
      </c>
      <c r="S173" s="133">
        <f t="shared" si="25"/>
        <v>0.767123287671233</v>
      </c>
      <c r="T173" s="134">
        <f>INT(SUM($W$141:W173)/3)+1</f>
        <v>9</v>
      </c>
      <c r="U173" s="135" t="str">
        <f t="shared" si="19"/>
        <v/>
      </c>
      <c r="V173" s="67" t="s">
        <v>168</v>
      </c>
      <c r="W173" s="137" t="str">
        <f t="shared" si="26"/>
        <v/>
      </c>
      <c r="X173" s="137" t="str">
        <f t="shared" si="20"/>
        <v/>
      </c>
      <c r="Y173" s="138"/>
      <c r="Z173" s="138">
        <v>1</v>
      </c>
      <c r="AA173" s="138">
        <v>2.5</v>
      </c>
      <c r="AB173" s="138" t="str">
        <f t="shared" si="30"/>
        <v>{8000,7000,6000}</v>
      </c>
      <c r="AC173" s="138">
        <v>1000</v>
      </c>
      <c r="AD173" s="138">
        <v>2000</v>
      </c>
      <c r="AE173" s="138">
        <f>SUM($R$141:$R173)+SUM($X$141:$X173)</f>
        <v>76530</v>
      </c>
      <c r="AF173" s="138">
        <f>SUM($Q$142:Q173)</f>
        <v>1623</v>
      </c>
      <c r="AG173" s="137">
        <f t="shared" si="27"/>
        <v>81399</v>
      </c>
      <c r="AH173" s="139">
        <f>SUM($S$141:S173)</f>
        <v>8.50449955353915</v>
      </c>
      <c r="AI173" s="133">
        <f t="shared" si="28"/>
        <v>0.383561643835616</v>
      </c>
      <c r="AJ173" s="15">
        <f t="shared" si="29"/>
        <v>33300</v>
      </c>
      <c r="AL173" s="15">
        <v>33</v>
      </c>
      <c r="AM173" s="15">
        <f t="shared" si="21"/>
        <v>97510</v>
      </c>
      <c r="AN173" s="15">
        <f>SUMIF([1]装备属性!$M$571:$M$870,"&lt;="&amp;AL173,[1]装备属性!$Q$571:$Q$870)</f>
        <v>65.9259259259259</v>
      </c>
      <c r="AO173" s="15">
        <f t="shared" si="22"/>
        <v>1479.08426966292</v>
      </c>
    </row>
    <row r="174" ht="18" spans="1:41">
      <c r="A174" s="9" t="s">
        <v>186</v>
      </c>
      <c r="B174" s="9" t="str">
        <f t="shared" si="11"/>
        <v>[{5205001,3},{2,}]</v>
      </c>
      <c r="C174" s="51" t="str">
        <f t="shared" si="12"/>
        <v>[{5203001,125},{2,2400}]</v>
      </c>
      <c r="D174" s="140">
        <v>34</v>
      </c>
      <c r="E174" s="130">
        <f t="shared" si="13"/>
        <v>10</v>
      </c>
      <c r="F174" s="130">
        <v>52</v>
      </c>
      <c r="G174" s="130">
        <v>5</v>
      </c>
      <c r="H174" s="130">
        <f>SUMIFS(基因产出!$F$90:$F$389,基因产出!$D$90:$D$389,"&lt;="&amp;E174,基因产出!$D$90:$D$389,"&gt;"&amp;_xlfn.MAXIFS($E$141:E174,$E$141:E174,"&lt;"&amp;E174))/COUNTIF($E$141:$E$500,E174)</f>
        <v>380</v>
      </c>
      <c r="I174" s="130">
        <f>IF(COUNTIF($I$141:$I173,$I173)=VLOOKUP($I173,$D$90:$E$120,2,0),$I173+1,$I173)</f>
        <v>5</v>
      </c>
      <c r="J174" s="131">
        <f t="shared" si="14"/>
        <v>30</v>
      </c>
      <c r="K174" s="132" t="str">
        <f t="shared" si="15"/>
        <v/>
      </c>
      <c r="L174" s="132" t="str">
        <f t="shared" si="16"/>
        <v/>
      </c>
      <c r="M174" s="132" t="str">
        <f t="shared" si="17"/>
        <v/>
      </c>
      <c r="N174" s="132">
        <f t="shared" si="23"/>
        <v>0.0075</v>
      </c>
      <c r="O174" s="132">
        <f t="shared" si="18"/>
        <v>0.05</v>
      </c>
      <c r="P174" s="141">
        <f>(SUM($Q$142:Q174)-SUM($H$141:H174))/SUM($H$141:H174)</f>
        <v>-0.611804008908686</v>
      </c>
      <c r="Q174" s="142">
        <f t="shared" si="33"/>
        <v>120</v>
      </c>
      <c r="R174" s="142">
        <f t="shared" si="31"/>
        <v>2330</v>
      </c>
      <c r="S174" s="133">
        <f t="shared" si="25"/>
        <v>0.791095890410959</v>
      </c>
      <c r="T174" s="134">
        <f>INT(SUM($W$141:W174)/3)+1</f>
        <v>9</v>
      </c>
      <c r="U174" s="135" t="str">
        <f t="shared" si="19"/>
        <v/>
      </c>
      <c r="V174" s="67" t="s">
        <v>168</v>
      </c>
      <c r="W174" s="137" t="str">
        <f t="shared" si="26"/>
        <v/>
      </c>
      <c r="X174" s="137" t="str">
        <f t="shared" si="20"/>
        <v/>
      </c>
      <c r="Y174" s="138"/>
      <c r="Z174" s="138">
        <v>1</v>
      </c>
      <c r="AA174" s="138">
        <v>2.5</v>
      </c>
      <c r="AB174" s="138" t="str">
        <f t="shared" si="30"/>
        <v>{8000,7000,6000}</v>
      </c>
      <c r="AC174" s="138">
        <v>1000</v>
      </c>
      <c r="AD174" s="138">
        <v>2000</v>
      </c>
      <c r="AE174" s="138">
        <f>SUM($R$141:$R174)+SUM($X$141:$X174)</f>
        <v>78860</v>
      </c>
      <c r="AF174" s="138">
        <f>SUM($Q$142:Q174)</f>
        <v>1743</v>
      </c>
      <c r="AG174" s="137">
        <f t="shared" si="27"/>
        <v>84089</v>
      </c>
      <c r="AH174" s="139">
        <f>SUM($S$141:S174)</f>
        <v>9.29559544395011</v>
      </c>
      <c r="AI174" s="133">
        <f t="shared" si="28"/>
        <v>0.395547945205479</v>
      </c>
      <c r="AJ174" s="15">
        <f t="shared" si="29"/>
        <v>34200</v>
      </c>
      <c r="AL174" s="15">
        <v>34</v>
      </c>
      <c r="AM174" s="15">
        <f t="shared" si="21"/>
        <v>97510</v>
      </c>
      <c r="AN174" s="15">
        <f>SUMIF([1]装备属性!$M$571:$M$870,"&lt;="&amp;AL174,[1]装备属性!$Q$571:$Q$870)</f>
        <v>98.8888888888889</v>
      </c>
      <c r="AO174" s="15">
        <f t="shared" si="22"/>
        <v>986.056179775281</v>
      </c>
    </row>
    <row r="175" ht="18" spans="1:41">
      <c r="A175" s="9" t="s">
        <v>187</v>
      </c>
      <c r="B175" s="9" t="str">
        <f t="shared" si="11"/>
        <v>[{5205001,3},{2,}]</v>
      </c>
      <c r="C175" s="51" t="str">
        <f t="shared" si="12"/>
        <v>[{5203001,130},{2,2470}]</v>
      </c>
      <c r="D175" s="140">
        <v>35</v>
      </c>
      <c r="E175" s="130">
        <f t="shared" si="13"/>
        <v>11</v>
      </c>
      <c r="F175" s="130">
        <v>54</v>
      </c>
      <c r="G175" s="130">
        <v>5</v>
      </c>
      <c r="H175" s="130">
        <f>SUMIFS(基因产出!$F$90:$F$389,基因产出!$D$90:$D$389,"&lt;="&amp;E175,基因产出!$D$90:$D$389,"&gt;"&amp;_xlfn.MAXIFS($E$141:E175,$E$141:E175,"&lt;"&amp;E175))/COUNTIF($E$141:$E$500,E175)</f>
        <v>190</v>
      </c>
      <c r="I175" s="130">
        <f>IF(COUNTIF($I$141:$I174,$I174)=VLOOKUP($I174,$D$90:$E$120,2,0),$I174+1,$I174)</f>
        <v>5</v>
      </c>
      <c r="J175" s="131">
        <f t="shared" si="14"/>
        <v>30</v>
      </c>
      <c r="K175" s="132" t="str">
        <f t="shared" si="15"/>
        <v/>
      </c>
      <c r="L175" s="132" t="str">
        <f t="shared" si="16"/>
        <v/>
      </c>
      <c r="M175" s="132">
        <f t="shared" si="17"/>
        <v>0.002</v>
      </c>
      <c r="N175" s="132" t="str">
        <f t="shared" si="23"/>
        <v/>
      </c>
      <c r="O175" s="132" t="str">
        <f t="shared" si="18"/>
        <v/>
      </c>
      <c r="P175" s="141">
        <f>(SUM($Q$142:Q175)-SUM($H$141:H175))/SUM($H$141:H175)</f>
        <v>-0.600854700854701</v>
      </c>
      <c r="Q175" s="142">
        <f t="shared" si="33"/>
        <v>125</v>
      </c>
      <c r="R175" s="142">
        <f t="shared" si="31"/>
        <v>2400</v>
      </c>
      <c r="S175" s="133">
        <f t="shared" si="25"/>
        <v>0.815068493150685</v>
      </c>
      <c r="T175" s="134">
        <f>INT(SUM($W$141:W175)/3)+1</f>
        <v>9</v>
      </c>
      <c r="U175" s="135" t="str">
        <f t="shared" si="19"/>
        <v/>
      </c>
      <c r="V175" s="67" t="s">
        <v>168</v>
      </c>
      <c r="W175" s="137" t="str">
        <f t="shared" si="26"/>
        <v/>
      </c>
      <c r="X175" s="137" t="str">
        <f t="shared" si="20"/>
        <v/>
      </c>
      <c r="Y175" s="138"/>
      <c r="Z175" s="138">
        <v>1</v>
      </c>
      <c r="AA175" s="138">
        <v>2.5</v>
      </c>
      <c r="AB175" s="138" t="str">
        <f t="shared" si="30"/>
        <v>{8000,7000,6000}</v>
      </c>
      <c r="AC175" s="138">
        <v>1000</v>
      </c>
      <c r="AD175" s="138">
        <v>2000</v>
      </c>
      <c r="AE175" s="138">
        <f>SUM($R$141:$R175)+SUM($X$141:$X175)</f>
        <v>81260</v>
      </c>
      <c r="AF175" s="138">
        <f>SUM($Q$142:Q175)</f>
        <v>1868</v>
      </c>
      <c r="AG175" s="137">
        <f t="shared" si="27"/>
        <v>86864</v>
      </c>
      <c r="AH175" s="139">
        <f>SUM($S$141:S175)</f>
        <v>10.1106639371008</v>
      </c>
      <c r="AI175" s="133">
        <f t="shared" si="28"/>
        <v>0.407534246575342</v>
      </c>
      <c r="AJ175" s="15">
        <f t="shared" si="29"/>
        <v>35400</v>
      </c>
      <c r="AL175" s="15">
        <v>35</v>
      </c>
      <c r="AM175" s="15">
        <f t="shared" si="21"/>
        <v>101240</v>
      </c>
      <c r="AN175" s="15">
        <f>SUMIF([1]装备属性!$M$571:$M$870,"&lt;="&amp;AL175,[1]装备属性!$Q$571:$Q$870)</f>
        <v>98.8888888888889</v>
      </c>
      <c r="AO175" s="15">
        <f t="shared" si="22"/>
        <v>1023.77528089888</v>
      </c>
    </row>
    <row r="176" ht="18" spans="1:41">
      <c r="A176" s="9" t="s">
        <v>188</v>
      </c>
      <c r="B176" s="9" t="str">
        <f t="shared" si="11"/>
        <v>[{5205001,3},{2,9880}]</v>
      </c>
      <c r="C176" s="51" t="str">
        <f t="shared" si="12"/>
        <v>[{5203001,135},{2,2540}]</v>
      </c>
      <c r="D176" s="140">
        <v>36</v>
      </c>
      <c r="E176" s="130">
        <f t="shared" si="13"/>
        <v>11</v>
      </c>
      <c r="F176" s="130">
        <v>54</v>
      </c>
      <c r="G176" s="130">
        <v>5</v>
      </c>
      <c r="H176" s="130">
        <f>SUMIFS(基因产出!$F$90:$F$389,基因产出!$D$90:$D$389,"&lt;="&amp;E176,基因产出!$D$90:$D$389,"&gt;"&amp;_xlfn.MAXIFS($E$141:E176,$E$141:E176,"&lt;"&amp;E176))/COUNTIF($E$141:$E$500,E176)</f>
        <v>190</v>
      </c>
      <c r="I176" s="130">
        <f>IF(COUNTIF($I$141:$I175,$I175)=VLOOKUP($I175,$D$90:$E$120,2,0),$I175+1,$I175)</f>
        <v>5</v>
      </c>
      <c r="J176" s="131">
        <f t="shared" si="14"/>
        <v>30</v>
      </c>
      <c r="K176" s="132" t="str">
        <f t="shared" si="15"/>
        <v/>
      </c>
      <c r="L176" s="132">
        <f t="shared" si="16"/>
        <v>0.03</v>
      </c>
      <c r="M176" s="132" t="str">
        <f t="shared" si="17"/>
        <v/>
      </c>
      <c r="N176" s="132" t="str">
        <f t="shared" si="23"/>
        <v/>
      </c>
      <c r="O176" s="132" t="str">
        <f t="shared" si="18"/>
        <v/>
      </c>
      <c r="P176" s="141">
        <f>(SUM($Q$142:Q176)-SUM($H$141:H176))/SUM($H$141:H176)</f>
        <v>-0.589733059548255</v>
      </c>
      <c r="Q176" s="142">
        <f t="shared" si="33"/>
        <v>130</v>
      </c>
      <c r="R176" s="142">
        <f t="shared" si="31"/>
        <v>2470</v>
      </c>
      <c r="S176" s="133">
        <f t="shared" si="25"/>
        <v>0.839041095890411</v>
      </c>
      <c r="T176" s="134">
        <f>INT(SUM($W$141:W176)/3)+1</f>
        <v>10</v>
      </c>
      <c r="U176" s="135" t="str">
        <f t="shared" si="19"/>
        <v>45</v>
      </c>
      <c r="V176" s="67" t="s">
        <v>86</v>
      </c>
      <c r="W176" s="137">
        <f t="shared" si="26"/>
        <v>3</v>
      </c>
      <c r="X176" s="137">
        <f t="shared" si="20"/>
        <v>9880</v>
      </c>
      <c r="Y176" s="138"/>
      <c r="Z176" s="138">
        <v>1</v>
      </c>
      <c r="AA176" s="138">
        <v>2.5</v>
      </c>
      <c r="AB176" s="138" t="str">
        <f t="shared" si="30"/>
        <v>{8000,7000,6000}</v>
      </c>
      <c r="AC176" s="138">
        <v>1000</v>
      </c>
      <c r="AD176" s="138">
        <v>2000</v>
      </c>
      <c r="AE176" s="138">
        <f>SUM($R$141:$R176)+SUM($X$141:$X176)</f>
        <v>93610</v>
      </c>
      <c r="AF176" s="138">
        <f>SUM($Q$142:Q176)</f>
        <v>1998</v>
      </c>
      <c r="AG176" s="137">
        <f t="shared" si="27"/>
        <v>99604</v>
      </c>
      <c r="AH176" s="139">
        <f>SUM($S$141:S176)</f>
        <v>10.9497050329912</v>
      </c>
      <c r="AI176" s="133">
        <f t="shared" si="28"/>
        <v>0.419520547945205</v>
      </c>
      <c r="AJ176" s="15">
        <f t="shared" si="29"/>
        <v>36300</v>
      </c>
      <c r="AL176" s="15">
        <v>36</v>
      </c>
      <c r="AM176" s="15">
        <f t="shared" si="21"/>
        <v>101240</v>
      </c>
      <c r="AN176" s="15">
        <f>SUMIF([1]装备属性!$M$571:$M$870,"&lt;="&amp;AL176,[1]装备属性!$Q$571:$Q$870)</f>
        <v>98.8888888888889</v>
      </c>
      <c r="AO176" s="15">
        <f t="shared" si="22"/>
        <v>1023.77528089888</v>
      </c>
    </row>
    <row r="177" ht="18" spans="1:41">
      <c r="A177" s="9" t="s">
        <v>185</v>
      </c>
      <c r="B177" s="9" t="str">
        <f t="shared" si="11"/>
        <v>[{5205001,3},{2,}]</v>
      </c>
      <c r="C177" s="51" t="str">
        <f t="shared" si="12"/>
        <v>[{5203001,140},{2,2610}]</v>
      </c>
      <c r="D177" s="140">
        <v>37</v>
      </c>
      <c r="E177" s="130">
        <f t="shared" si="13"/>
        <v>12</v>
      </c>
      <c r="F177" s="130">
        <v>56</v>
      </c>
      <c r="G177" s="130">
        <v>5</v>
      </c>
      <c r="H177" s="130">
        <f>SUMIFS(基因产出!$F$90:$F$389,基因产出!$D$90:$D$389,"&lt;="&amp;E177,基因产出!$D$90:$D$389,"&gt;"&amp;_xlfn.MAXIFS($E$141:E177,$E$141:E177,"&lt;"&amp;E177))/COUNTIF($E$141:$E$500,E177)</f>
        <v>380</v>
      </c>
      <c r="I177" s="130">
        <f>IF(COUNTIF($I$141:$I176,$I176)=VLOOKUP($I176,$D$90:$E$120,2,0),$I176+1,$I176)</f>
        <v>5</v>
      </c>
      <c r="J177" s="131">
        <f t="shared" si="14"/>
        <v>30</v>
      </c>
      <c r="K177" s="132">
        <f t="shared" si="15"/>
        <v>0.05</v>
      </c>
      <c r="L177" s="132" t="str">
        <f t="shared" si="16"/>
        <v/>
      </c>
      <c r="M177" s="132" t="str">
        <f t="shared" si="17"/>
        <v/>
      </c>
      <c r="N177" s="132" t="str">
        <f t="shared" si="23"/>
        <v/>
      </c>
      <c r="O177" s="132" t="str">
        <f t="shared" si="18"/>
        <v/>
      </c>
      <c r="P177" s="141">
        <f>(SUM($Q$142:Q177)-SUM($H$141:H177))/SUM($H$141:H177)</f>
        <v>-0.593714285714286</v>
      </c>
      <c r="Q177" s="142">
        <f t="shared" si="33"/>
        <v>135</v>
      </c>
      <c r="R177" s="142">
        <f t="shared" si="31"/>
        <v>2540</v>
      </c>
      <c r="S177" s="133">
        <f t="shared" si="25"/>
        <v>0.863013698630137</v>
      </c>
      <c r="T177" s="134">
        <f>INT(SUM($W$141:W177)/3)+1</f>
        <v>10</v>
      </c>
      <c r="U177" s="135" t="str">
        <f t="shared" si="19"/>
        <v/>
      </c>
      <c r="V177" s="67" t="s">
        <v>168</v>
      </c>
      <c r="W177" s="137" t="str">
        <f t="shared" si="26"/>
        <v/>
      </c>
      <c r="X177" s="137" t="str">
        <f t="shared" si="20"/>
        <v/>
      </c>
      <c r="Y177" s="138"/>
      <c r="Z177" s="138">
        <v>1</v>
      </c>
      <c r="AA177" s="138">
        <v>2.5</v>
      </c>
      <c r="AB177" s="138" t="str">
        <f t="shared" si="30"/>
        <v>{8000,7000,6000}</v>
      </c>
      <c r="AC177" s="138">
        <v>1000</v>
      </c>
      <c r="AD177" s="138">
        <v>2000</v>
      </c>
      <c r="AE177" s="138">
        <f>SUM($R$141:$R177)+SUM($X$141:$X177)</f>
        <v>96150</v>
      </c>
      <c r="AF177" s="138">
        <f>SUM($Q$142:Q177)</f>
        <v>2133</v>
      </c>
      <c r="AG177" s="137">
        <f t="shared" si="27"/>
        <v>102549</v>
      </c>
      <c r="AH177" s="139">
        <f>SUM($S$141:S177)</f>
        <v>11.8127187316213</v>
      </c>
      <c r="AI177" s="133">
        <f t="shared" si="28"/>
        <v>0.431506849315068</v>
      </c>
      <c r="AJ177" s="15">
        <f t="shared" si="29"/>
        <v>37500</v>
      </c>
      <c r="AL177" s="15">
        <v>37</v>
      </c>
      <c r="AM177" s="15">
        <f t="shared" si="21"/>
        <v>105040</v>
      </c>
      <c r="AN177" s="15">
        <f>SUMIF([1]装备属性!$M$571:$M$870,"&lt;="&amp;AL177,[1]装备属性!$Q$571:$Q$870)</f>
        <v>131.851851851852</v>
      </c>
      <c r="AO177" s="15">
        <f t="shared" si="22"/>
        <v>796.651685393258</v>
      </c>
    </row>
    <row r="178" ht="18" spans="1:41">
      <c r="A178" s="9" t="s">
        <v>186</v>
      </c>
      <c r="B178" s="9" t="str">
        <f t="shared" si="11"/>
        <v>[{5205001,3},{2,}]</v>
      </c>
      <c r="C178" s="51" t="str">
        <f t="shared" si="12"/>
        <v>[{5203001,145},{2,2680}]</v>
      </c>
      <c r="D178" s="140">
        <v>38</v>
      </c>
      <c r="E178" s="130">
        <f t="shared" si="13"/>
        <v>13</v>
      </c>
      <c r="F178" s="130">
        <v>58</v>
      </c>
      <c r="G178" s="130">
        <v>5</v>
      </c>
      <c r="H178" s="130">
        <f>SUMIFS(基因产出!$F$90:$F$389,基因产出!$D$90:$D$389,"&lt;="&amp;E178,基因产出!$D$90:$D$389,"&gt;"&amp;_xlfn.MAXIFS($E$141:E178,$E$141:E178,"&lt;"&amp;E178))/COUNTIF($E$141:$E$500,E178)</f>
        <v>380</v>
      </c>
      <c r="I178" s="130">
        <f>IF(COUNTIF($I$141:$I177,$I177)=VLOOKUP($I177,$D$90:$E$120,2,0),$I177+1,$I177)</f>
        <v>5</v>
      </c>
      <c r="J178" s="131">
        <f t="shared" si="14"/>
        <v>30</v>
      </c>
      <c r="K178" s="132" t="str">
        <f t="shared" si="15"/>
        <v/>
      </c>
      <c r="L178" s="132" t="str">
        <f t="shared" si="16"/>
        <v/>
      </c>
      <c r="M178" s="132" t="str">
        <f t="shared" si="17"/>
        <v/>
      </c>
      <c r="N178" s="132">
        <f t="shared" si="23"/>
        <v>0.0075</v>
      </c>
      <c r="O178" s="132">
        <f t="shared" si="18"/>
        <v>0.05</v>
      </c>
      <c r="P178" s="141">
        <f>(SUM($Q$142:Q178)-SUM($H$141:H178))/SUM($H$141:H178)</f>
        <v>-0.596269982238011</v>
      </c>
      <c r="Q178" s="142">
        <f t="shared" si="33"/>
        <v>140</v>
      </c>
      <c r="R178" s="142">
        <f t="shared" si="31"/>
        <v>2610</v>
      </c>
      <c r="S178" s="133">
        <f t="shared" si="25"/>
        <v>0.886986301369863</v>
      </c>
      <c r="T178" s="134">
        <f>INT(SUM($W$141:W178)/3)+1</f>
        <v>10</v>
      </c>
      <c r="U178" s="135" t="str">
        <f t="shared" si="19"/>
        <v/>
      </c>
      <c r="V178" s="67" t="s">
        <v>168</v>
      </c>
      <c r="W178" s="137" t="str">
        <f t="shared" si="26"/>
        <v/>
      </c>
      <c r="X178" s="137" t="str">
        <f t="shared" si="20"/>
        <v/>
      </c>
      <c r="Y178" s="138"/>
      <c r="Z178" s="138">
        <v>1</v>
      </c>
      <c r="AA178" s="138">
        <v>2.5</v>
      </c>
      <c r="AB178" s="138" t="str">
        <f t="shared" si="30"/>
        <v>{8000,7000,6000}</v>
      </c>
      <c r="AC178" s="138">
        <v>1000</v>
      </c>
      <c r="AD178" s="138">
        <v>2000</v>
      </c>
      <c r="AE178" s="138">
        <f>SUM($R$141:$R178)+SUM($X$141:$X178)</f>
        <v>98760</v>
      </c>
      <c r="AF178" s="138">
        <f>SUM($Q$142:Q178)</f>
        <v>2273</v>
      </c>
      <c r="AG178" s="137">
        <f t="shared" si="27"/>
        <v>105579</v>
      </c>
      <c r="AH178" s="139">
        <f>SUM($S$141:S178)</f>
        <v>12.6997050329912</v>
      </c>
      <c r="AI178" s="133">
        <f t="shared" si="28"/>
        <v>0.443493150684932</v>
      </c>
      <c r="AJ178" s="15">
        <f t="shared" si="29"/>
        <v>38400</v>
      </c>
      <c r="AL178" s="15">
        <v>38</v>
      </c>
      <c r="AM178" s="15">
        <f t="shared" si="21"/>
        <v>105040</v>
      </c>
      <c r="AN178" s="15">
        <f>SUMIF([1]装备属性!$M$571:$M$870,"&lt;="&amp;AL178,[1]装备属性!$Q$571:$Q$870)</f>
        <v>131.851851851852</v>
      </c>
      <c r="AO178" s="15">
        <f t="shared" si="22"/>
        <v>796.651685393258</v>
      </c>
    </row>
    <row r="179" ht="18" spans="1:41">
      <c r="A179" s="9" t="s">
        <v>187</v>
      </c>
      <c r="B179" s="9" t="str">
        <f t="shared" si="11"/>
        <v>[{5205001,3},{2,}]</v>
      </c>
      <c r="C179" s="51" t="str">
        <f t="shared" si="12"/>
        <v>[{5203001,150},{2,2750}]</v>
      </c>
      <c r="D179" s="140">
        <v>39</v>
      </c>
      <c r="E179" s="130">
        <f t="shared" si="13"/>
        <v>14</v>
      </c>
      <c r="F179" s="130">
        <v>60</v>
      </c>
      <c r="G179" s="130">
        <v>5</v>
      </c>
      <c r="H179" s="130">
        <f>SUMIFS(基因产出!$F$90:$F$389,基因产出!$D$90:$D$389,"&lt;="&amp;E179,基因产出!$D$90:$D$389,"&gt;"&amp;_xlfn.MAXIFS($E$141:E179,$E$141:E179,"&lt;"&amp;E179))/COUNTIF($E$141:$E$500,E179)</f>
        <v>380</v>
      </c>
      <c r="I179" s="130">
        <f>IF(COUNTIF($I$141:$I178,$I178)=VLOOKUP($I178,$D$90:$E$120,2,0),$I178+1,$I178)</f>
        <v>5</v>
      </c>
      <c r="J179" s="131">
        <f t="shared" si="14"/>
        <v>30</v>
      </c>
      <c r="K179" s="132" t="str">
        <f t="shared" si="15"/>
        <v/>
      </c>
      <c r="L179" s="132" t="str">
        <f t="shared" si="16"/>
        <v/>
      </c>
      <c r="M179" s="132">
        <f t="shared" si="17"/>
        <v>0.002</v>
      </c>
      <c r="N179" s="132" t="str">
        <f t="shared" si="23"/>
        <v/>
      </c>
      <c r="O179" s="132" t="str">
        <f t="shared" si="18"/>
        <v/>
      </c>
      <c r="P179" s="141">
        <f>(SUM($Q$142:Q179)-SUM($H$141:H179))/SUM($H$141:H179)</f>
        <v>-0.597670549084859</v>
      </c>
      <c r="Q179" s="142">
        <f t="shared" si="33"/>
        <v>145</v>
      </c>
      <c r="R179" s="142">
        <f t="shared" si="31"/>
        <v>2680</v>
      </c>
      <c r="S179" s="133">
        <f t="shared" si="25"/>
        <v>0.910958904109589</v>
      </c>
      <c r="T179" s="134">
        <f>INT(SUM($W$141:W179)/3)+1</f>
        <v>10</v>
      </c>
      <c r="U179" s="135" t="str">
        <f t="shared" si="19"/>
        <v/>
      </c>
      <c r="V179" s="67" t="s">
        <v>168</v>
      </c>
      <c r="W179" s="137" t="str">
        <f t="shared" si="26"/>
        <v/>
      </c>
      <c r="X179" s="137" t="str">
        <f t="shared" si="20"/>
        <v/>
      </c>
      <c r="Y179" s="138"/>
      <c r="Z179" s="138">
        <v>1</v>
      </c>
      <c r="AA179" s="138">
        <v>2.5</v>
      </c>
      <c r="AB179" s="138" t="str">
        <f t="shared" si="30"/>
        <v>{8000,7000,6000}</v>
      </c>
      <c r="AC179" s="138">
        <v>1000</v>
      </c>
      <c r="AD179" s="138">
        <v>2000</v>
      </c>
      <c r="AE179" s="138">
        <f>SUM($R$141:$R179)+SUM($X$141:$X179)</f>
        <v>101440</v>
      </c>
      <c r="AF179" s="138">
        <f>SUM($Q$142:Q179)</f>
        <v>2418</v>
      </c>
      <c r="AG179" s="137">
        <f t="shared" si="27"/>
        <v>108694</v>
      </c>
      <c r="AH179" s="139">
        <f>SUM($S$141:S179)</f>
        <v>13.6106639371008</v>
      </c>
      <c r="AI179" s="133">
        <f t="shared" si="28"/>
        <v>0.455479452054795</v>
      </c>
      <c r="AJ179" s="15">
        <f t="shared" si="29"/>
        <v>39600</v>
      </c>
      <c r="AL179" s="15">
        <v>39</v>
      </c>
      <c r="AM179" s="15">
        <f t="shared" si="21"/>
        <v>108910</v>
      </c>
      <c r="AN179" s="15">
        <f>SUMIF([1]装备属性!$M$571:$M$870,"&lt;="&amp;AL179,[1]装备属性!$Q$571:$Q$870)</f>
        <v>131.851851851852</v>
      </c>
      <c r="AO179" s="15">
        <f t="shared" si="22"/>
        <v>826.002808988763</v>
      </c>
    </row>
    <row r="180" ht="18" spans="1:41">
      <c r="A180" s="9" t="s">
        <v>188</v>
      </c>
      <c r="B180" s="9" t="str">
        <f t="shared" si="11"/>
        <v>[{5205001,3},{2,11000}]</v>
      </c>
      <c r="C180" s="51" t="str">
        <f t="shared" si="12"/>
        <v>[{5203001,155},{2,2820}]</v>
      </c>
      <c r="D180" s="140">
        <v>40</v>
      </c>
      <c r="E180" s="130">
        <f t="shared" si="13"/>
        <v>15</v>
      </c>
      <c r="F180" s="130">
        <v>61</v>
      </c>
      <c r="G180" s="130">
        <v>5</v>
      </c>
      <c r="H180" s="130">
        <f>SUMIFS(基因产出!$F$90:$F$389,基因产出!$D$90:$D$389,"&lt;="&amp;E180,基因产出!$D$90:$D$389,"&gt;"&amp;_xlfn.MAXIFS($E$141:E180,$E$141:E180,"&lt;"&amp;E180))/COUNTIF($E$141:$E$500,E180)</f>
        <v>380</v>
      </c>
      <c r="I180" s="130">
        <f>IF(COUNTIF($I$141:$I179,$I179)=VLOOKUP($I179,$D$90:$E$120,2,0),$I179+1,$I179)</f>
        <v>5</v>
      </c>
      <c r="J180" s="131">
        <f t="shared" si="14"/>
        <v>30</v>
      </c>
      <c r="K180" s="132" t="str">
        <f t="shared" si="15"/>
        <v/>
      </c>
      <c r="L180" s="132">
        <f t="shared" si="16"/>
        <v>0.03</v>
      </c>
      <c r="M180" s="132" t="str">
        <f t="shared" si="17"/>
        <v/>
      </c>
      <c r="N180" s="132" t="str">
        <f t="shared" si="23"/>
        <v/>
      </c>
      <c r="O180" s="132" t="str">
        <f t="shared" si="18"/>
        <v/>
      </c>
      <c r="P180" s="141">
        <f>(SUM($Q$142:Q180)-SUM($H$141:H180))/SUM($H$141:H180)</f>
        <v>-0.5981220657277</v>
      </c>
      <c r="Q180" s="142">
        <f t="shared" si="33"/>
        <v>150</v>
      </c>
      <c r="R180" s="142">
        <f t="shared" si="31"/>
        <v>2750</v>
      </c>
      <c r="S180" s="133">
        <f t="shared" si="25"/>
        <v>0.934931506849315</v>
      </c>
      <c r="T180" s="134">
        <f>INT(SUM($W$141:W180)/3)+1</f>
        <v>11</v>
      </c>
      <c r="U180" s="135" t="str">
        <f t="shared" si="19"/>
        <v/>
      </c>
      <c r="V180" s="143" t="s">
        <v>180</v>
      </c>
      <c r="W180" s="137">
        <f t="shared" si="26"/>
        <v>3</v>
      </c>
      <c r="X180" s="137">
        <f t="shared" si="20"/>
        <v>11000</v>
      </c>
      <c r="Y180" s="138"/>
      <c r="Z180" s="138">
        <v>1</v>
      </c>
      <c r="AA180" s="138">
        <v>3</v>
      </c>
      <c r="AB180" s="138" t="str">
        <f t="shared" si="30"/>
        <v>{8000,7000,6000}</v>
      </c>
      <c r="AC180" s="138">
        <v>1000</v>
      </c>
      <c r="AD180" s="138">
        <v>2000</v>
      </c>
      <c r="AE180" s="138">
        <f>SUM($R$141:$R180)+SUM($X$141:$X180)</f>
        <v>115190</v>
      </c>
      <c r="AF180" s="138">
        <f>SUM($Q$142:Q180)</f>
        <v>2568</v>
      </c>
      <c r="AG180" s="137">
        <f t="shared" si="27"/>
        <v>122894</v>
      </c>
      <c r="AH180" s="139">
        <f>SUM($S$141:S180)</f>
        <v>14.5455954439501</v>
      </c>
      <c r="AI180" s="133">
        <f t="shared" si="28"/>
        <v>0.467465753424658</v>
      </c>
      <c r="AJ180" s="15">
        <f t="shared" si="29"/>
        <v>40500</v>
      </c>
      <c r="AL180" s="15">
        <v>40</v>
      </c>
      <c r="AM180" s="15">
        <f t="shared" si="21"/>
        <v>108910</v>
      </c>
      <c r="AN180" s="15">
        <f>SUMIF([1]装备属性!$M$571:$M$870,"&lt;="&amp;AL180,[1]装备属性!$Q$571:$Q$870)</f>
        <v>164.814814814815</v>
      </c>
      <c r="AO180" s="15">
        <f t="shared" si="22"/>
        <v>660.80224719101</v>
      </c>
    </row>
    <row r="181" ht="18" spans="1:41">
      <c r="A181" s="9" t="s">
        <v>189</v>
      </c>
      <c r="B181" s="9" t="str">
        <f t="shared" si="11"/>
        <v>[{5205001,3},{2,}]</v>
      </c>
      <c r="C181" s="51" t="str">
        <f t="shared" si="12"/>
        <v>[{5203001,160},{2,2890}]</v>
      </c>
      <c r="D181" s="140">
        <v>41</v>
      </c>
      <c r="E181" s="130">
        <f t="shared" si="13"/>
        <v>16</v>
      </c>
      <c r="F181" s="130">
        <v>62</v>
      </c>
      <c r="G181" s="130">
        <v>7</v>
      </c>
      <c r="H181" s="130">
        <f>SUMIFS(基因产出!$F$90:$F$389,基因产出!$D$90:$D$389,"&lt;="&amp;E181,基因产出!$D$90:$D$389,"&gt;"&amp;_xlfn.MAXIFS($E$141:E181,$E$141:E181,"&lt;"&amp;E181))/COUNTIF($E$141:$E$500,E181)</f>
        <v>380</v>
      </c>
      <c r="I181" s="130">
        <f>IF(COUNTIF($I$141:$I180,$I180)=VLOOKUP($I180,$D$90:$E$120,2,0),$I180+1,$I180)</f>
        <v>6</v>
      </c>
      <c r="J181" s="131">
        <f t="shared" si="14"/>
        <v>36</v>
      </c>
      <c r="K181" s="132">
        <f t="shared" si="15"/>
        <v>0.05</v>
      </c>
      <c r="L181" s="132" t="str">
        <f t="shared" si="16"/>
        <v/>
      </c>
      <c r="M181" s="132" t="str">
        <f t="shared" si="17"/>
        <v/>
      </c>
      <c r="N181" s="132" t="str">
        <f t="shared" si="23"/>
        <v/>
      </c>
      <c r="O181" s="132" t="str">
        <f t="shared" si="18"/>
        <v/>
      </c>
      <c r="P181" s="141">
        <f>(SUM($Q$142:Q181)-SUM($H$141:H181))/SUM($H$141:H181)</f>
        <v>-0.597784342688331</v>
      </c>
      <c r="Q181" s="142">
        <f t="shared" si="33"/>
        <v>155</v>
      </c>
      <c r="R181" s="142">
        <f t="shared" si="31"/>
        <v>2820</v>
      </c>
      <c r="S181" s="133">
        <f t="shared" si="25"/>
        <v>1.12359550561798</v>
      </c>
      <c r="T181" s="134">
        <f>INT(SUM($W$141:W181)/3)+1</f>
        <v>11</v>
      </c>
      <c r="U181" s="135" t="str">
        <f t="shared" si="19"/>
        <v/>
      </c>
      <c r="V181" s="67" t="s">
        <v>168</v>
      </c>
      <c r="W181" s="137" t="str">
        <f t="shared" si="26"/>
        <v/>
      </c>
      <c r="X181" s="137" t="str">
        <f t="shared" si="20"/>
        <v/>
      </c>
      <c r="Y181" s="138"/>
      <c r="Z181" s="138">
        <v>1</v>
      </c>
      <c r="AA181" s="138">
        <v>3</v>
      </c>
      <c r="AB181" s="138" t="str">
        <f t="shared" si="30"/>
        <v>{8000,7000,6000}</v>
      </c>
      <c r="AC181" s="138">
        <v>1000</v>
      </c>
      <c r="AD181" s="138">
        <v>2000</v>
      </c>
      <c r="AE181" s="138">
        <f>SUM($R$141:$R181)+SUM($X$141:$X181)</f>
        <v>118010</v>
      </c>
      <c r="AF181" s="138">
        <f>SUM($Q$142:Q181)</f>
        <v>2723</v>
      </c>
      <c r="AG181" s="137">
        <f t="shared" si="27"/>
        <v>126179</v>
      </c>
      <c r="AH181" s="139">
        <f>SUM($S$141:S181)</f>
        <v>15.6691909495681</v>
      </c>
      <c r="AI181" s="133">
        <f t="shared" si="28"/>
        <v>0.561797752808989</v>
      </c>
      <c r="AJ181" s="15">
        <f t="shared" si="29"/>
        <v>48600</v>
      </c>
      <c r="AL181" s="15">
        <v>41</v>
      </c>
      <c r="AM181" s="15">
        <f t="shared" si="21"/>
        <v>112850</v>
      </c>
      <c r="AN181" s="15">
        <f>SUMIF([1]装备属性!$M$571:$M$870,"&lt;="&amp;AL181,[1]装备属性!$Q$571:$Q$870)</f>
        <v>164.814814814815</v>
      </c>
      <c r="AO181" s="15">
        <f t="shared" si="22"/>
        <v>684.707865168539</v>
      </c>
    </row>
    <row r="182" ht="18" spans="1:41">
      <c r="A182" s="9" t="s">
        <v>190</v>
      </c>
      <c r="B182" s="9" t="str">
        <f t="shared" si="11"/>
        <v>[{5205001,3},{2,}]</v>
      </c>
      <c r="C182" s="51" t="str">
        <f t="shared" si="12"/>
        <v>[{5203001,165},{2,2960}]</v>
      </c>
      <c r="D182" s="140">
        <v>42</v>
      </c>
      <c r="E182" s="130">
        <f t="shared" si="13"/>
        <v>17</v>
      </c>
      <c r="F182" s="130">
        <v>63</v>
      </c>
      <c r="G182" s="130">
        <v>7</v>
      </c>
      <c r="H182" s="130">
        <f>SUMIFS(基因产出!$F$90:$F$389,基因产出!$D$90:$D$389,"&lt;="&amp;E182,基因产出!$D$90:$D$389,"&gt;"&amp;_xlfn.MAXIFS($E$141:E182,$E$141:E182,"&lt;"&amp;E182))/COUNTIF($E$141:$E$500,E182)</f>
        <v>380</v>
      </c>
      <c r="I182" s="130">
        <f>IF(COUNTIF($I$141:$I181,$I181)=VLOOKUP($I181,$D$90:$E$120,2,0),$I181+1,$I181)</f>
        <v>6</v>
      </c>
      <c r="J182" s="131">
        <f t="shared" si="14"/>
        <v>36</v>
      </c>
      <c r="K182" s="132" t="str">
        <f t="shared" si="15"/>
        <v/>
      </c>
      <c r="L182" s="132" t="str">
        <f t="shared" si="16"/>
        <v/>
      </c>
      <c r="M182" s="132" t="str">
        <f t="shared" si="17"/>
        <v/>
      </c>
      <c r="N182" s="132">
        <f t="shared" si="23"/>
        <v>0.0075</v>
      </c>
      <c r="O182" s="132" t="str">
        <f t="shared" si="18"/>
        <v/>
      </c>
      <c r="P182" s="141">
        <f>(SUM($Q$142:Q182)-SUM($H$141:H182))/SUM($H$141:H182)</f>
        <v>-0.596783216783217</v>
      </c>
      <c r="Q182" s="142">
        <f t="shared" si="33"/>
        <v>160</v>
      </c>
      <c r="R182" s="142">
        <f t="shared" si="31"/>
        <v>2890</v>
      </c>
      <c r="S182" s="133">
        <f t="shared" si="25"/>
        <v>1.15168539325843</v>
      </c>
      <c r="T182" s="134">
        <f>INT(SUM($W$141:W182)/3)+1</f>
        <v>11</v>
      </c>
      <c r="U182" s="135" t="str">
        <f t="shared" si="19"/>
        <v/>
      </c>
      <c r="V182" s="67" t="s">
        <v>168</v>
      </c>
      <c r="W182" s="137" t="str">
        <f t="shared" si="26"/>
        <v/>
      </c>
      <c r="X182" s="137" t="str">
        <f t="shared" si="20"/>
        <v/>
      </c>
      <c r="Y182" s="138"/>
      <c r="Z182" s="138">
        <v>1</v>
      </c>
      <c r="AA182" s="138">
        <v>3</v>
      </c>
      <c r="AB182" s="138" t="str">
        <f t="shared" si="30"/>
        <v>{8000,7000,6000}</v>
      </c>
      <c r="AC182" s="138">
        <v>1000</v>
      </c>
      <c r="AD182" s="138">
        <v>2000</v>
      </c>
      <c r="AE182" s="138">
        <f>SUM($R$141:$R182)+SUM($X$141:$X182)</f>
        <v>120900</v>
      </c>
      <c r="AF182" s="138">
        <f>SUM($Q$142:Q182)</f>
        <v>2883</v>
      </c>
      <c r="AG182" s="137">
        <f t="shared" si="27"/>
        <v>129549</v>
      </c>
      <c r="AH182" s="139">
        <f>SUM($S$141:S182)</f>
        <v>16.8208763428265</v>
      </c>
      <c r="AI182" s="133">
        <f t="shared" si="28"/>
        <v>0.575842696629214</v>
      </c>
      <c r="AJ182" s="15">
        <f t="shared" si="29"/>
        <v>49800</v>
      </c>
      <c r="AL182" s="15">
        <v>42</v>
      </c>
      <c r="AM182" s="15">
        <f t="shared" si="21"/>
        <v>112850</v>
      </c>
      <c r="AN182" s="15">
        <f>SUMIF([1]装备属性!$M$571:$M$870,"&lt;="&amp;AL182,[1]装备属性!$Q$571:$Q$870)</f>
        <v>164.814814814815</v>
      </c>
      <c r="AO182" s="15">
        <f t="shared" si="22"/>
        <v>684.707865168539</v>
      </c>
    </row>
    <row r="183" ht="18" spans="1:41">
      <c r="A183" s="9" t="s">
        <v>191</v>
      </c>
      <c r="B183" s="9" t="str">
        <f t="shared" si="11"/>
        <v>[{5205001,3},{2,}]</v>
      </c>
      <c r="C183" s="51" t="str">
        <f t="shared" si="12"/>
        <v>[{5203001,170},{2,3030}]</v>
      </c>
      <c r="D183" s="140">
        <v>43</v>
      </c>
      <c r="E183" s="130">
        <f t="shared" si="13"/>
        <v>19</v>
      </c>
      <c r="F183" s="130">
        <v>65</v>
      </c>
      <c r="G183" s="130">
        <v>7</v>
      </c>
      <c r="H183" s="130">
        <f>SUMIFS(基因产出!$F$90:$F$389,基因产出!$D$90:$D$389,"&lt;="&amp;E183,基因产出!$D$90:$D$389,"&gt;"&amp;_xlfn.MAXIFS($E$141:E183,$E$141:E183,"&lt;"&amp;E183))/COUNTIF($E$141:$E$500,E183)</f>
        <v>760</v>
      </c>
      <c r="I183" s="130">
        <f>IF(COUNTIF($I$141:$I182,$I182)=VLOOKUP($I182,$D$90:$E$120,2,0),$I182+1,$I182)</f>
        <v>6</v>
      </c>
      <c r="J183" s="131">
        <f t="shared" si="14"/>
        <v>36</v>
      </c>
      <c r="K183" s="132" t="str">
        <f t="shared" si="15"/>
        <v/>
      </c>
      <c r="L183" s="132" t="str">
        <f t="shared" si="16"/>
        <v/>
      </c>
      <c r="M183" s="132">
        <f t="shared" si="17"/>
        <v>0.002</v>
      </c>
      <c r="N183" s="132" t="str">
        <f t="shared" si="23"/>
        <v/>
      </c>
      <c r="O183" s="132" t="str">
        <f t="shared" si="18"/>
        <v/>
      </c>
      <c r="P183" s="141">
        <f>(SUM($Q$142:Q183)-SUM($H$141:H183))/SUM($H$141:H183)</f>
        <v>-0.614664981036662</v>
      </c>
      <c r="Q183" s="142">
        <f t="shared" si="33"/>
        <v>165</v>
      </c>
      <c r="R183" s="142">
        <f t="shared" si="31"/>
        <v>2960</v>
      </c>
      <c r="S183" s="133">
        <f t="shared" si="25"/>
        <v>1.17977528089888</v>
      </c>
      <c r="T183" s="134">
        <f>INT(SUM($W$141:W183)/3)+1</f>
        <v>11</v>
      </c>
      <c r="U183" s="135" t="str">
        <f t="shared" si="19"/>
        <v/>
      </c>
      <c r="V183" s="67" t="s">
        <v>168</v>
      </c>
      <c r="W183" s="137" t="str">
        <f t="shared" si="26"/>
        <v/>
      </c>
      <c r="X183" s="137" t="str">
        <f t="shared" si="20"/>
        <v/>
      </c>
      <c r="Y183" s="138"/>
      <c r="Z183" s="138">
        <v>1</v>
      </c>
      <c r="AA183" s="138">
        <v>3</v>
      </c>
      <c r="AB183" s="138" t="str">
        <f t="shared" si="30"/>
        <v>{8000,7000,6000}</v>
      </c>
      <c r="AC183" s="138">
        <v>1000</v>
      </c>
      <c r="AD183" s="138">
        <v>2000</v>
      </c>
      <c r="AE183" s="138">
        <f>SUM($R$141:$R183)+SUM($X$141:$X183)</f>
        <v>123860</v>
      </c>
      <c r="AF183" s="138">
        <f>SUM($Q$142:Q183)</f>
        <v>3048</v>
      </c>
      <c r="AG183" s="137">
        <f t="shared" si="27"/>
        <v>133004</v>
      </c>
      <c r="AH183" s="139">
        <f>SUM($S$141:S183)</f>
        <v>18.0006516237254</v>
      </c>
      <c r="AI183" s="133">
        <f t="shared" si="28"/>
        <v>0.589887640449438</v>
      </c>
      <c r="AJ183" s="15">
        <f t="shared" si="29"/>
        <v>51000</v>
      </c>
      <c r="AL183" s="15">
        <v>43</v>
      </c>
      <c r="AM183" s="15">
        <f t="shared" si="21"/>
        <v>112850</v>
      </c>
      <c r="AN183" s="15">
        <f>SUMIF([1]装备属性!$M$571:$M$870,"&lt;="&amp;AL183,[1]装备属性!$Q$571:$Q$870)</f>
        <v>197.777777777778</v>
      </c>
      <c r="AO183" s="15">
        <f t="shared" si="22"/>
        <v>570.589887640449</v>
      </c>
    </row>
    <row r="184" ht="18" spans="1:41">
      <c r="A184" s="9" t="s">
        <v>192</v>
      </c>
      <c r="B184" s="9" t="str">
        <f t="shared" si="11"/>
        <v>[{5205001,3},{2,12120}]</v>
      </c>
      <c r="C184" s="51" t="str">
        <f t="shared" si="12"/>
        <v>[{5203001,175},{2,3100}]</v>
      </c>
      <c r="D184" s="140">
        <v>44</v>
      </c>
      <c r="E184" s="130">
        <f t="shared" si="13"/>
        <v>20</v>
      </c>
      <c r="F184" s="130">
        <v>66</v>
      </c>
      <c r="G184" s="130">
        <v>7</v>
      </c>
      <c r="H184" s="130">
        <f>SUMIFS(基因产出!$F$90:$F$389,基因产出!$D$90:$D$389,"&lt;="&amp;E184,基因产出!$D$90:$D$389,"&gt;"&amp;_xlfn.MAXIFS($E$141:E184,$E$141:E184,"&lt;"&amp;E184))/COUNTIF($E$141:$E$500,E184)</f>
        <v>350</v>
      </c>
      <c r="I184" s="130">
        <f>IF(COUNTIF($I$141:$I183,$I183)=VLOOKUP($I183,$D$90:$E$120,2,0),$I183+1,$I183)</f>
        <v>6</v>
      </c>
      <c r="J184" s="131">
        <f t="shared" si="14"/>
        <v>36</v>
      </c>
      <c r="K184" s="132" t="str">
        <f t="shared" si="15"/>
        <v/>
      </c>
      <c r="L184" s="132">
        <f t="shared" si="16"/>
        <v>0.03</v>
      </c>
      <c r="M184" s="132" t="str">
        <f t="shared" si="17"/>
        <v/>
      </c>
      <c r="N184" s="132" t="str">
        <f t="shared" si="23"/>
        <v/>
      </c>
      <c r="O184" s="132" t="str">
        <f t="shared" si="18"/>
        <v/>
      </c>
      <c r="P184" s="141">
        <f>(SUM($Q$142:Q184)-SUM($H$141:H184))/SUM($H$141:H184)</f>
        <v>-0.610411622276029</v>
      </c>
      <c r="Q184" s="142">
        <f t="shared" si="33"/>
        <v>170</v>
      </c>
      <c r="R184" s="142">
        <f t="shared" si="31"/>
        <v>3030</v>
      </c>
      <c r="S184" s="133">
        <f t="shared" si="25"/>
        <v>1.20786516853933</v>
      </c>
      <c r="T184" s="134">
        <f>INT(SUM($W$141:W184)/3)+1</f>
        <v>12</v>
      </c>
      <c r="U184" s="135" t="str">
        <f t="shared" si="19"/>
        <v/>
      </c>
      <c r="V184" s="67" t="s">
        <v>82</v>
      </c>
      <c r="W184" s="137">
        <f t="shared" si="26"/>
        <v>3</v>
      </c>
      <c r="X184" s="137">
        <f t="shared" si="20"/>
        <v>12120</v>
      </c>
      <c r="Y184" s="138"/>
      <c r="Z184" s="138">
        <v>1</v>
      </c>
      <c r="AA184" s="138">
        <v>3</v>
      </c>
      <c r="AB184" s="138" t="str">
        <f t="shared" si="30"/>
        <v>{8000,7000,6000}</v>
      </c>
      <c r="AC184" s="138">
        <v>1000</v>
      </c>
      <c r="AD184" s="138">
        <v>2000</v>
      </c>
      <c r="AE184" s="138">
        <f>SUM($R$141:$R184)+SUM($X$141:$X184)</f>
        <v>139010</v>
      </c>
      <c r="AF184" s="138">
        <f>SUM($Q$142:Q184)</f>
        <v>3218</v>
      </c>
      <c r="AG184" s="137">
        <f t="shared" si="27"/>
        <v>148664</v>
      </c>
      <c r="AH184" s="139">
        <f>SUM($S$141:S184)</f>
        <v>19.2085167922647</v>
      </c>
      <c r="AI184" s="133">
        <f t="shared" si="28"/>
        <v>0.603932584269663</v>
      </c>
      <c r="AJ184" s="15">
        <f t="shared" si="29"/>
        <v>52200</v>
      </c>
      <c r="AL184" s="15">
        <v>44</v>
      </c>
      <c r="AM184" s="15">
        <f t="shared" si="21"/>
        <v>116860</v>
      </c>
      <c r="AN184" s="15">
        <f>SUMIF([1]装备属性!$M$571:$M$870,"&lt;="&amp;AL184,[1]装备属性!$Q$571:$Q$870)</f>
        <v>197.777777777778</v>
      </c>
      <c r="AO184" s="15">
        <f t="shared" si="22"/>
        <v>590.865168539325</v>
      </c>
    </row>
    <row r="185" ht="18" spans="1:41">
      <c r="A185" s="9" t="s">
        <v>189</v>
      </c>
      <c r="B185" s="9" t="str">
        <f t="shared" si="11"/>
        <v>[{5205001,3},{2,}]</v>
      </c>
      <c r="C185" s="51" t="str">
        <f t="shared" si="12"/>
        <v>[{5203001,180},{2,3170}]</v>
      </c>
      <c r="D185" s="140">
        <v>45</v>
      </c>
      <c r="E185" s="130">
        <f t="shared" si="13"/>
        <v>21</v>
      </c>
      <c r="F185" s="130">
        <v>67</v>
      </c>
      <c r="G185" s="130">
        <v>7</v>
      </c>
      <c r="H185" s="130">
        <f>SUMIFS(基因产出!$F$90:$F$389,基因产出!$D$90:$D$389,"&lt;="&amp;E185,基因产出!$D$90:$D$389,"&gt;"&amp;_xlfn.MAXIFS($E$141:E185,$E$141:E185,"&lt;"&amp;E185))/COUNTIF($E$141:$E$500,E185)</f>
        <v>350</v>
      </c>
      <c r="I185" s="130">
        <f>IF(COUNTIF($I$141:$I184,$I184)=VLOOKUP($I184,$D$90:$E$120,2,0),$I184+1,$I184)</f>
        <v>6</v>
      </c>
      <c r="J185" s="131">
        <f t="shared" si="14"/>
        <v>36</v>
      </c>
      <c r="K185" s="132">
        <f t="shared" si="15"/>
        <v>0.05</v>
      </c>
      <c r="L185" s="132" t="str">
        <f t="shared" si="16"/>
        <v/>
      </c>
      <c r="M185" s="132" t="str">
        <f t="shared" si="17"/>
        <v/>
      </c>
      <c r="N185" s="132" t="str">
        <f t="shared" si="23"/>
        <v/>
      </c>
      <c r="O185" s="132" t="str">
        <f t="shared" si="18"/>
        <v/>
      </c>
      <c r="P185" s="141">
        <f>(SUM($Q$142:Q185)-SUM($H$141:H185))/SUM($H$141:H185)</f>
        <v>-0.605923344947735</v>
      </c>
      <c r="Q185" s="142">
        <f t="shared" si="33"/>
        <v>175</v>
      </c>
      <c r="R185" s="142">
        <f t="shared" si="31"/>
        <v>3100</v>
      </c>
      <c r="S185" s="133">
        <f t="shared" si="25"/>
        <v>1.23595505617978</v>
      </c>
      <c r="T185" s="134">
        <f>INT(SUM($W$141:W185)/3)+1</f>
        <v>12</v>
      </c>
      <c r="U185" s="135" t="str">
        <f t="shared" si="19"/>
        <v/>
      </c>
      <c r="V185" s="67" t="s">
        <v>168</v>
      </c>
      <c r="W185" s="137" t="str">
        <f t="shared" si="26"/>
        <v/>
      </c>
      <c r="X185" s="137" t="str">
        <f t="shared" si="20"/>
        <v/>
      </c>
      <c r="Y185" s="138"/>
      <c r="Z185" s="138">
        <v>1</v>
      </c>
      <c r="AA185" s="138">
        <v>3</v>
      </c>
      <c r="AB185" s="138" t="str">
        <f t="shared" si="30"/>
        <v>{8000,7000,6000}</v>
      </c>
      <c r="AC185" s="138">
        <v>1000</v>
      </c>
      <c r="AD185" s="138">
        <v>2000</v>
      </c>
      <c r="AE185" s="138">
        <f>SUM($R$141:$R185)+SUM($X$141:$X185)</f>
        <v>142110</v>
      </c>
      <c r="AF185" s="138">
        <f>SUM($Q$142:Q185)</f>
        <v>3393</v>
      </c>
      <c r="AG185" s="137">
        <f t="shared" si="27"/>
        <v>152289</v>
      </c>
      <c r="AH185" s="139">
        <f>SUM($S$141:S185)</f>
        <v>20.4444718484445</v>
      </c>
      <c r="AI185" s="133">
        <f t="shared" si="28"/>
        <v>0.617977528089888</v>
      </c>
      <c r="AJ185" s="15">
        <f t="shared" si="29"/>
        <v>53400</v>
      </c>
      <c r="AL185" s="15">
        <v>45</v>
      </c>
      <c r="AM185" s="15">
        <f t="shared" si="21"/>
        <v>116860</v>
      </c>
      <c r="AN185" s="15">
        <f>SUMIF([1]装备属性!$M$571:$M$870,"&lt;="&amp;AL185,[1]装备属性!$Q$571:$Q$870)</f>
        <v>197.777777777778</v>
      </c>
      <c r="AO185" s="15">
        <f t="shared" si="22"/>
        <v>590.865168539325</v>
      </c>
    </row>
    <row r="186" ht="18" spans="1:41">
      <c r="A186" s="9" t="s">
        <v>193</v>
      </c>
      <c r="B186" s="9" t="str">
        <f t="shared" si="11"/>
        <v>[{5205001,3},{2,}]</v>
      </c>
      <c r="C186" s="51" t="str">
        <f t="shared" si="12"/>
        <v>[{5203001,185},{2,3240}]</v>
      </c>
      <c r="D186" s="140">
        <v>46</v>
      </c>
      <c r="E186" s="130">
        <f t="shared" si="13"/>
        <v>22</v>
      </c>
      <c r="F186" s="130">
        <v>68</v>
      </c>
      <c r="G186" s="130">
        <v>7</v>
      </c>
      <c r="H186" s="130">
        <f>SUMIFS(基因产出!$F$90:$F$389,基因产出!$D$90:$D$389,"&lt;="&amp;E186,基因产出!$D$90:$D$389,"&gt;"&amp;_xlfn.MAXIFS($E$141:E186,$E$141:E186,"&lt;"&amp;E186))/COUNTIF($E$141:$E$500,E186)</f>
        <v>350</v>
      </c>
      <c r="I186" s="130">
        <f>IF(COUNTIF($I$141:$I185,$I185)=VLOOKUP($I185,$D$90:$E$120,2,0),$I185+1,$I185)</f>
        <v>6</v>
      </c>
      <c r="J186" s="131">
        <f t="shared" si="14"/>
        <v>36</v>
      </c>
      <c r="K186" s="132" t="str">
        <f t="shared" si="15"/>
        <v/>
      </c>
      <c r="L186" s="132" t="str">
        <f t="shared" si="16"/>
        <v/>
      </c>
      <c r="M186" s="132" t="str">
        <f t="shared" si="17"/>
        <v/>
      </c>
      <c r="N186" s="132">
        <f t="shared" si="23"/>
        <v>0.0075</v>
      </c>
      <c r="O186" s="132">
        <f t="shared" si="18"/>
        <v>0.05</v>
      </c>
      <c r="P186" s="141">
        <f>(SUM($Q$142:Q186)-SUM($H$141:H186))/SUM($H$141:H186)</f>
        <v>-0.601227678571429</v>
      </c>
      <c r="Q186" s="142">
        <f t="shared" si="33"/>
        <v>180</v>
      </c>
      <c r="R186" s="142">
        <f t="shared" si="31"/>
        <v>3170</v>
      </c>
      <c r="S186" s="133">
        <f t="shared" si="25"/>
        <v>1.26404494382022</v>
      </c>
      <c r="T186" s="134">
        <f>INT(SUM($W$141:W186)/3)+1</f>
        <v>12</v>
      </c>
      <c r="U186" s="135" t="str">
        <f t="shared" si="19"/>
        <v/>
      </c>
      <c r="V186" s="67" t="s">
        <v>168</v>
      </c>
      <c r="W186" s="137" t="str">
        <f t="shared" si="26"/>
        <v/>
      </c>
      <c r="X186" s="137" t="str">
        <f t="shared" si="20"/>
        <v/>
      </c>
      <c r="Y186" s="138"/>
      <c r="Z186" s="138">
        <v>1</v>
      </c>
      <c r="AA186" s="138">
        <v>3</v>
      </c>
      <c r="AB186" s="138" t="str">
        <f t="shared" si="30"/>
        <v>{8000,7000,6000}</v>
      </c>
      <c r="AC186" s="138">
        <v>1000</v>
      </c>
      <c r="AD186" s="138">
        <v>2000</v>
      </c>
      <c r="AE186" s="138">
        <f>SUM($R$141:$R186)+SUM($X$141:$X186)</f>
        <v>145280</v>
      </c>
      <c r="AF186" s="138">
        <f>SUM($Q$142:Q186)</f>
        <v>3573</v>
      </c>
      <c r="AG186" s="137">
        <f t="shared" si="27"/>
        <v>155999</v>
      </c>
      <c r="AH186" s="139">
        <f>SUM($S$141:S186)</f>
        <v>21.7085167922647</v>
      </c>
      <c r="AI186" s="133">
        <f t="shared" si="28"/>
        <v>0.632022471910112</v>
      </c>
      <c r="AJ186" s="15">
        <f t="shared" si="29"/>
        <v>54900</v>
      </c>
      <c r="AL186" s="15">
        <v>46</v>
      </c>
      <c r="AM186" s="15">
        <f t="shared" si="21"/>
        <v>120940</v>
      </c>
      <c r="AN186" s="15">
        <f>SUMIF([1]装备属性!$M$571:$M$870,"&lt;="&amp;AL186,[1]装备属性!$Q$571:$Q$870)</f>
        <v>197.777777777778</v>
      </c>
      <c r="AO186" s="15">
        <f t="shared" si="22"/>
        <v>611.494382022471</v>
      </c>
    </row>
    <row r="187" ht="18" spans="1:41">
      <c r="A187" s="9" t="s">
        <v>191</v>
      </c>
      <c r="B187" s="9" t="str">
        <f t="shared" si="11"/>
        <v>[{5205001,3},{2,}]</v>
      </c>
      <c r="C187" s="51" t="str">
        <f t="shared" si="12"/>
        <v>[{5203001,190},{2,3310}]</v>
      </c>
      <c r="D187" s="140">
        <v>47</v>
      </c>
      <c r="E187" s="130">
        <f t="shared" si="13"/>
        <v>24</v>
      </c>
      <c r="F187" s="130">
        <v>70</v>
      </c>
      <c r="G187" s="130">
        <v>7</v>
      </c>
      <c r="H187" s="130">
        <f>SUMIFS(基因产出!$F$90:$F$389,基因产出!$D$90:$D$389,"&lt;="&amp;E187,基因产出!$D$90:$D$389,"&gt;"&amp;_xlfn.MAXIFS($E$141:E187,$E$141:E187,"&lt;"&amp;E187))/COUNTIF($E$141:$E$500,E187)</f>
        <v>700</v>
      </c>
      <c r="I187" s="130">
        <f>IF(COUNTIF($I$141:$I186,$I186)=VLOOKUP($I186,$D$90:$E$120,2,0),$I186+1,$I186)</f>
        <v>6</v>
      </c>
      <c r="J187" s="131">
        <f t="shared" si="14"/>
        <v>36</v>
      </c>
      <c r="K187" s="132" t="str">
        <f t="shared" si="15"/>
        <v/>
      </c>
      <c r="L187" s="132" t="str">
        <f t="shared" si="16"/>
        <v/>
      </c>
      <c r="M187" s="132">
        <f t="shared" si="17"/>
        <v>0.002</v>
      </c>
      <c r="N187" s="132" t="str">
        <f t="shared" si="23"/>
        <v/>
      </c>
      <c r="O187" s="132" t="str">
        <f t="shared" si="18"/>
        <v/>
      </c>
      <c r="P187" s="141">
        <f>(SUM($Q$142:Q187)-SUM($H$141:H187))/SUM($H$141:H187)</f>
        <v>-0.610973084886128</v>
      </c>
      <c r="Q187" s="142">
        <f t="shared" si="33"/>
        <v>185</v>
      </c>
      <c r="R187" s="142">
        <f t="shared" si="31"/>
        <v>3240</v>
      </c>
      <c r="S187" s="133">
        <f t="shared" si="25"/>
        <v>1.29213483146067</v>
      </c>
      <c r="T187" s="134">
        <f>INT(SUM($W$141:W187)/3)+1</f>
        <v>12</v>
      </c>
      <c r="U187" s="135" t="str">
        <f t="shared" si="19"/>
        <v/>
      </c>
      <c r="V187" s="67" t="s">
        <v>168</v>
      </c>
      <c r="W187" s="137" t="str">
        <f t="shared" si="26"/>
        <v/>
      </c>
      <c r="X187" s="137" t="str">
        <f t="shared" si="20"/>
        <v/>
      </c>
      <c r="Y187" s="138"/>
      <c r="Z187" s="138">
        <v>1</v>
      </c>
      <c r="AA187" s="138">
        <v>3</v>
      </c>
      <c r="AB187" s="138" t="str">
        <f t="shared" si="30"/>
        <v>{8000,7000,6000}</v>
      </c>
      <c r="AC187" s="138">
        <v>1000</v>
      </c>
      <c r="AD187" s="138">
        <v>2000</v>
      </c>
      <c r="AE187" s="138">
        <f>SUM($R$141:$R187)+SUM($X$141:$X187)</f>
        <v>148520</v>
      </c>
      <c r="AF187" s="138">
        <f>SUM($Q$142:Q187)</f>
        <v>3758</v>
      </c>
      <c r="AG187" s="137">
        <f t="shared" si="27"/>
        <v>159794</v>
      </c>
      <c r="AH187" s="139">
        <f>SUM($S$141:S187)</f>
        <v>23.0006516237254</v>
      </c>
      <c r="AI187" s="133">
        <f t="shared" si="28"/>
        <v>0.646067415730337</v>
      </c>
      <c r="AJ187" s="15">
        <f t="shared" si="29"/>
        <v>56100</v>
      </c>
      <c r="AL187" s="15">
        <v>47</v>
      </c>
      <c r="AM187" s="15">
        <f t="shared" si="21"/>
        <v>120940</v>
      </c>
      <c r="AN187" s="15">
        <f>SUMIF([1]装备属性!$M$571:$M$870,"&lt;="&amp;AL187,[1]装备属性!$Q$571:$Q$870)</f>
        <v>242.777777777778</v>
      </c>
      <c r="AO187" s="15">
        <f t="shared" si="22"/>
        <v>498.151029748283</v>
      </c>
    </row>
    <row r="188" ht="18" spans="1:41">
      <c r="A188" s="9" t="s">
        <v>192</v>
      </c>
      <c r="B188" s="9" t="str">
        <f t="shared" si="11"/>
        <v>[{5205001,3},{2,13240}]</v>
      </c>
      <c r="C188" s="51" t="str">
        <f t="shared" si="12"/>
        <v>[{5203001,195},{2,3380}]</v>
      </c>
      <c r="D188" s="140">
        <v>48</v>
      </c>
      <c r="E188" s="130">
        <f t="shared" si="13"/>
        <v>25</v>
      </c>
      <c r="F188" s="130">
        <v>71</v>
      </c>
      <c r="G188" s="130">
        <v>7</v>
      </c>
      <c r="H188" s="130">
        <f>SUMIFS(基因产出!$F$90:$F$389,基因产出!$D$90:$D$389,"&lt;="&amp;E188,基因产出!$D$90:$D$389,"&gt;"&amp;_xlfn.MAXIFS($E$141:E188,$E$141:E188,"&lt;"&amp;E188))/COUNTIF($E$141:$E$500,E188)</f>
        <v>350</v>
      </c>
      <c r="I188" s="130">
        <f>IF(COUNTIF($I$141:$I187,$I187)=VLOOKUP($I187,$D$90:$E$120,2,0),$I187+1,$I187)</f>
        <v>6</v>
      </c>
      <c r="J188" s="131">
        <f t="shared" si="14"/>
        <v>36</v>
      </c>
      <c r="K188" s="132" t="str">
        <f t="shared" si="15"/>
        <v/>
      </c>
      <c r="L188" s="132">
        <f t="shared" si="16"/>
        <v>0.03</v>
      </c>
      <c r="M188" s="132" t="str">
        <f t="shared" si="17"/>
        <v/>
      </c>
      <c r="N188" s="132" t="str">
        <f t="shared" si="23"/>
        <v/>
      </c>
      <c r="O188" s="132" t="str">
        <f t="shared" si="18"/>
        <v/>
      </c>
      <c r="P188" s="141">
        <f>(SUM($Q$142:Q188)-SUM($H$141:H188))/SUM($H$141:H188)</f>
        <v>-0.605594405594406</v>
      </c>
      <c r="Q188" s="142">
        <f t="shared" si="33"/>
        <v>190</v>
      </c>
      <c r="R188" s="142">
        <f t="shared" si="31"/>
        <v>3310</v>
      </c>
      <c r="S188" s="133">
        <f t="shared" si="25"/>
        <v>1.32022471910112</v>
      </c>
      <c r="T188" s="134">
        <f>INT(SUM($W$141:W188)/3)+1</f>
        <v>13</v>
      </c>
      <c r="U188" s="135" t="str">
        <f t="shared" si="19"/>
        <v/>
      </c>
      <c r="V188" s="67" t="s">
        <v>80</v>
      </c>
      <c r="W188" s="137">
        <f t="shared" si="26"/>
        <v>3</v>
      </c>
      <c r="X188" s="137">
        <f t="shared" si="20"/>
        <v>13240</v>
      </c>
      <c r="Y188" s="138"/>
      <c r="Z188" s="138">
        <v>2</v>
      </c>
      <c r="AA188" s="138">
        <v>3</v>
      </c>
      <c r="AB188" s="138" t="str">
        <f t="shared" si="30"/>
        <v>{8000,7000,6000}</v>
      </c>
      <c r="AC188" s="138">
        <v>1000</v>
      </c>
      <c r="AD188" s="138">
        <v>2000</v>
      </c>
      <c r="AE188" s="138">
        <f>SUM($R$141:$R188)+SUM($X$141:$X188)</f>
        <v>165070</v>
      </c>
      <c r="AF188" s="138">
        <f>SUM($Q$142:Q188)</f>
        <v>3948</v>
      </c>
      <c r="AG188" s="137">
        <f t="shared" si="27"/>
        <v>176914</v>
      </c>
      <c r="AH188" s="139">
        <f>SUM($S$141:S188)</f>
        <v>24.3208763428265</v>
      </c>
      <c r="AI188" s="133">
        <f t="shared" si="28"/>
        <v>0.660112359550562</v>
      </c>
      <c r="AJ188" s="15">
        <f t="shared" si="29"/>
        <v>57300</v>
      </c>
      <c r="AL188" s="15">
        <v>48</v>
      </c>
      <c r="AM188" s="15">
        <f t="shared" si="21"/>
        <v>120940</v>
      </c>
      <c r="AN188" s="15">
        <f>SUMIF([1]装备属性!$M$571:$M$870,"&lt;="&amp;AL188,[1]装备属性!$Q$571:$Q$870)</f>
        <v>242.777777777778</v>
      </c>
      <c r="AO188" s="15">
        <f t="shared" si="22"/>
        <v>498.151029748283</v>
      </c>
    </row>
    <row r="189" ht="18" spans="1:41">
      <c r="A189" s="9" t="s">
        <v>194</v>
      </c>
      <c r="B189" s="9" t="str">
        <f t="shared" si="11"/>
        <v>[{5205001,3},{2,}]</v>
      </c>
      <c r="C189" s="51" t="str">
        <f t="shared" si="12"/>
        <v>[{5203001,200},{2,3450}]</v>
      </c>
      <c r="D189" s="140">
        <v>49</v>
      </c>
      <c r="E189" s="130">
        <f t="shared" si="13"/>
        <v>26</v>
      </c>
      <c r="F189" s="130">
        <v>72</v>
      </c>
      <c r="G189" s="130">
        <v>10</v>
      </c>
      <c r="H189" s="130">
        <f>SUMIFS(基因产出!$F$90:$F$389,基因产出!$D$90:$D$389,"&lt;="&amp;E189,基因产出!$D$90:$D$389,"&gt;"&amp;_xlfn.MAXIFS($E$141:E189,$E$141:E189,"&lt;"&amp;E189))/COUNTIF($E$141:$E$500,E189)</f>
        <v>350</v>
      </c>
      <c r="I189" s="130">
        <f>IF(COUNTIF($I$141:$I188,$I188)=VLOOKUP($I188,$D$90:$E$120,2,0),$I188+1,$I188)</f>
        <v>7</v>
      </c>
      <c r="J189" s="131">
        <f t="shared" si="14"/>
        <v>42</v>
      </c>
      <c r="K189" s="132">
        <f t="shared" si="15"/>
        <v>0.05</v>
      </c>
      <c r="L189" s="132" t="str">
        <f t="shared" si="16"/>
        <v/>
      </c>
      <c r="M189" s="132" t="str">
        <f t="shared" si="17"/>
        <v/>
      </c>
      <c r="N189" s="132" t="str">
        <f t="shared" si="23"/>
        <v/>
      </c>
      <c r="O189" s="132" t="str">
        <f t="shared" si="18"/>
        <v/>
      </c>
      <c r="P189" s="141">
        <f>(SUM($Q$142:Q189)-SUM($H$141:H189))/SUM($H$141:H189)</f>
        <v>-0.600096525096525</v>
      </c>
      <c r="Q189" s="142">
        <f t="shared" si="33"/>
        <v>195</v>
      </c>
      <c r="R189" s="142">
        <f t="shared" si="31"/>
        <v>3380</v>
      </c>
      <c r="S189" s="133">
        <f t="shared" si="25"/>
        <v>1.6</v>
      </c>
      <c r="T189" s="134">
        <f>INT(SUM($W$141:W189)/3)+1</f>
        <v>13</v>
      </c>
      <c r="U189" s="135" t="str">
        <f t="shared" si="19"/>
        <v/>
      </c>
      <c r="V189" s="67" t="s">
        <v>168</v>
      </c>
      <c r="W189" s="137" t="str">
        <f t="shared" si="26"/>
        <v/>
      </c>
      <c r="X189" s="137" t="str">
        <f t="shared" si="20"/>
        <v/>
      </c>
      <c r="Y189" s="138"/>
      <c r="Z189" s="138">
        <v>2</v>
      </c>
      <c r="AA189" s="138">
        <v>3</v>
      </c>
      <c r="AB189" s="138" t="str">
        <f t="shared" si="30"/>
        <v>{8000,7000,6000}</v>
      </c>
      <c r="AC189" s="138">
        <v>1000</v>
      </c>
      <c r="AD189" s="138">
        <v>2000</v>
      </c>
      <c r="AE189" s="138">
        <f>SUM($R$141:$R189)+SUM($X$141:$X189)</f>
        <v>168450</v>
      </c>
      <c r="AF189" s="138">
        <f>SUM($Q$142:Q189)</f>
        <v>4143</v>
      </c>
      <c r="AG189" s="137">
        <f t="shared" si="27"/>
        <v>180879</v>
      </c>
      <c r="AH189" s="139">
        <f>SUM($S$141:S189)</f>
        <v>25.9208763428265</v>
      </c>
      <c r="AI189" s="133">
        <f t="shared" si="28"/>
        <v>0.8</v>
      </c>
      <c r="AJ189" s="15">
        <f t="shared" si="29"/>
        <v>69300</v>
      </c>
      <c r="AL189" s="15">
        <v>49</v>
      </c>
      <c r="AM189" s="15">
        <f t="shared" si="21"/>
        <v>125090</v>
      </c>
      <c r="AN189" s="15">
        <f>SUMIF([1]装备属性!$M$571:$M$870,"&lt;="&amp;AL189,[1]装备属性!$Q$571:$Q$870)</f>
        <v>287.777777777778</v>
      </c>
      <c r="AO189" s="15">
        <f t="shared" si="22"/>
        <v>434.675675675675</v>
      </c>
    </row>
    <row r="190" ht="18" spans="1:41">
      <c r="A190" s="9" t="s">
        <v>195</v>
      </c>
      <c r="B190" s="9" t="str">
        <f t="shared" si="11"/>
        <v>[{5205001,3},{2,}]</v>
      </c>
      <c r="C190" s="51" t="str">
        <f t="shared" si="12"/>
        <v>[{5203001,205},{2,3520}]</v>
      </c>
      <c r="D190" s="140">
        <v>50</v>
      </c>
      <c r="E190" s="130">
        <f t="shared" si="13"/>
        <v>28</v>
      </c>
      <c r="F190" s="130">
        <v>74</v>
      </c>
      <c r="G190" s="130">
        <v>10</v>
      </c>
      <c r="H190" s="130">
        <f>SUMIFS(基因产出!$F$90:$F$389,基因产出!$D$90:$D$389,"&lt;="&amp;E190,基因产出!$D$90:$D$389,"&gt;"&amp;_xlfn.MAXIFS($E$141:E190,$E$141:E190,"&lt;"&amp;E190))/COUNTIF($E$141:$E$500,E190)</f>
        <v>700</v>
      </c>
      <c r="I190" s="130">
        <f>IF(COUNTIF($I$141:$I189,$I189)=VLOOKUP($I189,$D$90:$E$120,2,0),$I189+1,$I189)</f>
        <v>7</v>
      </c>
      <c r="J190" s="131">
        <f t="shared" si="14"/>
        <v>42</v>
      </c>
      <c r="K190" s="132" t="str">
        <f t="shared" si="15"/>
        <v/>
      </c>
      <c r="L190" s="132" t="str">
        <f t="shared" si="16"/>
        <v/>
      </c>
      <c r="M190" s="132" t="str">
        <f t="shared" si="17"/>
        <v/>
      </c>
      <c r="N190" s="132">
        <f t="shared" si="23"/>
        <v>0.0075</v>
      </c>
      <c r="O190" s="132" t="str">
        <f t="shared" si="18"/>
        <v/>
      </c>
      <c r="P190" s="141">
        <f>(SUM($Q$142:Q190)-SUM($H$141:H190))/SUM($H$141:H190)</f>
        <v>-0.607323688969259</v>
      </c>
      <c r="Q190" s="142">
        <f t="shared" si="33"/>
        <v>200</v>
      </c>
      <c r="R190" s="142">
        <f t="shared" si="31"/>
        <v>3450</v>
      </c>
      <c r="S190" s="133">
        <f t="shared" si="25"/>
        <v>1.63333333333333</v>
      </c>
      <c r="T190" s="134">
        <f>INT(SUM($W$141:W190)/3)+1</f>
        <v>13</v>
      </c>
      <c r="U190" s="135" t="str">
        <f t="shared" si="19"/>
        <v/>
      </c>
      <c r="V190" s="67" t="s">
        <v>168</v>
      </c>
      <c r="W190" s="137" t="str">
        <f t="shared" si="26"/>
        <v/>
      </c>
      <c r="X190" s="137" t="str">
        <f t="shared" si="20"/>
        <v/>
      </c>
      <c r="Y190" s="138"/>
      <c r="Z190" s="138">
        <v>2</v>
      </c>
      <c r="AA190" s="138">
        <v>3</v>
      </c>
      <c r="AB190" s="138" t="str">
        <f t="shared" si="30"/>
        <v>{8000,7000,6000}</v>
      </c>
      <c r="AC190" s="138">
        <v>1000</v>
      </c>
      <c r="AD190" s="138">
        <v>2000</v>
      </c>
      <c r="AE190" s="138">
        <f>SUM($R$141:$R190)+SUM($X$141:$X190)</f>
        <v>171900</v>
      </c>
      <c r="AF190" s="138">
        <f>SUM($Q$142:Q190)</f>
        <v>4343</v>
      </c>
      <c r="AG190" s="137">
        <f t="shared" si="27"/>
        <v>184929</v>
      </c>
      <c r="AH190" s="139">
        <f>SUM($S$141:S190)</f>
        <v>27.5542096761599</v>
      </c>
      <c r="AI190" s="133">
        <f t="shared" si="28"/>
        <v>0.816666666666667</v>
      </c>
      <c r="AJ190" s="15">
        <f t="shared" si="29"/>
        <v>70800</v>
      </c>
      <c r="AL190" s="15">
        <v>50</v>
      </c>
      <c r="AM190" s="15">
        <f t="shared" si="21"/>
        <v>125090</v>
      </c>
      <c r="AN190" s="15">
        <f>SUMIF([1]装备属性!$M$571:$M$870,"&lt;="&amp;AL190,[1]装备属性!$Q$571:$Q$870)</f>
        <v>287.777777777778</v>
      </c>
      <c r="AO190" s="15">
        <f t="shared" si="22"/>
        <v>434.675675675675</v>
      </c>
    </row>
    <row r="191" ht="18" spans="1:41">
      <c r="A191" s="9" t="s">
        <v>196</v>
      </c>
      <c r="B191" s="9" t="str">
        <f t="shared" si="11"/>
        <v>[{5205001,3},{2,}]</v>
      </c>
      <c r="C191" s="51" t="str">
        <f t="shared" si="12"/>
        <v>[{5203001,210},{2,3590}]</v>
      </c>
      <c r="D191" s="140">
        <v>51</v>
      </c>
      <c r="E191" s="130">
        <f t="shared" si="13"/>
        <v>30</v>
      </c>
      <c r="F191" s="130">
        <v>76</v>
      </c>
      <c r="G191" s="130">
        <v>10</v>
      </c>
      <c r="H191" s="130">
        <f>SUMIFS(基因产出!$F$90:$F$389,基因产出!$D$90:$D$389,"&lt;="&amp;E191,基因产出!$D$90:$D$389,"&gt;"&amp;_xlfn.MAXIFS($E$141:E191,$E$141:E191,"&lt;"&amp;E191))/COUNTIF($E$141:$E$500,E191)</f>
        <v>700</v>
      </c>
      <c r="I191" s="130">
        <f>IF(COUNTIF($I$141:$I190,$I190)=VLOOKUP($I190,$D$90:$E$120,2,0),$I190+1,$I190)</f>
        <v>7</v>
      </c>
      <c r="J191" s="131">
        <f t="shared" si="14"/>
        <v>42</v>
      </c>
      <c r="K191" s="132" t="str">
        <f t="shared" si="15"/>
        <v/>
      </c>
      <c r="L191" s="132" t="str">
        <f t="shared" si="16"/>
        <v/>
      </c>
      <c r="M191" s="132">
        <f t="shared" si="17"/>
        <v>0.002</v>
      </c>
      <c r="N191" s="132" t="str">
        <f t="shared" si="23"/>
        <v/>
      </c>
      <c r="O191" s="132" t="str">
        <f t="shared" si="18"/>
        <v/>
      </c>
      <c r="P191" s="141">
        <f>(SUM($Q$142:Q191)-SUM($H$141:H191))/SUM($H$141:H191)</f>
        <v>-0.613265306122449</v>
      </c>
      <c r="Q191" s="142">
        <f t="shared" si="33"/>
        <v>205</v>
      </c>
      <c r="R191" s="142">
        <f t="shared" si="31"/>
        <v>3520</v>
      </c>
      <c r="S191" s="133">
        <f t="shared" si="25"/>
        <v>1.66666666666667</v>
      </c>
      <c r="T191" s="134">
        <f>INT(SUM($W$141:W191)/3)+1</f>
        <v>13</v>
      </c>
      <c r="U191" s="135" t="str">
        <f t="shared" si="19"/>
        <v/>
      </c>
      <c r="V191" s="67" t="s">
        <v>168</v>
      </c>
      <c r="W191" s="137" t="str">
        <f t="shared" si="26"/>
        <v/>
      </c>
      <c r="X191" s="137" t="str">
        <f t="shared" si="20"/>
        <v/>
      </c>
      <c r="Y191" s="138"/>
      <c r="Z191" s="138">
        <v>2</v>
      </c>
      <c r="AA191" s="138">
        <v>3</v>
      </c>
      <c r="AB191" s="138" t="str">
        <f t="shared" si="30"/>
        <v>{8000,7000,6000}</v>
      </c>
      <c r="AC191" s="138">
        <v>1000</v>
      </c>
      <c r="AD191" s="138">
        <v>2000</v>
      </c>
      <c r="AE191" s="138">
        <f>SUM($R$141:$R191)+SUM($X$141:$X191)</f>
        <v>175420</v>
      </c>
      <c r="AF191" s="138">
        <f>SUM($Q$142:Q191)</f>
        <v>4548</v>
      </c>
      <c r="AG191" s="137">
        <f t="shared" si="27"/>
        <v>189064</v>
      </c>
      <c r="AH191" s="139">
        <f>SUM($S$141:S191)</f>
        <v>29.2208763428265</v>
      </c>
      <c r="AI191" s="133">
        <f t="shared" si="28"/>
        <v>0.833333333333333</v>
      </c>
      <c r="AJ191" s="15">
        <f t="shared" si="29"/>
        <v>72000</v>
      </c>
      <c r="AL191" s="15">
        <v>51</v>
      </c>
      <c r="AM191" s="15">
        <f t="shared" si="21"/>
        <v>125090</v>
      </c>
      <c r="AN191" s="15">
        <f>SUMIF([1]装备属性!$M$571:$M$870,"&lt;="&amp;AL191,[1]装备属性!$Q$571:$Q$870)</f>
        <v>287.777777777778</v>
      </c>
      <c r="AO191" s="15">
        <f t="shared" si="22"/>
        <v>434.675675675675</v>
      </c>
    </row>
    <row r="192" ht="18" spans="1:41">
      <c r="A192" s="9" t="s">
        <v>197</v>
      </c>
      <c r="B192" s="9" t="str">
        <f t="shared" si="11"/>
        <v>[{5205001,3},{2,14360}]</v>
      </c>
      <c r="C192" s="51" t="str">
        <f t="shared" si="12"/>
        <v>[{5203001,215},{2,3660}]</v>
      </c>
      <c r="D192" s="140">
        <v>52</v>
      </c>
      <c r="E192" s="130">
        <f t="shared" si="13"/>
        <v>31</v>
      </c>
      <c r="F192" s="130">
        <v>77</v>
      </c>
      <c r="G192" s="130">
        <v>10</v>
      </c>
      <c r="H192" s="130">
        <f>SUMIFS(基因产出!$F$90:$F$389,基因产出!$D$90:$D$389,"&lt;="&amp;E192,基因产出!$D$90:$D$389,"&gt;"&amp;_xlfn.MAXIFS($E$141:E192,$E$141:E192,"&lt;"&amp;E192))/COUNTIF($E$141:$E$500,E192)</f>
        <v>350</v>
      </c>
      <c r="I192" s="130">
        <f>IF(COUNTIF($I$141:$I191,$I191)=VLOOKUP($I191,$D$90:$E$120,2,0),$I191+1,$I191)</f>
        <v>7</v>
      </c>
      <c r="J192" s="131">
        <f t="shared" si="14"/>
        <v>42</v>
      </c>
      <c r="K192" s="132" t="str">
        <f t="shared" si="15"/>
        <v/>
      </c>
      <c r="L192" s="132">
        <f t="shared" si="16"/>
        <v>0.03</v>
      </c>
      <c r="M192" s="132" t="str">
        <f t="shared" si="17"/>
        <v/>
      </c>
      <c r="N192" s="132" t="str">
        <f t="shared" si="23"/>
        <v/>
      </c>
      <c r="O192" s="132" t="str">
        <f t="shared" si="18"/>
        <v/>
      </c>
      <c r="P192" s="141">
        <f>(SUM($Q$142:Q192)-SUM($H$141:H192))/SUM($H$141:H192)</f>
        <v>-0.60710156895128</v>
      </c>
      <c r="Q192" s="142">
        <f t="shared" si="33"/>
        <v>210</v>
      </c>
      <c r="R192" s="142">
        <f t="shared" si="31"/>
        <v>3590</v>
      </c>
      <c r="S192" s="133">
        <f t="shared" si="25"/>
        <v>1.7</v>
      </c>
      <c r="T192" s="134">
        <f>INT(SUM($W$141:W192)/3)+1</f>
        <v>14</v>
      </c>
      <c r="U192" s="135" t="str">
        <f t="shared" si="19"/>
        <v/>
      </c>
      <c r="V192" s="67" t="s">
        <v>83</v>
      </c>
      <c r="W192" s="137">
        <f t="shared" si="26"/>
        <v>3</v>
      </c>
      <c r="X192" s="137">
        <f t="shared" si="20"/>
        <v>14360</v>
      </c>
      <c r="Y192" s="138"/>
      <c r="Z192" s="138">
        <v>2</v>
      </c>
      <c r="AA192" s="138">
        <v>3</v>
      </c>
      <c r="AB192" s="138" t="str">
        <f t="shared" si="30"/>
        <v>{8000,7000,6000}</v>
      </c>
      <c r="AC192" s="138">
        <v>1000</v>
      </c>
      <c r="AD192" s="138">
        <v>2000</v>
      </c>
      <c r="AE192" s="138">
        <f>SUM($R$141:$R192)+SUM($X$141:$X192)</f>
        <v>193370</v>
      </c>
      <c r="AF192" s="138">
        <f>SUM($Q$142:Q192)</f>
        <v>4758</v>
      </c>
      <c r="AG192" s="137">
        <f t="shared" si="27"/>
        <v>207644</v>
      </c>
      <c r="AH192" s="139">
        <f>SUM($S$141:S192)</f>
        <v>30.9208763428265</v>
      </c>
      <c r="AI192" s="133">
        <f t="shared" si="28"/>
        <v>0.85</v>
      </c>
      <c r="AJ192" s="15">
        <f t="shared" si="29"/>
        <v>73500</v>
      </c>
      <c r="AL192" s="15">
        <v>52</v>
      </c>
      <c r="AM192" s="15">
        <f t="shared" si="21"/>
        <v>129310</v>
      </c>
      <c r="AN192" s="15">
        <f>SUMIF([1]装备属性!$M$571:$M$870,"&lt;="&amp;AL192,[1]装备属性!$Q$571:$Q$870)</f>
        <v>287.777777777778</v>
      </c>
      <c r="AO192" s="15">
        <f t="shared" si="22"/>
        <v>449.339768339768</v>
      </c>
    </row>
    <row r="193" ht="18" spans="1:41">
      <c r="A193" s="9" t="s">
        <v>194</v>
      </c>
      <c r="B193" s="9" t="str">
        <f t="shared" si="11"/>
        <v>[{5205001,3},{2,}]</v>
      </c>
      <c r="C193" s="51" t="str">
        <f t="shared" si="12"/>
        <v>[{5203001,220},{2,3730}]</v>
      </c>
      <c r="D193" s="140">
        <v>53</v>
      </c>
      <c r="E193" s="130">
        <f t="shared" si="13"/>
        <v>33</v>
      </c>
      <c r="F193" s="130">
        <v>79</v>
      </c>
      <c r="G193" s="130">
        <v>10</v>
      </c>
      <c r="H193" s="130">
        <f>SUMIFS(基因产出!$F$90:$F$389,基因产出!$D$90:$D$389,"&lt;="&amp;E193,基因产出!$D$90:$D$389,"&gt;"&amp;_xlfn.MAXIFS($E$141:E193,$E$141:E193,"&lt;"&amp;E193))/COUNTIF($E$141:$E$500,E193)</f>
        <v>700</v>
      </c>
      <c r="I193" s="130">
        <f>IF(COUNTIF($I$141:$I192,$I192)=VLOOKUP($I192,$D$90:$E$120,2,0),$I192+1,$I192)</f>
        <v>7</v>
      </c>
      <c r="J193" s="131">
        <f t="shared" si="14"/>
        <v>42</v>
      </c>
      <c r="K193" s="132">
        <f t="shared" si="15"/>
        <v>0.05</v>
      </c>
      <c r="L193" s="132" t="str">
        <f t="shared" si="16"/>
        <v/>
      </c>
      <c r="M193" s="132" t="str">
        <f t="shared" si="17"/>
        <v/>
      </c>
      <c r="N193" s="132" t="str">
        <f t="shared" si="23"/>
        <v/>
      </c>
      <c r="O193" s="132" t="str">
        <f t="shared" si="18"/>
        <v/>
      </c>
      <c r="P193" s="141">
        <f>(SUM($Q$142:Q193)-SUM($H$141:H193))/SUM($H$141:H193)</f>
        <v>-0.611787665886027</v>
      </c>
      <c r="Q193" s="142">
        <f t="shared" si="33"/>
        <v>215</v>
      </c>
      <c r="R193" s="142">
        <f t="shared" si="31"/>
        <v>3660</v>
      </c>
      <c r="S193" s="133">
        <f t="shared" si="25"/>
        <v>1.73333333333333</v>
      </c>
      <c r="T193" s="134">
        <f>INT(SUM($W$141:W193)/3)+1</f>
        <v>14</v>
      </c>
      <c r="U193" s="135" t="str">
        <f t="shared" si="19"/>
        <v/>
      </c>
      <c r="V193" s="67" t="s">
        <v>168</v>
      </c>
      <c r="W193" s="137" t="str">
        <f t="shared" si="26"/>
        <v/>
      </c>
      <c r="X193" s="137" t="str">
        <f t="shared" si="20"/>
        <v/>
      </c>
      <c r="Y193" s="138"/>
      <c r="Z193" s="138">
        <v>2</v>
      </c>
      <c r="AA193" s="138">
        <v>3</v>
      </c>
      <c r="AB193" s="138" t="str">
        <f t="shared" si="30"/>
        <v>{8000,7000,6000}</v>
      </c>
      <c r="AC193" s="138">
        <v>1000</v>
      </c>
      <c r="AD193" s="138">
        <v>2000</v>
      </c>
      <c r="AE193" s="138">
        <f>SUM($R$141:$R193)+SUM($X$141:$X193)</f>
        <v>197030</v>
      </c>
      <c r="AF193" s="138">
        <f>SUM($Q$142:Q193)</f>
        <v>4973</v>
      </c>
      <c r="AG193" s="137">
        <f t="shared" si="27"/>
        <v>211949</v>
      </c>
      <c r="AH193" s="139">
        <f>SUM($S$141:S193)</f>
        <v>32.6542096761599</v>
      </c>
      <c r="AI193" s="133">
        <f t="shared" si="28"/>
        <v>0.866666666666667</v>
      </c>
      <c r="AJ193" s="15">
        <f t="shared" si="29"/>
        <v>75000</v>
      </c>
      <c r="AL193" s="15">
        <v>53</v>
      </c>
      <c r="AM193" s="15">
        <f t="shared" si="21"/>
        <v>129310</v>
      </c>
      <c r="AN193" s="15">
        <f>SUMIF([1]装备属性!$M$571:$M$870,"&lt;="&amp;AL193,[1]装备属性!$Q$571:$Q$870)</f>
        <v>287.777777777778</v>
      </c>
      <c r="AO193" s="15">
        <f t="shared" si="22"/>
        <v>449.339768339768</v>
      </c>
    </row>
    <row r="194" ht="18" spans="1:41">
      <c r="A194" s="9" t="s">
        <v>198</v>
      </c>
      <c r="B194" s="9" t="str">
        <f t="shared" si="11"/>
        <v>[{5205001,3},{2,}]</v>
      </c>
      <c r="C194" s="51" t="str">
        <f t="shared" si="12"/>
        <v>[{5203001,225},{2,3800}]</v>
      </c>
      <c r="D194" s="140">
        <v>54</v>
      </c>
      <c r="E194" s="130">
        <f t="shared" si="13"/>
        <v>35</v>
      </c>
      <c r="F194" s="130">
        <v>81</v>
      </c>
      <c r="G194" s="130">
        <v>10</v>
      </c>
      <c r="H194" s="130">
        <f>SUMIFS(基因产出!$F$90:$F$389,基因产出!$D$90:$D$389,"&lt;="&amp;E194,基因产出!$D$90:$D$389,"&gt;"&amp;_xlfn.MAXIFS($E$141:E194,$E$141:E194,"&lt;"&amp;E194))/COUNTIF($E$141:$E$500,E194)</f>
        <v>700</v>
      </c>
      <c r="I194" s="130">
        <f>IF(COUNTIF($I$141:$I193,$I193)=VLOOKUP($I193,$D$90:$E$120,2,0),$I193+1,$I193)</f>
        <v>7</v>
      </c>
      <c r="J194" s="131">
        <f t="shared" si="14"/>
        <v>42</v>
      </c>
      <c r="K194" s="132" t="str">
        <f t="shared" si="15"/>
        <v/>
      </c>
      <c r="L194" s="132" t="str">
        <f t="shared" si="16"/>
        <v/>
      </c>
      <c r="M194" s="132" t="str">
        <f t="shared" si="17"/>
        <v/>
      </c>
      <c r="N194" s="132">
        <f t="shared" si="23"/>
        <v>0.0075</v>
      </c>
      <c r="O194" s="132">
        <f t="shared" si="18"/>
        <v>0.05</v>
      </c>
      <c r="P194" s="141">
        <f>(SUM($Q$142:Q194)-SUM($H$141:H194))/SUM($H$141:H194)</f>
        <v>-0.615618060695781</v>
      </c>
      <c r="Q194" s="142">
        <f t="shared" si="33"/>
        <v>220</v>
      </c>
      <c r="R194" s="142">
        <f t="shared" si="31"/>
        <v>3730</v>
      </c>
      <c r="S194" s="133">
        <f t="shared" si="25"/>
        <v>1.76666666666667</v>
      </c>
      <c r="T194" s="134">
        <f>INT(SUM($W$141:W194)/3)+1</f>
        <v>14</v>
      </c>
      <c r="U194" s="135" t="str">
        <f t="shared" si="19"/>
        <v/>
      </c>
      <c r="V194" s="67" t="s">
        <v>168</v>
      </c>
      <c r="W194" s="137" t="str">
        <f t="shared" si="26"/>
        <v/>
      </c>
      <c r="X194" s="137" t="str">
        <f t="shared" si="20"/>
        <v/>
      </c>
      <c r="Y194" s="138"/>
      <c r="Z194" s="138">
        <v>2</v>
      </c>
      <c r="AA194" s="138">
        <v>3</v>
      </c>
      <c r="AB194" s="138" t="str">
        <f t="shared" si="30"/>
        <v>{8000,7000,6000}</v>
      </c>
      <c r="AC194" s="138">
        <v>1000</v>
      </c>
      <c r="AD194" s="138">
        <v>2000</v>
      </c>
      <c r="AE194" s="138">
        <f>SUM($R$141:$R194)+SUM($X$141:$X194)</f>
        <v>200760</v>
      </c>
      <c r="AF194" s="138">
        <f>SUM($Q$142:Q194)</f>
        <v>5193</v>
      </c>
      <c r="AG194" s="137">
        <f t="shared" si="27"/>
        <v>216339</v>
      </c>
      <c r="AH194" s="139">
        <f>SUM($S$141:S194)</f>
        <v>34.4208763428265</v>
      </c>
      <c r="AI194" s="133">
        <f t="shared" si="28"/>
        <v>0.883333333333333</v>
      </c>
      <c r="AJ194" s="15">
        <f t="shared" si="29"/>
        <v>76500</v>
      </c>
      <c r="AL194" s="15">
        <v>54</v>
      </c>
      <c r="AM194" s="15">
        <f t="shared" si="21"/>
        <v>129310</v>
      </c>
      <c r="AN194" s="15">
        <f>SUMIF([1]装备属性!$M$571:$M$870,"&lt;="&amp;AL194,[1]装备属性!$Q$571:$Q$870)</f>
        <v>287.777777777778</v>
      </c>
      <c r="AO194" s="15">
        <f t="shared" si="22"/>
        <v>449.339768339768</v>
      </c>
    </row>
    <row r="195" ht="18" spans="1:41">
      <c r="A195" s="9" t="s">
        <v>196</v>
      </c>
      <c r="B195" s="9" t="str">
        <f t="shared" si="11"/>
        <v>[{5205001,3},{2,}]</v>
      </c>
      <c r="C195" s="51" t="str">
        <f t="shared" si="12"/>
        <v>[{5203001,230},{2,3870}]</v>
      </c>
      <c r="D195" s="140">
        <v>55</v>
      </c>
      <c r="E195" s="130">
        <f t="shared" si="13"/>
        <v>37</v>
      </c>
      <c r="F195" s="130">
        <v>83</v>
      </c>
      <c r="G195" s="130">
        <v>10</v>
      </c>
      <c r="H195" s="130">
        <f>SUMIFS(基因产出!$F$90:$F$389,基因产出!$D$90:$D$389,"&lt;="&amp;E195,基因产出!$D$90:$D$389,"&gt;"&amp;_xlfn.MAXIFS($E$141:E195,$E$141:E195,"&lt;"&amp;E195))/COUNTIF($E$141:$E$500,E195)</f>
        <v>700</v>
      </c>
      <c r="I195" s="130">
        <f>IF(COUNTIF($I$141:$I194,$I194)=VLOOKUP($I194,$D$90:$E$120,2,0),$I194+1,$I194)</f>
        <v>7</v>
      </c>
      <c r="J195" s="131">
        <f t="shared" si="14"/>
        <v>42</v>
      </c>
      <c r="K195" s="132" t="str">
        <f t="shared" si="15"/>
        <v/>
      </c>
      <c r="L195" s="132" t="str">
        <f t="shared" si="16"/>
        <v/>
      </c>
      <c r="M195" s="132">
        <f t="shared" si="17"/>
        <v>0.002</v>
      </c>
      <c r="N195" s="132" t="str">
        <f t="shared" si="23"/>
        <v/>
      </c>
      <c r="O195" s="132" t="str">
        <f t="shared" si="18"/>
        <v/>
      </c>
      <c r="P195" s="141">
        <f>(SUM($Q$142:Q195)-SUM($H$141:H195))/SUM($H$141:H195)</f>
        <v>-0.61871921182266</v>
      </c>
      <c r="Q195" s="142">
        <f t="shared" si="33"/>
        <v>225</v>
      </c>
      <c r="R195" s="142">
        <f t="shared" si="31"/>
        <v>3800</v>
      </c>
      <c r="S195" s="133">
        <f t="shared" si="25"/>
        <v>1.8</v>
      </c>
      <c r="T195" s="134">
        <f>INT(SUM($W$141:W195)/3)+1</f>
        <v>14</v>
      </c>
      <c r="U195" s="135" t="str">
        <f t="shared" si="19"/>
        <v/>
      </c>
      <c r="V195" s="67" t="s">
        <v>168</v>
      </c>
      <c r="W195" s="137" t="str">
        <f t="shared" si="26"/>
        <v/>
      </c>
      <c r="X195" s="137" t="str">
        <f t="shared" si="20"/>
        <v/>
      </c>
      <c r="Y195" s="138"/>
      <c r="Z195" s="138">
        <v>2</v>
      </c>
      <c r="AA195" s="138">
        <v>3</v>
      </c>
      <c r="AB195" s="138" t="str">
        <f t="shared" si="30"/>
        <v>{8000,7000,6000}</v>
      </c>
      <c r="AC195" s="138">
        <v>1000</v>
      </c>
      <c r="AD195" s="138">
        <v>2000</v>
      </c>
      <c r="AE195" s="138">
        <f>SUM($R$141:$R195)+SUM($X$141:$X195)</f>
        <v>204560</v>
      </c>
      <c r="AF195" s="138">
        <f>SUM($Q$142:Q195)</f>
        <v>5418</v>
      </c>
      <c r="AG195" s="137">
        <f t="shared" si="27"/>
        <v>220814</v>
      </c>
      <c r="AH195" s="139">
        <f>SUM($S$141:S195)</f>
        <v>36.2208763428265</v>
      </c>
      <c r="AI195" s="133">
        <f t="shared" si="28"/>
        <v>0.9</v>
      </c>
      <c r="AJ195" s="15">
        <f t="shared" si="29"/>
        <v>78000</v>
      </c>
      <c r="AL195" s="15">
        <v>55</v>
      </c>
      <c r="AM195" s="15">
        <f t="shared" si="21"/>
        <v>133600</v>
      </c>
      <c r="AN195" s="15">
        <f>SUMIF([1]装备属性!$M$571:$M$870,"&lt;="&amp;AL195,[1]装备属性!$Q$571:$Q$870)</f>
        <v>287.777777777778</v>
      </c>
      <c r="AO195" s="15">
        <f t="shared" si="22"/>
        <v>464.247104247104</v>
      </c>
    </row>
    <row r="196" ht="18" spans="1:41">
      <c r="A196" s="9" t="s">
        <v>197</v>
      </c>
      <c r="B196" s="9" t="str">
        <f t="shared" si="11"/>
        <v>[{5205001,3},{2,15480}]</v>
      </c>
      <c r="C196" s="51" t="str">
        <f t="shared" si="12"/>
        <v>[{5203001,235},{2,3940}]</v>
      </c>
      <c r="D196" s="140">
        <v>56</v>
      </c>
      <c r="E196" s="130">
        <f t="shared" si="13"/>
        <v>39</v>
      </c>
      <c r="F196" s="130">
        <v>85</v>
      </c>
      <c r="G196" s="130">
        <v>10</v>
      </c>
      <c r="H196" s="130">
        <f>SUMIFS(基因产出!$F$90:$F$389,基因产出!$D$90:$D$389,"&lt;="&amp;E196,基因产出!$D$90:$D$389,"&gt;"&amp;_xlfn.MAXIFS($E$141:E196,$E$141:E196,"&lt;"&amp;E196))/COUNTIF($E$141:$E$500,E196)</f>
        <v>700</v>
      </c>
      <c r="I196" s="130">
        <f>IF(COUNTIF($I$141:$I195,$I195)=VLOOKUP($I195,$D$90:$E$120,2,0),$I195+1,$I195)</f>
        <v>7</v>
      </c>
      <c r="J196" s="131">
        <f t="shared" si="14"/>
        <v>42</v>
      </c>
      <c r="K196" s="132" t="str">
        <f t="shared" si="15"/>
        <v/>
      </c>
      <c r="L196" s="132">
        <f t="shared" si="16"/>
        <v>0.03</v>
      </c>
      <c r="M196" s="132" t="str">
        <f t="shared" si="17"/>
        <v/>
      </c>
      <c r="N196" s="132" t="str">
        <f t="shared" si="23"/>
        <v/>
      </c>
      <c r="O196" s="132" t="str">
        <f t="shared" si="18"/>
        <v/>
      </c>
      <c r="P196" s="141">
        <f>(SUM($Q$142:Q196)-SUM($H$141:H196))/SUM($H$141:H196)</f>
        <v>-0.621193829644534</v>
      </c>
      <c r="Q196" s="142">
        <f t="shared" si="33"/>
        <v>230</v>
      </c>
      <c r="R196" s="142">
        <f t="shared" si="31"/>
        <v>3870</v>
      </c>
      <c r="S196" s="133">
        <f t="shared" si="25"/>
        <v>1.83333333333333</v>
      </c>
      <c r="T196" s="134">
        <f>INT(SUM($W$141:W196)/3)+1</f>
        <v>15</v>
      </c>
      <c r="U196" s="135" t="str">
        <f t="shared" si="19"/>
        <v/>
      </c>
      <c r="V196" s="67" t="s">
        <v>75</v>
      </c>
      <c r="W196" s="137">
        <f t="shared" si="26"/>
        <v>3</v>
      </c>
      <c r="X196" s="137">
        <f t="shared" si="20"/>
        <v>15480</v>
      </c>
      <c r="Y196" s="138"/>
      <c r="Z196" s="138">
        <v>2</v>
      </c>
      <c r="AA196" s="138">
        <v>3</v>
      </c>
      <c r="AB196" s="138" t="str">
        <f t="shared" si="30"/>
        <v>{10000,9000,8000}</v>
      </c>
      <c r="AC196" s="138">
        <v>1000</v>
      </c>
      <c r="AD196" s="138">
        <v>4000</v>
      </c>
      <c r="AE196" s="138">
        <f>SUM($R$141:$R196)+SUM($X$141:$X196)</f>
        <v>223910</v>
      </c>
      <c r="AF196" s="138">
        <f>SUM($Q$142:Q196)</f>
        <v>5648</v>
      </c>
      <c r="AG196" s="137">
        <f t="shared" si="27"/>
        <v>240854</v>
      </c>
      <c r="AH196" s="139">
        <f>SUM($S$141:S196)</f>
        <v>38.0542096761599</v>
      </c>
      <c r="AI196" s="133">
        <f t="shared" si="28"/>
        <v>0.916666666666667</v>
      </c>
      <c r="AJ196" s="15">
        <f t="shared" si="29"/>
        <v>79200</v>
      </c>
      <c r="AL196" s="15">
        <v>56</v>
      </c>
      <c r="AM196" s="15">
        <f t="shared" si="21"/>
        <v>133600</v>
      </c>
      <c r="AN196" s="15">
        <f>SUMIF([1]装备属性!$M$571:$M$870,"&lt;="&amp;AL196,[1]装备属性!$Q$571:$Q$870)</f>
        <v>320.740740740741</v>
      </c>
      <c r="AO196" s="15">
        <f t="shared" si="22"/>
        <v>416.535796766743</v>
      </c>
    </row>
    <row r="197" ht="18" spans="1:41">
      <c r="A197" s="9" t="s">
        <v>199</v>
      </c>
      <c r="B197" s="9" t="str">
        <f t="shared" si="11"/>
        <v>[{5205001,3},{2,}]</v>
      </c>
      <c r="C197" s="51" t="str">
        <f t="shared" si="12"/>
        <v>[{5203001,240},{2,4010}]</v>
      </c>
      <c r="D197" s="140">
        <v>57</v>
      </c>
      <c r="E197" s="130">
        <f t="shared" si="13"/>
        <v>41</v>
      </c>
      <c r="F197" s="130">
        <v>87</v>
      </c>
      <c r="G197" s="130">
        <v>14</v>
      </c>
      <c r="H197" s="130">
        <f>SUMIFS(基因产出!$F$90:$F$389,基因产出!$D$90:$D$389,"&lt;="&amp;E197,基因产出!$D$90:$D$389,"&gt;"&amp;_xlfn.MAXIFS($E$141:E197,$E$141:E197,"&lt;"&amp;E197))/COUNTIF($E$141:$E$500,E197)</f>
        <v>700</v>
      </c>
      <c r="I197" s="130">
        <f>IF(COUNTIF($I$141:$I196,$I196)=VLOOKUP($I196,$D$90:$E$120,2,0),$I196+1,$I196)</f>
        <v>8</v>
      </c>
      <c r="J197" s="131">
        <f t="shared" si="14"/>
        <v>48</v>
      </c>
      <c r="K197" s="132">
        <f t="shared" si="15"/>
        <v>0.05</v>
      </c>
      <c r="L197" s="132" t="str">
        <f t="shared" si="16"/>
        <v/>
      </c>
      <c r="M197" s="132" t="str">
        <f t="shared" si="17"/>
        <v/>
      </c>
      <c r="N197" s="132" t="str">
        <f t="shared" si="23"/>
        <v/>
      </c>
      <c r="O197" s="132" t="str">
        <f t="shared" si="18"/>
        <v/>
      </c>
      <c r="P197" s="141">
        <f>(SUM($Q$142:Q197)-SUM($H$141:H197))/SUM($H$141:H197)</f>
        <v>-0.623126201153107</v>
      </c>
      <c r="Q197" s="142">
        <f t="shared" si="33"/>
        <v>235</v>
      </c>
      <c r="R197" s="142">
        <f t="shared" si="31"/>
        <v>3940</v>
      </c>
      <c r="S197" s="133">
        <f t="shared" si="25"/>
        <v>2.54545454545455</v>
      </c>
      <c r="T197" s="134">
        <f>INT(SUM($W$141:W197)/3)+1</f>
        <v>15</v>
      </c>
      <c r="U197" s="135" t="str">
        <f t="shared" si="19"/>
        <v/>
      </c>
      <c r="V197" s="67" t="s">
        <v>168</v>
      </c>
      <c r="W197" s="137" t="str">
        <f t="shared" si="26"/>
        <v/>
      </c>
      <c r="X197" s="137" t="str">
        <f t="shared" si="20"/>
        <v/>
      </c>
      <c r="Y197" s="138"/>
      <c r="Z197" s="138">
        <v>2</v>
      </c>
      <c r="AA197" s="138">
        <v>3</v>
      </c>
      <c r="AB197" s="138" t="str">
        <f t="shared" si="30"/>
        <v>{10000,9000,8000}</v>
      </c>
      <c r="AC197" s="138">
        <v>1000</v>
      </c>
      <c r="AD197" s="138">
        <v>4000</v>
      </c>
      <c r="AE197" s="138">
        <f>SUM($R$141:$R197)+SUM($X$141:$X197)</f>
        <v>227850</v>
      </c>
      <c r="AF197" s="138">
        <f>SUM($Q$142:Q197)</f>
        <v>5883</v>
      </c>
      <c r="AG197" s="137">
        <f t="shared" si="27"/>
        <v>245499</v>
      </c>
      <c r="AH197" s="139">
        <f>SUM($S$141:S197)</f>
        <v>40.5996642216144</v>
      </c>
      <c r="AI197" s="133">
        <f t="shared" si="28"/>
        <v>1.27272727272727</v>
      </c>
      <c r="AJ197" s="15">
        <f t="shared" si="29"/>
        <v>110100</v>
      </c>
      <c r="AL197" s="15">
        <v>57</v>
      </c>
      <c r="AM197" s="15">
        <f t="shared" si="21"/>
        <v>137960</v>
      </c>
      <c r="AN197" s="15">
        <f>SUMIF([1]装备属性!$M$571:$M$870,"&lt;="&amp;AL197,[1]装备属性!$Q$571:$Q$870)</f>
        <v>320.740740740741</v>
      </c>
      <c r="AO197" s="15">
        <f t="shared" si="22"/>
        <v>430.129330254041</v>
      </c>
    </row>
    <row r="198" ht="18" spans="1:41">
      <c r="A198" s="9" t="s">
        <v>200</v>
      </c>
      <c r="B198" s="9" t="str">
        <f t="shared" si="11"/>
        <v>[{5205001,3},{2,}]</v>
      </c>
      <c r="C198" s="51" t="str">
        <f t="shared" si="12"/>
        <v>[{5203001,245},{2,4080}]</v>
      </c>
      <c r="D198" s="140">
        <v>58</v>
      </c>
      <c r="E198" s="130">
        <f t="shared" si="13"/>
        <v>44</v>
      </c>
      <c r="F198" s="130">
        <v>89</v>
      </c>
      <c r="G198" s="130">
        <v>14</v>
      </c>
      <c r="H198" s="130">
        <f>SUMIFS(基因产出!$F$90:$F$389,基因产出!$D$90:$D$389,"&lt;="&amp;E198,基因产出!$D$90:$D$389,"&gt;"&amp;_xlfn.MAXIFS($E$141:E198,$E$141:E198,"&lt;"&amp;E198))/COUNTIF($E$141:$E$500,E198)</f>
        <v>1050</v>
      </c>
      <c r="I198" s="130">
        <f>IF(COUNTIF($I$141:$I197,$I197)=VLOOKUP($I197,$D$90:$E$120,2,0),$I197+1,$I197)</f>
        <v>8</v>
      </c>
      <c r="J198" s="131">
        <f t="shared" si="14"/>
        <v>48</v>
      </c>
      <c r="K198" s="132" t="str">
        <f t="shared" si="15"/>
        <v/>
      </c>
      <c r="L198" s="132" t="str">
        <f t="shared" si="16"/>
        <v/>
      </c>
      <c r="M198" s="132" t="str">
        <f t="shared" si="17"/>
        <v/>
      </c>
      <c r="N198" s="132">
        <f t="shared" si="23"/>
        <v>0.0075</v>
      </c>
      <c r="O198" s="132" t="str">
        <f t="shared" si="18"/>
        <v/>
      </c>
      <c r="P198" s="141">
        <f>(SUM($Q$142:Q198)-SUM($H$141:H198))/SUM($H$141:H198)</f>
        <v>-0.632472989195678</v>
      </c>
      <c r="Q198" s="142">
        <f t="shared" si="33"/>
        <v>240</v>
      </c>
      <c r="R198" s="142">
        <f t="shared" si="31"/>
        <v>4010</v>
      </c>
      <c r="S198" s="133">
        <f t="shared" si="25"/>
        <v>2.59090909090909</v>
      </c>
      <c r="T198" s="134">
        <f>INT(SUM($W$141:W198)/3)+1</f>
        <v>15</v>
      </c>
      <c r="U198" s="135" t="str">
        <f t="shared" si="19"/>
        <v/>
      </c>
      <c r="V198" s="67" t="s">
        <v>168</v>
      </c>
      <c r="W198" s="137" t="str">
        <f t="shared" si="26"/>
        <v/>
      </c>
      <c r="X198" s="137" t="str">
        <f t="shared" si="20"/>
        <v/>
      </c>
      <c r="Y198" s="138"/>
      <c r="Z198" s="138">
        <v>2</v>
      </c>
      <c r="AA198" s="138">
        <v>3</v>
      </c>
      <c r="AB198" s="138" t="str">
        <f t="shared" si="30"/>
        <v>{10000,9000,8000}</v>
      </c>
      <c r="AC198" s="138">
        <v>1000</v>
      </c>
      <c r="AD198" s="138">
        <v>4000</v>
      </c>
      <c r="AE198" s="138">
        <f>SUM($R$141:$R198)+SUM($X$141:$X198)</f>
        <v>231860</v>
      </c>
      <c r="AF198" s="138">
        <f>SUM($Q$142:Q198)</f>
        <v>6123</v>
      </c>
      <c r="AG198" s="137">
        <f t="shared" si="27"/>
        <v>250229</v>
      </c>
      <c r="AH198" s="139">
        <f>SUM($S$141:S198)</f>
        <v>43.1905733125235</v>
      </c>
      <c r="AI198" s="133">
        <f t="shared" si="28"/>
        <v>1.29545454545455</v>
      </c>
      <c r="AJ198" s="15">
        <f t="shared" si="29"/>
        <v>112200</v>
      </c>
      <c r="AL198" s="15">
        <v>58</v>
      </c>
      <c r="AM198" s="15">
        <f t="shared" si="21"/>
        <v>137960</v>
      </c>
      <c r="AN198" s="15">
        <f>SUMIF([1]装备属性!$M$571:$M$870,"&lt;="&amp;AL198,[1]装备属性!$Q$571:$Q$870)</f>
        <v>320.740740740741</v>
      </c>
      <c r="AO198" s="15">
        <f t="shared" si="22"/>
        <v>430.129330254041</v>
      </c>
    </row>
    <row r="199" ht="18" spans="1:41">
      <c r="A199" s="9" t="s">
        <v>201</v>
      </c>
      <c r="B199" s="9" t="str">
        <f t="shared" si="11"/>
        <v>[{5205001,3},{2,}]</v>
      </c>
      <c r="C199" s="51" t="str">
        <f t="shared" si="12"/>
        <v>[{5203001,250},{2,4150}]</v>
      </c>
      <c r="D199" s="140">
        <v>59</v>
      </c>
      <c r="E199" s="130">
        <f t="shared" si="13"/>
        <v>46</v>
      </c>
      <c r="F199" s="130">
        <v>91</v>
      </c>
      <c r="G199" s="130">
        <v>14</v>
      </c>
      <c r="H199" s="130">
        <f>SUMIFS(基因产出!$F$90:$F$389,基因产出!$D$90:$D$389,"&lt;="&amp;E199,基因产出!$D$90:$D$389,"&gt;"&amp;_xlfn.MAXIFS($E$141:E199,$E$141:E199,"&lt;"&amp;E199))/COUNTIF($E$141:$E$500,E199)</f>
        <v>700</v>
      </c>
      <c r="I199" s="130">
        <f>IF(COUNTIF($I$141:$I198,$I198)=VLOOKUP($I198,$D$90:$E$120,2,0),$I198+1,$I198)</f>
        <v>8</v>
      </c>
      <c r="J199" s="131">
        <f t="shared" si="14"/>
        <v>48</v>
      </c>
      <c r="K199" s="132" t="str">
        <f t="shared" si="15"/>
        <v/>
      </c>
      <c r="L199" s="132" t="str">
        <f t="shared" si="16"/>
        <v/>
      </c>
      <c r="M199" s="132">
        <f t="shared" si="17"/>
        <v>0.002</v>
      </c>
      <c r="N199" s="132" t="str">
        <f t="shared" si="23"/>
        <v/>
      </c>
      <c r="O199" s="132" t="str">
        <f t="shared" si="18"/>
        <v/>
      </c>
      <c r="P199" s="141">
        <f>(SUM($Q$142:Q199)-SUM($H$141:H199))/SUM($H$141:H199)</f>
        <v>-0.633179723502304</v>
      </c>
      <c r="Q199" s="142">
        <f t="shared" si="33"/>
        <v>245</v>
      </c>
      <c r="R199" s="142">
        <f t="shared" si="31"/>
        <v>4080</v>
      </c>
      <c r="S199" s="133">
        <f t="shared" si="25"/>
        <v>2.63636363636364</v>
      </c>
      <c r="T199" s="134">
        <f>INT(SUM($W$141:W199)/3)+1</f>
        <v>15</v>
      </c>
      <c r="U199" s="135" t="str">
        <f t="shared" si="19"/>
        <v/>
      </c>
      <c r="V199" s="67" t="s">
        <v>168</v>
      </c>
      <c r="W199" s="137" t="str">
        <f t="shared" si="26"/>
        <v/>
      </c>
      <c r="X199" s="137" t="str">
        <f t="shared" si="20"/>
        <v/>
      </c>
      <c r="Y199" s="138"/>
      <c r="Z199" s="138">
        <v>2</v>
      </c>
      <c r="AA199" s="138">
        <v>3</v>
      </c>
      <c r="AB199" s="138" t="str">
        <f t="shared" si="30"/>
        <v>{10000,9000,8000}</v>
      </c>
      <c r="AC199" s="138">
        <v>1000</v>
      </c>
      <c r="AD199" s="138">
        <v>4000</v>
      </c>
      <c r="AE199" s="138">
        <f>SUM($R$141:$R199)+SUM($X$141:$X199)</f>
        <v>235940</v>
      </c>
      <c r="AF199" s="138">
        <f>SUM($Q$142:Q199)</f>
        <v>6368</v>
      </c>
      <c r="AG199" s="137">
        <f t="shared" si="27"/>
        <v>255044</v>
      </c>
      <c r="AH199" s="139">
        <f>SUM($S$141:S199)</f>
        <v>45.8269369488871</v>
      </c>
      <c r="AI199" s="133">
        <f t="shared" si="28"/>
        <v>1.31818181818182</v>
      </c>
      <c r="AJ199" s="15">
        <f t="shared" si="29"/>
        <v>114000</v>
      </c>
      <c r="AL199" s="15">
        <v>59</v>
      </c>
      <c r="AM199" s="15">
        <f t="shared" si="21"/>
        <v>137960</v>
      </c>
      <c r="AN199" s="15">
        <f>SUMIF([1]装备属性!$M$571:$M$870,"&lt;="&amp;AL199,[1]装备属性!$Q$571:$Q$870)</f>
        <v>398.703703703704</v>
      </c>
      <c r="AO199" s="15">
        <f t="shared" si="22"/>
        <v>346.021365536461</v>
      </c>
    </row>
    <row r="200" ht="18" spans="1:41">
      <c r="A200" s="9" t="s">
        <v>202</v>
      </c>
      <c r="B200" s="9" t="str">
        <f t="shared" si="11"/>
        <v>[{5205001,3},{2,16600}]</v>
      </c>
      <c r="C200" s="51" t="str">
        <f t="shared" si="12"/>
        <v>[{5203001,255},{2,4220}]</v>
      </c>
      <c r="D200" s="140">
        <v>60</v>
      </c>
      <c r="E200" s="130">
        <f t="shared" si="13"/>
        <v>49</v>
      </c>
      <c r="F200" s="130">
        <v>93</v>
      </c>
      <c r="G200" s="130">
        <v>14</v>
      </c>
      <c r="H200" s="130">
        <f>SUMIFS(基因产出!$F$90:$F$389,基因产出!$D$90:$D$389,"&lt;="&amp;E200,基因产出!$D$90:$D$389,"&gt;"&amp;_xlfn.MAXIFS($E$141:E200,$E$141:E200,"&lt;"&amp;E200))/COUNTIF($E$141:$E$500,E200)</f>
        <v>1050</v>
      </c>
      <c r="I200" s="130">
        <f>IF(COUNTIF($I$141:$I199,$I199)=VLOOKUP($I199,$D$90:$E$120,2,0),$I199+1,$I199)</f>
        <v>8</v>
      </c>
      <c r="J200" s="131">
        <f t="shared" si="14"/>
        <v>48</v>
      </c>
      <c r="K200" s="132" t="str">
        <f t="shared" si="15"/>
        <v/>
      </c>
      <c r="L200" s="132">
        <f t="shared" si="16"/>
        <v>0.03</v>
      </c>
      <c r="M200" s="132" t="str">
        <f t="shared" si="17"/>
        <v/>
      </c>
      <c r="N200" s="132" t="str">
        <f t="shared" si="23"/>
        <v/>
      </c>
      <c r="O200" s="132" t="str">
        <f t="shared" si="18"/>
        <v/>
      </c>
      <c r="P200" s="141">
        <f>(SUM($Q$142:Q200)-SUM($H$141:H200))/SUM($H$141:H200)</f>
        <v>-0.640521455730581</v>
      </c>
      <c r="Q200" s="142">
        <f t="shared" si="33"/>
        <v>250</v>
      </c>
      <c r="R200" s="142">
        <f t="shared" si="31"/>
        <v>4150</v>
      </c>
      <c r="S200" s="133">
        <f t="shared" si="25"/>
        <v>2.68181818181818</v>
      </c>
      <c r="T200" s="134">
        <f>INT(SUM($W$141:W200)/3)+1</f>
        <v>16</v>
      </c>
      <c r="U200" s="135" t="str">
        <f t="shared" si="19"/>
        <v/>
      </c>
      <c r="V200" s="67" t="s">
        <v>85</v>
      </c>
      <c r="W200" s="137">
        <f t="shared" si="26"/>
        <v>3</v>
      </c>
      <c r="X200" s="137">
        <f t="shared" si="20"/>
        <v>16600</v>
      </c>
      <c r="Y200" s="138"/>
      <c r="Z200" s="138">
        <v>2</v>
      </c>
      <c r="AA200" s="138">
        <v>3</v>
      </c>
      <c r="AB200" s="138" t="str">
        <f t="shared" si="30"/>
        <v>{10000,9000,8000}</v>
      </c>
      <c r="AC200" s="138">
        <v>1000</v>
      </c>
      <c r="AD200" s="138">
        <v>4000</v>
      </c>
      <c r="AE200" s="138">
        <f>SUM($R$141:$R200)+SUM($X$141:$X200)</f>
        <v>256690</v>
      </c>
      <c r="AF200" s="138">
        <f>SUM($Q$142:Q200)</f>
        <v>6618</v>
      </c>
      <c r="AG200" s="137">
        <f t="shared" si="27"/>
        <v>276544</v>
      </c>
      <c r="AH200" s="139">
        <f>SUM($S$141:S200)</f>
        <v>48.5087551307053</v>
      </c>
      <c r="AI200" s="133">
        <f t="shared" si="28"/>
        <v>1.34090909090909</v>
      </c>
      <c r="AJ200" s="15">
        <f t="shared" si="29"/>
        <v>116100</v>
      </c>
      <c r="AL200" s="15">
        <v>60</v>
      </c>
      <c r="AM200" s="15">
        <f t="shared" si="21"/>
        <v>142390</v>
      </c>
      <c r="AN200" s="15">
        <f>SUMIF([1]装备属性!$M$571:$M$870,"&lt;="&amp;AL200,[1]装备属性!$Q$571:$Q$870)</f>
        <v>398.703703703704</v>
      </c>
      <c r="AO200" s="15">
        <f t="shared" si="22"/>
        <v>357.13237343242</v>
      </c>
    </row>
    <row r="201" ht="18" spans="1:41">
      <c r="A201" s="9" t="s">
        <v>199</v>
      </c>
      <c r="B201" s="9" t="str">
        <f t="shared" si="11"/>
        <v>[{5205001,3},{2,}]</v>
      </c>
      <c r="C201" s="51" t="str">
        <f t="shared" si="12"/>
        <v>[{5203001,260},{2,4290}]</v>
      </c>
      <c r="D201" s="140">
        <v>61</v>
      </c>
      <c r="E201" s="130">
        <f t="shared" si="13"/>
        <v>52</v>
      </c>
      <c r="F201" s="130">
        <v>95</v>
      </c>
      <c r="G201" s="130">
        <v>14</v>
      </c>
      <c r="H201" s="130">
        <f>SUMIFS(基因产出!$F$90:$F$389,基因产出!$D$90:$D$389,"&lt;="&amp;E201,基因产出!$D$90:$D$389,"&gt;"&amp;_xlfn.MAXIFS($E$141:E201,$E$141:E201,"&lt;"&amp;E201))/COUNTIF($E$141:$E$500,E201)</f>
        <v>1050</v>
      </c>
      <c r="I201" s="130">
        <f>IF(COUNTIF($I$141:$I200,$I200)=VLOOKUP($I200,$D$90:$E$120,2,0),$I200+1,$I200)</f>
        <v>8</v>
      </c>
      <c r="J201" s="131">
        <f t="shared" si="14"/>
        <v>48</v>
      </c>
      <c r="K201" s="132">
        <f t="shared" si="15"/>
        <v>0.05</v>
      </c>
      <c r="L201" s="132" t="str">
        <f t="shared" si="16"/>
        <v/>
      </c>
      <c r="M201" s="132" t="str">
        <f t="shared" si="17"/>
        <v/>
      </c>
      <c r="N201" s="132" t="str">
        <f t="shared" si="23"/>
        <v/>
      </c>
      <c r="O201" s="132" t="str">
        <f t="shared" si="18"/>
        <v/>
      </c>
      <c r="P201" s="141">
        <f>(SUM($Q$142:Q201)-SUM($H$141:H201))/SUM($H$141:H201)</f>
        <v>-0.646813977389517</v>
      </c>
      <c r="Q201" s="142">
        <f t="shared" si="33"/>
        <v>255</v>
      </c>
      <c r="R201" s="142">
        <f t="shared" si="31"/>
        <v>4220</v>
      </c>
      <c r="S201" s="133">
        <f t="shared" si="25"/>
        <v>2.72727272727273</v>
      </c>
      <c r="T201" s="134">
        <f>INT(SUM($W$141:W201)/3)+1</f>
        <v>16</v>
      </c>
      <c r="U201" s="135" t="str">
        <f t="shared" si="19"/>
        <v/>
      </c>
      <c r="V201" s="67" t="s">
        <v>168</v>
      </c>
      <c r="W201" s="137" t="str">
        <f t="shared" si="26"/>
        <v/>
      </c>
      <c r="X201" s="137" t="str">
        <f t="shared" si="20"/>
        <v/>
      </c>
      <c r="Y201" s="138"/>
      <c r="Z201" s="138">
        <v>2</v>
      </c>
      <c r="AA201" s="138">
        <v>3</v>
      </c>
      <c r="AB201" s="138" t="str">
        <f t="shared" si="30"/>
        <v>{10000,9000,8000}</v>
      </c>
      <c r="AC201" s="138">
        <v>1000</v>
      </c>
      <c r="AD201" s="138">
        <v>4000</v>
      </c>
      <c r="AE201" s="138">
        <f>SUM($R$141:$R201)+SUM($X$141:$X201)</f>
        <v>260910</v>
      </c>
      <c r="AF201" s="138">
        <f>SUM($Q$142:Q201)</f>
        <v>6873</v>
      </c>
      <c r="AG201" s="137">
        <f t="shared" si="27"/>
        <v>281529</v>
      </c>
      <c r="AH201" s="139">
        <f>SUM($S$141:S201)</f>
        <v>51.236027857978</v>
      </c>
      <c r="AI201" s="133">
        <f t="shared" si="28"/>
        <v>1.36363636363636</v>
      </c>
      <c r="AJ201" s="15">
        <f t="shared" si="29"/>
        <v>117900</v>
      </c>
      <c r="AL201" s="15">
        <v>61</v>
      </c>
      <c r="AM201" s="15">
        <f t="shared" si="21"/>
        <v>142390</v>
      </c>
      <c r="AN201" s="15">
        <f>SUMIF([1]装备属性!$M$571:$M$870,"&lt;="&amp;AL201,[1]装备属性!$Q$571:$Q$870)</f>
        <v>443.703703703704</v>
      </c>
      <c r="AO201" s="15">
        <f t="shared" si="22"/>
        <v>320.912353923205</v>
      </c>
    </row>
    <row r="202" ht="18" spans="1:41">
      <c r="A202" s="9" t="s">
        <v>200</v>
      </c>
      <c r="B202" s="9" t="str">
        <f t="shared" si="11"/>
        <v>[{5205001,3},{2,}]</v>
      </c>
      <c r="C202" s="51" t="str">
        <f t="shared" si="12"/>
        <v>[{5203001,265},{2,4360}]</v>
      </c>
      <c r="D202" s="140">
        <v>62</v>
      </c>
      <c r="E202" s="130">
        <f t="shared" si="13"/>
        <v>55</v>
      </c>
      <c r="F202" s="130">
        <v>97</v>
      </c>
      <c r="G202" s="130">
        <v>14</v>
      </c>
      <c r="H202" s="130">
        <f>SUMIFS(基因产出!$F$90:$F$389,基因产出!$D$90:$D$389,"&lt;="&amp;E202,基因产出!$D$90:$D$389,"&gt;"&amp;_xlfn.MAXIFS($E$141:E202,$E$141:E202,"&lt;"&amp;E202))/COUNTIF($E$141:$E$500,E202)</f>
        <v>1050</v>
      </c>
      <c r="I202" s="130">
        <f>IF(COUNTIF($I$141:$I201,$I201)=VLOOKUP($I201,$D$90:$E$120,2,0),$I201+1,$I201)</f>
        <v>8</v>
      </c>
      <c r="J202" s="131">
        <f t="shared" si="14"/>
        <v>48</v>
      </c>
      <c r="K202" s="132" t="str">
        <f t="shared" si="15"/>
        <v/>
      </c>
      <c r="L202" s="132" t="str">
        <f t="shared" si="16"/>
        <v/>
      </c>
      <c r="M202" s="132" t="str">
        <f t="shared" si="17"/>
        <v/>
      </c>
      <c r="N202" s="132">
        <f t="shared" si="23"/>
        <v>0.0075</v>
      </c>
      <c r="O202" s="132" t="str">
        <f t="shared" si="18"/>
        <v/>
      </c>
      <c r="P202" s="141">
        <f>(SUM($Q$142:Q202)-SUM($H$141:H202))/SUM($H$141:H202)</f>
        <v>-0.65221843003413</v>
      </c>
      <c r="Q202" s="142">
        <f t="shared" si="33"/>
        <v>260</v>
      </c>
      <c r="R202" s="142">
        <f t="shared" si="31"/>
        <v>4290</v>
      </c>
      <c r="S202" s="133">
        <f t="shared" si="25"/>
        <v>2.77272727272727</v>
      </c>
      <c r="T202" s="134">
        <f>INT(SUM($W$141:W202)/3)+1</f>
        <v>16</v>
      </c>
      <c r="U202" s="135" t="str">
        <f t="shared" si="19"/>
        <v/>
      </c>
      <c r="V202" s="67" t="s">
        <v>168</v>
      </c>
      <c r="W202" s="137" t="str">
        <f t="shared" si="26"/>
        <v/>
      </c>
      <c r="X202" s="137" t="str">
        <f t="shared" si="20"/>
        <v/>
      </c>
      <c r="Y202" s="138"/>
      <c r="Z202" s="138">
        <v>2</v>
      </c>
      <c r="AA202" s="138">
        <v>3</v>
      </c>
      <c r="AB202" s="138" t="str">
        <f t="shared" si="30"/>
        <v>{10000,9000,8000}</v>
      </c>
      <c r="AC202" s="138">
        <v>1000</v>
      </c>
      <c r="AD202" s="138">
        <v>4000</v>
      </c>
      <c r="AE202" s="138">
        <f>SUM($R$141:$R202)+SUM($X$141:$X202)</f>
        <v>265200</v>
      </c>
      <c r="AF202" s="138">
        <f>SUM($Q$142:Q202)</f>
        <v>7133</v>
      </c>
      <c r="AG202" s="137">
        <f t="shared" si="27"/>
        <v>286599</v>
      </c>
      <c r="AH202" s="139">
        <f>SUM($S$141:S202)</f>
        <v>54.0087551307053</v>
      </c>
      <c r="AI202" s="133">
        <f t="shared" si="28"/>
        <v>1.38636363636364</v>
      </c>
      <c r="AJ202" s="15">
        <f t="shared" si="29"/>
        <v>120000</v>
      </c>
      <c r="AL202" s="15">
        <v>62</v>
      </c>
      <c r="AM202" s="15">
        <f t="shared" si="21"/>
        <v>142390</v>
      </c>
      <c r="AN202" s="15">
        <f>SUMIF([1]装备属性!$M$571:$M$870,"&lt;="&amp;AL202,[1]装备属性!$Q$571:$Q$870)</f>
        <v>443.703703703704</v>
      </c>
      <c r="AO202" s="15">
        <f t="shared" si="22"/>
        <v>320.912353923205</v>
      </c>
    </row>
    <row r="203" ht="18" spans="1:41">
      <c r="A203" s="9" t="s">
        <v>201</v>
      </c>
      <c r="B203" s="9" t="str">
        <f t="shared" si="11"/>
        <v>[{5205001,3},{2,}]</v>
      </c>
      <c r="C203" s="51" t="str">
        <f t="shared" si="12"/>
        <v>[{5203001,270},{2,4430}]</v>
      </c>
      <c r="D203" s="140">
        <v>63</v>
      </c>
      <c r="E203" s="130">
        <f t="shared" si="13"/>
        <v>57</v>
      </c>
      <c r="F203" s="130">
        <v>99</v>
      </c>
      <c r="G203" s="130">
        <v>14</v>
      </c>
      <c r="H203" s="130">
        <f>SUMIFS(基因产出!$F$90:$F$389,基因产出!$D$90:$D$389,"&lt;="&amp;E203,基因产出!$D$90:$D$389,"&gt;"&amp;_xlfn.MAXIFS($E$141:E203,$E$141:E203,"&lt;"&amp;E203))/COUNTIF($E$141:$E$500,E203)</f>
        <v>700</v>
      </c>
      <c r="I203" s="130">
        <f>IF(COUNTIF($I$141:$I202,$I202)=VLOOKUP($I202,$D$90:$E$120,2,0),$I202+1,$I202)</f>
        <v>8</v>
      </c>
      <c r="J203" s="131">
        <f t="shared" si="14"/>
        <v>48</v>
      </c>
      <c r="K203" s="132" t="str">
        <f t="shared" si="15"/>
        <v/>
      </c>
      <c r="L203" s="132" t="str">
        <f t="shared" si="16"/>
        <v/>
      </c>
      <c r="M203" s="132">
        <f t="shared" si="17"/>
        <v>0.002</v>
      </c>
      <c r="N203" s="132" t="str">
        <f t="shared" si="23"/>
        <v/>
      </c>
      <c r="O203" s="132" t="str">
        <f t="shared" si="18"/>
        <v/>
      </c>
      <c r="P203" s="141">
        <f>(SUM($Q$142:Q203)-SUM($H$141:H203))/SUM($H$141:H203)</f>
        <v>-0.651202263083451</v>
      </c>
      <c r="Q203" s="142">
        <f t="shared" si="33"/>
        <v>265</v>
      </c>
      <c r="R203" s="142">
        <f t="shared" si="31"/>
        <v>4360</v>
      </c>
      <c r="S203" s="133">
        <f t="shared" si="25"/>
        <v>2.81818181818182</v>
      </c>
      <c r="T203" s="134">
        <f>INT(SUM($W$141:W203)/3)+1</f>
        <v>16</v>
      </c>
      <c r="U203" s="135" t="str">
        <f t="shared" si="19"/>
        <v/>
      </c>
      <c r="V203" s="67" t="s">
        <v>168</v>
      </c>
      <c r="W203" s="137" t="str">
        <f t="shared" si="26"/>
        <v/>
      </c>
      <c r="X203" s="137" t="str">
        <f t="shared" si="20"/>
        <v/>
      </c>
      <c r="Y203" s="138"/>
      <c r="Z203" s="138">
        <v>2</v>
      </c>
      <c r="AA203" s="138">
        <v>3</v>
      </c>
      <c r="AB203" s="138" t="str">
        <f t="shared" si="30"/>
        <v>{10000,9000,8000}</v>
      </c>
      <c r="AC203" s="138">
        <v>1000</v>
      </c>
      <c r="AD203" s="138">
        <v>4000</v>
      </c>
      <c r="AE203" s="138">
        <f>SUM($R$141:$R203)+SUM($X$141:$X203)</f>
        <v>269560</v>
      </c>
      <c r="AF203" s="138">
        <f>SUM($Q$142:Q203)</f>
        <v>7398</v>
      </c>
      <c r="AG203" s="137">
        <f t="shared" si="27"/>
        <v>291754</v>
      </c>
      <c r="AH203" s="139">
        <f>SUM($S$141:S203)</f>
        <v>56.8269369488871</v>
      </c>
      <c r="AI203" s="133">
        <f t="shared" si="28"/>
        <v>1.40909090909091</v>
      </c>
      <c r="AJ203" s="15">
        <f t="shared" si="29"/>
        <v>121800</v>
      </c>
      <c r="AL203" s="15">
        <v>63</v>
      </c>
      <c r="AM203" s="15">
        <f t="shared" si="21"/>
        <v>142390</v>
      </c>
      <c r="AN203" s="15">
        <f>SUMIF([1]装备属性!$M$571:$M$870,"&lt;="&amp;AL203,[1]装备属性!$Q$571:$Q$870)</f>
        <v>488.703703703704</v>
      </c>
      <c r="AO203" s="15">
        <f t="shared" si="22"/>
        <v>291.362637362637</v>
      </c>
    </row>
    <row r="204" ht="18" spans="1:41">
      <c r="A204" s="9" t="s">
        <v>202</v>
      </c>
      <c r="B204" s="9" t="str">
        <f t="shared" si="11"/>
        <v>[{5205001,3},{2,17720}]</v>
      </c>
      <c r="C204" s="51" t="str">
        <f t="shared" si="12"/>
        <v>[{5203001,275},{2,4500}]</v>
      </c>
      <c r="D204" s="140">
        <v>64</v>
      </c>
      <c r="E204" s="130">
        <f t="shared" si="13"/>
        <v>60</v>
      </c>
      <c r="F204" s="130">
        <v>101</v>
      </c>
      <c r="G204" s="130">
        <v>14</v>
      </c>
      <c r="H204" s="130">
        <f>SUMIFS(基因产出!$F$90:$F$389,基因产出!$D$90:$D$389,"&lt;="&amp;E204,基因产出!$D$90:$D$389,"&gt;"&amp;_xlfn.MAXIFS($E$141:E204,$E$141:E204,"&lt;"&amp;E204))/COUNTIF($E$141:$E$500,E204)</f>
        <v>1050</v>
      </c>
      <c r="I204" s="130">
        <f>IF(COUNTIF($I$141:$I203,$I203)=VLOOKUP($I203,$D$90:$E$120,2,0),$I203+1,$I203)</f>
        <v>8</v>
      </c>
      <c r="J204" s="131">
        <f t="shared" si="14"/>
        <v>48</v>
      </c>
      <c r="K204" s="132" t="str">
        <f t="shared" si="15"/>
        <v/>
      </c>
      <c r="L204" s="132">
        <f t="shared" si="16"/>
        <v>0.03</v>
      </c>
      <c r="M204" s="132" t="str">
        <f t="shared" si="17"/>
        <v/>
      </c>
      <c r="N204" s="132" t="str">
        <f t="shared" si="23"/>
        <v/>
      </c>
      <c r="O204" s="132" t="str">
        <f t="shared" si="18"/>
        <v/>
      </c>
      <c r="P204" s="141">
        <f>(SUM($Q$142:Q204)-SUM($H$141:H204))/SUM($H$141:H204)</f>
        <v>-0.655525606469003</v>
      </c>
      <c r="Q204" s="142">
        <f t="shared" si="33"/>
        <v>270</v>
      </c>
      <c r="R204" s="142">
        <f t="shared" si="31"/>
        <v>4430</v>
      </c>
      <c r="S204" s="133">
        <f t="shared" si="25"/>
        <v>2.86363636363636</v>
      </c>
      <c r="T204" s="134">
        <f>INT(SUM($W$141:W204)/3)+1</f>
        <v>17</v>
      </c>
      <c r="U204" s="135" t="str">
        <f t="shared" si="19"/>
        <v/>
      </c>
      <c r="V204" s="143" t="s">
        <v>203</v>
      </c>
      <c r="W204" s="137">
        <f t="shared" si="26"/>
        <v>3</v>
      </c>
      <c r="X204" s="137">
        <f t="shared" si="20"/>
        <v>17720</v>
      </c>
      <c r="Y204" s="138"/>
      <c r="Z204" s="138">
        <v>2</v>
      </c>
      <c r="AA204" s="138">
        <v>3</v>
      </c>
      <c r="AB204" s="138" t="str">
        <f t="shared" si="30"/>
        <v>{10000,9000,8000}</v>
      </c>
      <c r="AC204" s="138">
        <v>1000</v>
      </c>
      <c r="AD204" s="138">
        <v>4000</v>
      </c>
      <c r="AE204" s="138">
        <f>SUM($R$141:$R204)+SUM($X$141:$X204)</f>
        <v>291710</v>
      </c>
      <c r="AF204" s="138">
        <f>SUM($Q$142:Q204)</f>
        <v>7668</v>
      </c>
      <c r="AG204" s="137">
        <f t="shared" si="27"/>
        <v>314714</v>
      </c>
      <c r="AH204" s="139">
        <f>SUM($S$141:S204)</f>
        <v>59.6905733125235</v>
      </c>
      <c r="AI204" s="133">
        <f t="shared" si="28"/>
        <v>1.43181818181818</v>
      </c>
      <c r="AJ204" s="15">
        <f t="shared" si="29"/>
        <v>123900</v>
      </c>
      <c r="AL204" s="15">
        <v>64</v>
      </c>
      <c r="AM204" s="15">
        <f t="shared" si="21"/>
        <v>146890</v>
      </c>
      <c r="AN204" s="15">
        <f>SUMIF([1]装备属性!$M$571:$M$870,"&lt;="&amp;AL204,[1]装备属性!$Q$571:$Q$870)</f>
        <v>488.703703703704</v>
      </c>
      <c r="AO204" s="15">
        <f t="shared" si="22"/>
        <v>300.570670708602</v>
      </c>
    </row>
    <row r="205" ht="18" spans="1:41">
      <c r="A205" s="9" t="s">
        <v>204</v>
      </c>
      <c r="B205" s="9" t="str">
        <f t="shared" si="11"/>
        <v>[{5205001,3},{2,}]</v>
      </c>
      <c r="C205" s="51" t="str">
        <f t="shared" si="12"/>
        <v>[{5203001,280},{2,4570}]</v>
      </c>
      <c r="D205" s="140">
        <v>65</v>
      </c>
      <c r="E205" s="130">
        <f t="shared" si="13"/>
        <v>64</v>
      </c>
      <c r="F205" s="130">
        <v>104</v>
      </c>
      <c r="G205" s="130">
        <v>28</v>
      </c>
      <c r="H205" s="130">
        <f>SUMIFS(基因产出!$F$90:$F$389,基因产出!$D$90:$D$389,"&lt;="&amp;E205,基因产出!$D$90:$D$389,"&gt;"&amp;_xlfn.MAXIFS($E$141:E205,$E$141:E205,"&lt;"&amp;E205))/COUNTIF($E$141:$E$500,E205)</f>
        <v>1340</v>
      </c>
      <c r="I205" s="130">
        <f>IF(COUNTIF($I$141:$I204,$I204)=VLOOKUP($I204,$D$90:$E$120,2,0),$I204+1,$I204)</f>
        <v>9</v>
      </c>
      <c r="J205" s="131">
        <f t="shared" si="14"/>
        <v>54</v>
      </c>
      <c r="K205" s="132">
        <f t="shared" si="15"/>
        <v>0.05</v>
      </c>
      <c r="L205" s="132" t="str">
        <f t="shared" si="16"/>
        <v/>
      </c>
      <c r="M205" s="132" t="str">
        <f t="shared" si="17"/>
        <v/>
      </c>
      <c r="N205" s="132" t="str">
        <f t="shared" si="23"/>
        <v/>
      </c>
      <c r="O205" s="132" t="str">
        <f t="shared" si="18"/>
        <v/>
      </c>
      <c r="P205" s="141">
        <f>(SUM($Q$142:Q205)-SUM($H$141:H205))/SUM($H$141:H205)</f>
        <v>-0.663432203389831</v>
      </c>
      <c r="Q205" s="142">
        <f t="shared" si="33"/>
        <v>275</v>
      </c>
      <c r="R205" s="142">
        <f t="shared" si="31"/>
        <v>4500</v>
      </c>
      <c r="S205" s="133">
        <f t="shared" si="25"/>
        <v>3.5036496350365</v>
      </c>
      <c r="T205" s="134">
        <f>INT(SUM($W$141:W205)/3)+1</f>
        <v>17</v>
      </c>
      <c r="U205" s="135" t="str">
        <f t="shared" si="19"/>
        <v/>
      </c>
      <c r="V205" s="67" t="s">
        <v>168</v>
      </c>
      <c r="W205" s="137" t="str">
        <f t="shared" si="26"/>
        <v/>
      </c>
      <c r="X205" s="137" t="str">
        <f t="shared" si="20"/>
        <v/>
      </c>
      <c r="Y205" s="138"/>
      <c r="Z205" s="138">
        <v>2</v>
      </c>
      <c r="AA205" s="138">
        <v>3</v>
      </c>
      <c r="AB205" s="138" t="str">
        <f t="shared" si="30"/>
        <v>{10000,9000,8000}</v>
      </c>
      <c r="AC205" s="138">
        <v>1000</v>
      </c>
      <c r="AD205" s="138">
        <v>4000</v>
      </c>
      <c r="AE205" s="138">
        <f>SUM($R$141:$R205)+SUM($X$141:$X205)</f>
        <v>296210</v>
      </c>
      <c r="AF205" s="138">
        <f>SUM($Q$142:Q205)</f>
        <v>7943</v>
      </c>
      <c r="AG205" s="137">
        <f t="shared" si="27"/>
        <v>320039</v>
      </c>
      <c r="AH205" s="139">
        <f>SUM($S$141:S205)</f>
        <v>63.19422294756</v>
      </c>
      <c r="AI205" s="133">
        <f t="shared" si="28"/>
        <v>1.75182481751825</v>
      </c>
      <c r="AJ205" s="15">
        <f t="shared" si="29"/>
        <v>151500</v>
      </c>
      <c r="AL205" s="15">
        <v>65</v>
      </c>
      <c r="AM205" s="15">
        <f t="shared" si="21"/>
        <v>146890</v>
      </c>
      <c r="AN205" s="15">
        <f>SUMIF([1]装备属性!$M$571:$M$870,"&lt;="&amp;AL205,[1]装备属性!$Q$571:$Q$870)</f>
        <v>551.203703703704</v>
      </c>
      <c r="AO205" s="15">
        <f t="shared" si="22"/>
        <v>266.489501091886</v>
      </c>
    </row>
    <row r="206" ht="18" spans="1:41">
      <c r="A206" s="9" t="s">
        <v>205</v>
      </c>
      <c r="B206" s="9" t="str">
        <f t="shared" ref="B206:B269" si="34">"[{5205001,3},{2,"&amp;X206&amp;"}]"</f>
        <v>[{5205001,3},{2,}]</v>
      </c>
      <c r="C206" s="51" t="str">
        <f t="shared" ref="C206:C269" si="35">"[{5203001,"&amp;Q207&amp;"},{2,"&amp;R207&amp;"}]"</f>
        <v>[{5203001,285},{2,4640}]</v>
      </c>
      <c r="D206" s="140">
        <v>66</v>
      </c>
      <c r="E206" s="130">
        <f t="shared" ref="E206:E269" si="36">INT(AH206)+1</f>
        <v>67</v>
      </c>
      <c r="F206" s="130">
        <v>105</v>
      </c>
      <c r="G206" s="130">
        <v>28</v>
      </c>
      <c r="H206" s="130">
        <f>SUMIFS(基因产出!$F$90:$F$389,基因产出!$D$90:$D$389,"&lt;="&amp;E206,基因产出!$D$90:$D$389,"&gt;"&amp;_xlfn.MAXIFS($E$141:E206,$E$141:E206,"&lt;"&amp;E206))/COUNTIF($E$141:$E$500,E206)</f>
        <v>1020</v>
      </c>
      <c r="I206" s="130">
        <f>IF(COUNTIF($I$141:$I205,$I205)=VLOOKUP($I205,$D$90:$E$120,2,0),$I205+1,$I205)</f>
        <v>9</v>
      </c>
      <c r="J206" s="131">
        <f t="shared" ref="J206:J269" si="37">--SUBSTITUTE(LEFT(A206,FIND("\",A206)-1),"队长攻击力+","")</f>
        <v>54</v>
      </c>
      <c r="K206" s="132" t="str">
        <f t="shared" ref="K206:K269" si="38">IFERROR(IF(FIND(K$140,$A206)&gt;0,5%,0%),"")</f>
        <v/>
      </c>
      <c r="L206" s="132" t="str">
        <f t="shared" ref="L206:L269" si="39">IFERROR(IF(FIND(L$140,$A206)&gt;0,3%,0%),"")</f>
        <v/>
      </c>
      <c r="M206" s="132" t="str">
        <f t="shared" ref="M206:M269" si="40">IFERROR(IF(FIND(M$140,$A206)&gt;0,0.2%,0%),"")</f>
        <v/>
      </c>
      <c r="N206" s="132">
        <f t="shared" si="23"/>
        <v>0.0075</v>
      </c>
      <c r="O206" s="132">
        <f t="shared" ref="O206:O269" si="41">IFERROR(IF(FIND(O$140,$A206)&gt;0,5%,0%),"")</f>
        <v>0.05</v>
      </c>
      <c r="P206" s="141">
        <f>(SUM($Q$142:Q206)-SUM($H$141:H206))/SUM($H$141:H206)</f>
        <v>-0.666003249390739</v>
      </c>
      <c r="Q206" s="142">
        <f t="shared" si="33"/>
        <v>280</v>
      </c>
      <c r="R206" s="142">
        <f t="shared" si="31"/>
        <v>4570</v>
      </c>
      <c r="S206" s="133">
        <f t="shared" si="25"/>
        <v>3.55839416058394</v>
      </c>
      <c r="T206" s="134">
        <f>INT(SUM($W$141:W206)/3)+1</f>
        <v>17</v>
      </c>
      <c r="U206" s="135" t="str">
        <f t="shared" ref="U206:U269" si="42">IFERROR(IF(FIND("攻击",V206)&gt;0,SUBSTITUTE(V206,"攻击+",""),""),"")</f>
        <v/>
      </c>
      <c r="V206" s="67" t="s">
        <v>168</v>
      </c>
      <c r="W206" s="137" t="str">
        <f t="shared" si="26"/>
        <v/>
      </c>
      <c r="X206" s="137" t="str">
        <f t="shared" ref="X206:X269" si="43">IFERROR(IF(W206="","",R206*4),"")</f>
        <v/>
      </c>
      <c r="Y206" s="138"/>
      <c r="Z206" s="138">
        <v>2</v>
      </c>
      <c r="AA206" s="138">
        <v>3</v>
      </c>
      <c r="AB206" s="138" t="str">
        <f t="shared" si="30"/>
        <v>{10000,9000,8000}</v>
      </c>
      <c r="AC206" s="138">
        <v>1000</v>
      </c>
      <c r="AD206" s="138">
        <v>4000</v>
      </c>
      <c r="AE206" s="138">
        <f>SUM($R$141:$R206)+SUM($X$141:$X206)</f>
        <v>300780</v>
      </c>
      <c r="AF206" s="138">
        <f>SUM($Q$142:Q206)</f>
        <v>8223</v>
      </c>
      <c r="AG206" s="137">
        <f t="shared" si="27"/>
        <v>325449</v>
      </c>
      <c r="AH206" s="139">
        <f>SUM($S$141:S206)</f>
        <v>66.7526171081439</v>
      </c>
      <c r="AI206" s="133">
        <f t="shared" si="28"/>
        <v>1.77919708029197</v>
      </c>
      <c r="AJ206" s="15">
        <f t="shared" si="29"/>
        <v>153900</v>
      </c>
      <c r="AL206" s="15">
        <v>66</v>
      </c>
      <c r="AM206" s="15">
        <f t="shared" ref="AM206:AM269" si="44">SUMIF($E$141:$E$500,"&lt;="&amp;AL206,$R$141:$R$500)</f>
        <v>146890</v>
      </c>
      <c r="AN206" s="15">
        <f>SUMIF([1]装备属性!$M$571:$M$870,"&lt;="&amp;AL206,[1]装备属性!$Q$571:$Q$870)</f>
        <v>658.703703703704</v>
      </c>
      <c r="AO206" s="15">
        <f t="shared" ref="AO206:AO269" si="45">AM206/AN206</f>
        <v>222.998594321057</v>
      </c>
    </row>
    <row r="207" ht="18" spans="1:41">
      <c r="A207" s="9" t="s">
        <v>206</v>
      </c>
      <c r="B207" s="9" t="str">
        <f t="shared" si="34"/>
        <v>[{5205001,3},{2,}]</v>
      </c>
      <c r="C207" s="51" t="str">
        <f t="shared" si="35"/>
        <v>[{5203001,290},{2,4710}]</v>
      </c>
      <c r="D207" s="140">
        <v>67</v>
      </c>
      <c r="E207" s="130">
        <f t="shared" si="36"/>
        <v>71</v>
      </c>
      <c r="F207" s="130">
        <v>107</v>
      </c>
      <c r="G207" s="130">
        <v>28</v>
      </c>
      <c r="H207" s="130">
        <f>SUMIFS(基因产出!$F$90:$F$389,基因产出!$D$90:$D$389,"&lt;="&amp;E207,基因产出!$D$90:$D$389,"&gt;"&amp;_xlfn.MAXIFS($E$141:E207,$E$141:E207,"&lt;"&amp;E207))/COUNTIF($E$141:$E$500,E207)</f>
        <v>1340</v>
      </c>
      <c r="I207" s="130">
        <f>IF(COUNTIF($I$141:$I206,$I206)=VLOOKUP($I206,$D$90:$E$120,2,0),$I206+1,$I206)</f>
        <v>9</v>
      </c>
      <c r="J207" s="131">
        <f t="shared" si="37"/>
        <v>54</v>
      </c>
      <c r="K207" s="132" t="str">
        <f t="shared" si="38"/>
        <v/>
      </c>
      <c r="L207" s="132" t="str">
        <f t="shared" si="39"/>
        <v/>
      </c>
      <c r="M207" s="132">
        <f t="shared" si="40"/>
        <v>0.002</v>
      </c>
      <c r="N207" s="132" t="str">
        <f t="shared" ref="N207:N270" si="46">IFERROR(IF(FIND(N$140,$A207)&gt;0,$N$137,0%),IF(O207="","",$N$137))</f>
        <v/>
      </c>
      <c r="O207" s="132" t="str">
        <f t="shared" si="41"/>
        <v/>
      </c>
      <c r="P207" s="141">
        <f>(SUM($Q$142:Q207)-SUM($H$141:H207))/SUM($H$141:H207)</f>
        <v>-0.672265023112481</v>
      </c>
      <c r="Q207" s="142">
        <f t="shared" si="33"/>
        <v>285</v>
      </c>
      <c r="R207" s="142">
        <f t="shared" si="31"/>
        <v>4640</v>
      </c>
      <c r="S207" s="133">
        <f t="shared" ref="S207:S270" si="47">MAX(VLOOKUP(I207,$D$91:$J$120,6,0)*($D206)/(SUMIF($I$141:$I$500,$I207,$D$141:$D$500))*$E$83/24,IF(ISNUMBER(S206),S206+0.0007,0))</f>
        <v>3.61313868613139</v>
      </c>
      <c r="T207" s="134">
        <f>INT(SUM($W$141:W207)/3)+1</f>
        <v>17</v>
      </c>
      <c r="U207" s="135" t="str">
        <f t="shared" si="42"/>
        <v/>
      </c>
      <c r="V207" s="67" t="s">
        <v>168</v>
      </c>
      <c r="W207" s="137" t="str">
        <f t="shared" ref="W207:W270" si="48">IF(U207&amp;V207="","",3)</f>
        <v/>
      </c>
      <c r="X207" s="137" t="str">
        <f t="shared" si="43"/>
        <v/>
      </c>
      <c r="Y207" s="138"/>
      <c r="Z207" s="138">
        <v>2</v>
      </c>
      <c r="AA207" s="138">
        <v>3</v>
      </c>
      <c r="AB207" s="138" t="str">
        <f t="shared" si="30"/>
        <v>{10000,9000,8000}</v>
      </c>
      <c r="AC207" s="138">
        <v>1000</v>
      </c>
      <c r="AD207" s="138">
        <v>4000</v>
      </c>
      <c r="AE207" s="138">
        <f>SUM($R$141:$R207)+SUM($X$141:$X207)</f>
        <v>305420</v>
      </c>
      <c r="AF207" s="138">
        <f>SUM($Q$142:Q207)</f>
        <v>8508</v>
      </c>
      <c r="AG207" s="137">
        <f t="shared" ref="AG207:AG270" si="49">AF207*3+AE207</f>
        <v>330944</v>
      </c>
      <c r="AH207" s="139">
        <f>SUM($S$141:S207)</f>
        <v>70.3657557942753</v>
      </c>
      <c r="AI207" s="133">
        <f t="shared" ref="AI207:AI270" si="50">S207/2</f>
        <v>1.80656934306569</v>
      </c>
      <c r="AJ207" s="15">
        <f t="shared" ref="AJ207:AJ270" si="51">CEILING(AI207*3600*24,300)</f>
        <v>156300</v>
      </c>
      <c r="AL207" s="15">
        <v>67</v>
      </c>
      <c r="AM207" s="15">
        <f t="shared" si="44"/>
        <v>151460</v>
      </c>
      <c r="AN207" s="15">
        <f>SUMIF([1]装备属性!$M$571:$M$870,"&lt;="&amp;AL207,[1]装备属性!$Q$571:$Q$870)</f>
        <v>658.703703703704</v>
      </c>
      <c r="AO207" s="15">
        <f t="shared" si="45"/>
        <v>229.936463311779</v>
      </c>
    </row>
    <row r="208" ht="18" spans="1:41">
      <c r="A208" s="9" t="s">
        <v>207</v>
      </c>
      <c r="B208" s="9" t="str">
        <f t="shared" si="34"/>
        <v>[{5205001,3},{2,18840}]</v>
      </c>
      <c r="C208" s="51" t="str">
        <f t="shared" si="35"/>
        <v>[{5203001,295},{2,4780}]</v>
      </c>
      <c r="D208" s="140">
        <v>68</v>
      </c>
      <c r="E208" s="130">
        <f t="shared" si="36"/>
        <v>75</v>
      </c>
      <c r="F208" s="130">
        <v>109</v>
      </c>
      <c r="G208" s="130">
        <v>28</v>
      </c>
      <c r="H208" s="130">
        <f>SUMIFS(基因产出!$F$90:$F$389,基因产出!$D$90:$D$389,"&lt;="&amp;E208,基因产出!$D$90:$D$389,"&gt;"&amp;_xlfn.MAXIFS($E$141:E208,$E$141:E208,"&lt;"&amp;E208))/COUNTIF($E$141:$E$500,E208)</f>
        <v>1340</v>
      </c>
      <c r="I208" s="130">
        <f>IF(COUNTIF($I$141:$I207,$I207)=VLOOKUP($I207,$D$90:$E$120,2,0),$I207+1,$I207)</f>
        <v>9</v>
      </c>
      <c r="J208" s="131">
        <f t="shared" si="37"/>
        <v>54</v>
      </c>
      <c r="K208" s="132" t="str">
        <f t="shared" si="38"/>
        <v/>
      </c>
      <c r="L208" s="132">
        <f t="shared" si="39"/>
        <v>0.03</v>
      </c>
      <c r="M208" s="132" t="str">
        <f t="shared" si="40"/>
        <v/>
      </c>
      <c r="N208" s="132" t="str">
        <f t="shared" si="46"/>
        <v/>
      </c>
      <c r="O208" s="132" t="str">
        <f t="shared" si="41"/>
        <v/>
      </c>
      <c r="P208" s="141">
        <f>(SUM($Q$142:Q208)-SUM($H$141:H208))/SUM($H$141:H208)</f>
        <v>-0.677728937728938</v>
      </c>
      <c r="Q208" s="142">
        <f t="shared" si="33"/>
        <v>290</v>
      </c>
      <c r="R208" s="142">
        <f t="shared" si="31"/>
        <v>4710</v>
      </c>
      <c r="S208" s="133">
        <f t="shared" si="47"/>
        <v>3.66788321167883</v>
      </c>
      <c r="T208" s="134">
        <f>INT(SUM($W$141:W208)/3)+1</f>
        <v>18</v>
      </c>
      <c r="U208" s="135" t="str">
        <f t="shared" si="42"/>
        <v/>
      </c>
      <c r="V208" s="67" t="s">
        <v>87</v>
      </c>
      <c r="W208" s="137">
        <f t="shared" si="48"/>
        <v>3</v>
      </c>
      <c r="X208" s="137">
        <f t="shared" si="43"/>
        <v>18840</v>
      </c>
      <c r="Y208" s="138"/>
      <c r="Z208" s="138">
        <v>2</v>
      </c>
      <c r="AA208" s="138">
        <v>3</v>
      </c>
      <c r="AB208" s="138" t="str">
        <f t="shared" si="30"/>
        <v>{10000,9000,8000}</v>
      </c>
      <c r="AC208" s="138">
        <v>1000</v>
      </c>
      <c r="AD208" s="138">
        <v>4000</v>
      </c>
      <c r="AE208" s="138">
        <f>SUM($R$141:$R208)+SUM($X$141:$X208)</f>
        <v>328970</v>
      </c>
      <c r="AF208" s="138">
        <f>SUM($Q$142:Q208)</f>
        <v>8798</v>
      </c>
      <c r="AG208" s="137">
        <f t="shared" si="49"/>
        <v>355364</v>
      </c>
      <c r="AH208" s="139">
        <f>SUM($S$141:S208)</f>
        <v>74.0336390059541</v>
      </c>
      <c r="AI208" s="133">
        <f t="shared" si="50"/>
        <v>1.83394160583942</v>
      </c>
      <c r="AJ208" s="15">
        <f t="shared" si="51"/>
        <v>158700</v>
      </c>
      <c r="AL208" s="15">
        <v>68</v>
      </c>
      <c r="AM208" s="15">
        <f t="shared" si="44"/>
        <v>151460</v>
      </c>
      <c r="AN208" s="15">
        <f>SUMIF([1]装备属性!$M$571:$M$870,"&lt;="&amp;AL208,[1]装备属性!$Q$571:$Q$870)</f>
        <v>658.703703703704</v>
      </c>
      <c r="AO208" s="15">
        <f t="shared" si="45"/>
        <v>229.936463311779</v>
      </c>
    </row>
    <row r="209" ht="18" spans="1:41">
      <c r="A209" s="9" t="s">
        <v>204</v>
      </c>
      <c r="B209" s="9" t="str">
        <f t="shared" si="34"/>
        <v>[{5205001,3},{2,}]</v>
      </c>
      <c r="C209" s="51" t="str">
        <f t="shared" si="35"/>
        <v>[{5203001,300},{2,4850}]</v>
      </c>
      <c r="D209" s="140">
        <v>69</v>
      </c>
      <c r="E209" s="130">
        <f t="shared" si="36"/>
        <v>78</v>
      </c>
      <c r="F209" s="130">
        <v>110</v>
      </c>
      <c r="G209" s="130">
        <v>28</v>
      </c>
      <c r="H209" s="130">
        <f>SUMIFS(基因产出!$F$90:$F$389,基因产出!$D$90:$D$389,"&lt;="&amp;E209,基因产出!$D$90:$D$389,"&gt;"&amp;_xlfn.MAXIFS($E$141:E209,$E$141:E209,"&lt;"&amp;E209))/COUNTIF($E$141:$E$500,E209)</f>
        <v>990</v>
      </c>
      <c r="I209" s="130">
        <f>IF(COUNTIF($I$141:$I208,$I208)=VLOOKUP($I208,$D$90:$E$120,2,0),$I208+1,$I208)</f>
        <v>9</v>
      </c>
      <c r="J209" s="131">
        <f t="shared" si="37"/>
        <v>54</v>
      </c>
      <c r="K209" s="132">
        <f t="shared" si="38"/>
        <v>0.05</v>
      </c>
      <c r="L209" s="132" t="str">
        <f t="shared" si="39"/>
        <v/>
      </c>
      <c r="M209" s="132" t="str">
        <f t="shared" si="40"/>
        <v/>
      </c>
      <c r="N209" s="132" t="str">
        <f t="shared" si="46"/>
        <v/>
      </c>
      <c r="O209" s="132" t="str">
        <f t="shared" si="41"/>
        <v/>
      </c>
      <c r="P209" s="141">
        <f>(SUM($Q$142:Q209)-SUM($H$141:H209))/SUM($H$141:H209)</f>
        <v>-0.678579003181336</v>
      </c>
      <c r="Q209" s="142">
        <f t="shared" si="33"/>
        <v>295</v>
      </c>
      <c r="R209" s="142">
        <f t="shared" si="31"/>
        <v>4780</v>
      </c>
      <c r="S209" s="133">
        <f t="shared" si="47"/>
        <v>3.72262773722628</v>
      </c>
      <c r="T209" s="134">
        <f>INT(SUM($W$141:W209)/3)+1</f>
        <v>18</v>
      </c>
      <c r="U209" s="135" t="str">
        <f t="shared" si="42"/>
        <v/>
      </c>
      <c r="V209" s="67" t="s">
        <v>168</v>
      </c>
      <c r="W209" s="137" t="str">
        <f t="shared" si="48"/>
        <v/>
      </c>
      <c r="X209" s="137" t="str">
        <f t="shared" si="43"/>
        <v/>
      </c>
      <c r="Y209" s="138"/>
      <c r="Z209" s="138">
        <v>2</v>
      </c>
      <c r="AA209" s="138">
        <v>3</v>
      </c>
      <c r="AB209" s="138" t="str">
        <f t="shared" ref="AB209:AB272" si="52">"{"&amp;6000+AD209&amp;","&amp;5000+AD209&amp;","&amp;4000+AD209&amp;"}"</f>
        <v>{10000,9000,8000}</v>
      </c>
      <c r="AC209" s="138">
        <v>1000</v>
      </c>
      <c r="AD209" s="138">
        <v>4000</v>
      </c>
      <c r="AE209" s="138">
        <f>SUM($R$141:$R209)+SUM($X$141:$X209)</f>
        <v>333750</v>
      </c>
      <c r="AF209" s="138">
        <f>SUM($Q$142:Q209)</f>
        <v>9093</v>
      </c>
      <c r="AG209" s="137">
        <f t="shared" si="49"/>
        <v>361029</v>
      </c>
      <c r="AH209" s="139">
        <f>SUM($S$141:S209)</f>
        <v>77.7562667431804</v>
      </c>
      <c r="AI209" s="133">
        <f t="shared" si="50"/>
        <v>1.86131386861314</v>
      </c>
      <c r="AJ209" s="15">
        <f t="shared" si="51"/>
        <v>161100</v>
      </c>
      <c r="AL209" s="15">
        <v>69</v>
      </c>
      <c r="AM209" s="15">
        <f t="shared" si="44"/>
        <v>151460</v>
      </c>
      <c r="AN209" s="15">
        <f>SUMIF([1]装备属性!$M$571:$M$870,"&lt;="&amp;AL209,[1]装备属性!$Q$571:$Q$870)</f>
        <v>658.703703703704</v>
      </c>
      <c r="AO209" s="15">
        <f t="shared" si="45"/>
        <v>229.936463311779</v>
      </c>
    </row>
    <row r="210" ht="18" spans="1:41">
      <c r="A210" s="9" t="s">
        <v>208</v>
      </c>
      <c r="B210" s="9" t="str">
        <f t="shared" si="34"/>
        <v>[{5205001,3},{2,}]</v>
      </c>
      <c r="C210" s="51" t="str">
        <f t="shared" si="35"/>
        <v>[{5203001,305},{2,4920}]</v>
      </c>
      <c r="D210" s="140">
        <v>70</v>
      </c>
      <c r="E210" s="130">
        <f t="shared" si="36"/>
        <v>82</v>
      </c>
      <c r="F210" s="130">
        <v>112</v>
      </c>
      <c r="G210" s="130">
        <v>28</v>
      </c>
      <c r="H210" s="130">
        <f>SUMIFS(基因产出!$F$90:$F$389,基因产出!$D$90:$D$389,"&lt;="&amp;E210,基因产出!$D$90:$D$389,"&gt;"&amp;_xlfn.MAXIFS($E$141:E210,$E$141:E210,"&lt;"&amp;E210))/COUNTIF($E$141:$E$500,E210)</f>
        <v>1340</v>
      </c>
      <c r="I210" s="130">
        <f>IF(COUNTIF($I$141:$I209,$I209)=VLOOKUP($I209,$D$90:$E$120,2,0),$I209+1,$I209)</f>
        <v>9</v>
      </c>
      <c r="J210" s="131">
        <f t="shared" si="37"/>
        <v>54</v>
      </c>
      <c r="K210" s="132" t="str">
        <f t="shared" si="38"/>
        <v/>
      </c>
      <c r="L210" s="132" t="str">
        <f t="shared" si="39"/>
        <v/>
      </c>
      <c r="M210" s="132" t="str">
        <f t="shared" si="40"/>
        <v/>
      </c>
      <c r="N210" s="132">
        <f t="shared" si="46"/>
        <v>0.0075</v>
      </c>
      <c r="O210" s="132" t="str">
        <f t="shared" si="41"/>
        <v/>
      </c>
      <c r="P210" s="141">
        <f>(SUM($Q$142:Q210)-SUM($H$141:H210))/SUM($H$141:H210)</f>
        <v>-0.682990212622342</v>
      </c>
      <c r="Q210" s="142">
        <f t="shared" si="33"/>
        <v>300</v>
      </c>
      <c r="R210" s="142">
        <f t="shared" si="31"/>
        <v>4850</v>
      </c>
      <c r="S210" s="133">
        <f t="shared" si="47"/>
        <v>3.77737226277372</v>
      </c>
      <c r="T210" s="134">
        <f>INT(SUM($W$141:W210)/3)+1</f>
        <v>18</v>
      </c>
      <c r="U210" s="135" t="str">
        <f t="shared" si="42"/>
        <v/>
      </c>
      <c r="V210" s="67" t="s">
        <v>168</v>
      </c>
      <c r="W210" s="137" t="str">
        <f t="shared" si="48"/>
        <v/>
      </c>
      <c r="X210" s="137" t="str">
        <f t="shared" si="43"/>
        <v/>
      </c>
      <c r="Y210" s="138"/>
      <c r="Z210" s="138">
        <v>2</v>
      </c>
      <c r="AA210" s="138">
        <v>3</v>
      </c>
      <c r="AB210" s="138" t="str">
        <f t="shared" si="52"/>
        <v>{10000,9000,8000}</v>
      </c>
      <c r="AC210" s="138">
        <v>1000</v>
      </c>
      <c r="AD210" s="138">
        <v>4000</v>
      </c>
      <c r="AE210" s="138">
        <f>SUM($R$141:$R210)+SUM($X$141:$X210)</f>
        <v>338600</v>
      </c>
      <c r="AF210" s="138">
        <f>SUM($Q$142:Q210)</f>
        <v>9393</v>
      </c>
      <c r="AG210" s="137">
        <f t="shared" si="49"/>
        <v>366779</v>
      </c>
      <c r="AH210" s="139">
        <f>SUM($S$141:S210)</f>
        <v>81.5336390059541</v>
      </c>
      <c r="AI210" s="133">
        <f t="shared" si="50"/>
        <v>1.88868613138686</v>
      </c>
      <c r="AJ210" s="15">
        <f t="shared" si="51"/>
        <v>163200</v>
      </c>
      <c r="AL210" s="15">
        <v>70</v>
      </c>
      <c r="AM210" s="15">
        <f t="shared" si="44"/>
        <v>151460</v>
      </c>
      <c r="AN210" s="15">
        <f>SUMIF([1]装备属性!$M$571:$M$870,"&lt;="&amp;AL210,[1]装备属性!$Q$571:$Q$870)</f>
        <v>658.703703703704</v>
      </c>
      <c r="AO210" s="15">
        <f t="shared" si="45"/>
        <v>229.936463311779</v>
      </c>
    </row>
    <row r="211" ht="18" spans="1:41">
      <c r="A211" s="9" t="s">
        <v>206</v>
      </c>
      <c r="B211" s="9" t="str">
        <f t="shared" si="34"/>
        <v>[{5205001,3},{2,}]</v>
      </c>
      <c r="C211" s="51" t="str">
        <f t="shared" si="35"/>
        <v>[{5203001,310},{2,4990}]</v>
      </c>
      <c r="D211" s="140">
        <v>71</v>
      </c>
      <c r="E211" s="130">
        <f t="shared" si="36"/>
        <v>86</v>
      </c>
      <c r="F211" s="130">
        <v>113</v>
      </c>
      <c r="G211" s="130">
        <v>28</v>
      </c>
      <c r="H211" s="130">
        <f>SUMIFS(基因产出!$F$90:$F$389,基因产出!$D$90:$D$389,"&lt;="&amp;E211,基因产出!$D$90:$D$389,"&gt;"&amp;_xlfn.MAXIFS($E$141:E211,$E$141:E211,"&lt;"&amp;E211))/COUNTIF($E$141:$E$500,E211)</f>
        <v>1340</v>
      </c>
      <c r="I211" s="130">
        <f>IF(COUNTIF($I$141:$I210,$I210)=VLOOKUP($I210,$D$90:$E$120,2,0),$I210+1,$I210)</f>
        <v>9</v>
      </c>
      <c r="J211" s="131">
        <f t="shared" si="37"/>
        <v>54</v>
      </c>
      <c r="K211" s="132" t="str">
        <f t="shared" si="38"/>
        <v/>
      </c>
      <c r="L211" s="132" t="str">
        <f t="shared" si="39"/>
        <v/>
      </c>
      <c r="M211" s="132">
        <f t="shared" si="40"/>
        <v>0.002</v>
      </c>
      <c r="N211" s="132" t="str">
        <f t="shared" si="46"/>
        <v/>
      </c>
      <c r="O211" s="132" t="str">
        <f t="shared" si="41"/>
        <v/>
      </c>
      <c r="P211" s="141">
        <f>(SUM($Q$142:Q211)-SUM($H$141:H211))/SUM($H$141:H211)</f>
        <v>-0.686858249919277</v>
      </c>
      <c r="Q211" s="142">
        <f t="shared" si="33"/>
        <v>305</v>
      </c>
      <c r="R211" s="142">
        <f t="shared" si="31"/>
        <v>4920</v>
      </c>
      <c r="S211" s="133">
        <f t="shared" si="47"/>
        <v>3.83211678832117</v>
      </c>
      <c r="T211" s="134">
        <f>INT(SUM($W$141:W211)/3)+1</f>
        <v>18</v>
      </c>
      <c r="U211" s="135" t="str">
        <f t="shared" si="42"/>
        <v/>
      </c>
      <c r="V211" s="67" t="s">
        <v>168</v>
      </c>
      <c r="W211" s="137" t="str">
        <f t="shared" si="48"/>
        <v/>
      </c>
      <c r="X211" s="137" t="str">
        <f t="shared" si="43"/>
        <v/>
      </c>
      <c r="Y211" s="138"/>
      <c r="Z211" s="138">
        <v>2</v>
      </c>
      <c r="AA211" s="138">
        <v>3</v>
      </c>
      <c r="AB211" s="138" t="str">
        <f t="shared" si="52"/>
        <v>{10000,9000,8000}</v>
      </c>
      <c r="AC211" s="138">
        <v>1000</v>
      </c>
      <c r="AD211" s="138">
        <v>4000</v>
      </c>
      <c r="AE211" s="138">
        <f>SUM($R$141:$R211)+SUM($X$141:$X211)</f>
        <v>343520</v>
      </c>
      <c r="AF211" s="138">
        <f>SUM($Q$142:Q211)</f>
        <v>9698</v>
      </c>
      <c r="AG211" s="137">
        <f t="shared" si="49"/>
        <v>372614</v>
      </c>
      <c r="AH211" s="139">
        <f>SUM($S$141:S211)</f>
        <v>85.3657557942753</v>
      </c>
      <c r="AI211" s="133">
        <f t="shared" si="50"/>
        <v>1.91605839416058</v>
      </c>
      <c r="AJ211" s="15">
        <f t="shared" si="51"/>
        <v>165600</v>
      </c>
      <c r="AL211" s="15">
        <v>71</v>
      </c>
      <c r="AM211" s="15">
        <f t="shared" si="44"/>
        <v>156100</v>
      </c>
      <c r="AN211" s="15">
        <f>SUMIF([1]装备属性!$M$571:$M$870,"&lt;="&amp;AL211,[1]装备属性!$Q$571:$Q$870)</f>
        <v>658.703703703704</v>
      </c>
      <c r="AO211" s="15">
        <f t="shared" si="45"/>
        <v>236.980601630587</v>
      </c>
    </row>
    <row r="212" ht="18" spans="1:41">
      <c r="A212" s="9" t="s">
        <v>207</v>
      </c>
      <c r="B212" s="9" t="str">
        <f t="shared" si="34"/>
        <v>[{5205001,3},{2,19960}]</v>
      </c>
      <c r="C212" s="51" t="str">
        <f t="shared" si="35"/>
        <v>[{5203001,315},{2,5060}]</v>
      </c>
      <c r="D212" s="140">
        <v>72</v>
      </c>
      <c r="E212" s="130">
        <f t="shared" si="36"/>
        <v>90</v>
      </c>
      <c r="F212" s="130">
        <v>115</v>
      </c>
      <c r="G212" s="130">
        <v>28</v>
      </c>
      <c r="H212" s="130">
        <f>SUMIFS(基因产出!$F$90:$F$389,基因产出!$D$90:$D$389,"&lt;="&amp;E212,基因产出!$D$90:$D$389,"&gt;"&amp;_xlfn.MAXIFS($E$141:E212,$E$141:E212,"&lt;"&amp;E212))/COUNTIF($E$141:$E$500,E212)</f>
        <v>1340</v>
      </c>
      <c r="I212" s="130">
        <f>IF(COUNTIF($I$141:$I211,$I211)=VLOOKUP($I211,$D$90:$E$120,2,0),$I211+1,$I211)</f>
        <v>9</v>
      </c>
      <c r="J212" s="131">
        <f t="shared" si="37"/>
        <v>54</v>
      </c>
      <c r="K212" s="132" t="str">
        <f t="shared" si="38"/>
        <v/>
      </c>
      <c r="L212" s="132">
        <f t="shared" si="39"/>
        <v>0.03</v>
      </c>
      <c r="M212" s="132" t="str">
        <f t="shared" si="40"/>
        <v/>
      </c>
      <c r="N212" s="132" t="str">
        <f t="shared" si="46"/>
        <v/>
      </c>
      <c r="O212" s="132" t="str">
        <f t="shared" si="41"/>
        <v/>
      </c>
      <c r="P212" s="141">
        <f>(SUM($Q$142:Q212)-SUM($H$141:H212))/SUM($H$141:H212)</f>
        <v>-0.69025069637883</v>
      </c>
      <c r="Q212" s="142">
        <f t="shared" si="33"/>
        <v>310</v>
      </c>
      <c r="R212" s="142">
        <f t="shared" si="31"/>
        <v>4990</v>
      </c>
      <c r="S212" s="133">
        <f t="shared" si="47"/>
        <v>3.88686131386861</v>
      </c>
      <c r="T212" s="134">
        <f>INT(SUM($W$141:W212)/3)+1</f>
        <v>19</v>
      </c>
      <c r="U212" s="135" t="str">
        <f t="shared" si="42"/>
        <v>45</v>
      </c>
      <c r="V212" s="67" t="s">
        <v>86</v>
      </c>
      <c r="W212" s="137">
        <f t="shared" si="48"/>
        <v>3</v>
      </c>
      <c r="X212" s="137">
        <f t="shared" si="43"/>
        <v>19960</v>
      </c>
      <c r="Y212" s="138"/>
      <c r="Z212" s="138">
        <v>2</v>
      </c>
      <c r="AA212" s="138">
        <v>3</v>
      </c>
      <c r="AB212" s="138" t="str">
        <f t="shared" si="52"/>
        <v>{10000,9000,8000}</v>
      </c>
      <c r="AC212" s="138">
        <v>1000</v>
      </c>
      <c r="AD212" s="138">
        <v>4000</v>
      </c>
      <c r="AE212" s="138">
        <f>SUM($R$141:$R212)+SUM($X$141:$X212)</f>
        <v>368470</v>
      </c>
      <c r="AF212" s="138">
        <f>SUM($Q$142:Q212)</f>
        <v>10008</v>
      </c>
      <c r="AG212" s="137">
        <f t="shared" si="49"/>
        <v>398494</v>
      </c>
      <c r="AH212" s="139">
        <f>SUM($S$141:S212)</f>
        <v>89.2526171081439</v>
      </c>
      <c r="AI212" s="133">
        <f t="shared" si="50"/>
        <v>1.94343065693431</v>
      </c>
      <c r="AJ212" s="15">
        <f t="shared" si="51"/>
        <v>168000</v>
      </c>
      <c r="AL212" s="15">
        <v>72</v>
      </c>
      <c r="AM212" s="15">
        <f t="shared" si="44"/>
        <v>156100</v>
      </c>
      <c r="AN212" s="15">
        <f>SUMIF([1]装备属性!$M$571:$M$870,"&lt;="&amp;AL212,[1]装备属性!$Q$571:$Q$870)</f>
        <v>658.703703703704</v>
      </c>
      <c r="AO212" s="15">
        <f t="shared" si="45"/>
        <v>236.980601630587</v>
      </c>
    </row>
    <row r="213" ht="18" spans="1:41">
      <c r="A213" s="9" t="s">
        <v>209</v>
      </c>
      <c r="B213" s="9" t="str">
        <f t="shared" si="34"/>
        <v>[{5205001,3},{2,}]</v>
      </c>
      <c r="C213" s="51" t="str">
        <f t="shared" si="35"/>
        <v>[{5203001,320},{2,5130}]</v>
      </c>
      <c r="D213" s="140">
        <v>73</v>
      </c>
      <c r="E213" s="130">
        <f t="shared" si="36"/>
        <v>95</v>
      </c>
      <c r="F213" s="130">
        <v>117</v>
      </c>
      <c r="G213" s="130">
        <v>28</v>
      </c>
      <c r="H213" s="130">
        <f>SUMIFS(基因产出!$F$90:$F$389,基因产出!$D$90:$D$389,"&lt;="&amp;E213,基因产出!$D$90:$D$389,"&gt;"&amp;_xlfn.MAXIFS($E$141:E213,$E$141:E213,"&lt;"&amp;E213))/COUNTIF($E$141:$E$500,E213)</f>
        <v>1690</v>
      </c>
      <c r="I213" s="130">
        <f>IF(COUNTIF($I$141:$I212,$I212)=VLOOKUP($I212,$D$90:$E$120,2,0),$I212+1,$I212)</f>
        <v>10</v>
      </c>
      <c r="J213" s="131">
        <f t="shared" si="37"/>
        <v>58</v>
      </c>
      <c r="K213" s="132">
        <f t="shared" si="38"/>
        <v>0.05</v>
      </c>
      <c r="L213" s="132" t="str">
        <f t="shared" si="39"/>
        <v/>
      </c>
      <c r="M213" s="132" t="str">
        <f t="shared" si="40"/>
        <v/>
      </c>
      <c r="N213" s="132" t="str">
        <f t="shared" si="46"/>
        <v/>
      </c>
      <c r="O213" s="132" t="str">
        <f t="shared" si="41"/>
        <v/>
      </c>
      <c r="P213" s="141">
        <f>(SUM($Q$142:Q213)-SUM($H$141:H213))/SUM($H$141:H213)</f>
        <v>-0.696382352941176</v>
      </c>
      <c r="Q213" s="142">
        <f t="shared" si="33"/>
        <v>315</v>
      </c>
      <c r="R213" s="142">
        <f t="shared" si="31"/>
        <v>5060</v>
      </c>
      <c r="S213" s="133">
        <f t="shared" si="47"/>
        <v>4.94117647058824</v>
      </c>
      <c r="T213" s="134">
        <f>INT(SUM($W$141:W213)/3)+1</f>
        <v>19</v>
      </c>
      <c r="U213" s="135" t="str">
        <f t="shared" si="42"/>
        <v/>
      </c>
      <c r="V213" s="67" t="s">
        <v>168</v>
      </c>
      <c r="W213" s="137" t="str">
        <f t="shared" si="48"/>
        <v/>
      </c>
      <c r="X213" s="137" t="str">
        <f t="shared" si="43"/>
        <v/>
      </c>
      <c r="Y213" s="138"/>
      <c r="Z213" s="138">
        <v>2</v>
      </c>
      <c r="AA213" s="138">
        <v>3</v>
      </c>
      <c r="AB213" s="138" t="str">
        <f t="shared" si="52"/>
        <v>{10000,9000,8000}</v>
      </c>
      <c r="AC213" s="138">
        <v>1000</v>
      </c>
      <c r="AD213" s="138">
        <v>4000</v>
      </c>
      <c r="AE213" s="138">
        <f>SUM($R$141:$R213)+SUM($X$141:$X213)</f>
        <v>373530</v>
      </c>
      <c r="AF213" s="138">
        <f>SUM($Q$142:Q213)</f>
        <v>10323</v>
      </c>
      <c r="AG213" s="137">
        <f t="shared" si="49"/>
        <v>404499</v>
      </c>
      <c r="AH213" s="139">
        <f>SUM($S$141:S213)</f>
        <v>94.1937935787322</v>
      </c>
      <c r="AI213" s="133">
        <f t="shared" si="50"/>
        <v>2.47058823529412</v>
      </c>
      <c r="AJ213" s="15">
        <f t="shared" si="51"/>
        <v>213600</v>
      </c>
      <c r="AL213" s="15">
        <v>73</v>
      </c>
      <c r="AM213" s="15">
        <f t="shared" si="44"/>
        <v>156100</v>
      </c>
      <c r="AN213" s="15">
        <f>SUMIF([1]装备属性!$M$571:$M$870,"&lt;="&amp;AL213,[1]装备属性!$Q$571:$Q$870)</f>
        <v>721.203703703704</v>
      </c>
      <c r="AO213" s="15">
        <f t="shared" si="45"/>
        <v>216.443702657594</v>
      </c>
    </row>
    <row r="214" ht="18" spans="1:41">
      <c r="A214" s="9" t="s">
        <v>210</v>
      </c>
      <c r="B214" s="9" t="str">
        <f t="shared" si="34"/>
        <v>[{5205001,3},{2,}]</v>
      </c>
      <c r="C214" s="51" t="str">
        <f t="shared" si="35"/>
        <v>[{5203001,325},{2,5200}]</v>
      </c>
      <c r="D214" s="140">
        <v>74</v>
      </c>
      <c r="E214" s="130">
        <f t="shared" si="36"/>
        <v>100</v>
      </c>
      <c r="F214" s="130">
        <v>119</v>
      </c>
      <c r="G214" s="130">
        <v>28</v>
      </c>
      <c r="H214" s="130">
        <f>SUMIFS(基因产出!$F$90:$F$389,基因产出!$D$90:$D$389,"&lt;="&amp;E214,基因产出!$D$90:$D$389,"&gt;"&amp;_xlfn.MAXIFS($E$141:E214,$E$141:E214,"&lt;"&amp;E214))/COUNTIF($E$141:$E$500,E214)</f>
        <v>1660</v>
      </c>
      <c r="I214" s="130">
        <f>IF(COUNTIF($I$141:$I213,$I213)=VLOOKUP($I213,$D$90:$E$120,2,0),$I213+1,$I213)</f>
        <v>10</v>
      </c>
      <c r="J214" s="131">
        <f t="shared" si="37"/>
        <v>58</v>
      </c>
      <c r="K214" s="132" t="str">
        <f t="shared" si="38"/>
        <v/>
      </c>
      <c r="L214" s="132" t="str">
        <f t="shared" si="39"/>
        <v/>
      </c>
      <c r="M214" s="132" t="str">
        <f t="shared" si="40"/>
        <v/>
      </c>
      <c r="N214" s="132">
        <f t="shared" si="46"/>
        <v>0.0075</v>
      </c>
      <c r="O214" s="132" t="str">
        <f t="shared" si="41"/>
        <v/>
      </c>
      <c r="P214" s="141">
        <f>(SUM($Q$142:Q214)-SUM($H$141:H214))/SUM($H$141:H214)</f>
        <v>-0.701542344363432</v>
      </c>
      <c r="Q214" s="142">
        <f t="shared" si="33"/>
        <v>320</v>
      </c>
      <c r="R214" s="142">
        <f t="shared" si="31"/>
        <v>5130</v>
      </c>
      <c r="S214" s="133">
        <f t="shared" si="47"/>
        <v>5.00980392156863</v>
      </c>
      <c r="T214" s="134">
        <f>INT(SUM($W$141:W214)/3)+1</f>
        <v>19</v>
      </c>
      <c r="U214" s="135" t="str">
        <f t="shared" si="42"/>
        <v/>
      </c>
      <c r="V214" s="67" t="s">
        <v>168</v>
      </c>
      <c r="W214" s="137" t="str">
        <f t="shared" si="48"/>
        <v/>
      </c>
      <c r="X214" s="137" t="str">
        <f t="shared" si="43"/>
        <v/>
      </c>
      <c r="Y214" s="138"/>
      <c r="Z214" s="138">
        <v>2</v>
      </c>
      <c r="AA214" s="138">
        <v>3</v>
      </c>
      <c r="AB214" s="138" t="str">
        <f t="shared" si="52"/>
        <v>{10000,9000,8000}</v>
      </c>
      <c r="AC214" s="138">
        <v>1000</v>
      </c>
      <c r="AD214" s="138">
        <v>4000</v>
      </c>
      <c r="AE214" s="138">
        <f>SUM($R$141:$R214)+SUM($X$141:$X214)</f>
        <v>378660</v>
      </c>
      <c r="AF214" s="138">
        <f>SUM($Q$142:Q214)</f>
        <v>10643</v>
      </c>
      <c r="AG214" s="137">
        <f t="shared" si="49"/>
        <v>410589</v>
      </c>
      <c r="AH214" s="139">
        <f>SUM($S$141:S214)</f>
        <v>99.2035975003008</v>
      </c>
      <c r="AI214" s="133">
        <f t="shared" si="50"/>
        <v>2.50490196078431</v>
      </c>
      <c r="AJ214" s="15">
        <f t="shared" si="51"/>
        <v>216600</v>
      </c>
      <c r="AL214" s="15">
        <v>74</v>
      </c>
      <c r="AM214" s="15">
        <f t="shared" si="44"/>
        <v>156100</v>
      </c>
      <c r="AN214" s="15">
        <f>SUMIF([1]装备属性!$M$571:$M$870,"&lt;="&amp;AL214,[1]装备属性!$Q$571:$Q$870)</f>
        <v>783.703703703704</v>
      </c>
      <c r="AO214" s="15">
        <f t="shared" si="45"/>
        <v>199.182419659735</v>
      </c>
    </row>
    <row r="215" ht="18" spans="1:41">
      <c r="A215" s="9" t="s">
        <v>211</v>
      </c>
      <c r="B215" s="9" t="str">
        <f t="shared" si="34"/>
        <v>[{5205001,3},{2,}]</v>
      </c>
      <c r="C215" s="51" t="str">
        <f t="shared" si="35"/>
        <v>[{5203001,330},{2,5270}]</v>
      </c>
      <c r="D215" s="140">
        <v>75</v>
      </c>
      <c r="E215" s="130">
        <f t="shared" si="36"/>
        <v>105</v>
      </c>
      <c r="F215" s="130">
        <v>121</v>
      </c>
      <c r="G215" s="130">
        <v>28</v>
      </c>
      <c r="H215" s="130">
        <f>SUMIFS(基因产出!$F$90:$F$389,基因产出!$D$90:$D$389,"&lt;="&amp;E215,基因产出!$D$90:$D$389,"&gt;"&amp;_xlfn.MAXIFS($E$141:E215,$E$141:E215,"&lt;"&amp;E215))/COUNTIF($E$141:$E$500,E215)</f>
        <v>1690</v>
      </c>
      <c r="I215" s="130">
        <f>IF(COUNTIF($I$141:$I214,$I214)=VLOOKUP($I214,$D$90:$E$120,2,0),$I214+1,$I214)</f>
        <v>10</v>
      </c>
      <c r="J215" s="131">
        <f t="shared" si="37"/>
        <v>58</v>
      </c>
      <c r="K215" s="132" t="str">
        <f t="shared" si="38"/>
        <v/>
      </c>
      <c r="L215" s="132" t="str">
        <f t="shared" si="39"/>
        <v/>
      </c>
      <c r="M215" s="132">
        <f t="shared" si="40"/>
        <v>0.002</v>
      </c>
      <c r="N215" s="132" t="str">
        <f t="shared" si="46"/>
        <v/>
      </c>
      <c r="O215" s="132" t="str">
        <f t="shared" si="41"/>
        <v/>
      </c>
      <c r="P215" s="141">
        <f>(SUM($Q$142:Q215)-SUM($H$141:H215))/SUM($H$141:H215)</f>
        <v>-0.706345381526104</v>
      </c>
      <c r="Q215" s="142">
        <f t="shared" si="33"/>
        <v>325</v>
      </c>
      <c r="R215" s="142">
        <f t="shared" si="31"/>
        <v>5200</v>
      </c>
      <c r="S215" s="133">
        <f t="shared" si="47"/>
        <v>5.07843137254902</v>
      </c>
      <c r="T215" s="134">
        <f>INT(SUM($W$141:W215)/3)+1</f>
        <v>19</v>
      </c>
      <c r="U215" s="135" t="str">
        <f t="shared" si="42"/>
        <v/>
      </c>
      <c r="V215" s="67" t="s">
        <v>168</v>
      </c>
      <c r="W215" s="137" t="str">
        <f t="shared" si="48"/>
        <v/>
      </c>
      <c r="X215" s="137" t="str">
        <f t="shared" si="43"/>
        <v/>
      </c>
      <c r="Y215" s="138"/>
      <c r="Z215" s="138">
        <v>2</v>
      </c>
      <c r="AA215" s="138">
        <v>3</v>
      </c>
      <c r="AB215" s="138" t="str">
        <f t="shared" si="52"/>
        <v>{10000,9000,8000}</v>
      </c>
      <c r="AC215" s="138">
        <v>1000</v>
      </c>
      <c r="AD215" s="138">
        <v>4000</v>
      </c>
      <c r="AE215" s="138">
        <f>SUM($R$141:$R215)+SUM($X$141:$X215)</f>
        <v>383860</v>
      </c>
      <c r="AF215" s="138">
        <f>SUM($Q$142:Q215)</f>
        <v>10968</v>
      </c>
      <c r="AG215" s="137">
        <f t="shared" si="49"/>
        <v>416764</v>
      </c>
      <c r="AH215" s="139">
        <f>SUM($S$141:S215)</f>
        <v>104.28202887285</v>
      </c>
      <c r="AI215" s="133">
        <f t="shared" si="50"/>
        <v>2.53921568627451</v>
      </c>
      <c r="AJ215" s="15">
        <f t="shared" si="51"/>
        <v>219600</v>
      </c>
      <c r="AL215" s="15">
        <v>75</v>
      </c>
      <c r="AM215" s="15">
        <f t="shared" si="44"/>
        <v>160810</v>
      </c>
      <c r="AN215" s="15">
        <f>SUMIF([1]装备属性!$M$571:$M$870,"&lt;="&amp;AL215,[1]装备属性!$Q$571:$Q$870)</f>
        <v>928.981481481481</v>
      </c>
      <c r="AO215" s="15">
        <f t="shared" si="45"/>
        <v>173.10355825775</v>
      </c>
    </row>
    <row r="216" ht="18" spans="1:41">
      <c r="A216" s="9" t="s">
        <v>212</v>
      </c>
      <c r="B216" s="9" t="str">
        <f t="shared" si="34"/>
        <v>[{5205001,3},{2,21080}]</v>
      </c>
      <c r="C216" s="51" t="str">
        <f t="shared" si="35"/>
        <v>[{5203001,335},{2,5340}]</v>
      </c>
      <c r="D216" s="140">
        <v>76</v>
      </c>
      <c r="E216" s="130">
        <f t="shared" si="36"/>
        <v>110</v>
      </c>
      <c r="F216" s="130">
        <v>123</v>
      </c>
      <c r="G216" s="130">
        <v>28</v>
      </c>
      <c r="H216" s="130">
        <f>SUMIFS(基因产出!$F$90:$F$389,基因产出!$D$90:$D$389,"&lt;="&amp;E216,基因产出!$D$90:$D$389,"&gt;"&amp;_xlfn.MAXIFS($E$141:E216,$E$141:E216,"&lt;"&amp;E216))/COUNTIF($E$141:$E$500,E216)</f>
        <v>1660</v>
      </c>
      <c r="I216" s="130">
        <f>IF(COUNTIF($I$141:$I215,$I215)=VLOOKUP($I215,$D$90:$E$120,2,0),$I215+1,$I215)</f>
        <v>10</v>
      </c>
      <c r="J216" s="131">
        <f t="shared" si="37"/>
        <v>58</v>
      </c>
      <c r="K216" s="132" t="str">
        <f t="shared" si="38"/>
        <v/>
      </c>
      <c r="L216" s="132">
        <f t="shared" si="39"/>
        <v>0.03</v>
      </c>
      <c r="M216" s="132" t="str">
        <f t="shared" si="40"/>
        <v/>
      </c>
      <c r="N216" s="132" t="str">
        <f t="shared" si="46"/>
        <v/>
      </c>
      <c r="O216" s="132" t="str">
        <f t="shared" si="41"/>
        <v/>
      </c>
      <c r="P216" s="141">
        <f>(SUM($Q$142:Q216)-SUM($H$141:H216))/SUM($H$141:H216)</f>
        <v>-0.710381953345296</v>
      </c>
      <c r="Q216" s="142">
        <f t="shared" si="33"/>
        <v>330</v>
      </c>
      <c r="R216" s="142">
        <f t="shared" si="31"/>
        <v>5270</v>
      </c>
      <c r="S216" s="133">
        <f t="shared" si="47"/>
        <v>5.14705882352941</v>
      </c>
      <c r="T216" s="134">
        <f>INT(SUM($W$141:W216)/3)+1</f>
        <v>20</v>
      </c>
      <c r="U216" s="135" t="str">
        <f t="shared" si="42"/>
        <v/>
      </c>
      <c r="V216" s="67" t="s">
        <v>88</v>
      </c>
      <c r="W216" s="137">
        <f t="shared" si="48"/>
        <v>3</v>
      </c>
      <c r="X216" s="137">
        <f t="shared" si="43"/>
        <v>21080</v>
      </c>
      <c r="Y216" s="138"/>
      <c r="Z216" s="138">
        <v>2</v>
      </c>
      <c r="AA216" s="138">
        <v>3</v>
      </c>
      <c r="AB216" s="138" t="str">
        <f t="shared" si="52"/>
        <v>{10000,9000,8000}</v>
      </c>
      <c r="AC216" s="138">
        <v>1000</v>
      </c>
      <c r="AD216" s="138">
        <v>4000</v>
      </c>
      <c r="AE216" s="138">
        <f>SUM($R$141:$R216)+SUM($X$141:$X216)</f>
        <v>410210</v>
      </c>
      <c r="AF216" s="138">
        <f>SUM($Q$142:Q216)</f>
        <v>11298</v>
      </c>
      <c r="AG216" s="137">
        <f t="shared" si="49"/>
        <v>444104</v>
      </c>
      <c r="AH216" s="139">
        <f>SUM($S$141:S216)</f>
        <v>109.429087696379</v>
      </c>
      <c r="AI216" s="133">
        <f t="shared" si="50"/>
        <v>2.57352941176471</v>
      </c>
      <c r="AJ216" s="15">
        <f t="shared" si="51"/>
        <v>222600</v>
      </c>
      <c r="AL216" s="15">
        <v>76</v>
      </c>
      <c r="AM216" s="15">
        <f t="shared" si="44"/>
        <v>160810</v>
      </c>
      <c r="AN216" s="15">
        <f>SUMIF([1]装备属性!$M$571:$M$870,"&lt;="&amp;AL216,[1]装备属性!$Q$571:$Q$870)</f>
        <v>993.148148148148</v>
      </c>
      <c r="AO216" s="15">
        <f t="shared" si="45"/>
        <v>161.91944807011</v>
      </c>
    </row>
    <row r="217" ht="18" spans="1:41">
      <c r="A217" s="9" t="s">
        <v>209</v>
      </c>
      <c r="B217" s="9" t="str">
        <f t="shared" si="34"/>
        <v>[{5205001,3},{2,}]</v>
      </c>
      <c r="C217" s="51" t="str">
        <f t="shared" si="35"/>
        <v>[{5203001,340},{2,5410}]</v>
      </c>
      <c r="D217" s="140">
        <v>77</v>
      </c>
      <c r="E217" s="130">
        <f t="shared" si="36"/>
        <v>115</v>
      </c>
      <c r="F217" s="130">
        <v>125</v>
      </c>
      <c r="G217" s="130">
        <v>28</v>
      </c>
      <c r="H217" s="130">
        <f>SUMIFS(基因产出!$F$90:$F$389,基因产出!$D$90:$D$389,"&lt;="&amp;E217,基因产出!$D$90:$D$389,"&gt;"&amp;_xlfn.MAXIFS($E$141:E217,$E$141:E217,"&lt;"&amp;E217))/COUNTIF($E$141:$E$500,E217)</f>
        <v>1690</v>
      </c>
      <c r="I217" s="130">
        <f>IF(COUNTIF($I$141:$I216,$I216)=VLOOKUP($I216,$D$90:$E$120,2,0),$I216+1,$I216)</f>
        <v>10</v>
      </c>
      <c r="J217" s="131">
        <f t="shared" si="37"/>
        <v>58</v>
      </c>
      <c r="K217" s="132">
        <f t="shared" si="38"/>
        <v>0.05</v>
      </c>
      <c r="L217" s="132" t="str">
        <f t="shared" si="39"/>
        <v/>
      </c>
      <c r="M217" s="132" t="str">
        <f t="shared" si="40"/>
        <v/>
      </c>
      <c r="N217" s="132" t="str">
        <f t="shared" si="46"/>
        <v/>
      </c>
      <c r="O217" s="132" t="str">
        <f t="shared" si="41"/>
        <v/>
      </c>
      <c r="P217" s="141">
        <f>(SUM($Q$142:Q217)-SUM($H$141:H217))/SUM($H$141:H217)</f>
        <v>-0.714176904176904</v>
      </c>
      <c r="Q217" s="142">
        <f t="shared" si="33"/>
        <v>335</v>
      </c>
      <c r="R217" s="142">
        <f t="shared" si="31"/>
        <v>5340</v>
      </c>
      <c r="S217" s="133">
        <f t="shared" si="47"/>
        <v>5.2156862745098</v>
      </c>
      <c r="T217" s="134">
        <f>INT(SUM($W$141:W217)/3)+1</f>
        <v>20</v>
      </c>
      <c r="U217" s="135" t="str">
        <f t="shared" si="42"/>
        <v/>
      </c>
      <c r="V217" s="67" t="s">
        <v>168</v>
      </c>
      <c r="W217" s="137" t="str">
        <f t="shared" si="48"/>
        <v/>
      </c>
      <c r="X217" s="137" t="str">
        <f t="shared" si="43"/>
        <v/>
      </c>
      <c r="Y217" s="138"/>
      <c r="Z217" s="138">
        <v>2</v>
      </c>
      <c r="AA217" s="138">
        <v>3</v>
      </c>
      <c r="AB217" s="138" t="str">
        <f t="shared" si="52"/>
        <v>{10000,9000,8000}</v>
      </c>
      <c r="AC217" s="138">
        <v>1000</v>
      </c>
      <c r="AD217" s="138">
        <v>4000</v>
      </c>
      <c r="AE217" s="138">
        <f>SUM($R$141:$R217)+SUM($X$141:$X217)</f>
        <v>415550</v>
      </c>
      <c r="AF217" s="138">
        <f>SUM($Q$142:Q217)</f>
        <v>11633</v>
      </c>
      <c r="AG217" s="137">
        <f t="shared" si="49"/>
        <v>450449</v>
      </c>
      <c r="AH217" s="139">
        <f>SUM($S$141:S217)</f>
        <v>114.644773970889</v>
      </c>
      <c r="AI217" s="133">
        <f t="shared" si="50"/>
        <v>2.6078431372549</v>
      </c>
      <c r="AJ217" s="15">
        <f t="shared" si="51"/>
        <v>225600</v>
      </c>
      <c r="AL217" s="15">
        <v>77</v>
      </c>
      <c r="AM217" s="15">
        <f t="shared" si="44"/>
        <v>160810</v>
      </c>
      <c r="AN217" s="15">
        <f>SUMIF([1]装备属性!$M$571:$M$870,"&lt;="&amp;AL217,[1]装备属性!$Q$571:$Q$870)</f>
        <v>1074.25925925926</v>
      </c>
      <c r="AO217" s="15">
        <f t="shared" si="45"/>
        <v>149.69384588864</v>
      </c>
    </row>
    <row r="218" ht="18" spans="1:41">
      <c r="A218" s="9" t="s">
        <v>213</v>
      </c>
      <c r="B218" s="9" t="str">
        <f t="shared" si="34"/>
        <v>[{5205001,3},{2,}]</v>
      </c>
      <c r="C218" s="51" t="str">
        <f t="shared" si="35"/>
        <v>[{5203001,345},{2,5480}]</v>
      </c>
      <c r="D218" s="140">
        <v>78</v>
      </c>
      <c r="E218" s="130">
        <f t="shared" si="36"/>
        <v>120</v>
      </c>
      <c r="F218" s="130">
        <v>128</v>
      </c>
      <c r="G218" s="130">
        <v>28</v>
      </c>
      <c r="H218" s="130">
        <f>SUMIFS(基因产出!$F$90:$F$389,基因产出!$D$90:$D$389,"&lt;="&amp;E218,基因产出!$D$90:$D$389,"&gt;"&amp;_xlfn.MAXIFS($E$141:E218,$E$141:E218,"&lt;"&amp;E218))/COUNTIF($E$141:$E$500,E218)</f>
        <v>1660</v>
      </c>
      <c r="I218" s="130">
        <f>IF(COUNTIF($I$141:$I217,$I217)=VLOOKUP($I217,$D$90:$E$120,2,0),$I217+1,$I217)</f>
        <v>10</v>
      </c>
      <c r="J218" s="131">
        <f t="shared" si="37"/>
        <v>58</v>
      </c>
      <c r="K218" s="132" t="str">
        <f t="shared" si="38"/>
        <v/>
      </c>
      <c r="L218" s="132" t="str">
        <f t="shared" si="39"/>
        <v/>
      </c>
      <c r="M218" s="132" t="str">
        <f t="shared" si="40"/>
        <v/>
      </c>
      <c r="N218" s="132">
        <f t="shared" si="46"/>
        <v>0.0075</v>
      </c>
      <c r="O218" s="132">
        <f t="shared" si="41"/>
        <v>0.05</v>
      </c>
      <c r="P218" s="141">
        <f>(SUM($Q$142:Q218)-SUM($H$141:H218))/SUM($H$141:H218)</f>
        <v>-0.717351274787535</v>
      </c>
      <c r="Q218" s="142">
        <f t="shared" si="33"/>
        <v>340</v>
      </c>
      <c r="R218" s="142">
        <f t="shared" si="31"/>
        <v>5410</v>
      </c>
      <c r="S218" s="133">
        <f t="shared" si="47"/>
        <v>5.2843137254902</v>
      </c>
      <c r="T218" s="134">
        <f>INT(SUM($W$141:W218)/3)+1</f>
        <v>20</v>
      </c>
      <c r="U218" s="135" t="str">
        <f t="shared" si="42"/>
        <v/>
      </c>
      <c r="V218" s="67" t="s">
        <v>168</v>
      </c>
      <c r="W218" s="137" t="str">
        <f t="shared" si="48"/>
        <v/>
      </c>
      <c r="X218" s="137" t="str">
        <f t="shared" si="43"/>
        <v/>
      </c>
      <c r="Y218" s="138"/>
      <c r="Z218" s="138">
        <v>2</v>
      </c>
      <c r="AA218" s="138">
        <v>3</v>
      </c>
      <c r="AB218" s="138" t="str">
        <f t="shared" si="52"/>
        <v>{10000,9000,8000}</v>
      </c>
      <c r="AC218" s="138">
        <v>1000</v>
      </c>
      <c r="AD218" s="138">
        <v>4000</v>
      </c>
      <c r="AE218" s="138">
        <f>SUM($R$141:$R218)+SUM($X$141:$X218)</f>
        <v>420960</v>
      </c>
      <c r="AF218" s="138">
        <f>SUM($Q$142:Q218)</f>
        <v>11973</v>
      </c>
      <c r="AG218" s="137">
        <f t="shared" si="49"/>
        <v>456879</v>
      </c>
      <c r="AH218" s="139">
        <f>SUM($S$141:S218)</f>
        <v>119.929087696379</v>
      </c>
      <c r="AI218" s="133">
        <f t="shared" si="50"/>
        <v>2.6421568627451</v>
      </c>
      <c r="AJ218" s="15">
        <f t="shared" si="51"/>
        <v>228300</v>
      </c>
      <c r="AL218" s="15">
        <v>78</v>
      </c>
      <c r="AM218" s="15">
        <f t="shared" si="44"/>
        <v>165590</v>
      </c>
      <c r="AN218" s="15">
        <f>SUMIF([1]装备属性!$M$571:$M$870,"&lt;="&amp;AL218,[1]装备属性!$Q$571:$Q$870)</f>
        <v>1219.53703703704</v>
      </c>
      <c r="AO218" s="15">
        <f t="shared" si="45"/>
        <v>135.781034090046</v>
      </c>
    </row>
    <row r="219" ht="18" spans="1:41">
      <c r="A219" s="9" t="s">
        <v>211</v>
      </c>
      <c r="B219" s="9" t="str">
        <f t="shared" si="34"/>
        <v>[{5205001,3},{2,}]</v>
      </c>
      <c r="C219" s="51" t="str">
        <f t="shared" si="35"/>
        <v>[{5203001,350},{2,5550}]</v>
      </c>
      <c r="D219" s="140">
        <v>79</v>
      </c>
      <c r="E219" s="130">
        <f t="shared" si="36"/>
        <v>126</v>
      </c>
      <c r="F219" s="130">
        <v>130</v>
      </c>
      <c r="G219" s="130">
        <v>28</v>
      </c>
      <c r="H219" s="130">
        <f>SUMIFS(基因产出!$F$90:$F$389,基因产出!$D$90:$D$389,"&lt;="&amp;E219,基因产出!$D$90:$D$389,"&gt;"&amp;_xlfn.MAXIFS($E$141:E219,$E$141:E219,"&lt;"&amp;E219))/COUNTIF($E$141:$E$500,E219)</f>
        <v>2010</v>
      </c>
      <c r="I219" s="130">
        <f>IF(COUNTIF($I$141:$I218,$I218)=VLOOKUP($I218,$D$90:$E$120,2,0),$I218+1,$I218)</f>
        <v>10</v>
      </c>
      <c r="J219" s="131">
        <f t="shared" si="37"/>
        <v>58</v>
      </c>
      <c r="K219" s="132" t="str">
        <f t="shared" si="38"/>
        <v/>
      </c>
      <c r="L219" s="132" t="str">
        <f t="shared" si="39"/>
        <v/>
      </c>
      <c r="M219" s="132">
        <f t="shared" si="40"/>
        <v>0.002</v>
      </c>
      <c r="N219" s="132" t="str">
        <f t="shared" si="46"/>
        <v/>
      </c>
      <c r="O219" s="132" t="str">
        <f t="shared" si="41"/>
        <v/>
      </c>
      <c r="P219" s="141">
        <f>(SUM($Q$142:Q219)-SUM($H$141:H219))/SUM($H$141:H219)</f>
        <v>-0.72237998647735</v>
      </c>
      <c r="Q219" s="142">
        <f t="shared" si="33"/>
        <v>345</v>
      </c>
      <c r="R219" s="142">
        <f t="shared" si="31"/>
        <v>5480</v>
      </c>
      <c r="S219" s="133">
        <f t="shared" si="47"/>
        <v>5.35294117647059</v>
      </c>
      <c r="T219" s="134">
        <f>INT(SUM($W$141:W219)/3)+1</f>
        <v>20</v>
      </c>
      <c r="U219" s="135" t="str">
        <f t="shared" si="42"/>
        <v/>
      </c>
      <c r="V219" s="67" t="s">
        <v>168</v>
      </c>
      <c r="W219" s="137" t="str">
        <f t="shared" si="48"/>
        <v/>
      </c>
      <c r="X219" s="137" t="str">
        <f t="shared" si="43"/>
        <v/>
      </c>
      <c r="Y219" s="138"/>
      <c r="Z219" s="138">
        <v>2</v>
      </c>
      <c r="AA219" s="138">
        <v>3</v>
      </c>
      <c r="AB219" s="138" t="str">
        <f t="shared" si="52"/>
        <v>{10000,9000,8000}</v>
      </c>
      <c r="AC219" s="138">
        <v>1000</v>
      </c>
      <c r="AD219" s="138">
        <v>4000</v>
      </c>
      <c r="AE219" s="138">
        <f>SUM($R$141:$R219)+SUM($X$141:$X219)</f>
        <v>426440</v>
      </c>
      <c r="AF219" s="138">
        <f>SUM($Q$142:Q219)</f>
        <v>12318</v>
      </c>
      <c r="AG219" s="137">
        <f t="shared" si="49"/>
        <v>463394</v>
      </c>
      <c r="AH219" s="139">
        <f>SUM($S$141:S219)</f>
        <v>125.28202887285</v>
      </c>
      <c r="AI219" s="133">
        <f t="shared" si="50"/>
        <v>2.67647058823529</v>
      </c>
      <c r="AJ219" s="15">
        <f t="shared" si="51"/>
        <v>231300</v>
      </c>
      <c r="AL219" s="15">
        <v>79</v>
      </c>
      <c r="AM219" s="15">
        <f t="shared" si="44"/>
        <v>165590</v>
      </c>
      <c r="AN219" s="15">
        <f>SUMIF([1]装备属性!$M$571:$M$870,"&lt;="&amp;AL219,[1]装备属性!$Q$571:$Q$870)</f>
        <v>1364.81481481481</v>
      </c>
      <c r="AO219" s="15">
        <f t="shared" si="45"/>
        <v>121.327815468114</v>
      </c>
    </row>
    <row r="220" ht="18" spans="1:41">
      <c r="A220" s="9" t="s">
        <v>212</v>
      </c>
      <c r="B220" s="9" t="str">
        <f t="shared" si="34"/>
        <v>[{5205001,3},{2,22200}]</v>
      </c>
      <c r="C220" s="51" t="str">
        <f t="shared" si="35"/>
        <v>[{5203001,355},{2,5620}]</v>
      </c>
      <c r="D220" s="140">
        <v>80</v>
      </c>
      <c r="E220" s="130">
        <f t="shared" si="36"/>
        <v>131</v>
      </c>
      <c r="F220" s="130">
        <v>130</v>
      </c>
      <c r="G220" s="130">
        <v>28</v>
      </c>
      <c r="H220" s="130">
        <f>SUMIFS(基因产出!$F$90:$F$389,基因产出!$D$90:$D$389,"&lt;="&amp;E220,基因产出!$D$90:$D$389,"&gt;"&amp;_xlfn.MAXIFS($E$141:E220,$E$141:E220,"&lt;"&amp;E220))/COUNTIF($E$141:$E$500,E220)</f>
        <v>1690</v>
      </c>
      <c r="I220" s="130">
        <f>IF(COUNTIF($I$141:$I219,$I219)=VLOOKUP($I219,$D$90:$E$120,2,0),$I219+1,$I219)</f>
        <v>10</v>
      </c>
      <c r="J220" s="131">
        <f t="shared" si="37"/>
        <v>58</v>
      </c>
      <c r="K220" s="132" t="str">
        <f t="shared" si="38"/>
        <v/>
      </c>
      <c r="L220" s="132">
        <f t="shared" si="39"/>
        <v>0.03</v>
      </c>
      <c r="M220" s="132" t="str">
        <f t="shared" si="40"/>
        <v/>
      </c>
      <c r="N220" s="132" t="str">
        <f t="shared" si="46"/>
        <v/>
      </c>
      <c r="O220" s="132" t="str">
        <f t="shared" si="41"/>
        <v/>
      </c>
      <c r="P220" s="141">
        <f>(SUM($Q$142:Q220)-SUM($H$141:H220))/SUM($H$141:H220)</f>
        <v>-0.724967433782023</v>
      </c>
      <c r="Q220" s="142">
        <f t="shared" si="33"/>
        <v>350</v>
      </c>
      <c r="R220" s="142">
        <f t="shared" si="31"/>
        <v>5550</v>
      </c>
      <c r="S220" s="133">
        <f t="shared" si="47"/>
        <v>5.42156862745098</v>
      </c>
      <c r="T220" s="134">
        <f>INT(SUM($W$141:W220)/3)+1</f>
        <v>21</v>
      </c>
      <c r="U220" s="135" t="str">
        <f t="shared" si="42"/>
        <v/>
      </c>
      <c r="V220" s="67" t="s">
        <v>78</v>
      </c>
      <c r="W220" s="137">
        <f t="shared" si="48"/>
        <v>3</v>
      </c>
      <c r="X220" s="137">
        <f t="shared" si="43"/>
        <v>22200</v>
      </c>
      <c r="Y220" s="138"/>
      <c r="Z220" s="138">
        <v>2</v>
      </c>
      <c r="AA220" s="138">
        <v>3</v>
      </c>
      <c r="AB220" s="138" t="str">
        <f t="shared" si="52"/>
        <v>{10000,9000,8000}</v>
      </c>
      <c r="AC220" s="138">
        <v>1000</v>
      </c>
      <c r="AD220" s="138">
        <v>4000</v>
      </c>
      <c r="AE220" s="138">
        <f>SUM($R$141:$R220)+SUM($X$141:$X220)</f>
        <v>454190</v>
      </c>
      <c r="AF220" s="138">
        <f>SUM($Q$142:Q220)</f>
        <v>12668</v>
      </c>
      <c r="AG220" s="137">
        <f t="shared" si="49"/>
        <v>492194</v>
      </c>
      <c r="AH220" s="139">
        <f>SUM($S$141:S220)</f>
        <v>130.703597500301</v>
      </c>
      <c r="AI220" s="133">
        <f t="shared" si="50"/>
        <v>2.71078431372549</v>
      </c>
      <c r="AJ220" s="15">
        <f t="shared" si="51"/>
        <v>234300</v>
      </c>
      <c r="AL220" s="15">
        <v>80</v>
      </c>
      <c r="AM220" s="15">
        <f t="shared" si="44"/>
        <v>165590</v>
      </c>
      <c r="AN220" s="15">
        <f>SUMIF([1]装备属性!$M$571:$M$870,"&lt;="&amp;AL220,[1]装备属性!$Q$571:$Q$870)</f>
        <v>1364.81481481481</v>
      </c>
      <c r="AO220" s="15">
        <f t="shared" si="45"/>
        <v>121.327815468114</v>
      </c>
    </row>
    <row r="221" ht="18" spans="1:41">
      <c r="A221" s="9" t="s">
        <v>214</v>
      </c>
      <c r="B221" s="9" t="str">
        <f t="shared" si="34"/>
        <v>[{5205001,3},{2,}]</v>
      </c>
      <c r="C221" s="51" t="str">
        <f t="shared" si="35"/>
        <v>[{5203001,360},{2,5690}]</v>
      </c>
      <c r="D221" s="140">
        <v>81</v>
      </c>
      <c r="E221" s="130">
        <f t="shared" si="36"/>
        <v>138</v>
      </c>
      <c r="F221" s="130">
        <v>132</v>
      </c>
      <c r="G221" s="130">
        <v>28</v>
      </c>
      <c r="H221" s="130">
        <f>SUMIFS(基因产出!$F$90:$F$389,基因产出!$D$90:$D$389,"&lt;="&amp;E221,基因产出!$D$90:$D$389,"&gt;"&amp;_xlfn.MAXIFS($E$141:E221,$E$141:E221,"&lt;"&amp;E221))/COUNTIF($E$141:$E$500,E221)</f>
        <v>2330</v>
      </c>
      <c r="I221" s="130">
        <f>IF(COUNTIF($I$141:$I220,$I220)=VLOOKUP($I220,$D$90:$E$120,2,0),$I220+1,$I220)</f>
        <v>11</v>
      </c>
      <c r="J221" s="131">
        <f t="shared" si="37"/>
        <v>64</v>
      </c>
      <c r="K221" s="132">
        <f t="shared" si="38"/>
        <v>0.05</v>
      </c>
      <c r="L221" s="132" t="str">
        <f t="shared" si="39"/>
        <v/>
      </c>
      <c r="M221" s="132" t="str">
        <f t="shared" si="40"/>
        <v/>
      </c>
      <c r="N221" s="132" t="str">
        <f t="shared" si="46"/>
        <v/>
      </c>
      <c r="O221" s="132" t="str">
        <f t="shared" si="41"/>
        <v/>
      </c>
      <c r="P221" s="141">
        <f>(SUM($Q$142:Q221)-SUM($H$141:H221))/SUM($H$141:H221)</f>
        <v>-0.730874147551147</v>
      </c>
      <c r="Q221" s="142">
        <f t="shared" si="33"/>
        <v>355</v>
      </c>
      <c r="R221" s="142">
        <f t="shared" si="31"/>
        <v>5620</v>
      </c>
      <c r="S221" s="133">
        <f t="shared" si="47"/>
        <v>6.3905325443787</v>
      </c>
      <c r="T221" s="134">
        <f>INT(SUM($W$141:W221)/3)+1</f>
        <v>21</v>
      </c>
      <c r="U221" s="135" t="str">
        <f t="shared" si="42"/>
        <v/>
      </c>
      <c r="V221" s="67" t="s">
        <v>168</v>
      </c>
      <c r="W221" s="137" t="str">
        <f t="shared" si="48"/>
        <v/>
      </c>
      <c r="X221" s="137" t="str">
        <f t="shared" si="43"/>
        <v/>
      </c>
      <c r="Y221" s="138"/>
      <c r="Z221" s="138">
        <v>2</v>
      </c>
      <c r="AA221" s="138">
        <v>3</v>
      </c>
      <c r="AB221" s="138" t="str">
        <f t="shared" si="52"/>
        <v>{10000,9000,8000}</v>
      </c>
      <c r="AC221" s="138">
        <v>1000</v>
      </c>
      <c r="AD221" s="138">
        <v>4000</v>
      </c>
      <c r="AE221" s="138">
        <f>SUM($R$141:$R221)+SUM($X$141:$X221)</f>
        <v>459810</v>
      </c>
      <c r="AF221" s="138">
        <f>SUM($Q$142:Q221)</f>
        <v>13023</v>
      </c>
      <c r="AG221" s="137">
        <f t="shared" si="49"/>
        <v>498879</v>
      </c>
      <c r="AH221" s="139">
        <f>SUM($S$141:S221)</f>
        <v>137.094130044679</v>
      </c>
      <c r="AI221" s="133">
        <f t="shared" si="50"/>
        <v>3.19526627218935</v>
      </c>
      <c r="AJ221" s="15">
        <f t="shared" si="51"/>
        <v>276300</v>
      </c>
      <c r="AL221" s="15">
        <v>81</v>
      </c>
      <c r="AM221" s="15">
        <f t="shared" si="44"/>
        <v>165590</v>
      </c>
      <c r="AN221" s="15">
        <f>SUMIF([1]装备属性!$M$571:$M$870,"&lt;="&amp;AL221,[1]装备属性!$Q$571:$Q$870)</f>
        <v>1364.81481481481</v>
      </c>
      <c r="AO221" s="15">
        <f t="shared" si="45"/>
        <v>121.327815468114</v>
      </c>
    </row>
    <row r="222" ht="18" spans="1:41">
      <c r="A222" s="9" t="s">
        <v>215</v>
      </c>
      <c r="B222" s="9" t="str">
        <f t="shared" si="34"/>
        <v>[{5205001,3},{2,}]</v>
      </c>
      <c r="C222" s="51" t="str">
        <f t="shared" si="35"/>
        <v>[{5203001,365},{2,5760}]</v>
      </c>
      <c r="D222" s="140">
        <v>82</v>
      </c>
      <c r="E222" s="130">
        <f t="shared" si="36"/>
        <v>144</v>
      </c>
      <c r="F222" s="130">
        <v>133</v>
      </c>
      <c r="G222" s="130">
        <v>28</v>
      </c>
      <c r="H222" s="130">
        <f>SUMIFS(基因产出!$F$90:$F$389,基因产出!$D$90:$D$389,"&lt;="&amp;E222,基因产出!$D$90:$D$389,"&gt;"&amp;_xlfn.MAXIFS($E$141:E222,$E$141:E222,"&lt;"&amp;E222))/COUNTIF($E$141:$E$500,E222)</f>
        <v>2010</v>
      </c>
      <c r="I222" s="130">
        <f>IF(COUNTIF($I$141:$I221,$I221)=VLOOKUP($I221,$D$90:$E$120,2,0),$I221+1,$I221)</f>
        <v>11</v>
      </c>
      <c r="J222" s="131">
        <f t="shared" si="37"/>
        <v>64</v>
      </c>
      <c r="K222" s="132" t="str">
        <f t="shared" si="38"/>
        <v/>
      </c>
      <c r="L222" s="132" t="str">
        <f t="shared" si="39"/>
        <v/>
      </c>
      <c r="M222" s="132" t="str">
        <f t="shared" si="40"/>
        <v/>
      </c>
      <c r="N222" s="132">
        <f t="shared" si="46"/>
        <v>0.0075</v>
      </c>
      <c r="O222" s="132" t="str">
        <f t="shared" si="41"/>
        <v/>
      </c>
      <c r="P222" s="141">
        <f>(SUM($Q$142:Q222)-SUM($H$141:H222))/SUM($H$141:H222)</f>
        <v>-0.734464285714286</v>
      </c>
      <c r="Q222" s="142">
        <f t="shared" si="33"/>
        <v>360</v>
      </c>
      <c r="R222" s="142">
        <f t="shared" si="31"/>
        <v>5690</v>
      </c>
      <c r="S222" s="133">
        <f t="shared" si="47"/>
        <v>6.47041420118343</v>
      </c>
      <c r="T222" s="134">
        <f>INT(SUM($W$141:W222)/3)+1</f>
        <v>21</v>
      </c>
      <c r="U222" s="135" t="str">
        <f t="shared" si="42"/>
        <v/>
      </c>
      <c r="V222" s="67" t="s">
        <v>168</v>
      </c>
      <c r="W222" s="137" t="str">
        <f t="shared" si="48"/>
        <v/>
      </c>
      <c r="X222" s="137" t="str">
        <f t="shared" si="43"/>
        <v/>
      </c>
      <c r="Y222" s="138"/>
      <c r="Z222" s="138">
        <v>2</v>
      </c>
      <c r="AA222" s="138">
        <v>3</v>
      </c>
      <c r="AB222" s="138" t="str">
        <f t="shared" si="52"/>
        <v>{10000,9000,8000}</v>
      </c>
      <c r="AC222" s="138">
        <v>1000</v>
      </c>
      <c r="AD222" s="138">
        <v>4000</v>
      </c>
      <c r="AE222" s="138">
        <f>SUM($R$141:$R222)+SUM($X$141:$X222)</f>
        <v>465500</v>
      </c>
      <c r="AF222" s="138">
        <f>SUM($Q$142:Q222)</f>
        <v>13383</v>
      </c>
      <c r="AG222" s="137">
        <f t="shared" si="49"/>
        <v>505649</v>
      </c>
      <c r="AH222" s="139">
        <f>SUM($S$141:S222)</f>
        <v>143.564544245863</v>
      </c>
      <c r="AI222" s="133">
        <f t="shared" si="50"/>
        <v>3.23520710059172</v>
      </c>
      <c r="AJ222" s="15">
        <f t="shared" si="51"/>
        <v>279600</v>
      </c>
      <c r="AL222" s="15">
        <v>82</v>
      </c>
      <c r="AM222" s="15">
        <f t="shared" si="44"/>
        <v>170440</v>
      </c>
      <c r="AN222" s="15">
        <f>SUMIF([1]装备属性!$M$571:$M$870,"&lt;="&amp;AL222,[1]装备属性!$Q$571:$Q$870)</f>
        <v>1364.81481481481</v>
      </c>
      <c r="AO222" s="15">
        <f t="shared" si="45"/>
        <v>124.881411126188</v>
      </c>
    </row>
    <row r="223" ht="18" spans="1:41">
      <c r="A223" s="9" t="s">
        <v>216</v>
      </c>
      <c r="B223" s="9" t="str">
        <f t="shared" si="34"/>
        <v>[{5205001,3},{2,}]</v>
      </c>
      <c r="C223" s="51" t="str">
        <f t="shared" si="35"/>
        <v>[{5203001,370},{2,5830}]</v>
      </c>
      <c r="D223" s="140">
        <v>83</v>
      </c>
      <c r="E223" s="130">
        <f t="shared" si="36"/>
        <v>151</v>
      </c>
      <c r="F223" s="130">
        <v>134</v>
      </c>
      <c r="G223" s="130">
        <v>28</v>
      </c>
      <c r="H223" s="130">
        <f>SUMIFS(基因产出!$F$90:$F$389,基因产出!$D$90:$D$389,"&lt;="&amp;E223,基因产出!$D$90:$D$389,"&gt;"&amp;_xlfn.MAXIFS($E$141:E223,$E$141:E223,"&lt;"&amp;E223))/COUNTIF($E$141:$E$500,E223)</f>
        <v>2360</v>
      </c>
      <c r="I223" s="130">
        <f>IF(COUNTIF($I$141:$I222,$I222)=VLOOKUP($I222,$D$90:$E$120,2,0),$I222+1,$I222)</f>
        <v>11</v>
      </c>
      <c r="J223" s="131">
        <f t="shared" si="37"/>
        <v>64</v>
      </c>
      <c r="K223" s="132" t="str">
        <f t="shared" si="38"/>
        <v/>
      </c>
      <c r="L223" s="132" t="str">
        <f t="shared" si="39"/>
        <v/>
      </c>
      <c r="M223" s="132">
        <f t="shared" si="40"/>
        <v>0.002</v>
      </c>
      <c r="N223" s="132" t="str">
        <f t="shared" si="46"/>
        <v/>
      </c>
      <c r="O223" s="132" t="str">
        <f t="shared" si="41"/>
        <v/>
      </c>
      <c r="P223" s="141">
        <f>(SUM($Q$142:Q223)-SUM($H$141:H223))/SUM($H$141:H223)</f>
        <v>-0.739423805913571</v>
      </c>
      <c r="Q223" s="142">
        <f t="shared" si="33"/>
        <v>365</v>
      </c>
      <c r="R223" s="142">
        <f t="shared" si="31"/>
        <v>5760</v>
      </c>
      <c r="S223" s="133">
        <f t="shared" si="47"/>
        <v>6.55029585798817</v>
      </c>
      <c r="T223" s="134">
        <f>INT(SUM($W$141:W223)/3)+1</f>
        <v>21</v>
      </c>
      <c r="U223" s="135" t="str">
        <f t="shared" si="42"/>
        <v/>
      </c>
      <c r="V223" s="67" t="s">
        <v>168</v>
      </c>
      <c r="W223" s="137" t="str">
        <f t="shared" si="48"/>
        <v/>
      </c>
      <c r="X223" s="137" t="str">
        <f t="shared" si="43"/>
        <v/>
      </c>
      <c r="Y223" s="138"/>
      <c r="Z223" s="138">
        <v>2</v>
      </c>
      <c r="AA223" s="138">
        <v>3</v>
      </c>
      <c r="AB223" s="138" t="str">
        <f t="shared" si="52"/>
        <v>{10000,9000,8000}</v>
      </c>
      <c r="AC223" s="138">
        <v>1000</v>
      </c>
      <c r="AD223" s="138">
        <v>4000</v>
      </c>
      <c r="AE223" s="138">
        <f>SUM($R$141:$R223)+SUM($X$141:$X223)</f>
        <v>471260</v>
      </c>
      <c r="AF223" s="138">
        <f>SUM($Q$142:Q223)</f>
        <v>13748</v>
      </c>
      <c r="AG223" s="137">
        <f t="shared" si="49"/>
        <v>512504</v>
      </c>
      <c r="AH223" s="139">
        <f>SUM($S$141:S223)</f>
        <v>150.114840103851</v>
      </c>
      <c r="AI223" s="133">
        <f t="shared" si="50"/>
        <v>3.27514792899408</v>
      </c>
      <c r="AJ223" s="15">
        <f t="shared" si="51"/>
        <v>283200</v>
      </c>
      <c r="AL223" s="15">
        <v>83</v>
      </c>
      <c r="AM223" s="15">
        <f t="shared" si="44"/>
        <v>170440</v>
      </c>
      <c r="AN223" s="15">
        <f>SUMIF([1]装备属性!$M$571:$M$870,"&lt;="&amp;AL223,[1]装备属性!$Q$571:$Q$870)</f>
        <v>1364.81481481481</v>
      </c>
      <c r="AO223" s="15">
        <f t="shared" si="45"/>
        <v>124.881411126188</v>
      </c>
    </row>
    <row r="224" ht="18" spans="1:41">
      <c r="A224" s="9" t="s">
        <v>217</v>
      </c>
      <c r="B224" s="9" t="str">
        <f t="shared" si="34"/>
        <v>[{5205001,3},{2,23320}]</v>
      </c>
      <c r="C224" s="51" t="str">
        <f t="shared" si="35"/>
        <v>[{5203001,375},{2,5900}]</v>
      </c>
      <c r="D224" s="140">
        <v>84</v>
      </c>
      <c r="E224" s="130">
        <f t="shared" si="36"/>
        <v>157</v>
      </c>
      <c r="F224" s="130">
        <v>135</v>
      </c>
      <c r="G224" s="130">
        <v>28</v>
      </c>
      <c r="H224" s="130">
        <f>SUMIFS(基因产出!$F$90:$F$389,基因产出!$D$90:$D$389,"&lt;="&amp;E224,基因产出!$D$90:$D$389,"&gt;"&amp;_xlfn.MAXIFS($E$141:E224,$E$141:E224,"&lt;"&amp;E224))/COUNTIF($E$141:$E$500,E224)</f>
        <v>2010</v>
      </c>
      <c r="I224" s="130">
        <f>IF(COUNTIF($I$141:$I223,$I223)=VLOOKUP($I223,$D$90:$E$120,2,0),$I223+1,$I223)</f>
        <v>11</v>
      </c>
      <c r="J224" s="131">
        <f t="shared" si="37"/>
        <v>64</v>
      </c>
      <c r="K224" s="132" t="str">
        <f t="shared" si="38"/>
        <v/>
      </c>
      <c r="L224" s="132">
        <f t="shared" si="39"/>
        <v>0.03</v>
      </c>
      <c r="M224" s="132" t="str">
        <f t="shared" si="40"/>
        <v/>
      </c>
      <c r="N224" s="132" t="str">
        <f t="shared" si="46"/>
        <v/>
      </c>
      <c r="O224" s="132" t="str">
        <f t="shared" si="41"/>
        <v/>
      </c>
      <c r="P224" s="141">
        <f>(SUM($Q$142:Q224)-SUM($H$141:H224))/SUM($H$141:H224)</f>
        <v>-0.742231148438926</v>
      </c>
      <c r="Q224" s="142">
        <f t="shared" si="33"/>
        <v>370</v>
      </c>
      <c r="R224" s="142">
        <f t="shared" ref="R224:R287" si="53">R223+70</f>
        <v>5830</v>
      </c>
      <c r="S224" s="133">
        <f t="shared" si="47"/>
        <v>6.6301775147929</v>
      </c>
      <c r="T224" s="134">
        <f>INT(SUM($W$141:W224)/3)+1</f>
        <v>22</v>
      </c>
      <c r="U224" s="135" t="str">
        <f t="shared" si="42"/>
        <v/>
      </c>
      <c r="V224" s="67" t="s">
        <v>90</v>
      </c>
      <c r="W224" s="137">
        <f t="shared" si="48"/>
        <v>3</v>
      </c>
      <c r="X224" s="137">
        <f t="shared" si="43"/>
        <v>23320</v>
      </c>
      <c r="Y224" s="138"/>
      <c r="Z224" s="138">
        <v>2</v>
      </c>
      <c r="AA224" s="138">
        <v>3</v>
      </c>
      <c r="AB224" s="138" t="str">
        <f t="shared" si="52"/>
        <v>{10000,9000,8000}</v>
      </c>
      <c r="AC224" s="138">
        <v>1000</v>
      </c>
      <c r="AD224" s="138">
        <v>4000</v>
      </c>
      <c r="AE224" s="138">
        <f>SUM($R$141:$R224)+SUM($X$141:$X224)</f>
        <v>500410</v>
      </c>
      <c r="AF224" s="138">
        <f>SUM($Q$142:Q224)</f>
        <v>14118</v>
      </c>
      <c r="AG224" s="137">
        <f t="shared" si="49"/>
        <v>542764</v>
      </c>
      <c r="AH224" s="139">
        <f>SUM($S$141:S224)</f>
        <v>156.745017618644</v>
      </c>
      <c r="AI224" s="133">
        <f t="shared" si="50"/>
        <v>3.31508875739645</v>
      </c>
      <c r="AJ224" s="15">
        <f t="shared" si="51"/>
        <v>286500</v>
      </c>
      <c r="AL224" s="15">
        <v>84</v>
      </c>
      <c r="AM224" s="15">
        <f t="shared" si="44"/>
        <v>170440</v>
      </c>
      <c r="AN224" s="15">
        <f>SUMIF([1]装备属性!$M$571:$M$870,"&lt;="&amp;AL224,[1]装备属性!$Q$571:$Q$870)</f>
        <v>1364.81481481481</v>
      </c>
      <c r="AO224" s="15">
        <f t="shared" si="45"/>
        <v>124.881411126188</v>
      </c>
    </row>
    <row r="225" ht="18" spans="1:41">
      <c r="A225" s="9" t="s">
        <v>214</v>
      </c>
      <c r="B225" s="9" t="str">
        <f t="shared" si="34"/>
        <v>[{5205001,3},{2,}]</v>
      </c>
      <c r="C225" s="51" t="str">
        <f t="shared" si="35"/>
        <v>[{5203001,380},{2,5970}]</v>
      </c>
      <c r="D225" s="140">
        <v>85</v>
      </c>
      <c r="E225" s="130">
        <f t="shared" si="36"/>
        <v>164</v>
      </c>
      <c r="F225" s="130">
        <v>136</v>
      </c>
      <c r="G225" s="130">
        <v>28</v>
      </c>
      <c r="H225" s="130">
        <f>SUMIFS(基因产出!$F$90:$F$389,基因产出!$D$90:$D$389,"&lt;="&amp;E225,基因产出!$D$90:$D$389,"&gt;"&amp;_xlfn.MAXIFS($E$141:E225,$E$141:E225,"&lt;"&amp;E225))/COUNTIF($E$141:$E$500,E225)</f>
        <v>2330</v>
      </c>
      <c r="I225" s="130">
        <f>IF(COUNTIF($I$141:$I224,$I224)=VLOOKUP($I224,$D$90:$E$120,2,0),$I224+1,$I224)</f>
        <v>11</v>
      </c>
      <c r="J225" s="131">
        <f t="shared" si="37"/>
        <v>64</v>
      </c>
      <c r="K225" s="132">
        <f t="shared" si="38"/>
        <v>0.05</v>
      </c>
      <c r="L225" s="132" t="str">
        <f t="shared" si="39"/>
        <v/>
      </c>
      <c r="M225" s="132" t="str">
        <f t="shared" si="40"/>
        <v/>
      </c>
      <c r="N225" s="132" t="str">
        <f t="shared" si="46"/>
        <v/>
      </c>
      <c r="O225" s="132" t="str">
        <f t="shared" si="41"/>
        <v/>
      </c>
      <c r="P225" s="141">
        <f>(SUM($Q$142:Q225)-SUM($H$141:H225))/SUM($H$141:H225)</f>
        <v>-0.746182136602452</v>
      </c>
      <c r="Q225" s="142">
        <f t="shared" si="33"/>
        <v>375</v>
      </c>
      <c r="R225" s="142">
        <f t="shared" si="53"/>
        <v>5900</v>
      </c>
      <c r="S225" s="133">
        <f t="shared" si="47"/>
        <v>6.71005917159763</v>
      </c>
      <c r="T225" s="134">
        <f>INT(SUM($W$141:W225)/3)+1</f>
        <v>22</v>
      </c>
      <c r="U225" s="135" t="str">
        <f t="shared" si="42"/>
        <v/>
      </c>
      <c r="V225" s="67" t="s">
        <v>168</v>
      </c>
      <c r="W225" s="137" t="str">
        <f t="shared" si="48"/>
        <v/>
      </c>
      <c r="X225" s="137" t="str">
        <f t="shared" si="43"/>
        <v/>
      </c>
      <c r="Y225" s="138"/>
      <c r="Z225" s="138">
        <v>2</v>
      </c>
      <c r="AA225" s="138">
        <v>3</v>
      </c>
      <c r="AB225" s="138" t="str">
        <f t="shared" si="52"/>
        <v>{10000,9000,8000}</v>
      </c>
      <c r="AC225" s="138">
        <v>1000</v>
      </c>
      <c r="AD225" s="138">
        <v>4000</v>
      </c>
      <c r="AE225" s="138">
        <f>SUM($R$141:$R225)+SUM($X$141:$X225)</f>
        <v>506310</v>
      </c>
      <c r="AF225" s="138">
        <f>SUM($Q$142:Q225)</f>
        <v>14493</v>
      </c>
      <c r="AG225" s="137">
        <f t="shared" si="49"/>
        <v>549789</v>
      </c>
      <c r="AH225" s="139">
        <f>SUM($S$141:S225)</f>
        <v>163.455076790242</v>
      </c>
      <c r="AI225" s="133">
        <f t="shared" si="50"/>
        <v>3.35502958579882</v>
      </c>
      <c r="AJ225" s="15">
        <f t="shared" si="51"/>
        <v>290100</v>
      </c>
      <c r="AL225" s="15">
        <v>85</v>
      </c>
      <c r="AM225" s="15">
        <f t="shared" si="44"/>
        <v>170440</v>
      </c>
      <c r="AN225" s="15">
        <f>SUMIF([1]装备属性!$M$571:$M$870,"&lt;="&amp;AL225,[1]装备属性!$Q$571:$Q$870)</f>
        <v>1479.81481481481</v>
      </c>
      <c r="AO225" s="15">
        <f t="shared" si="45"/>
        <v>115.176573645351</v>
      </c>
    </row>
    <row r="226" ht="18" spans="1:41">
      <c r="A226" s="9" t="s">
        <v>215</v>
      </c>
      <c r="B226" s="9" t="str">
        <f t="shared" si="34"/>
        <v>[{5205001,3},{2,}]</v>
      </c>
      <c r="C226" s="51" t="str">
        <f t="shared" si="35"/>
        <v>[{5203001,385},{2,6040}]</v>
      </c>
      <c r="D226" s="140">
        <v>86</v>
      </c>
      <c r="E226" s="130">
        <f t="shared" si="36"/>
        <v>171</v>
      </c>
      <c r="F226" s="130">
        <v>137</v>
      </c>
      <c r="G226" s="130">
        <v>28</v>
      </c>
      <c r="H226" s="130">
        <f>SUMIFS(基因产出!$F$90:$F$389,基因产出!$D$90:$D$389,"&lt;="&amp;E226,基因产出!$D$90:$D$389,"&gt;"&amp;_xlfn.MAXIFS($E$141:E226,$E$141:E226,"&lt;"&amp;E226))/COUNTIF($E$141:$E$500,E226)</f>
        <v>2360</v>
      </c>
      <c r="I226" s="130">
        <f>IF(COUNTIF($I$141:$I225,$I225)=VLOOKUP($I225,$D$90:$E$120,2,0),$I225+1,$I225)</f>
        <v>11</v>
      </c>
      <c r="J226" s="131">
        <f t="shared" si="37"/>
        <v>64</v>
      </c>
      <c r="K226" s="132" t="str">
        <f t="shared" si="38"/>
        <v/>
      </c>
      <c r="L226" s="132" t="str">
        <f t="shared" si="39"/>
        <v/>
      </c>
      <c r="M226" s="132" t="str">
        <f t="shared" si="40"/>
        <v/>
      </c>
      <c r="N226" s="132">
        <f t="shared" si="46"/>
        <v>0.0075</v>
      </c>
      <c r="O226" s="132" t="str">
        <f t="shared" si="41"/>
        <v/>
      </c>
      <c r="P226" s="141">
        <f>(SUM($Q$142:Q226)-SUM($H$141:H226))/SUM($H$141:H226)</f>
        <v>-0.749865455768584</v>
      </c>
      <c r="Q226" s="142">
        <f t="shared" si="33"/>
        <v>380</v>
      </c>
      <c r="R226" s="142">
        <f t="shared" si="53"/>
        <v>5970</v>
      </c>
      <c r="S226" s="133">
        <f t="shared" si="47"/>
        <v>6.78994082840237</v>
      </c>
      <c r="T226" s="134">
        <f>INT(SUM($W$141:W226)/3)+1</f>
        <v>22</v>
      </c>
      <c r="U226" s="135" t="str">
        <f t="shared" si="42"/>
        <v/>
      </c>
      <c r="V226" s="67" t="s">
        <v>168</v>
      </c>
      <c r="W226" s="137" t="str">
        <f t="shared" si="48"/>
        <v/>
      </c>
      <c r="X226" s="137" t="str">
        <f t="shared" si="43"/>
        <v/>
      </c>
      <c r="Y226" s="138"/>
      <c r="Z226" s="138">
        <v>2</v>
      </c>
      <c r="AA226" s="138">
        <v>3</v>
      </c>
      <c r="AB226" s="138" t="str">
        <f t="shared" si="52"/>
        <v>{10000,9000,8000}</v>
      </c>
      <c r="AC226" s="138">
        <v>1000</v>
      </c>
      <c r="AD226" s="138">
        <v>4000</v>
      </c>
      <c r="AE226" s="138">
        <f>SUM($R$141:$R226)+SUM($X$141:$X226)</f>
        <v>512280</v>
      </c>
      <c r="AF226" s="138">
        <f>SUM($Q$142:Q226)</f>
        <v>14873</v>
      </c>
      <c r="AG226" s="137">
        <f t="shared" si="49"/>
        <v>556899</v>
      </c>
      <c r="AH226" s="139">
        <f>SUM($S$141:S226)</f>
        <v>170.245017618644</v>
      </c>
      <c r="AI226" s="133">
        <f t="shared" si="50"/>
        <v>3.39497041420118</v>
      </c>
      <c r="AJ226" s="15">
        <f t="shared" si="51"/>
        <v>293400</v>
      </c>
      <c r="AL226" s="15">
        <v>86</v>
      </c>
      <c r="AM226" s="15">
        <f t="shared" si="44"/>
        <v>175360</v>
      </c>
      <c r="AN226" s="15">
        <f>SUMIF([1]装备属性!$M$571:$M$870,"&lt;="&amp;AL226,[1]装备属性!$Q$571:$Q$870)</f>
        <v>1560.92592592593</v>
      </c>
      <c r="AO226" s="15">
        <f t="shared" si="45"/>
        <v>112.343575750385</v>
      </c>
    </row>
    <row r="227" ht="18" spans="1:41">
      <c r="A227" s="9" t="s">
        <v>216</v>
      </c>
      <c r="B227" s="9" t="str">
        <f t="shared" si="34"/>
        <v>[{5205001,3},{2,}]</v>
      </c>
      <c r="C227" s="51" t="str">
        <f t="shared" si="35"/>
        <v>[{5203001,390},{2,6110}]</v>
      </c>
      <c r="D227" s="140">
        <v>87</v>
      </c>
      <c r="E227" s="130">
        <f t="shared" si="36"/>
        <v>178</v>
      </c>
      <c r="F227" s="130">
        <v>138</v>
      </c>
      <c r="G227" s="130">
        <v>28</v>
      </c>
      <c r="H227" s="130">
        <f>SUMIFS(基因产出!$F$90:$F$389,基因产出!$D$90:$D$389,"&lt;="&amp;E227,基因产出!$D$90:$D$389,"&gt;"&amp;_xlfn.MAXIFS($E$141:E227,$E$141:E227,"&lt;"&amp;E227))/COUNTIF($E$141:$E$500,E227)</f>
        <v>2330</v>
      </c>
      <c r="I227" s="130">
        <f>IF(COUNTIF($I$141:$I226,$I226)=VLOOKUP($I226,$D$90:$E$120,2,0),$I226+1,$I226)</f>
        <v>11</v>
      </c>
      <c r="J227" s="131">
        <f t="shared" si="37"/>
        <v>64</v>
      </c>
      <c r="K227" s="132" t="str">
        <f t="shared" si="38"/>
        <v/>
      </c>
      <c r="L227" s="132" t="str">
        <f t="shared" si="39"/>
        <v/>
      </c>
      <c r="M227" s="132">
        <f t="shared" si="40"/>
        <v>0.002</v>
      </c>
      <c r="N227" s="132" t="str">
        <f t="shared" si="46"/>
        <v/>
      </c>
      <c r="O227" s="132" t="str">
        <f t="shared" si="41"/>
        <v/>
      </c>
      <c r="P227" s="141">
        <f>(SUM($Q$142:Q227)-SUM($H$141:H227))/SUM($H$141:H227)</f>
        <v>-0.753066839294384</v>
      </c>
      <c r="Q227" s="142">
        <f t="shared" si="33"/>
        <v>385</v>
      </c>
      <c r="R227" s="142">
        <f t="shared" si="53"/>
        <v>6040</v>
      </c>
      <c r="S227" s="133">
        <f t="shared" si="47"/>
        <v>6.8698224852071</v>
      </c>
      <c r="T227" s="134">
        <f>INT(SUM($W$141:W227)/3)+1</f>
        <v>22</v>
      </c>
      <c r="U227" s="135" t="str">
        <f t="shared" si="42"/>
        <v/>
      </c>
      <c r="V227" s="67" t="s">
        <v>168</v>
      </c>
      <c r="W227" s="137" t="str">
        <f t="shared" si="48"/>
        <v/>
      </c>
      <c r="X227" s="137" t="str">
        <f t="shared" si="43"/>
        <v/>
      </c>
      <c r="Y227" s="138"/>
      <c r="Z227" s="138">
        <v>2</v>
      </c>
      <c r="AA227" s="138">
        <v>3</v>
      </c>
      <c r="AB227" s="138" t="str">
        <f t="shared" si="52"/>
        <v>{10000,9000,8000}</v>
      </c>
      <c r="AC227" s="138">
        <v>1000</v>
      </c>
      <c r="AD227" s="138">
        <v>4000</v>
      </c>
      <c r="AE227" s="138">
        <f>SUM($R$141:$R227)+SUM($X$141:$X227)</f>
        <v>518320</v>
      </c>
      <c r="AF227" s="138">
        <f>SUM($Q$142:Q227)</f>
        <v>15258</v>
      </c>
      <c r="AG227" s="137">
        <f t="shared" si="49"/>
        <v>564094</v>
      </c>
      <c r="AH227" s="139">
        <f>SUM($S$141:S227)</f>
        <v>177.114840103851</v>
      </c>
      <c r="AI227" s="133">
        <f t="shared" si="50"/>
        <v>3.43491124260355</v>
      </c>
      <c r="AJ227" s="15">
        <f t="shared" si="51"/>
        <v>297000</v>
      </c>
      <c r="AL227" s="15">
        <v>87</v>
      </c>
      <c r="AM227" s="15">
        <f t="shared" si="44"/>
        <v>175360</v>
      </c>
      <c r="AN227" s="15">
        <f>SUMIF([1]装备属性!$M$571:$M$870,"&lt;="&amp;AL227,[1]装备属性!$Q$571:$Q$870)</f>
        <v>1757.03703703704</v>
      </c>
      <c r="AO227" s="15">
        <f t="shared" si="45"/>
        <v>99.8043844856659</v>
      </c>
    </row>
    <row r="228" ht="18" spans="1:41">
      <c r="A228" s="9" t="s">
        <v>217</v>
      </c>
      <c r="B228" s="9" t="str">
        <f t="shared" si="34"/>
        <v>[{5205001,3},{2,24440}]</v>
      </c>
      <c r="C228" s="51" t="str">
        <f t="shared" si="35"/>
        <v>[{5203001,395},{2,6180}]</v>
      </c>
      <c r="D228" s="140">
        <v>88</v>
      </c>
      <c r="E228" s="130">
        <f t="shared" si="36"/>
        <v>185</v>
      </c>
      <c r="F228" s="130">
        <v>139</v>
      </c>
      <c r="G228" s="130">
        <v>28</v>
      </c>
      <c r="H228" s="130">
        <f>SUMIFS(基因产出!$F$90:$F$389,基因产出!$D$90:$D$389,"&lt;="&amp;E228,基因产出!$D$90:$D$389,"&gt;"&amp;_xlfn.MAXIFS($E$141:E228,$E$141:E228,"&lt;"&amp;E228))/COUNTIF($E$141:$E$500,E228)</f>
        <v>2360</v>
      </c>
      <c r="I228" s="130">
        <f>IF(COUNTIF($I$141:$I227,$I227)=VLOOKUP($I227,$D$90:$E$120,2,0),$I227+1,$I227)</f>
        <v>11</v>
      </c>
      <c r="J228" s="131">
        <f t="shared" si="37"/>
        <v>64</v>
      </c>
      <c r="K228" s="132" t="str">
        <f t="shared" si="38"/>
        <v/>
      </c>
      <c r="L228" s="132">
        <f t="shared" si="39"/>
        <v>0.03</v>
      </c>
      <c r="M228" s="132" t="str">
        <f t="shared" si="40"/>
        <v/>
      </c>
      <c r="N228" s="132" t="str">
        <f t="shared" si="46"/>
        <v/>
      </c>
      <c r="O228" s="132" t="str">
        <f t="shared" si="41"/>
        <v/>
      </c>
      <c r="P228" s="141">
        <f>(SUM($Q$142:Q228)-SUM($H$141:H228))/SUM($H$141:H228)</f>
        <v>-0.756071706936867</v>
      </c>
      <c r="Q228" s="142">
        <f t="shared" si="33"/>
        <v>390</v>
      </c>
      <c r="R228" s="142">
        <f t="shared" si="53"/>
        <v>6110</v>
      </c>
      <c r="S228" s="133">
        <f t="shared" si="47"/>
        <v>6.94970414201183</v>
      </c>
      <c r="T228" s="134">
        <f>INT(SUM($W$141:W228)/3)+1</f>
        <v>23</v>
      </c>
      <c r="U228" s="135" t="str">
        <f t="shared" si="42"/>
        <v/>
      </c>
      <c r="V228" s="143" t="s">
        <v>218</v>
      </c>
      <c r="W228" s="137">
        <f t="shared" si="48"/>
        <v>3</v>
      </c>
      <c r="X228" s="137">
        <f t="shared" si="43"/>
        <v>24440</v>
      </c>
      <c r="Y228" s="138"/>
      <c r="Z228" s="138">
        <v>2</v>
      </c>
      <c r="AA228" s="138">
        <v>3</v>
      </c>
      <c r="AB228" s="138" t="str">
        <f t="shared" si="52"/>
        <v>{10000,9000,8000}</v>
      </c>
      <c r="AC228" s="138">
        <v>1000</v>
      </c>
      <c r="AD228" s="138">
        <v>4000</v>
      </c>
      <c r="AE228" s="138">
        <f>SUM($R$141:$R228)+SUM($X$141:$X228)</f>
        <v>548870</v>
      </c>
      <c r="AF228" s="138">
        <f>SUM($Q$142:Q228)</f>
        <v>15648</v>
      </c>
      <c r="AG228" s="137">
        <f t="shared" si="49"/>
        <v>595814</v>
      </c>
      <c r="AH228" s="139">
        <f>SUM($S$141:S228)</f>
        <v>184.064544245863</v>
      </c>
      <c r="AI228" s="133">
        <f t="shared" si="50"/>
        <v>3.47485207100592</v>
      </c>
      <c r="AJ228" s="15">
        <f t="shared" si="51"/>
        <v>300300</v>
      </c>
      <c r="AL228" s="15">
        <v>88</v>
      </c>
      <c r="AM228" s="15">
        <f t="shared" si="44"/>
        <v>175360</v>
      </c>
      <c r="AN228" s="15">
        <f>SUMIF([1]装备属性!$M$571:$M$870,"&lt;="&amp;AL228,[1]装备属性!$Q$571:$Q$870)</f>
        <v>1872.03703703704</v>
      </c>
      <c r="AO228" s="15">
        <f t="shared" si="45"/>
        <v>93.6733603719456</v>
      </c>
    </row>
    <row r="229" ht="18" spans="1:41">
      <c r="A229" s="9" t="s">
        <v>219</v>
      </c>
      <c r="B229" s="9" t="str">
        <f t="shared" si="34"/>
        <v>[{5205001,3},{2,}]</v>
      </c>
      <c r="C229" s="51" t="str">
        <f t="shared" si="35"/>
        <v>[{5203001,400},{2,6250}]</v>
      </c>
      <c r="D229" s="140">
        <v>89</v>
      </c>
      <c r="E229" s="130">
        <f t="shared" si="36"/>
        <v>192</v>
      </c>
      <c r="F229" s="130">
        <v>141</v>
      </c>
      <c r="G229" s="130">
        <v>28</v>
      </c>
      <c r="H229" s="130">
        <f>SUMIFS(基因产出!$F$90:$F$389,基因产出!$D$90:$D$389,"&lt;="&amp;E229,基因产出!$D$90:$D$389,"&gt;"&amp;_xlfn.MAXIFS($E$141:E229,$E$141:E229,"&lt;"&amp;E229))/COUNTIF($E$141:$E$500,E229)</f>
        <v>2300</v>
      </c>
      <c r="I229" s="130">
        <f>IF(COUNTIF($I$141:$I228,$I228)=VLOOKUP($I228,$D$90:$E$120,2,0),$I228+1,$I228)</f>
        <v>12</v>
      </c>
      <c r="J229" s="131">
        <f t="shared" si="37"/>
        <v>70</v>
      </c>
      <c r="K229" s="132">
        <f t="shared" si="38"/>
        <v>0.05</v>
      </c>
      <c r="L229" s="132" t="str">
        <f t="shared" si="39"/>
        <v/>
      </c>
      <c r="M229" s="132" t="str">
        <f t="shared" si="40"/>
        <v/>
      </c>
      <c r="N229" s="132" t="str">
        <f t="shared" si="46"/>
        <v/>
      </c>
      <c r="O229" s="132" t="str">
        <f t="shared" si="41"/>
        <v/>
      </c>
      <c r="P229" s="141">
        <f>(SUM($Q$142:Q229)-SUM($H$141:H229))/SUM($H$141:H229)</f>
        <v>-0.75857035364936</v>
      </c>
      <c r="Q229" s="142">
        <f t="shared" si="33"/>
        <v>395</v>
      </c>
      <c r="R229" s="142">
        <f t="shared" si="53"/>
        <v>6180</v>
      </c>
      <c r="S229" s="133">
        <f t="shared" si="47"/>
        <v>7.84864864864865</v>
      </c>
      <c r="T229" s="134">
        <f>INT(SUM($W$141:W229)/3)+1</f>
        <v>23</v>
      </c>
      <c r="U229" s="135" t="str">
        <f t="shared" si="42"/>
        <v/>
      </c>
      <c r="V229" s="67" t="s">
        <v>168</v>
      </c>
      <c r="W229" s="137" t="str">
        <f t="shared" si="48"/>
        <v/>
      </c>
      <c r="X229" s="137" t="str">
        <f t="shared" si="43"/>
        <v/>
      </c>
      <c r="Y229" s="138"/>
      <c r="Z229" s="138">
        <v>2</v>
      </c>
      <c r="AA229" s="138">
        <v>3</v>
      </c>
      <c r="AB229" s="138" t="str">
        <f t="shared" si="52"/>
        <v>{10000,9000,8000}</v>
      </c>
      <c r="AC229" s="138">
        <v>1000</v>
      </c>
      <c r="AD229" s="138">
        <v>4000</v>
      </c>
      <c r="AE229" s="138">
        <f>SUM($R$141:$R229)+SUM($X$141:$X229)</f>
        <v>555050</v>
      </c>
      <c r="AF229" s="138">
        <f>SUM($Q$142:Q229)</f>
        <v>16043</v>
      </c>
      <c r="AG229" s="137">
        <f t="shared" si="49"/>
        <v>603179</v>
      </c>
      <c r="AH229" s="139">
        <f>SUM($S$141:S229)</f>
        <v>191.913192894512</v>
      </c>
      <c r="AI229" s="133">
        <f t="shared" si="50"/>
        <v>3.92432432432432</v>
      </c>
      <c r="AJ229" s="15">
        <f t="shared" si="51"/>
        <v>339300</v>
      </c>
      <c r="AL229" s="15">
        <v>89</v>
      </c>
      <c r="AM229" s="15">
        <f t="shared" si="44"/>
        <v>175360</v>
      </c>
      <c r="AN229" s="15">
        <f>SUMIF([1]装备属性!$M$571:$M$870,"&lt;="&amp;AL229,[1]装备属性!$Q$571:$Q$870)</f>
        <v>1990.37037037037</v>
      </c>
      <c r="AO229" s="15">
        <f t="shared" si="45"/>
        <v>88.104205433569</v>
      </c>
    </row>
    <row r="230" ht="18" spans="1:41">
      <c r="A230" s="9" t="s">
        <v>220</v>
      </c>
      <c r="B230" s="9" t="str">
        <f t="shared" si="34"/>
        <v>[{5205001,3},{2,}]</v>
      </c>
      <c r="C230" s="51" t="str">
        <f t="shared" si="35"/>
        <v>[{5203001,405},{2,6320}]</v>
      </c>
      <c r="D230" s="140">
        <v>90</v>
      </c>
      <c r="E230" s="130">
        <f t="shared" si="36"/>
        <v>200</v>
      </c>
      <c r="F230" s="130">
        <v>142</v>
      </c>
      <c r="G230" s="130">
        <v>28</v>
      </c>
      <c r="H230" s="130">
        <f>SUMIFS(基因产出!$F$90:$F$389,基因产出!$D$90:$D$389,"&lt;="&amp;E230,基因产出!$D$90:$D$389,"&gt;"&amp;_xlfn.MAXIFS($E$141:E230,$E$141:E230,"&lt;"&amp;E230))/COUNTIF($E$141:$E$500,E230)</f>
        <v>2650</v>
      </c>
      <c r="I230" s="130">
        <f>IF(COUNTIF($I$141:$I229,$I229)=VLOOKUP($I229,$D$90:$E$120,2,0),$I229+1,$I229)</f>
        <v>12</v>
      </c>
      <c r="J230" s="131">
        <f t="shared" si="37"/>
        <v>70</v>
      </c>
      <c r="K230" s="132" t="str">
        <f t="shared" si="38"/>
        <v/>
      </c>
      <c r="L230" s="132" t="str">
        <f t="shared" si="39"/>
        <v/>
      </c>
      <c r="M230" s="132" t="str">
        <f t="shared" si="40"/>
        <v/>
      </c>
      <c r="N230" s="132">
        <f t="shared" si="46"/>
        <v>0.0075</v>
      </c>
      <c r="O230" s="132" t="str">
        <f t="shared" si="41"/>
        <v/>
      </c>
      <c r="P230" s="141">
        <f>(SUM($Q$142:Q230)-SUM($H$141:H230))/SUM($H$141:H230)</f>
        <v>-0.762040520984081</v>
      </c>
      <c r="Q230" s="142">
        <f t="shared" si="33"/>
        <v>400</v>
      </c>
      <c r="R230" s="142">
        <f t="shared" si="53"/>
        <v>6250</v>
      </c>
      <c r="S230" s="133">
        <f t="shared" si="47"/>
        <v>7.93783783783784</v>
      </c>
      <c r="T230" s="134">
        <f>INT(SUM($W$141:W230)/3)+1</f>
        <v>23</v>
      </c>
      <c r="U230" s="135" t="str">
        <f t="shared" si="42"/>
        <v/>
      </c>
      <c r="V230" s="67" t="s">
        <v>168</v>
      </c>
      <c r="W230" s="137" t="str">
        <f t="shared" si="48"/>
        <v/>
      </c>
      <c r="X230" s="137" t="str">
        <f t="shared" si="43"/>
        <v/>
      </c>
      <c r="Y230" s="138"/>
      <c r="Z230" s="138">
        <v>2</v>
      </c>
      <c r="AA230" s="138">
        <v>3</v>
      </c>
      <c r="AB230" s="138" t="str">
        <f t="shared" si="52"/>
        <v>{10000,9000,8000}</v>
      </c>
      <c r="AC230" s="138">
        <v>1000</v>
      </c>
      <c r="AD230" s="138">
        <v>4000</v>
      </c>
      <c r="AE230" s="138">
        <f>SUM($R$141:$R230)+SUM($X$141:$X230)</f>
        <v>561300</v>
      </c>
      <c r="AF230" s="138">
        <f>SUM($Q$142:Q230)</f>
        <v>16443</v>
      </c>
      <c r="AG230" s="137">
        <f t="shared" si="49"/>
        <v>610629</v>
      </c>
      <c r="AH230" s="139">
        <f>SUM($S$141:S230)</f>
        <v>199.851030732349</v>
      </c>
      <c r="AI230" s="133">
        <f t="shared" si="50"/>
        <v>3.96891891891892</v>
      </c>
      <c r="AJ230" s="15">
        <f t="shared" si="51"/>
        <v>343200</v>
      </c>
      <c r="AL230" s="15">
        <v>90</v>
      </c>
      <c r="AM230" s="15">
        <f t="shared" si="44"/>
        <v>180350</v>
      </c>
      <c r="AN230" s="15">
        <f>SUMIF([1]装备属性!$M$571:$M$870,"&lt;="&amp;AL230,[1]装备属性!$Q$571:$Q$870)</f>
        <v>2165.13227513227</v>
      </c>
      <c r="AO230" s="15">
        <f t="shared" si="45"/>
        <v>83.2974511864326</v>
      </c>
    </row>
    <row r="231" ht="18" spans="1:41">
      <c r="A231" s="9" t="s">
        <v>221</v>
      </c>
      <c r="B231" s="9" t="str">
        <f t="shared" si="34"/>
        <v>[{5205001,3},{2,}]</v>
      </c>
      <c r="C231" s="51" t="str">
        <f t="shared" si="35"/>
        <v>[{5203001,410},{2,6390}]</v>
      </c>
      <c r="D231" s="140">
        <v>91</v>
      </c>
      <c r="E231" s="130">
        <f t="shared" si="36"/>
        <v>208</v>
      </c>
      <c r="F231" s="130">
        <v>143</v>
      </c>
      <c r="G231" s="130">
        <v>28</v>
      </c>
      <c r="H231" s="130">
        <f>SUMIFS(基因产出!$F$90:$F$389,基因产出!$D$90:$D$389,"&lt;="&amp;E231,基因产出!$D$90:$D$389,"&gt;"&amp;_xlfn.MAXIFS($E$141:E231,$E$141:E231,"&lt;"&amp;E231))/COUNTIF($E$141:$E$500,E231)</f>
        <v>2650</v>
      </c>
      <c r="I231" s="130">
        <f>IF(COUNTIF($I$141:$I230,$I230)=VLOOKUP($I230,$D$90:$E$120,2,0),$I230+1,$I230)</f>
        <v>12</v>
      </c>
      <c r="J231" s="131">
        <f t="shared" si="37"/>
        <v>70</v>
      </c>
      <c r="K231" s="132" t="str">
        <f t="shared" si="38"/>
        <v/>
      </c>
      <c r="L231" s="132" t="str">
        <f t="shared" si="39"/>
        <v/>
      </c>
      <c r="M231" s="132">
        <f t="shared" si="40"/>
        <v>0.002</v>
      </c>
      <c r="N231" s="132" t="str">
        <f t="shared" si="46"/>
        <v/>
      </c>
      <c r="O231" s="132" t="str">
        <f t="shared" si="41"/>
        <v/>
      </c>
      <c r="P231" s="141">
        <f>(SUM($Q$142:Q231)-SUM($H$141:H231))/SUM($H$141:H231)</f>
        <v>-0.765184668989547</v>
      </c>
      <c r="Q231" s="142">
        <f t="shared" si="33"/>
        <v>405</v>
      </c>
      <c r="R231" s="142">
        <f t="shared" si="53"/>
        <v>6320</v>
      </c>
      <c r="S231" s="133">
        <f t="shared" si="47"/>
        <v>8.02702702702703</v>
      </c>
      <c r="T231" s="134">
        <f>INT(SUM($W$141:W231)/3)+1</f>
        <v>23</v>
      </c>
      <c r="U231" s="135" t="str">
        <f t="shared" si="42"/>
        <v/>
      </c>
      <c r="V231" s="67" t="s">
        <v>168</v>
      </c>
      <c r="W231" s="137" t="str">
        <f t="shared" si="48"/>
        <v/>
      </c>
      <c r="X231" s="137" t="str">
        <f t="shared" si="43"/>
        <v/>
      </c>
      <c r="Y231" s="138"/>
      <c r="Z231" s="138">
        <v>2</v>
      </c>
      <c r="AA231" s="138">
        <v>3</v>
      </c>
      <c r="AB231" s="138" t="str">
        <f t="shared" si="52"/>
        <v>{10000,9000,8000}</v>
      </c>
      <c r="AC231" s="138">
        <v>1000</v>
      </c>
      <c r="AD231" s="138">
        <v>4000</v>
      </c>
      <c r="AE231" s="138">
        <f>SUM($R$141:$R231)+SUM($X$141:$X231)</f>
        <v>567620</v>
      </c>
      <c r="AF231" s="138">
        <f>SUM($Q$142:Q231)</f>
        <v>16848</v>
      </c>
      <c r="AG231" s="137">
        <f t="shared" si="49"/>
        <v>618164</v>
      </c>
      <c r="AH231" s="139">
        <f>SUM($S$141:S231)</f>
        <v>207.878057759376</v>
      </c>
      <c r="AI231" s="133">
        <f t="shared" si="50"/>
        <v>4.01351351351351</v>
      </c>
      <c r="AJ231" s="15">
        <f t="shared" si="51"/>
        <v>346800</v>
      </c>
      <c r="AL231" s="15">
        <v>91</v>
      </c>
      <c r="AM231" s="15">
        <f t="shared" si="44"/>
        <v>180350</v>
      </c>
      <c r="AN231" s="15">
        <f>SUMIF([1]装备属性!$M$571:$M$870,"&lt;="&amp;AL231,[1]装备属性!$Q$571:$Q$870)</f>
        <v>2573.22751322751</v>
      </c>
      <c r="AO231" s="15">
        <f t="shared" si="45"/>
        <v>70.0870789982318</v>
      </c>
    </row>
    <row r="232" ht="18" spans="1:41">
      <c r="A232" s="9" t="s">
        <v>222</v>
      </c>
      <c r="B232" s="9" t="str">
        <f t="shared" si="34"/>
        <v>[{5205001,3},{2,25560}]</v>
      </c>
      <c r="C232" s="51" t="str">
        <f t="shared" si="35"/>
        <v>[{5203001,415},{2,6460}]</v>
      </c>
      <c r="D232" s="140">
        <v>92</v>
      </c>
      <c r="E232" s="130">
        <f t="shared" si="36"/>
        <v>216</v>
      </c>
      <c r="F232" s="130">
        <v>145</v>
      </c>
      <c r="G232" s="130">
        <v>28</v>
      </c>
      <c r="H232" s="130">
        <f>SUMIFS(基因产出!$F$90:$F$389,基因产出!$D$90:$D$389,"&lt;="&amp;E232,基因产出!$D$90:$D$389,"&gt;"&amp;_xlfn.MAXIFS($E$141:E232,$E$141:E232,"&lt;"&amp;E232))/COUNTIF($E$141:$E$500,E232)</f>
        <v>2620</v>
      </c>
      <c r="I232" s="130">
        <f>IF(COUNTIF($I$141:$I231,$I231)=VLOOKUP($I231,$D$90:$E$120,2,0),$I231+1,$I231)</f>
        <v>12</v>
      </c>
      <c r="J232" s="131">
        <f t="shared" si="37"/>
        <v>70</v>
      </c>
      <c r="K232" s="132" t="str">
        <f t="shared" si="38"/>
        <v/>
      </c>
      <c r="L232" s="132">
        <f t="shared" si="39"/>
        <v>0.03</v>
      </c>
      <c r="M232" s="132" t="str">
        <f t="shared" si="40"/>
        <v/>
      </c>
      <c r="N232" s="132" t="str">
        <f t="shared" si="46"/>
        <v/>
      </c>
      <c r="O232" s="132" t="str">
        <f t="shared" si="41"/>
        <v/>
      </c>
      <c r="P232" s="141">
        <f>(SUM($Q$142:Q232)-SUM($H$141:H232))/SUM($H$141:H232)</f>
        <v>-0.767944063466451</v>
      </c>
      <c r="Q232" s="142">
        <f t="shared" si="33"/>
        <v>410</v>
      </c>
      <c r="R232" s="142">
        <f t="shared" si="53"/>
        <v>6390</v>
      </c>
      <c r="S232" s="133">
        <f t="shared" si="47"/>
        <v>8.11621621621622</v>
      </c>
      <c r="T232" s="134">
        <f>INT(SUM($W$141:W232)/3)+1</f>
        <v>24</v>
      </c>
      <c r="U232" s="135" t="str">
        <f t="shared" si="42"/>
        <v/>
      </c>
      <c r="V232" s="67" t="s">
        <v>79</v>
      </c>
      <c r="W232" s="137">
        <f t="shared" si="48"/>
        <v>3</v>
      </c>
      <c r="X232" s="137">
        <f t="shared" si="43"/>
        <v>25560</v>
      </c>
      <c r="Y232" s="138"/>
      <c r="Z232" s="138">
        <v>2</v>
      </c>
      <c r="AA232" s="138">
        <v>3</v>
      </c>
      <c r="AB232" s="138" t="str">
        <f t="shared" si="52"/>
        <v>{10000,9000,8000}</v>
      </c>
      <c r="AC232" s="138">
        <v>1000</v>
      </c>
      <c r="AD232" s="138">
        <v>4000</v>
      </c>
      <c r="AE232" s="138">
        <f>SUM($R$141:$R232)+SUM($X$141:$X232)</f>
        <v>599570</v>
      </c>
      <c r="AF232" s="138">
        <f>SUM($Q$142:Q232)</f>
        <v>17258</v>
      </c>
      <c r="AG232" s="137">
        <f t="shared" si="49"/>
        <v>651344</v>
      </c>
      <c r="AH232" s="139">
        <f>SUM($S$141:S232)</f>
        <v>215.994273975593</v>
      </c>
      <c r="AI232" s="133">
        <f t="shared" si="50"/>
        <v>4.05810810810811</v>
      </c>
      <c r="AJ232" s="15">
        <f t="shared" si="51"/>
        <v>350700</v>
      </c>
      <c r="AL232" s="15">
        <v>92</v>
      </c>
      <c r="AM232" s="15">
        <f t="shared" si="44"/>
        <v>180350</v>
      </c>
      <c r="AN232" s="15">
        <f>SUMIF([1]装备属性!$M$571:$M$870,"&lt;="&amp;AL232,[1]装备属性!$Q$571:$Q$870)</f>
        <v>2573.22751322751</v>
      </c>
      <c r="AO232" s="15">
        <f t="shared" si="45"/>
        <v>70.0870789982318</v>
      </c>
    </row>
    <row r="233" ht="18" spans="1:41">
      <c r="A233" s="9" t="s">
        <v>219</v>
      </c>
      <c r="B233" s="9" t="str">
        <f t="shared" si="34"/>
        <v>[{5205001,3},{2,}]</v>
      </c>
      <c r="C233" s="51" t="str">
        <f t="shared" si="35"/>
        <v>[{5203001,420},{2,6530}]</v>
      </c>
      <c r="D233" s="140">
        <v>93</v>
      </c>
      <c r="E233" s="130">
        <f t="shared" si="36"/>
        <v>225</v>
      </c>
      <c r="F233" s="130">
        <v>146</v>
      </c>
      <c r="G233" s="130">
        <v>28</v>
      </c>
      <c r="H233" s="130">
        <f>SUMIFS(基因产出!$F$90:$F$389,基因产出!$D$90:$D$389,"&lt;="&amp;E233,基因产出!$D$90:$D$389,"&gt;"&amp;_xlfn.MAXIFS($E$141:E233,$E$141:E233,"&lt;"&amp;E233))/COUNTIF($E$141:$E$500,E233)</f>
        <v>2970</v>
      </c>
      <c r="I233" s="130">
        <f>IF(COUNTIF($I$141:$I232,$I232)=VLOOKUP($I232,$D$90:$E$120,2,0),$I232+1,$I232)</f>
        <v>12</v>
      </c>
      <c r="J233" s="131">
        <f t="shared" si="37"/>
        <v>70</v>
      </c>
      <c r="K233" s="132">
        <f t="shared" si="38"/>
        <v>0.05</v>
      </c>
      <c r="L233" s="132" t="str">
        <f t="shared" si="39"/>
        <v/>
      </c>
      <c r="M233" s="132" t="str">
        <f t="shared" si="40"/>
        <v/>
      </c>
      <c r="N233" s="132" t="str">
        <f t="shared" si="46"/>
        <v/>
      </c>
      <c r="O233" s="132" t="str">
        <f t="shared" si="41"/>
        <v/>
      </c>
      <c r="P233" s="141">
        <f>(SUM($Q$142:Q233)-SUM($H$141:H233))/SUM($H$141:H233)</f>
        <v>-0.771489526764934</v>
      </c>
      <c r="Q233" s="142">
        <f t="shared" si="33"/>
        <v>415</v>
      </c>
      <c r="R233" s="142">
        <f t="shared" si="53"/>
        <v>6460</v>
      </c>
      <c r="S233" s="133">
        <f t="shared" si="47"/>
        <v>8.20540540540541</v>
      </c>
      <c r="T233" s="134">
        <f>INT(SUM($W$141:W233)/3)+1</f>
        <v>24</v>
      </c>
      <c r="U233" s="135" t="str">
        <f t="shared" si="42"/>
        <v/>
      </c>
      <c r="V233" s="67" t="s">
        <v>168</v>
      </c>
      <c r="W233" s="137" t="str">
        <f t="shared" si="48"/>
        <v/>
      </c>
      <c r="X233" s="137" t="str">
        <f t="shared" si="43"/>
        <v/>
      </c>
      <c r="Y233" s="138"/>
      <c r="Z233" s="138">
        <v>2</v>
      </c>
      <c r="AA233" s="138">
        <v>3</v>
      </c>
      <c r="AB233" s="138" t="str">
        <f t="shared" si="52"/>
        <v>{10000,9000,8000}</v>
      </c>
      <c r="AC233" s="138">
        <v>1000</v>
      </c>
      <c r="AD233" s="138">
        <v>4000</v>
      </c>
      <c r="AE233" s="138">
        <f>SUM($R$141:$R233)+SUM($X$141:$X233)</f>
        <v>606030</v>
      </c>
      <c r="AF233" s="138">
        <f>SUM($Q$142:Q233)</f>
        <v>17673</v>
      </c>
      <c r="AG233" s="137">
        <f t="shared" si="49"/>
        <v>659049</v>
      </c>
      <c r="AH233" s="139">
        <f>SUM($S$141:S233)</f>
        <v>224.199679380998</v>
      </c>
      <c r="AI233" s="133">
        <f t="shared" si="50"/>
        <v>4.1027027027027</v>
      </c>
      <c r="AJ233" s="15">
        <f t="shared" si="51"/>
        <v>354600</v>
      </c>
      <c r="AL233" s="15">
        <v>93</v>
      </c>
      <c r="AM233" s="15">
        <f t="shared" si="44"/>
        <v>180350</v>
      </c>
      <c r="AN233" s="15">
        <f>SUMIF([1]装备属性!$M$571:$M$870,"&lt;="&amp;AL233,[1]装备属性!$Q$571:$Q$870)</f>
        <v>2806.56084656085</v>
      </c>
      <c r="AO233" s="15">
        <f t="shared" si="45"/>
        <v>64.2601425231882</v>
      </c>
    </row>
    <row r="234" ht="18" spans="1:41">
      <c r="A234" s="9" t="s">
        <v>223</v>
      </c>
      <c r="B234" s="9" t="str">
        <f t="shared" si="34"/>
        <v>[{5205001,3},{2,}]</v>
      </c>
      <c r="C234" s="51" t="str">
        <f t="shared" si="35"/>
        <v>[{5203001,425},{2,6600}]</v>
      </c>
      <c r="D234" s="140">
        <v>94</v>
      </c>
      <c r="E234" s="130">
        <f t="shared" si="36"/>
        <v>233</v>
      </c>
      <c r="F234" s="130">
        <v>147</v>
      </c>
      <c r="G234" s="130">
        <v>28</v>
      </c>
      <c r="H234" s="130">
        <f>SUMIFS(基因产出!$F$90:$F$389,基因产出!$D$90:$D$389,"&lt;="&amp;E234,基因产出!$D$90:$D$389,"&gt;"&amp;_xlfn.MAXIFS($E$141:E234,$E$141:E234,"&lt;"&amp;E234))/COUNTIF($E$141:$E$500,E234)</f>
        <v>2650</v>
      </c>
      <c r="I234" s="130">
        <f>IF(COUNTIF($I$141:$I233,$I233)=VLOOKUP($I233,$D$90:$E$120,2,0),$I233+1,$I233)</f>
        <v>12</v>
      </c>
      <c r="J234" s="131">
        <f t="shared" si="37"/>
        <v>70</v>
      </c>
      <c r="K234" s="132" t="str">
        <f t="shared" si="38"/>
        <v/>
      </c>
      <c r="L234" s="132" t="str">
        <f t="shared" si="39"/>
        <v/>
      </c>
      <c r="M234" s="132" t="str">
        <f t="shared" si="40"/>
        <v/>
      </c>
      <c r="N234" s="132">
        <f t="shared" si="46"/>
        <v>0.0075</v>
      </c>
      <c r="O234" s="132">
        <f t="shared" si="41"/>
        <v>0.05</v>
      </c>
      <c r="P234" s="141">
        <f>(SUM($Q$142:Q234)-SUM($H$141:H234))/SUM($H$141:H234)</f>
        <v>-0.773809226153269</v>
      </c>
      <c r="Q234" s="142">
        <f t="shared" si="33"/>
        <v>420</v>
      </c>
      <c r="R234" s="142">
        <f t="shared" si="53"/>
        <v>6530</v>
      </c>
      <c r="S234" s="133">
        <f t="shared" si="47"/>
        <v>8.29459459459459</v>
      </c>
      <c r="T234" s="134">
        <f>INT(SUM($W$141:W234)/3)+1</f>
        <v>24</v>
      </c>
      <c r="U234" s="135" t="str">
        <f t="shared" si="42"/>
        <v/>
      </c>
      <c r="V234" s="67" t="s">
        <v>168</v>
      </c>
      <c r="W234" s="137" t="str">
        <f t="shared" si="48"/>
        <v/>
      </c>
      <c r="X234" s="137" t="str">
        <f t="shared" si="43"/>
        <v/>
      </c>
      <c r="Y234" s="138"/>
      <c r="Z234" s="138">
        <v>2</v>
      </c>
      <c r="AA234" s="138">
        <v>3</v>
      </c>
      <c r="AB234" s="138" t="str">
        <f t="shared" si="52"/>
        <v>{10000,9000,8000}</v>
      </c>
      <c r="AC234" s="138">
        <v>1000</v>
      </c>
      <c r="AD234" s="138">
        <v>4000</v>
      </c>
      <c r="AE234" s="138">
        <f>SUM($R$141:$R234)+SUM($X$141:$X234)</f>
        <v>612560</v>
      </c>
      <c r="AF234" s="138">
        <f>SUM($Q$142:Q234)</f>
        <v>18093</v>
      </c>
      <c r="AG234" s="137">
        <f t="shared" si="49"/>
        <v>666839</v>
      </c>
      <c r="AH234" s="139">
        <f>SUM($S$141:S234)</f>
        <v>232.494273975593</v>
      </c>
      <c r="AI234" s="133">
        <f t="shared" si="50"/>
        <v>4.1472972972973</v>
      </c>
      <c r="AJ234" s="15">
        <f t="shared" si="51"/>
        <v>358500</v>
      </c>
      <c r="AL234" s="15">
        <v>94</v>
      </c>
      <c r="AM234" s="15">
        <f t="shared" si="44"/>
        <v>180350</v>
      </c>
      <c r="AN234" s="15">
        <f>SUMIF([1]装备属性!$M$571:$M$870,"&lt;="&amp;AL234,[1]装备属性!$Q$571:$Q$870)</f>
        <v>2806.56084656085</v>
      </c>
      <c r="AO234" s="15">
        <f t="shared" si="45"/>
        <v>64.2601425231882</v>
      </c>
    </row>
    <row r="235" ht="18" spans="1:41">
      <c r="A235" s="9" t="s">
        <v>221</v>
      </c>
      <c r="B235" s="9" t="str">
        <f t="shared" si="34"/>
        <v>[{5205001,3},{2,}]</v>
      </c>
      <c r="C235" s="51" t="str">
        <f t="shared" si="35"/>
        <v>[{5203001,430},{2,6670}]</v>
      </c>
      <c r="D235" s="140">
        <v>95</v>
      </c>
      <c r="E235" s="130">
        <f t="shared" si="36"/>
        <v>241</v>
      </c>
      <c r="F235" s="130">
        <v>149</v>
      </c>
      <c r="G235" s="130">
        <v>28</v>
      </c>
      <c r="H235" s="130">
        <f>SUMIFS(基因产出!$F$90:$F$389,基因产出!$D$90:$D$389,"&lt;="&amp;E235,基因产出!$D$90:$D$389,"&gt;"&amp;_xlfn.MAXIFS($E$141:E235,$E$141:E235,"&lt;"&amp;E235))/COUNTIF($E$141:$E$500,E235)</f>
        <v>2650</v>
      </c>
      <c r="I235" s="130">
        <f>IF(COUNTIF($I$141:$I234,$I234)=VLOOKUP($I234,$D$90:$E$120,2,0),$I234+1,$I234)</f>
        <v>12</v>
      </c>
      <c r="J235" s="131">
        <f t="shared" si="37"/>
        <v>70</v>
      </c>
      <c r="K235" s="132" t="str">
        <f t="shared" si="38"/>
        <v/>
      </c>
      <c r="L235" s="132" t="str">
        <f t="shared" si="39"/>
        <v/>
      </c>
      <c r="M235" s="132">
        <f t="shared" si="40"/>
        <v>0.002</v>
      </c>
      <c r="N235" s="132" t="str">
        <f t="shared" si="46"/>
        <v/>
      </c>
      <c r="O235" s="132" t="str">
        <f t="shared" si="41"/>
        <v/>
      </c>
      <c r="P235" s="141">
        <f>(SUM($Q$142:Q235)-SUM($H$141:H235))/SUM($H$141:H235)</f>
        <v>-0.775919651500484</v>
      </c>
      <c r="Q235" s="142">
        <f t="shared" si="33"/>
        <v>425</v>
      </c>
      <c r="R235" s="142">
        <f t="shared" si="53"/>
        <v>6600</v>
      </c>
      <c r="S235" s="133">
        <f t="shared" si="47"/>
        <v>8.38378378378378</v>
      </c>
      <c r="T235" s="134">
        <f>INT(SUM($W$141:W235)/3)+1</f>
        <v>24</v>
      </c>
      <c r="U235" s="135" t="str">
        <f t="shared" si="42"/>
        <v/>
      </c>
      <c r="V235" s="67" t="s">
        <v>168</v>
      </c>
      <c r="W235" s="137" t="str">
        <f t="shared" si="48"/>
        <v/>
      </c>
      <c r="X235" s="137" t="str">
        <f t="shared" si="43"/>
        <v/>
      </c>
      <c r="Y235" s="138"/>
      <c r="Z235" s="138">
        <v>2</v>
      </c>
      <c r="AA235" s="138">
        <v>3</v>
      </c>
      <c r="AB235" s="138" t="str">
        <f t="shared" si="52"/>
        <v>{10000,9000,8000}</v>
      </c>
      <c r="AC235" s="138">
        <v>1000</v>
      </c>
      <c r="AD235" s="138">
        <v>4000</v>
      </c>
      <c r="AE235" s="138">
        <f>SUM($R$141:$R235)+SUM($X$141:$X235)</f>
        <v>619160</v>
      </c>
      <c r="AF235" s="138">
        <f>SUM($Q$142:Q235)</f>
        <v>18518</v>
      </c>
      <c r="AG235" s="137">
        <f t="shared" si="49"/>
        <v>674714</v>
      </c>
      <c r="AH235" s="139">
        <f>SUM($S$141:S235)</f>
        <v>240.878057759376</v>
      </c>
      <c r="AI235" s="133">
        <f t="shared" si="50"/>
        <v>4.19189189189189</v>
      </c>
      <c r="AJ235" s="15">
        <f t="shared" si="51"/>
        <v>362400</v>
      </c>
      <c r="AL235" s="15">
        <v>95</v>
      </c>
      <c r="AM235" s="15">
        <f t="shared" si="44"/>
        <v>185410</v>
      </c>
      <c r="AN235" s="15">
        <f>SUMIF([1]装备属性!$M$571:$M$870,"&lt;="&amp;AL235,[1]装备属性!$Q$571:$Q$870)</f>
        <v>3096.32275132275</v>
      </c>
      <c r="AO235" s="15">
        <f t="shared" si="45"/>
        <v>59.8807084696816</v>
      </c>
    </row>
    <row r="236" ht="18" spans="1:41">
      <c r="A236" s="9" t="s">
        <v>222</v>
      </c>
      <c r="B236" s="9" t="str">
        <f t="shared" si="34"/>
        <v>[{5205001,3},{2,26680}]</v>
      </c>
      <c r="C236" s="51" t="str">
        <f t="shared" si="35"/>
        <v>[{5203001,435},{2,6740}]</v>
      </c>
      <c r="D236" s="140">
        <v>96</v>
      </c>
      <c r="E236" s="130">
        <f t="shared" si="36"/>
        <v>250</v>
      </c>
      <c r="F236" s="130">
        <v>150</v>
      </c>
      <c r="G236" s="130">
        <v>28</v>
      </c>
      <c r="H236" s="130">
        <f>SUMIFS(基因产出!$F$90:$F$389,基因产出!$D$90:$D$389,"&lt;="&amp;E236,基因产出!$D$90:$D$389,"&gt;"&amp;_xlfn.MAXIFS($E$141:E236,$E$141:E236,"&lt;"&amp;E236))/COUNTIF($E$141:$E$500,E236)</f>
        <v>2970</v>
      </c>
      <c r="I236" s="130">
        <f>IF(COUNTIF($I$141:$I235,$I235)=VLOOKUP($I235,$D$90:$E$120,2,0),$I235+1,$I235)</f>
        <v>12</v>
      </c>
      <c r="J236" s="131">
        <f t="shared" si="37"/>
        <v>70</v>
      </c>
      <c r="K236" s="132" t="str">
        <f t="shared" si="38"/>
        <v/>
      </c>
      <c r="L236" s="132">
        <f t="shared" si="39"/>
        <v>0.03</v>
      </c>
      <c r="M236" s="132" t="str">
        <f t="shared" si="40"/>
        <v/>
      </c>
      <c r="N236" s="132" t="str">
        <f t="shared" si="46"/>
        <v/>
      </c>
      <c r="O236" s="132" t="str">
        <f t="shared" si="41"/>
        <v/>
      </c>
      <c r="P236" s="141">
        <f>(SUM($Q$142:Q236)-SUM($H$141:H236))/SUM($H$141:H236)</f>
        <v>-0.778670716037846</v>
      </c>
      <c r="Q236" s="142">
        <f t="shared" ref="Q236:Q248" si="54">Q235+5</f>
        <v>430</v>
      </c>
      <c r="R236" s="142">
        <f t="shared" si="53"/>
        <v>6670</v>
      </c>
      <c r="S236" s="133">
        <f t="shared" si="47"/>
        <v>8.47297297297297</v>
      </c>
      <c r="T236" s="134">
        <f>INT(SUM($W$141:W236)/3)+1</f>
        <v>25</v>
      </c>
      <c r="U236" s="135" t="str">
        <f t="shared" si="42"/>
        <v>50</v>
      </c>
      <c r="V236" s="67" t="s">
        <v>71</v>
      </c>
      <c r="W236" s="137">
        <f t="shared" si="48"/>
        <v>3</v>
      </c>
      <c r="X236" s="137">
        <f t="shared" si="43"/>
        <v>26680</v>
      </c>
      <c r="Y236" s="138"/>
      <c r="Z236" s="138">
        <v>2</v>
      </c>
      <c r="AA236" s="138">
        <v>3</v>
      </c>
      <c r="AB236" s="138" t="str">
        <f t="shared" si="52"/>
        <v>{10000,9000,8000}</v>
      </c>
      <c r="AC236" s="138">
        <v>1000</v>
      </c>
      <c r="AD236" s="138">
        <v>4000</v>
      </c>
      <c r="AE236" s="138">
        <f>SUM($R$141:$R236)+SUM($X$141:$X236)</f>
        <v>652510</v>
      </c>
      <c r="AF236" s="138">
        <f>SUM($Q$142:Q236)</f>
        <v>18948</v>
      </c>
      <c r="AG236" s="137">
        <f t="shared" si="49"/>
        <v>709354</v>
      </c>
      <c r="AH236" s="139">
        <f>SUM($S$141:S236)</f>
        <v>249.351030732349</v>
      </c>
      <c r="AI236" s="133">
        <f t="shared" si="50"/>
        <v>4.23648648648649</v>
      </c>
      <c r="AJ236" s="15">
        <f t="shared" si="51"/>
        <v>366300</v>
      </c>
      <c r="AL236" s="15">
        <v>96</v>
      </c>
      <c r="AM236" s="15">
        <f t="shared" si="44"/>
        <v>185410</v>
      </c>
      <c r="AN236" s="15">
        <f>SUMIF([1]装备属性!$M$571:$M$870,"&lt;="&amp;AL236,[1]装备属性!$Q$571:$Q$870)</f>
        <v>3386.08465608465</v>
      </c>
      <c r="AO236" s="15">
        <f t="shared" si="45"/>
        <v>54.7564573339376</v>
      </c>
    </row>
    <row r="237" ht="18" spans="1:41">
      <c r="A237" s="9" t="s">
        <v>224</v>
      </c>
      <c r="B237" s="9" t="str">
        <f t="shared" si="34"/>
        <v>[{5205001,3},{2,}]</v>
      </c>
      <c r="C237" s="51" t="str">
        <f t="shared" si="35"/>
        <v>[{5203001,440},{2,6810}]</v>
      </c>
      <c r="D237" s="140">
        <v>97</v>
      </c>
      <c r="E237" s="130">
        <f t="shared" si="36"/>
        <v>259</v>
      </c>
      <c r="F237" s="130">
        <f>F236+5</f>
        <v>155</v>
      </c>
      <c r="G237" s="130">
        <v>60</v>
      </c>
      <c r="H237" s="130">
        <f>SUMIFS(基因产出!$F$90:$F$389,基因产出!$D$90:$D$389,"&lt;="&amp;E237,基因产出!$D$90:$D$389,"&gt;"&amp;_xlfn.MAXIFS($E$141:E237,$E$141:E237,"&lt;"&amp;E237))/COUNTIF($E$141:$E$500,E237)</f>
        <v>2970</v>
      </c>
      <c r="I237" s="130">
        <f>IF(COUNTIF($I$141:$I236,$I236)=VLOOKUP($I236,$D$90:$E$120,2,0),$I236+1,$I236)</f>
        <v>13</v>
      </c>
      <c r="J237" s="131">
        <f t="shared" si="37"/>
        <v>76</v>
      </c>
      <c r="K237" s="132">
        <f t="shared" si="38"/>
        <v>0.05</v>
      </c>
      <c r="L237" s="132" t="str">
        <f t="shared" si="39"/>
        <v/>
      </c>
      <c r="M237" s="132" t="str">
        <f t="shared" si="40"/>
        <v/>
      </c>
      <c r="N237" s="132" t="str">
        <f t="shared" si="46"/>
        <v/>
      </c>
      <c r="O237" s="132" t="str">
        <f t="shared" si="41"/>
        <v/>
      </c>
      <c r="P237" s="141">
        <f>(SUM($Q$142:Q237)-SUM($H$141:H237))/SUM($H$141:H237)</f>
        <v>-0.781180853465794</v>
      </c>
      <c r="Q237" s="142">
        <f t="shared" si="54"/>
        <v>435</v>
      </c>
      <c r="R237" s="142">
        <f t="shared" si="53"/>
        <v>6740</v>
      </c>
      <c r="S237" s="133">
        <f t="shared" si="47"/>
        <v>9.55223880597015</v>
      </c>
      <c r="T237" s="134">
        <f>INT(SUM($W$141:W237)/3)+1</f>
        <v>25</v>
      </c>
      <c r="U237" s="135" t="str">
        <f t="shared" si="42"/>
        <v/>
      </c>
      <c r="V237" s="67" t="s">
        <v>168</v>
      </c>
      <c r="W237" s="137" t="str">
        <f t="shared" si="48"/>
        <v/>
      </c>
      <c r="X237" s="137" t="str">
        <f t="shared" si="43"/>
        <v/>
      </c>
      <c r="Y237" s="138"/>
      <c r="Z237" s="138">
        <v>2</v>
      </c>
      <c r="AA237" s="138">
        <v>3</v>
      </c>
      <c r="AB237" s="138" t="str">
        <f t="shared" si="52"/>
        <v>{10000,9000,8000}</v>
      </c>
      <c r="AC237" s="138">
        <v>1000</v>
      </c>
      <c r="AD237" s="138">
        <v>4000</v>
      </c>
      <c r="AE237" s="138">
        <f>SUM($R$141:$R237)+SUM($X$141:$X237)</f>
        <v>659250</v>
      </c>
      <c r="AF237" s="138">
        <f>SUM($Q$142:Q237)</f>
        <v>19383</v>
      </c>
      <c r="AG237" s="137">
        <f t="shared" si="49"/>
        <v>717399</v>
      </c>
      <c r="AH237" s="139">
        <f>SUM($S$141:S237)</f>
        <v>258.90326953832</v>
      </c>
      <c r="AI237" s="133">
        <f t="shared" si="50"/>
        <v>4.77611940298507</v>
      </c>
      <c r="AJ237" s="15">
        <f t="shared" si="51"/>
        <v>412800</v>
      </c>
      <c r="AL237" s="15">
        <v>97</v>
      </c>
      <c r="AM237" s="15">
        <f t="shared" si="44"/>
        <v>185410</v>
      </c>
      <c r="AN237" s="15">
        <f>SUMIF([1]装备属性!$M$571:$M$870,"&lt;="&amp;AL237,[1]装备属性!$Q$571:$Q$870)</f>
        <v>3386.08465608465</v>
      </c>
      <c r="AO237" s="15">
        <f t="shared" si="45"/>
        <v>54.7564573339376</v>
      </c>
    </row>
    <row r="238" ht="18" spans="1:41">
      <c r="A238" s="9" t="s">
        <v>225</v>
      </c>
      <c r="B238" s="9" t="str">
        <f t="shared" si="34"/>
        <v>[{5205001,3},{2,}]</v>
      </c>
      <c r="C238" s="51" t="str">
        <f t="shared" si="35"/>
        <v>[{5203001,445},{2,6880}]</v>
      </c>
      <c r="D238" s="140">
        <v>98</v>
      </c>
      <c r="E238" s="130">
        <f t="shared" si="36"/>
        <v>269</v>
      </c>
      <c r="F238" s="130">
        <f t="shared" ref="F238:F301" si="55">F237+5</f>
        <v>160</v>
      </c>
      <c r="G238" s="130">
        <v>60</v>
      </c>
      <c r="H238" s="130">
        <f>SUMIFS(基因产出!$F$90:$F$389,基因产出!$D$90:$D$389,"&lt;="&amp;E238,基因产出!$D$90:$D$389,"&gt;"&amp;_xlfn.MAXIFS($E$141:E238,$E$141:E238,"&lt;"&amp;E238))/COUNTIF($E$141:$E$500,E238)</f>
        <v>3290</v>
      </c>
      <c r="I238" s="130">
        <f>IF(COUNTIF($I$141:$I237,$I237)=VLOOKUP($I237,$D$90:$E$120,2,0),$I237+1,$I237)</f>
        <v>13</v>
      </c>
      <c r="J238" s="131">
        <f t="shared" si="37"/>
        <v>76</v>
      </c>
      <c r="K238" s="132" t="str">
        <f t="shared" si="38"/>
        <v/>
      </c>
      <c r="L238" s="132" t="str">
        <f t="shared" si="39"/>
        <v/>
      </c>
      <c r="M238" s="132" t="str">
        <f t="shared" si="40"/>
        <v/>
      </c>
      <c r="N238" s="132">
        <f t="shared" si="46"/>
        <v>0.0075</v>
      </c>
      <c r="O238" s="132" t="str">
        <f t="shared" si="41"/>
        <v/>
      </c>
      <c r="P238" s="141">
        <f>(SUM($Q$142:Q238)-SUM($H$141:H238))/SUM($H$141:H238)</f>
        <v>-0.78422771307282</v>
      </c>
      <c r="Q238" s="142">
        <f t="shared" si="54"/>
        <v>440</v>
      </c>
      <c r="R238" s="142">
        <f t="shared" si="53"/>
        <v>6810</v>
      </c>
      <c r="S238" s="133">
        <f t="shared" si="47"/>
        <v>9.65174129353234</v>
      </c>
      <c r="T238" s="134">
        <f>INT(SUM($W$141:W238)/3)+1</f>
        <v>25</v>
      </c>
      <c r="U238" s="135" t="str">
        <f t="shared" si="42"/>
        <v/>
      </c>
      <c r="V238" s="67" t="s">
        <v>168</v>
      </c>
      <c r="W238" s="137" t="str">
        <f t="shared" si="48"/>
        <v/>
      </c>
      <c r="X238" s="137" t="str">
        <f t="shared" si="43"/>
        <v/>
      </c>
      <c r="Y238" s="138"/>
      <c r="Z238" s="138">
        <v>2</v>
      </c>
      <c r="AA238" s="138">
        <v>3</v>
      </c>
      <c r="AB238" s="138" t="str">
        <f t="shared" si="52"/>
        <v>{10000,9000,8000}</v>
      </c>
      <c r="AC238" s="138">
        <v>1000</v>
      </c>
      <c r="AD238" s="138">
        <v>4000</v>
      </c>
      <c r="AE238" s="138">
        <f>SUM($R$141:$R238)+SUM($X$141:$X238)</f>
        <v>666060</v>
      </c>
      <c r="AF238" s="138">
        <f>SUM($Q$142:Q238)</f>
        <v>19823</v>
      </c>
      <c r="AG238" s="137">
        <f t="shared" si="49"/>
        <v>725529</v>
      </c>
      <c r="AH238" s="139">
        <f>SUM($S$141:S238)</f>
        <v>268.555010831852</v>
      </c>
      <c r="AI238" s="133">
        <f t="shared" si="50"/>
        <v>4.82587064676617</v>
      </c>
      <c r="AJ238" s="15">
        <f t="shared" si="51"/>
        <v>417000</v>
      </c>
      <c r="AL238" s="15">
        <v>98</v>
      </c>
      <c r="AM238" s="15">
        <f t="shared" si="44"/>
        <v>185410</v>
      </c>
      <c r="AN238" s="15">
        <f>SUMIF([1]装备属性!$M$571:$M$870,"&lt;="&amp;AL238,[1]装备属性!$Q$571:$Q$870)</f>
        <v>3501.08465608465</v>
      </c>
      <c r="AO238" s="15">
        <f t="shared" si="45"/>
        <v>52.9578739770745</v>
      </c>
    </row>
    <row r="239" ht="18" spans="1:41">
      <c r="A239" s="9" t="s">
        <v>226</v>
      </c>
      <c r="B239" s="9" t="str">
        <f t="shared" si="34"/>
        <v>[{5205001,3},{2,}]</v>
      </c>
      <c r="C239" s="51" t="str">
        <f t="shared" si="35"/>
        <v>[{5203001,450},{2,6950}]</v>
      </c>
      <c r="D239" s="140">
        <v>99</v>
      </c>
      <c r="E239" s="130">
        <f t="shared" si="36"/>
        <v>279</v>
      </c>
      <c r="F239" s="130">
        <f t="shared" si="55"/>
        <v>165</v>
      </c>
      <c r="G239" s="130">
        <v>60</v>
      </c>
      <c r="H239" s="130">
        <f>SUMIFS(基因产出!$F$90:$F$389,基因产出!$D$90:$D$389,"&lt;="&amp;E239,基因产出!$D$90:$D$389,"&gt;"&amp;_xlfn.MAXIFS($E$141:E239,$E$141:E239,"&lt;"&amp;E239))/COUNTIF($E$141:$E$500,E239)</f>
        <v>3290</v>
      </c>
      <c r="I239" s="130">
        <f>IF(COUNTIF($I$141:$I238,$I238)=VLOOKUP($I238,$D$90:$E$120,2,0),$I238+1,$I238)</f>
        <v>13</v>
      </c>
      <c r="J239" s="131">
        <f t="shared" si="37"/>
        <v>76</v>
      </c>
      <c r="K239" s="132" t="str">
        <f t="shared" si="38"/>
        <v/>
      </c>
      <c r="L239" s="132" t="str">
        <f t="shared" si="39"/>
        <v/>
      </c>
      <c r="M239" s="132">
        <f t="shared" si="40"/>
        <v>0.002</v>
      </c>
      <c r="N239" s="132" t="str">
        <f t="shared" si="46"/>
        <v/>
      </c>
      <c r="O239" s="132" t="str">
        <f t="shared" si="41"/>
        <v/>
      </c>
      <c r="P239" s="141">
        <f>(SUM($Q$142:Q239)-SUM($H$141:H239))/SUM($H$141:H239)</f>
        <v>-0.787011349306431</v>
      </c>
      <c r="Q239" s="142">
        <f t="shared" si="54"/>
        <v>445</v>
      </c>
      <c r="R239" s="142">
        <f t="shared" si="53"/>
        <v>6880</v>
      </c>
      <c r="S239" s="133">
        <f t="shared" si="47"/>
        <v>9.75124378109453</v>
      </c>
      <c r="T239" s="134">
        <f>INT(SUM($W$141:W239)/3)+1</f>
        <v>25</v>
      </c>
      <c r="U239" s="135" t="str">
        <f t="shared" si="42"/>
        <v/>
      </c>
      <c r="V239" s="67" t="s">
        <v>168</v>
      </c>
      <c r="W239" s="137" t="str">
        <f t="shared" si="48"/>
        <v/>
      </c>
      <c r="X239" s="137" t="str">
        <f t="shared" si="43"/>
        <v/>
      </c>
      <c r="Y239" s="138"/>
      <c r="Z239" s="138">
        <v>2</v>
      </c>
      <c r="AA239" s="138">
        <v>3</v>
      </c>
      <c r="AB239" s="138" t="str">
        <f t="shared" si="52"/>
        <v>{10000,9000,8000}</v>
      </c>
      <c r="AC239" s="138">
        <v>1000</v>
      </c>
      <c r="AD239" s="138">
        <v>4000</v>
      </c>
      <c r="AE239" s="138">
        <f>SUM($R$141:$R239)+SUM($X$141:$X239)</f>
        <v>672940</v>
      </c>
      <c r="AF239" s="138">
        <f>SUM($Q$142:Q239)</f>
        <v>20268</v>
      </c>
      <c r="AG239" s="137">
        <f t="shared" si="49"/>
        <v>733744</v>
      </c>
      <c r="AH239" s="139">
        <f>SUM($S$141:S239)</f>
        <v>278.306254612946</v>
      </c>
      <c r="AI239" s="133">
        <f t="shared" si="50"/>
        <v>4.87562189054726</v>
      </c>
      <c r="AJ239" s="15">
        <f t="shared" si="51"/>
        <v>421500</v>
      </c>
      <c r="AL239" s="15">
        <v>99</v>
      </c>
      <c r="AM239" s="15">
        <f t="shared" si="44"/>
        <v>185410</v>
      </c>
      <c r="AN239" s="15">
        <f>SUMIF([1]装备属性!$M$571:$M$870,"&lt;="&amp;AL239,[1]装备属性!$Q$571:$Q$870)</f>
        <v>3616.08465608465</v>
      </c>
      <c r="AO239" s="15">
        <f t="shared" si="45"/>
        <v>51.2736889851341</v>
      </c>
    </row>
    <row r="240" ht="18" spans="1:41">
      <c r="A240" s="9" t="s">
        <v>227</v>
      </c>
      <c r="B240" s="9" t="str">
        <f t="shared" si="34"/>
        <v>[{5205001,3},{2,27800}]</v>
      </c>
      <c r="C240" s="51" t="str">
        <f t="shared" si="35"/>
        <v>[{5203001,455},{2,7020}]</v>
      </c>
      <c r="D240" s="140">
        <v>100</v>
      </c>
      <c r="E240" s="130">
        <f t="shared" si="36"/>
        <v>289</v>
      </c>
      <c r="F240" s="130">
        <f t="shared" si="55"/>
        <v>170</v>
      </c>
      <c r="G240" s="130">
        <v>60</v>
      </c>
      <c r="H240" s="130">
        <f>SUMIFS(基因产出!$F$90:$F$389,基因产出!$D$90:$D$389,"&lt;="&amp;E240,基因产出!$D$90:$D$389,"&gt;"&amp;_xlfn.MAXIFS($E$141:E240,$E$141:E240,"&lt;"&amp;E240))/COUNTIF($E$141:$E$500,E240)</f>
        <v>3320</v>
      </c>
      <c r="I240" s="130">
        <f>IF(COUNTIF($I$141:$I239,$I239)=VLOOKUP($I239,$D$90:$E$120,2,0),$I239+1,$I239)</f>
        <v>13</v>
      </c>
      <c r="J240" s="131">
        <f t="shared" si="37"/>
        <v>76</v>
      </c>
      <c r="K240" s="132" t="str">
        <f t="shared" si="38"/>
        <v/>
      </c>
      <c r="L240" s="132">
        <f t="shared" si="39"/>
        <v>0.03</v>
      </c>
      <c r="M240" s="132" t="str">
        <f t="shared" si="40"/>
        <v/>
      </c>
      <c r="N240" s="132" t="str">
        <f t="shared" si="46"/>
        <v/>
      </c>
      <c r="O240" s="132" t="str">
        <f t="shared" si="41"/>
        <v/>
      </c>
      <c r="P240" s="141">
        <f>(SUM($Q$142:Q240)-SUM($H$141:H240))/SUM($H$141:H240)</f>
        <v>-0.789622258326564</v>
      </c>
      <c r="Q240" s="142">
        <f t="shared" si="54"/>
        <v>450</v>
      </c>
      <c r="R240" s="142">
        <f t="shared" si="53"/>
        <v>6950</v>
      </c>
      <c r="S240" s="133">
        <f t="shared" si="47"/>
        <v>9.85074626865672</v>
      </c>
      <c r="T240" s="134">
        <f>INT(SUM($W$141:W240)/3)+1</f>
        <v>26</v>
      </c>
      <c r="U240" s="135" t="str">
        <f t="shared" si="42"/>
        <v/>
      </c>
      <c r="V240" s="67" t="s">
        <v>91</v>
      </c>
      <c r="W240" s="137">
        <f t="shared" si="48"/>
        <v>3</v>
      </c>
      <c r="X240" s="137">
        <f t="shared" si="43"/>
        <v>27800</v>
      </c>
      <c r="Y240" s="138"/>
      <c r="Z240" s="138">
        <v>2</v>
      </c>
      <c r="AA240" s="138">
        <v>3</v>
      </c>
      <c r="AB240" s="138" t="str">
        <f t="shared" si="52"/>
        <v>{10000,9000,8000}</v>
      </c>
      <c r="AC240" s="138">
        <v>1000</v>
      </c>
      <c r="AD240" s="138">
        <v>4000</v>
      </c>
      <c r="AE240" s="138">
        <f>SUM($R$141:$R240)+SUM($X$141:$X240)</f>
        <v>707690</v>
      </c>
      <c r="AF240" s="138">
        <f>SUM($Q$142:Q240)</f>
        <v>20718</v>
      </c>
      <c r="AG240" s="137">
        <f t="shared" si="49"/>
        <v>769844</v>
      </c>
      <c r="AH240" s="139">
        <f>SUM($S$141:S240)</f>
        <v>288.157000881603</v>
      </c>
      <c r="AI240" s="133">
        <f t="shared" si="50"/>
        <v>4.92537313432836</v>
      </c>
      <c r="AJ240" s="15">
        <f t="shared" si="51"/>
        <v>425700</v>
      </c>
      <c r="AL240" s="15">
        <v>100</v>
      </c>
      <c r="AM240" s="15">
        <f t="shared" si="44"/>
        <v>190540</v>
      </c>
      <c r="AN240" s="15">
        <f>SUMIF([1]装备属性!$M$571:$M$870,"&lt;="&amp;AL240,[1]装备属性!$Q$571:$Q$870)</f>
        <v>4862.51322751323</v>
      </c>
      <c r="AO240" s="15">
        <f t="shared" si="45"/>
        <v>39.1854975163626</v>
      </c>
    </row>
    <row r="241" ht="18" spans="1:41">
      <c r="A241" s="9" t="s">
        <v>224</v>
      </c>
      <c r="B241" s="9" t="str">
        <f t="shared" si="34"/>
        <v>[{5205001,3},{2,}]</v>
      </c>
      <c r="C241" s="51" t="str">
        <f t="shared" si="35"/>
        <v>[{5203001,460},{2,7090}]</v>
      </c>
      <c r="D241" s="140">
        <v>101</v>
      </c>
      <c r="E241" s="130">
        <f t="shared" si="36"/>
        <v>299</v>
      </c>
      <c r="F241" s="130">
        <f t="shared" si="55"/>
        <v>175</v>
      </c>
      <c r="G241" s="130">
        <v>60</v>
      </c>
      <c r="H241" s="130">
        <f>SUMIFS(基因产出!$F$90:$F$389,基因产出!$D$90:$D$389,"&lt;="&amp;E241,基因产出!$D$90:$D$389,"&gt;"&amp;_xlfn.MAXIFS($E$141:E241,$E$141:E241,"&lt;"&amp;E241))/COUNTIF($E$141:$E$500,E241)</f>
        <v>3290</v>
      </c>
      <c r="I241" s="130">
        <f>IF(COUNTIF($I$141:$I240,$I240)=VLOOKUP($I240,$D$90:$E$120,2,0),$I240+1,$I240)</f>
        <v>13</v>
      </c>
      <c r="J241" s="131">
        <f t="shared" si="37"/>
        <v>76</v>
      </c>
      <c r="K241" s="132">
        <f t="shared" si="38"/>
        <v>0.05</v>
      </c>
      <c r="L241" s="132" t="str">
        <f t="shared" si="39"/>
        <v/>
      </c>
      <c r="M241" s="132" t="str">
        <f t="shared" si="40"/>
        <v/>
      </c>
      <c r="N241" s="132" t="str">
        <f t="shared" si="46"/>
        <v/>
      </c>
      <c r="O241" s="132" t="str">
        <f t="shared" si="41"/>
        <v/>
      </c>
      <c r="P241" s="141">
        <f>(SUM($Q$142:Q241)-SUM($H$141:H241))/SUM($H$141:H241)</f>
        <v>-0.791952441780485</v>
      </c>
      <c r="Q241" s="142">
        <f t="shared" si="54"/>
        <v>455</v>
      </c>
      <c r="R241" s="142">
        <f t="shared" si="53"/>
        <v>7020</v>
      </c>
      <c r="S241" s="133">
        <f t="shared" si="47"/>
        <v>9.9502487562189</v>
      </c>
      <c r="T241" s="134">
        <f>INT(SUM($W$141:W241)/3)+1</f>
        <v>26</v>
      </c>
      <c r="U241" s="135" t="str">
        <f t="shared" si="42"/>
        <v/>
      </c>
      <c r="V241" s="67" t="s">
        <v>168</v>
      </c>
      <c r="W241" s="137" t="str">
        <f t="shared" si="48"/>
        <v/>
      </c>
      <c r="X241" s="137" t="str">
        <f t="shared" si="43"/>
        <v/>
      </c>
      <c r="Y241" s="138"/>
      <c r="Z241" s="138">
        <v>2</v>
      </c>
      <c r="AA241" s="138">
        <v>3</v>
      </c>
      <c r="AB241" s="138" t="str">
        <f t="shared" si="52"/>
        <v>{10000,9000,8000}</v>
      </c>
      <c r="AC241" s="138">
        <v>1000</v>
      </c>
      <c r="AD241" s="138">
        <v>4000</v>
      </c>
      <c r="AE241" s="138">
        <f>SUM($R$141:$R241)+SUM($X$141:$X241)</f>
        <v>714710</v>
      </c>
      <c r="AF241" s="138">
        <f>SUM($Q$142:Q241)</f>
        <v>21173</v>
      </c>
      <c r="AG241" s="137">
        <f t="shared" si="49"/>
        <v>778229</v>
      </c>
      <c r="AH241" s="139">
        <f>SUM($S$141:S241)</f>
        <v>298.107249637822</v>
      </c>
      <c r="AI241" s="133">
        <f t="shared" si="50"/>
        <v>4.97512437810945</v>
      </c>
      <c r="AJ241" s="15">
        <f t="shared" si="51"/>
        <v>429900</v>
      </c>
      <c r="AL241" s="15">
        <v>101</v>
      </c>
      <c r="AM241" s="15">
        <f t="shared" si="44"/>
        <v>190540</v>
      </c>
      <c r="AN241" s="15">
        <f>SUMIF([1]装备属性!$M$571:$M$870,"&lt;="&amp;AL241,[1]装备属性!$Q$571:$Q$870)</f>
        <v>6003.34656084656</v>
      </c>
      <c r="AO241" s="15">
        <f t="shared" si="45"/>
        <v>31.7389639376626</v>
      </c>
    </row>
    <row r="242" ht="18" spans="1:41">
      <c r="A242" s="9" t="s">
        <v>225</v>
      </c>
      <c r="B242" s="9" t="str">
        <f t="shared" si="34"/>
        <v>[{5205001,3},{2,}]</v>
      </c>
      <c r="C242" s="51" t="str">
        <f t="shared" si="35"/>
        <v>[{5203001,465},{2,7160}]</v>
      </c>
      <c r="D242" s="140">
        <v>102</v>
      </c>
      <c r="E242" s="130">
        <f t="shared" si="36"/>
        <v>309</v>
      </c>
      <c r="F242" s="130">
        <f t="shared" si="55"/>
        <v>180</v>
      </c>
      <c r="G242" s="130">
        <v>60</v>
      </c>
      <c r="H242" s="130">
        <f>SUMIFS(基因产出!$F$90:$F$389,基因产出!$D$90:$D$389,"&lt;="&amp;E242,基因产出!$D$90:$D$389,"&gt;"&amp;_xlfn.MAXIFS($E$141:E242,$E$141:E242,"&lt;"&amp;E242))/COUNTIF($E$141:$E$500,E242)</f>
        <v>320</v>
      </c>
      <c r="I242" s="130">
        <f>IF(COUNTIF($I$141:$I241,$I241)=VLOOKUP($I241,$D$90:$E$120,2,0),$I241+1,$I241)</f>
        <v>13</v>
      </c>
      <c r="J242" s="131">
        <f t="shared" si="37"/>
        <v>76</v>
      </c>
      <c r="K242" s="132" t="str">
        <f t="shared" si="38"/>
        <v/>
      </c>
      <c r="L242" s="132" t="str">
        <f t="shared" si="39"/>
        <v/>
      </c>
      <c r="M242" s="132" t="str">
        <f t="shared" si="40"/>
        <v/>
      </c>
      <c r="N242" s="132">
        <f t="shared" si="46"/>
        <v>0.0075</v>
      </c>
      <c r="O242" s="132" t="str">
        <f t="shared" si="41"/>
        <v/>
      </c>
      <c r="P242" s="141">
        <f>(SUM($Q$142:Q242)-SUM($H$141:H242))/SUM($H$141:H242)</f>
        <v>-0.788098736409051</v>
      </c>
      <c r="Q242" s="142">
        <f t="shared" si="54"/>
        <v>460</v>
      </c>
      <c r="R242" s="142">
        <f t="shared" si="53"/>
        <v>7090</v>
      </c>
      <c r="S242" s="133">
        <f t="shared" si="47"/>
        <v>10.0497512437811</v>
      </c>
      <c r="T242" s="134">
        <f>INT(SUM($W$141:W242)/3)+1</f>
        <v>26</v>
      </c>
      <c r="U242" s="135" t="str">
        <f t="shared" si="42"/>
        <v/>
      </c>
      <c r="V242" s="67" t="s">
        <v>168</v>
      </c>
      <c r="W242" s="137" t="str">
        <f t="shared" si="48"/>
        <v/>
      </c>
      <c r="X242" s="137" t="str">
        <f t="shared" si="43"/>
        <v/>
      </c>
      <c r="Y242" s="138"/>
      <c r="Z242" s="138">
        <v>2</v>
      </c>
      <c r="AA242" s="138">
        <v>3</v>
      </c>
      <c r="AB242" s="138" t="str">
        <f t="shared" si="52"/>
        <v>{10000,9000,8000}</v>
      </c>
      <c r="AC242" s="138">
        <v>1000</v>
      </c>
      <c r="AD242" s="138">
        <v>4000</v>
      </c>
      <c r="AE242" s="138">
        <f>SUM($R$141:$R242)+SUM($X$141:$X242)</f>
        <v>721800</v>
      </c>
      <c r="AF242" s="138">
        <f>SUM($Q$142:Q242)</f>
        <v>21633</v>
      </c>
      <c r="AG242" s="137">
        <f t="shared" si="49"/>
        <v>786699</v>
      </c>
      <c r="AH242" s="139">
        <f>SUM($S$141:S242)</f>
        <v>308.157000881603</v>
      </c>
      <c r="AI242" s="133">
        <f t="shared" si="50"/>
        <v>5.02487562189055</v>
      </c>
      <c r="AJ242" s="15">
        <f t="shared" si="51"/>
        <v>434400</v>
      </c>
      <c r="AL242" s="15">
        <v>102</v>
      </c>
      <c r="AM242" s="15">
        <f t="shared" si="44"/>
        <v>190540</v>
      </c>
      <c r="AN242" s="15">
        <f>SUMIF([1]装备属性!$M$571:$M$870,"&lt;="&amp;AL242,[1]装备属性!$Q$571:$Q$870)</f>
        <v>7968.10846560846</v>
      </c>
      <c r="AO242" s="15">
        <f t="shared" si="45"/>
        <v>23.9128270934562</v>
      </c>
    </row>
    <row r="243" ht="18" spans="1:41">
      <c r="A243" s="9" t="s">
        <v>226</v>
      </c>
      <c r="B243" s="9" t="str">
        <f t="shared" si="34"/>
        <v>[{5205001,3},{2,}]</v>
      </c>
      <c r="C243" s="51" t="str">
        <f t="shared" si="35"/>
        <v>[{5203001,470},{2,7230}]</v>
      </c>
      <c r="D243" s="140">
        <v>103</v>
      </c>
      <c r="E243" s="130">
        <f t="shared" si="36"/>
        <v>319</v>
      </c>
      <c r="F243" s="130">
        <f t="shared" si="55"/>
        <v>185</v>
      </c>
      <c r="G243" s="130">
        <v>60</v>
      </c>
      <c r="H243" s="130">
        <f>SUMIFS(基因产出!$F$90:$F$389,基因产出!$D$90:$D$389,"&lt;="&amp;E243,基因产出!$D$90:$D$389,"&gt;"&amp;_xlfn.MAXIFS($E$141:E243,$E$141:E243,"&lt;"&amp;E243))/COUNTIF($E$141:$E$500,E243)</f>
        <v>0</v>
      </c>
      <c r="I243" s="130">
        <f>IF(COUNTIF($I$141:$I242,$I242)=VLOOKUP($I242,$D$90:$E$120,2,0),$I242+1,$I242)</f>
        <v>13</v>
      </c>
      <c r="J243" s="131">
        <f t="shared" si="37"/>
        <v>76</v>
      </c>
      <c r="K243" s="132" t="str">
        <f t="shared" si="38"/>
        <v/>
      </c>
      <c r="L243" s="132" t="str">
        <f t="shared" si="39"/>
        <v/>
      </c>
      <c r="M243" s="132">
        <f t="shared" si="40"/>
        <v>0.002</v>
      </c>
      <c r="N243" s="132" t="str">
        <f t="shared" si="46"/>
        <v/>
      </c>
      <c r="O243" s="132" t="str">
        <f t="shared" si="41"/>
        <v/>
      </c>
      <c r="P243" s="141">
        <f>(SUM($Q$142:Q243)-SUM($H$141:H243))/SUM($H$141:H243)</f>
        <v>-0.78354393182486</v>
      </c>
      <c r="Q243" s="142">
        <f t="shared" si="54"/>
        <v>465</v>
      </c>
      <c r="R243" s="142">
        <f t="shared" si="53"/>
        <v>7160</v>
      </c>
      <c r="S243" s="133">
        <f t="shared" si="47"/>
        <v>10.1492537313433</v>
      </c>
      <c r="T243" s="134">
        <f>INT(SUM($W$141:W243)/3)+1</f>
        <v>26</v>
      </c>
      <c r="U243" s="135" t="str">
        <f t="shared" si="42"/>
        <v/>
      </c>
      <c r="V243" s="67" t="s">
        <v>168</v>
      </c>
      <c r="W243" s="137" t="str">
        <f t="shared" si="48"/>
        <v/>
      </c>
      <c r="X243" s="137" t="str">
        <f t="shared" si="43"/>
        <v/>
      </c>
      <c r="Y243" s="138"/>
      <c r="Z243" s="138">
        <v>2</v>
      </c>
      <c r="AA243" s="138">
        <v>3</v>
      </c>
      <c r="AB243" s="138" t="str">
        <f t="shared" si="52"/>
        <v>{10000,9000,8000}</v>
      </c>
      <c r="AC243" s="138">
        <v>1000</v>
      </c>
      <c r="AD243" s="138">
        <v>4000</v>
      </c>
      <c r="AE243" s="138">
        <f>SUM($R$141:$R243)+SUM($X$141:$X243)</f>
        <v>728960</v>
      </c>
      <c r="AF243" s="138">
        <f>SUM($Q$142:Q243)</f>
        <v>22098</v>
      </c>
      <c r="AG243" s="137">
        <f t="shared" si="49"/>
        <v>795254</v>
      </c>
      <c r="AH243" s="139">
        <f>SUM($S$141:S243)</f>
        <v>318.306254612946</v>
      </c>
      <c r="AI243" s="133">
        <f t="shared" si="50"/>
        <v>5.07462686567164</v>
      </c>
      <c r="AJ243" s="15">
        <f t="shared" si="51"/>
        <v>438600</v>
      </c>
      <c r="AL243" s="15">
        <v>103</v>
      </c>
      <c r="AM243" s="15">
        <f t="shared" si="44"/>
        <v>190540</v>
      </c>
      <c r="AN243" s="15">
        <f>SUMIF([1]装备属性!$M$571:$M$870,"&lt;="&amp;AL243,[1]装备属性!$Q$571:$Q$870)</f>
        <v>8809.77513227513</v>
      </c>
      <c r="AO243" s="15">
        <f t="shared" si="45"/>
        <v>21.6282478427793</v>
      </c>
    </row>
    <row r="244" ht="18" spans="1:41">
      <c r="A244" s="9" t="s">
        <v>227</v>
      </c>
      <c r="B244" s="9" t="str">
        <f t="shared" si="34"/>
        <v>[{5205001,3},{2,28920}]</v>
      </c>
      <c r="C244" s="51" t="str">
        <f t="shared" si="35"/>
        <v>[{5203001,475},{2,7300}]</v>
      </c>
      <c r="D244" s="140">
        <v>104</v>
      </c>
      <c r="E244" s="130">
        <f t="shared" si="36"/>
        <v>329</v>
      </c>
      <c r="F244" s="130">
        <f t="shared" si="55"/>
        <v>190</v>
      </c>
      <c r="G244" s="130">
        <v>60</v>
      </c>
      <c r="H244" s="130">
        <f>SUMIFS(基因产出!$F$90:$F$389,基因产出!$D$90:$D$389,"&lt;="&amp;E244,基因产出!$D$90:$D$389,"&gt;"&amp;_xlfn.MAXIFS($E$141:E244,$E$141:E244,"&lt;"&amp;E244))/COUNTIF($E$141:$E$500,E244)</f>
        <v>0</v>
      </c>
      <c r="I244" s="130">
        <f>IF(COUNTIF($I$141:$I243,$I243)=VLOOKUP($I243,$D$90:$E$120,2,0),$I243+1,$I243)</f>
        <v>13</v>
      </c>
      <c r="J244" s="131">
        <f t="shared" si="37"/>
        <v>76</v>
      </c>
      <c r="K244" s="132" t="str">
        <f t="shared" si="38"/>
        <v/>
      </c>
      <c r="L244" s="132">
        <f t="shared" si="39"/>
        <v>0.03</v>
      </c>
      <c r="M244" s="132" t="str">
        <f t="shared" si="40"/>
        <v/>
      </c>
      <c r="N244" s="132" t="str">
        <f t="shared" si="46"/>
        <v/>
      </c>
      <c r="O244" s="132" t="str">
        <f t="shared" si="41"/>
        <v/>
      </c>
      <c r="P244" s="141">
        <f>(SUM($Q$142:Q244)-SUM($H$141:H244))/SUM($H$141:H244)</f>
        <v>-0.778940150847292</v>
      </c>
      <c r="Q244" s="142">
        <f t="shared" si="54"/>
        <v>470</v>
      </c>
      <c r="R244" s="142">
        <f t="shared" si="53"/>
        <v>7230</v>
      </c>
      <c r="S244" s="133">
        <f t="shared" si="47"/>
        <v>10.2487562189055</v>
      </c>
      <c r="T244" s="134">
        <f>INT(SUM($W$141:W244)/3)+1</f>
        <v>27</v>
      </c>
      <c r="U244" s="135" t="str">
        <f t="shared" si="42"/>
        <v>50</v>
      </c>
      <c r="V244" s="67" t="s">
        <v>71</v>
      </c>
      <c r="W244" s="137">
        <f t="shared" si="48"/>
        <v>3</v>
      </c>
      <c r="X244" s="137">
        <f t="shared" si="43"/>
        <v>28920</v>
      </c>
      <c r="Y244" s="138"/>
      <c r="Z244" s="138">
        <v>2</v>
      </c>
      <c r="AA244" s="138">
        <v>3</v>
      </c>
      <c r="AB244" s="138" t="str">
        <f t="shared" si="52"/>
        <v>{10000,9000,8000}</v>
      </c>
      <c r="AC244" s="138">
        <v>1000</v>
      </c>
      <c r="AD244" s="138">
        <v>4000</v>
      </c>
      <c r="AE244" s="138">
        <f>SUM($R$141:$R244)+SUM($X$141:$X244)</f>
        <v>765110</v>
      </c>
      <c r="AF244" s="138">
        <f>SUM($Q$142:Q244)</f>
        <v>22568</v>
      </c>
      <c r="AG244" s="137">
        <f t="shared" si="49"/>
        <v>832814</v>
      </c>
      <c r="AH244" s="139">
        <f>SUM($S$141:S244)</f>
        <v>328.555010831852</v>
      </c>
      <c r="AI244" s="133">
        <f t="shared" si="50"/>
        <v>5.12437810945274</v>
      </c>
      <c r="AJ244" s="15">
        <f t="shared" si="51"/>
        <v>442800</v>
      </c>
      <c r="AL244" s="15">
        <v>104</v>
      </c>
      <c r="AM244" s="15">
        <f t="shared" si="44"/>
        <v>190540</v>
      </c>
      <c r="AN244" s="15">
        <f>SUMIF([1]装备属性!$M$571:$M$870,"&lt;="&amp;AL244,[1]装备属性!$Q$571:$Q$870)</f>
        <v>10048.664021164</v>
      </c>
      <c r="AO244" s="15">
        <f t="shared" si="45"/>
        <v>18.9617246231632</v>
      </c>
    </row>
    <row r="245" ht="18" spans="1:41">
      <c r="A245" s="9" t="s">
        <v>228</v>
      </c>
      <c r="B245" s="9" t="str">
        <f t="shared" si="34"/>
        <v>[{5205001,3},{2,}]</v>
      </c>
      <c r="C245" s="51" t="str">
        <f t="shared" si="35"/>
        <v>[{5203001,480},{2,7370}]</v>
      </c>
      <c r="D245" s="140">
        <v>105</v>
      </c>
      <c r="E245" s="130">
        <f t="shared" si="36"/>
        <v>341</v>
      </c>
      <c r="F245" s="130">
        <f t="shared" si="55"/>
        <v>195</v>
      </c>
      <c r="G245" s="130">
        <v>60</v>
      </c>
      <c r="H245" s="130">
        <f>SUMIFS(基因产出!$F$90:$F$389,基因产出!$D$90:$D$389,"&lt;="&amp;E245,基因产出!$D$90:$D$389,"&gt;"&amp;_xlfn.MAXIFS($E$141:E245,$E$141:E245,"&lt;"&amp;E245))/COUNTIF($E$141:$E$500,E245)</f>
        <v>0</v>
      </c>
      <c r="I245" s="130">
        <f>IF(COUNTIF($I$141:$I244,$I244)=VLOOKUP($I244,$D$90:$E$120,2,0),$I244+1,$I244)</f>
        <v>14</v>
      </c>
      <c r="J245" s="131">
        <f t="shared" si="37"/>
        <v>82</v>
      </c>
      <c r="K245" s="132">
        <f t="shared" si="38"/>
        <v>0.05</v>
      </c>
      <c r="L245" s="132" t="str">
        <f t="shared" si="39"/>
        <v/>
      </c>
      <c r="M245" s="132" t="str">
        <f t="shared" si="40"/>
        <v/>
      </c>
      <c r="N245" s="132" t="str">
        <f t="shared" si="46"/>
        <v/>
      </c>
      <c r="O245" s="132" t="str">
        <f t="shared" si="41"/>
        <v/>
      </c>
      <c r="P245" s="141">
        <f>(SUM($Q$142:Q245)-SUM($H$141:H245))/SUM($H$141:H245)</f>
        <v>-0.774287393476344</v>
      </c>
      <c r="Q245" s="142">
        <f t="shared" si="54"/>
        <v>475</v>
      </c>
      <c r="R245" s="142">
        <f t="shared" si="53"/>
        <v>7300</v>
      </c>
      <c r="S245" s="133">
        <f t="shared" si="47"/>
        <v>11.5023041474654</v>
      </c>
      <c r="T245" s="134">
        <f>INT(SUM($W$141:W245)/3)+1</f>
        <v>27</v>
      </c>
      <c r="U245" s="135" t="str">
        <f t="shared" si="42"/>
        <v/>
      </c>
      <c r="V245" s="67" t="s">
        <v>168</v>
      </c>
      <c r="W245" s="137" t="str">
        <f t="shared" si="48"/>
        <v/>
      </c>
      <c r="X245" s="137" t="str">
        <f t="shared" si="43"/>
        <v/>
      </c>
      <c r="Y245" s="138"/>
      <c r="Z245" s="138">
        <v>2</v>
      </c>
      <c r="AA245" s="138">
        <v>3</v>
      </c>
      <c r="AB245" s="138" t="str">
        <f t="shared" si="52"/>
        <v>{10000,9000,8000}</v>
      </c>
      <c r="AC245" s="138">
        <v>1000</v>
      </c>
      <c r="AD245" s="138">
        <v>4000</v>
      </c>
      <c r="AE245" s="138">
        <f>SUM($R$141:$R245)+SUM($X$141:$X245)</f>
        <v>772410</v>
      </c>
      <c r="AF245" s="138">
        <f>SUM($Q$142:Q245)</f>
        <v>23043</v>
      </c>
      <c r="AG245" s="137">
        <f t="shared" si="49"/>
        <v>841539</v>
      </c>
      <c r="AH245" s="139">
        <f>SUM($S$141:S245)</f>
        <v>340.057314979317</v>
      </c>
      <c r="AI245" s="133">
        <f t="shared" si="50"/>
        <v>5.75115207373272</v>
      </c>
      <c r="AJ245" s="15">
        <f t="shared" si="51"/>
        <v>497100</v>
      </c>
      <c r="AL245" s="15">
        <v>105</v>
      </c>
      <c r="AM245" s="15">
        <f t="shared" si="44"/>
        <v>195740</v>
      </c>
      <c r="AN245" s="15">
        <f>SUMIF([1]装备属性!$M$571:$M$870,"&lt;="&amp;AL245,[1]装备属性!$Q$571:$Q$870)</f>
        <v>12152.4518999519</v>
      </c>
      <c r="AO245" s="15">
        <f t="shared" si="45"/>
        <v>16.107037625944</v>
      </c>
    </row>
    <row r="246" ht="18" spans="1:41">
      <c r="A246" s="9" t="s">
        <v>229</v>
      </c>
      <c r="B246" s="9" t="str">
        <f t="shared" si="34"/>
        <v>[{5205001,3},{2,}]</v>
      </c>
      <c r="C246" s="51" t="str">
        <f t="shared" si="35"/>
        <v>[{5203001,485},{2,7440}]</v>
      </c>
      <c r="D246" s="140">
        <v>106</v>
      </c>
      <c r="E246" s="130">
        <f t="shared" si="36"/>
        <v>352</v>
      </c>
      <c r="F246" s="130">
        <f t="shared" si="55"/>
        <v>200</v>
      </c>
      <c r="G246" s="130">
        <v>60</v>
      </c>
      <c r="H246" s="130">
        <f>SUMIFS(基因产出!$F$90:$F$389,基因产出!$D$90:$D$389,"&lt;="&amp;E246,基因产出!$D$90:$D$389,"&gt;"&amp;_xlfn.MAXIFS($E$141:E246,$E$141:E246,"&lt;"&amp;E246))/COUNTIF($E$141:$E$500,E246)</f>
        <v>0</v>
      </c>
      <c r="I246" s="130">
        <f>IF(COUNTIF($I$141:$I245,$I245)=VLOOKUP($I245,$D$90:$E$120,2,0),$I245+1,$I245)</f>
        <v>14</v>
      </c>
      <c r="J246" s="131">
        <f t="shared" si="37"/>
        <v>82</v>
      </c>
      <c r="K246" s="132" t="str">
        <f t="shared" si="38"/>
        <v/>
      </c>
      <c r="L246" s="132" t="str">
        <f t="shared" si="39"/>
        <v/>
      </c>
      <c r="M246" s="132" t="str">
        <f t="shared" si="40"/>
        <v/>
      </c>
      <c r="N246" s="132">
        <f t="shared" si="46"/>
        <v>0.0075</v>
      </c>
      <c r="O246" s="132" t="str">
        <f t="shared" si="41"/>
        <v/>
      </c>
      <c r="P246" s="141">
        <f>(SUM($Q$142:Q246)-SUM($H$141:H246))/SUM($H$141:H246)</f>
        <v>-0.769585659712019</v>
      </c>
      <c r="Q246" s="142">
        <f t="shared" si="54"/>
        <v>480</v>
      </c>
      <c r="R246" s="142">
        <f t="shared" si="53"/>
        <v>7370</v>
      </c>
      <c r="S246" s="133">
        <f t="shared" si="47"/>
        <v>11.6129032258065</v>
      </c>
      <c r="T246" s="134">
        <f>INT(SUM($W$141:W246)/3)+1</f>
        <v>27</v>
      </c>
      <c r="U246" s="135" t="str">
        <f t="shared" si="42"/>
        <v/>
      </c>
      <c r="V246" s="67" t="s">
        <v>168</v>
      </c>
      <c r="W246" s="137" t="str">
        <f t="shared" si="48"/>
        <v/>
      </c>
      <c r="X246" s="137" t="str">
        <f t="shared" si="43"/>
        <v/>
      </c>
      <c r="Y246" s="138"/>
      <c r="Z246" s="138">
        <v>2</v>
      </c>
      <c r="AA246" s="138">
        <v>3</v>
      </c>
      <c r="AB246" s="138" t="str">
        <f t="shared" si="52"/>
        <v>{10000,9000,8000}</v>
      </c>
      <c r="AC246" s="138">
        <v>1000</v>
      </c>
      <c r="AD246" s="138">
        <v>4000</v>
      </c>
      <c r="AE246" s="138">
        <f>SUM($R$141:$R246)+SUM($X$141:$X246)</f>
        <v>779780</v>
      </c>
      <c r="AF246" s="138">
        <f>SUM($Q$142:Q246)</f>
        <v>23523</v>
      </c>
      <c r="AG246" s="137">
        <f t="shared" si="49"/>
        <v>850349</v>
      </c>
      <c r="AH246" s="139">
        <f>SUM($S$141:S246)</f>
        <v>351.670218205124</v>
      </c>
      <c r="AI246" s="133">
        <f t="shared" si="50"/>
        <v>5.80645161290323</v>
      </c>
      <c r="AJ246" s="15">
        <f t="shared" si="51"/>
        <v>501900</v>
      </c>
      <c r="AL246" s="15">
        <v>106</v>
      </c>
      <c r="AM246" s="15">
        <f t="shared" si="44"/>
        <v>195740</v>
      </c>
      <c r="AN246" s="15">
        <f>SUMIF([1]装备属性!$M$571:$M$870,"&lt;="&amp;AL246,[1]装备属性!$Q$571:$Q$870)</f>
        <v>15246.3804713805</v>
      </c>
      <c r="AO246" s="15">
        <f t="shared" si="45"/>
        <v>12.8384569942637</v>
      </c>
    </row>
    <row r="247" ht="18" spans="1:41">
      <c r="A247" s="9" t="s">
        <v>230</v>
      </c>
      <c r="B247" s="9" t="str">
        <f t="shared" si="34"/>
        <v>[{5205001,3},{2,}]</v>
      </c>
      <c r="C247" s="51" t="str">
        <f t="shared" si="35"/>
        <v>[{5203001,490},{2,7510}]</v>
      </c>
      <c r="D247" s="140">
        <v>107</v>
      </c>
      <c r="E247" s="130">
        <f t="shared" si="36"/>
        <v>364</v>
      </c>
      <c r="F247" s="130">
        <f t="shared" si="55"/>
        <v>205</v>
      </c>
      <c r="G247" s="130">
        <v>60</v>
      </c>
      <c r="H247" s="130">
        <f>SUMIFS(基因产出!$F$90:$F$389,基因产出!$D$90:$D$389,"&lt;="&amp;E247,基因产出!$D$90:$D$389,"&gt;"&amp;_xlfn.MAXIFS($E$141:E247,$E$141:E247,"&lt;"&amp;E247))/COUNTIF($E$141:$E$500,E247)</f>
        <v>0</v>
      </c>
      <c r="I247" s="130">
        <f>IF(COUNTIF($I$141:$I246,$I246)=VLOOKUP($I246,$D$90:$E$120,2,0),$I246+1,$I246)</f>
        <v>14</v>
      </c>
      <c r="J247" s="131">
        <f t="shared" si="37"/>
        <v>82</v>
      </c>
      <c r="K247" s="132" t="str">
        <f t="shared" si="38"/>
        <v/>
      </c>
      <c r="L247" s="132" t="str">
        <f t="shared" si="39"/>
        <v/>
      </c>
      <c r="M247" s="132">
        <f t="shared" si="40"/>
        <v>0.002</v>
      </c>
      <c r="N247" s="132" t="str">
        <f t="shared" si="46"/>
        <v/>
      </c>
      <c r="O247" s="132" t="str">
        <f t="shared" si="41"/>
        <v/>
      </c>
      <c r="P247" s="141">
        <f>(SUM($Q$142:Q247)-SUM($H$141:H247))/SUM($H$141:H247)</f>
        <v>-0.764834949554315</v>
      </c>
      <c r="Q247" s="142">
        <f t="shared" si="54"/>
        <v>485</v>
      </c>
      <c r="R247" s="142">
        <f t="shared" si="53"/>
        <v>7440</v>
      </c>
      <c r="S247" s="133">
        <f t="shared" si="47"/>
        <v>11.7235023041475</v>
      </c>
      <c r="T247" s="134">
        <f>INT(SUM($W$141:W247)/3)+1</f>
        <v>27</v>
      </c>
      <c r="U247" s="135" t="str">
        <f t="shared" si="42"/>
        <v/>
      </c>
      <c r="V247" s="67" t="s">
        <v>168</v>
      </c>
      <c r="W247" s="137" t="str">
        <f t="shared" si="48"/>
        <v/>
      </c>
      <c r="X247" s="137" t="str">
        <f t="shared" si="43"/>
        <v/>
      </c>
      <c r="Y247" s="138"/>
      <c r="Z247" s="138">
        <v>2</v>
      </c>
      <c r="AA247" s="138">
        <v>3</v>
      </c>
      <c r="AB247" s="138" t="str">
        <f t="shared" si="52"/>
        <v>{10000,9000,8000}</v>
      </c>
      <c r="AC247" s="138">
        <v>1000</v>
      </c>
      <c r="AD247" s="138">
        <v>4000</v>
      </c>
      <c r="AE247" s="138">
        <f>SUM($R$141:$R247)+SUM($X$141:$X247)</f>
        <v>787220</v>
      </c>
      <c r="AF247" s="138">
        <f>SUM($Q$142:Q247)</f>
        <v>24008</v>
      </c>
      <c r="AG247" s="137">
        <f t="shared" si="49"/>
        <v>859244</v>
      </c>
      <c r="AH247" s="139">
        <f>SUM($S$141:S247)</f>
        <v>363.393720509271</v>
      </c>
      <c r="AI247" s="133">
        <f t="shared" si="50"/>
        <v>5.86175115207373</v>
      </c>
      <c r="AJ247" s="15">
        <f t="shared" si="51"/>
        <v>506700</v>
      </c>
      <c r="AL247" s="15">
        <v>107</v>
      </c>
      <c r="AM247" s="15">
        <f t="shared" si="44"/>
        <v>195740</v>
      </c>
      <c r="AN247" s="15">
        <f>SUMIF([1]装备属性!$M$571:$M$870,"&lt;="&amp;AL247,[1]装备属性!$Q$571:$Q$870)</f>
        <v>16941.085016835</v>
      </c>
      <c r="AO247" s="15">
        <f t="shared" si="45"/>
        <v>11.5541595951786</v>
      </c>
    </row>
    <row r="248" ht="18" spans="1:41">
      <c r="A248" s="9" t="s">
        <v>231</v>
      </c>
      <c r="B248" s="9" t="str">
        <f t="shared" si="34"/>
        <v>[{5205001,3},{2,30040}]</v>
      </c>
      <c r="C248" s="51" t="str">
        <f t="shared" si="35"/>
        <v>[{5203001,495},{2,7580}]</v>
      </c>
      <c r="D248" s="140">
        <v>108</v>
      </c>
      <c r="E248" s="130">
        <f t="shared" si="36"/>
        <v>376</v>
      </c>
      <c r="F248" s="130">
        <f t="shared" si="55"/>
        <v>210</v>
      </c>
      <c r="G248" s="130">
        <v>60</v>
      </c>
      <c r="H248" s="130">
        <f>SUMIFS(基因产出!$F$90:$F$389,基因产出!$D$90:$D$389,"&lt;="&amp;E248,基因产出!$D$90:$D$389,"&gt;"&amp;_xlfn.MAXIFS($E$141:E248,$E$141:E248,"&lt;"&amp;E248))/COUNTIF($E$141:$E$500,E248)</f>
        <v>0</v>
      </c>
      <c r="I248" s="130">
        <f>IF(COUNTIF($I$141:$I247,$I247)=VLOOKUP($I247,$D$90:$E$120,2,0),$I247+1,$I247)</f>
        <v>14</v>
      </c>
      <c r="J248" s="131">
        <f t="shared" si="37"/>
        <v>82</v>
      </c>
      <c r="K248" s="132" t="str">
        <f t="shared" si="38"/>
        <v/>
      </c>
      <c r="L248" s="132">
        <f t="shared" si="39"/>
        <v>0.03</v>
      </c>
      <c r="M248" s="132" t="str">
        <f t="shared" si="40"/>
        <v/>
      </c>
      <c r="N248" s="132" t="str">
        <f t="shared" si="46"/>
        <v/>
      </c>
      <c r="O248" s="132" t="str">
        <f t="shared" si="41"/>
        <v/>
      </c>
      <c r="P248" s="141">
        <f>(SUM($Q$142:Q248)-SUM($H$141:H248))/SUM($H$141:H248)</f>
        <v>-0.760035263003232</v>
      </c>
      <c r="Q248" s="142">
        <f t="shared" si="54"/>
        <v>490</v>
      </c>
      <c r="R248" s="142">
        <f t="shared" si="53"/>
        <v>7510</v>
      </c>
      <c r="S248" s="133">
        <f t="shared" si="47"/>
        <v>11.8341013824885</v>
      </c>
      <c r="T248" s="134">
        <f>INT(SUM($W$141:W248)/3)+1</f>
        <v>28</v>
      </c>
      <c r="U248" s="135" t="str">
        <f t="shared" si="42"/>
        <v/>
      </c>
      <c r="V248" s="67" t="s">
        <v>93</v>
      </c>
      <c r="W248" s="137">
        <f t="shared" si="48"/>
        <v>3</v>
      </c>
      <c r="X248" s="137">
        <f t="shared" si="43"/>
        <v>30040</v>
      </c>
      <c r="Y248" s="138"/>
      <c r="Z248" s="138">
        <v>2</v>
      </c>
      <c r="AA248" s="138">
        <v>3</v>
      </c>
      <c r="AB248" s="138" t="str">
        <f t="shared" si="52"/>
        <v>{10000,9000,8000}</v>
      </c>
      <c r="AC248" s="138">
        <v>1000</v>
      </c>
      <c r="AD248" s="138">
        <v>4000</v>
      </c>
      <c r="AE248" s="138">
        <f>SUM($R$141:$R248)+SUM($X$141:$X248)</f>
        <v>824770</v>
      </c>
      <c r="AF248" s="138">
        <f>SUM($Q$142:Q248)</f>
        <v>24498</v>
      </c>
      <c r="AG248" s="137">
        <f t="shared" si="49"/>
        <v>898264</v>
      </c>
      <c r="AH248" s="139">
        <f>SUM($S$141:S248)</f>
        <v>375.22782189176</v>
      </c>
      <c r="AI248" s="133">
        <f t="shared" si="50"/>
        <v>5.91705069124424</v>
      </c>
      <c r="AJ248" s="15">
        <f t="shared" si="51"/>
        <v>511500</v>
      </c>
      <c r="AL248" s="15">
        <v>108</v>
      </c>
      <c r="AM248" s="15">
        <f t="shared" si="44"/>
        <v>195740</v>
      </c>
      <c r="AN248" s="15">
        <f>SUMIF([1]装备属性!$M$571:$M$870,"&lt;="&amp;AL248,[1]装备属性!$Q$571:$Q$870)</f>
        <v>19695.3274410774</v>
      </c>
      <c r="AO248" s="15">
        <f t="shared" si="45"/>
        <v>9.93839785530838</v>
      </c>
    </row>
    <row r="249" ht="18" spans="1:41">
      <c r="A249" s="9" t="s">
        <v>228</v>
      </c>
      <c r="B249" s="9" t="str">
        <f t="shared" si="34"/>
        <v>[{5205001,3},{2,}]</v>
      </c>
      <c r="C249" s="51" t="str">
        <f t="shared" si="35"/>
        <v>[{5203001,500},{2,7650}]</v>
      </c>
      <c r="D249" s="140">
        <v>109</v>
      </c>
      <c r="E249" s="130">
        <f t="shared" si="36"/>
        <v>388</v>
      </c>
      <c r="F249" s="130">
        <f t="shared" si="55"/>
        <v>215</v>
      </c>
      <c r="G249" s="130">
        <v>60</v>
      </c>
      <c r="H249" s="130">
        <f>SUMIFS(基因产出!$F$90:$F$389,基因产出!$D$90:$D$389,"&lt;="&amp;E249,基因产出!$D$90:$D$389,"&gt;"&amp;_xlfn.MAXIFS($E$141:E249,$E$141:E249,"&lt;"&amp;E249))/COUNTIF($E$141:$E$500,E249)</f>
        <v>0</v>
      </c>
      <c r="I249" s="130">
        <f>IF(COUNTIF($I$141:$I248,$I248)=VLOOKUP($I248,$D$90:$E$120,2,0),$I248+1,$I248)</f>
        <v>14</v>
      </c>
      <c r="J249" s="131">
        <f t="shared" si="37"/>
        <v>82</v>
      </c>
      <c r="K249" s="132">
        <f t="shared" si="38"/>
        <v>0.05</v>
      </c>
      <c r="L249" s="132" t="str">
        <f t="shared" si="39"/>
        <v/>
      </c>
      <c r="M249" s="132" t="str">
        <f t="shared" si="40"/>
        <v/>
      </c>
      <c r="N249" s="132" t="str">
        <f t="shared" si="46"/>
        <v/>
      </c>
      <c r="O249" s="132" t="str">
        <f t="shared" si="41"/>
        <v/>
      </c>
      <c r="P249" s="141">
        <f>(SUM($Q$142:Q249)-SUM($H$141:H249))/SUM($H$141:H249)</f>
        <v>-0.755186600058772</v>
      </c>
      <c r="Q249" s="142">
        <f t="shared" ref="Q249:Q312" si="56">Q248+5</f>
        <v>495</v>
      </c>
      <c r="R249" s="142">
        <f t="shared" si="53"/>
        <v>7580</v>
      </c>
      <c r="S249" s="133">
        <f t="shared" si="47"/>
        <v>11.9447004608295</v>
      </c>
      <c r="T249" s="134">
        <f>INT(SUM($W$141:W249)/3)+1</f>
        <v>28</v>
      </c>
      <c r="U249" s="135" t="str">
        <f t="shared" si="42"/>
        <v/>
      </c>
      <c r="V249" s="67" t="s">
        <v>168</v>
      </c>
      <c r="W249" s="137" t="str">
        <f t="shared" si="48"/>
        <v/>
      </c>
      <c r="X249" s="137" t="str">
        <f t="shared" si="43"/>
        <v/>
      </c>
      <c r="Y249" s="138"/>
      <c r="Z249" s="138">
        <v>2</v>
      </c>
      <c r="AA249" s="138">
        <v>3</v>
      </c>
      <c r="AB249" s="138" t="str">
        <f t="shared" si="52"/>
        <v>{10000,9000,8000}</v>
      </c>
      <c r="AC249" s="138">
        <v>1000</v>
      </c>
      <c r="AD249" s="138">
        <v>4000</v>
      </c>
      <c r="AE249" s="138">
        <f>SUM($R$141:$R249)+SUM($X$141:$X249)</f>
        <v>832350</v>
      </c>
      <c r="AF249" s="138">
        <f>SUM($Q$142:Q249)</f>
        <v>24993</v>
      </c>
      <c r="AG249" s="137">
        <f t="shared" si="49"/>
        <v>907329</v>
      </c>
      <c r="AH249" s="139">
        <f>SUM($S$141:S249)</f>
        <v>387.172522352589</v>
      </c>
      <c r="AI249" s="133">
        <f t="shared" si="50"/>
        <v>5.97235023041475</v>
      </c>
      <c r="AJ249" s="15">
        <f t="shared" si="51"/>
        <v>516300</v>
      </c>
      <c r="AL249" s="15">
        <v>109</v>
      </c>
      <c r="AM249" s="15">
        <f t="shared" si="44"/>
        <v>195740</v>
      </c>
      <c r="AN249" s="15">
        <f>SUMIF([1]装备属性!$M$571:$M$870,"&lt;="&amp;AL249,[1]装备属性!$Q$571:$Q$870)</f>
        <v>21377.4107744108</v>
      </c>
      <c r="AO249" s="15">
        <f t="shared" si="45"/>
        <v>9.1563941987916</v>
      </c>
    </row>
    <row r="250" ht="18" spans="1:41">
      <c r="A250" s="9" t="s">
        <v>232</v>
      </c>
      <c r="B250" s="9" t="str">
        <f t="shared" si="34"/>
        <v>[{5205001,3},{2,}]</v>
      </c>
      <c r="C250" s="51" t="str">
        <f t="shared" si="35"/>
        <v>[{5203001,505},{2,7720}]</v>
      </c>
      <c r="D250" s="140">
        <v>110</v>
      </c>
      <c r="E250" s="130">
        <f t="shared" si="36"/>
        <v>400</v>
      </c>
      <c r="F250" s="130">
        <f t="shared" si="55"/>
        <v>220</v>
      </c>
      <c r="G250" s="130">
        <v>60</v>
      </c>
      <c r="H250" s="130">
        <f>SUMIFS(基因产出!$F$90:$F$389,基因产出!$D$90:$D$389,"&lt;="&amp;E250,基因产出!$D$90:$D$389,"&gt;"&amp;_xlfn.MAXIFS($E$141:E250,$E$141:E250,"&lt;"&amp;E250))/COUNTIF($E$141:$E$500,E250)</f>
        <v>0</v>
      </c>
      <c r="I250" s="130">
        <f>IF(COUNTIF($I$141:$I249,$I249)=VLOOKUP($I249,$D$90:$E$120,2,0),$I249+1,$I249)</f>
        <v>14</v>
      </c>
      <c r="J250" s="131">
        <f t="shared" si="37"/>
        <v>82</v>
      </c>
      <c r="K250" s="132" t="str">
        <f t="shared" si="38"/>
        <v/>
      </c>
      <c r="L250" s="132" t="str">
        <f t="shared" si="39"/>
        <v/>
      </c>
      <c r="M250" s="132" t="str">
        <f t="shared" si="40"/>
        <v/>
      </c>
      <c r="N250" s="132">
        <f t="shared" si="46"/>
        <v>0.0075</v>
      </c>
      <c r="O250" s="132">
        <f t="shared" si="41"/>
        <v>0.05</v>
      </c>
      <c r="P250" s="141">
        <f>(SUM($Q$142:Q250)-SUM($H$141:H250))/SUM($H$141:H250)</f>
        <v>-0.750288960720933</v>
      </c>
      <c r="Q250" s="142">
        <f t="shared" si="56"/>
        <v>500</v>
      </c>
      <c r="R250" s="142">
        <f t="shared" si="53"/>
        <v>7650</v>
      </c>
      <c r="S250" s="133">
        <f t="shared" si="47"/>
        <v>12.0552995391705</v>
      </c>
      <c r="T250" s="134">
        <f>INT(SUM($W$141:W250)/3)+1</f>
        <v>28</v>
      </c>
      <c r="U250" s="135" t="str">
        <f t="shared" si="42"/>
        <v/>
      </c>
      <c r="V250" s="67" t="s">
        <v>168</v>
      </c>
      <c r="W250" s="137" t="str">
        <f t="shared" si="48"/>
        <v/>
      </c>
      <c r="X250" s="137" t="str">
        <f t="shared" si="43"/>
        <v/>
      </c>
      <c r="Y250" s="138"/>
      <c r="Z250" s="138">
        <v>2</v>
      </c>
      <c r="AA250" s="138">
        <v>3</v>
      </c>
      <c r="AB250" s="138" t="str">
        <f t="shared" si="52"/>
        <v>{10000,9000,8000}</v>
      </c>
      <c r="AC250" s="138">
        <v>1000</v>
      </c>
      <c r="AD250" s="138">
        <v>4000</v>
      </c>
      <c r="AE250" s="138">
        <f>SUM($R$141:$R250)+SUM($X$141:$X250)</f>
        <v>840000</v>
      </c>
      <c r="AF250" s="138">
        <f>SUM($Q$142:Q250)</f>
        <v>25493</v>
      </c>
      <c r="AG250" s="137">
        <f t="shared" si="49"/>
        <v>916479</v>
      </c>
      <c r="AH250" s="139">
        <f>SUM($S$141:S250)</f>
        <v>399.22782189176</v>
      </c>
      <c r="AI250" s="133">
        <f t="shared" si="50"/>
        <v>6.02764976958525</v>
      </c>
      <c r="AJ250" s="15">
        <f t="shared" si="51"/>
        <v>520800</v>
      </c>
      <c r="AL250" s="15">
        <v>110</v>
      </c>
      <c r="AM250" s="15">
        <f t="shared" si="44"/>
        <v>201010</v>
      </c>
      <c r="AN250" s="15">
        <f>SUMIF([1]装备属性!$M$571:$M$870,"&lt;="&amp;AL250,[1]装备属性!$Q$571:$Q$870)</f>
        <v>24306.1986531986</v>
      </c>
      <c r="AO250" s="15">
        <f t="shared" si="45"/>
        <v>8.26990690185723</v>
      </c>
    </row>
    <row r="251" ht="18" spans="1:41">
      <c r="A251" s="9" t="s">
        <v>230</v>
      </c>
      <c r="B251" s="9" t="str">
        <f t="shared" si="34"/>
        <v>[{5205001,3},{2,}]</v>
      </c>
      <c r="C251" s="51" t="str">
        <f t="shared" si="35"/>
        <v>[{5203001,510},{2,7790}]</v>
      </c>
      <c r="D251" s="140">
        <v>111</v>
      </c>
      <c r="E251" s="130">
        <f t="shared" si="36"/>
        <v>412</v>
      </c>
      <c r="F251" s="130">
        <f t="shared" si="55"/>
        <v>225</v>
      </c>
      <c r="G251" s="130">
        <v>60</v>
      </c>
      <c r="H251" s="130">
        <f>SUMIFS(基因产出!$F$90:$F$389,基因产出!$D$90:$D$389,"&lt;="&amp;E251,基因产出!$D$90:$D$389,"&gt;"&amp;_xlfn.MAXIFS($E$141:E251,$E$141:E251,"&lt;"&amp;E251))/COUNTIF($E$141:$E$500,E251)</f>
        <v>0</v>
      </c>
      <c r="I251" s="130">
        <f>IF(COUNTIF($I$141:$I250,$I250)=VLOOKUP($I250,$D$90:$E$120,2,0),$I250+1,$I250)</f>
        <v>14</v>
      </c>
      <c r="J251" s="131">
        <f t="shared" si="37"/>
        <v>82</v>
      </c>
      <c r="K251" s="132" t="str">
        <f t="shared" si="38"/>
        <v/>
      </c>
      <c r="L251" s="132" t="str">
        <f t="shared" si="39"/>
        <v/>
      </c>
      <c r="M251" s="132">
        <f t="shared" si="40"/>
        <v>0.002</v>
      </c>
      <c r="N251" s="132" t="str">
        <f t="shared" si="46"/>
        <v/>
      </c>
      <c r="O251" s="132" t="str">
        <f t="shared" si="41"/>
        <v/>
      </c>
      <c r="P251" s="141">
        <f>(SUM($Q$142:Q251)-SUM($H$141:H251))/SUM($H$141:H251)</f>
        <v>-0.745342344989715</v>
      </c>
      <c r="Q251" s="142">
        <f t="shared" si="56"/>
        <v>505</v>
      </c>
      <c r="R251" s="142">
        <f t="shared" si="53"/>
        <v>7720</v>
      </c>
      <c r="S251" s="133">
        <f t="shared" si="47"/>
        <v>12.1658986175115</v>
      </c>
      <c r="T251" s="134">
        <f>INT(SUM($W$141:W251)/3)+1</f>
        <v>28</v>
      </c>
      <c r="U251" s="135" t="str">
        <f t="shared" si="42"/>
        <v/>
      </c>
      <c r="V251" s="67" t="s">
        <v>168</v>
      </c>
      <c r="W251" s="137" t="str">
        <f t="shared" si="48"/>
        <v/>
      </c>
      <c r="X251" s="137" t="str">
        <f t="shared" si="43"/>
        <v/>
      </c>
      <c r="Y251" s="138"/>
      <c r="Z251" s="138">
        <v>2</v>
      </c>
      <c r="AA251" s="138">
        <v>3</v>
      </c>
      <c r="AB251" s="138" t="str">
        <f t="shared" si="52"/>
        <v>{10000,9000,8000}</v>
      </c>
      <c r="AC251" s="138">
        <v>1000</v>
      </c>
      <c r="AD251" s="138">
        <v>4000</v>
      </c>
      <c r="AE251" s="138">
        <f>SUM($R$141:$R251)+SUM($X$141:$X251)</f>
        <v>847720</v>
      </c>
      <c r="AF251" s="138">
        <f>SUM($Q$142:Q251)</f>
        <v>25998</v>
      </c>
      <c r="AG251" s="137">
        <f t="shared" si="49"/>
        <v>925714</v>
      </c>
      <c r="AH251" s="139">
        <f>SUM($S$141:S251)</f>
        <v>411.393720509271</v>
      </c>
      <c r="AI251" s="133">
        <f t="shared" si="50"/>
        <v>6.08294930875576</v>
      </c>
      <c r="AJ251" s="15">
        <f t="shared" si="51"/>
        <v>525600</v>
      </c>
      <c r="AL251" s="15">
        <v>111</v>
      </c>
      <c r="AM251" s="15">
        <f t="shared" si="44"/>
        <v>201010</v>
      </c>
      <c r="AN251" s="15">
        <f>SUMIF([1]装备属性!$M$571:$M$870,"&lt;="&amp;AL251,[1]装备属性!$Q$571:$Q$870)</f>
        <v>27503.4031986532</v>
      </c>
      <c r="AO251" s="15">
        <f t="shared" si="45"/>
        <v>7.30855009280608</v>
      </c>
    </row>
    <row r="252" ht="18" spans="1:41">
      <c r="A252" s="9" t="s">
        <v>231</v>
      </c>
      <c r="B252" s="9" t="str">
        <f t="shared" si="34"/>
        <v>[{5205001,3},{2,31160}]</v>
      </c>
      <c r="C252" s="51" t="str">
        <f t="shared" si="35"/>
        <v>[{5203001,515},{2,7860}]</v>
      </c>
      <c r="D252" s="140">
        <v>112</v>
      </c>
      <c r="E252" s="130">
        <f t="shared" si="36"/>
        <v>424</v>
      </c>
      <c r="F252" s="130">
        <f t="shared" si="55"/>
        <v>230</v>
      </c>
      <c r="G252" s="130">
        <v>60</v>
      </c>
      <c r="H252" s="130">
        <f>SUMIFS(基因产出!$F$90:$F$389,基因产出!$D$90:$D$389,"&lt;="&amp;E252,基因产出!$D$90:$D$389,"&gt;"&amp;_xlfn.MAXIFS($E$141:E252,$E$141:E252,"&lt;"&amp;E252))/COUNTIF($E$141:$E$500,E252)</f>
        <v>0</v>
      </c>
      <c r="I252" s="130">
        <f>IF(COUNTIF($I$141:$I251,$I251)=VLOOKUP($I251,$D$90:$E$120,2,0),$I251+1,$I251)</f>
        <v>14</v>
      </c>
      <c r="J252" s="131">
        <f t="shared" si="37"/>
        <v>82</v>
      </c>
      <c r="K252" s="132" t="str">
        <f t="shared" si="38"/>
        <v/>
      </c>
      <c r="L252" s="132">
        <f t="shared" si="39"/>
        <v>0.03</v>
      </c>
      <c r="M252" s="132" t="str">
        <f t="shared" si="40"/>
        <v/>
      </c>
      <c r="N252" s="132" t="str">
        <f t="shared" si="46"/>
        <v/>
      </c>
      <c r="O252" s="132" t="str">
        <f t="shared" si="41"/>
        <v/>
      </c>
      <c r="P252" s="141">
        <f>(SUM($Q$142:Q252)-SUM($H$141:H252))/SUM($H$141:H252)</f>
        <v>-0.740346752865119</v>
      </c>
      <c r="Q252" s="142">
        <f t="shared" si="56"/>
        <v>510</v>
      </c>
      <c r="R252" s="142">
        <f t="shared" si="53"/>
        <v>7790</v>
      </c>
      <c r="S252" s="133">
        <f t="shared" si="47"/>
        <v>12.2764976958525</v>
      </c>
      <c r="T252" s="134">
        <f>INT(SUM($W$141:W252)/3)+1</f>
        <v>29</v>
      </c>
      <c r="U252" s="135" t="str">
        <f t="shared" si="42"/>
        <v>55</v>
      </c>
      <c r="V252" s="67" t="s">
        <v>94</v>
      </c>
      <c r="W252" s="137">
        <f t="shared" si="48"/>
        <v>3</v>
      </c>
      <c r="X252" s="137">
        <f t="shared" si="43"/>
        <v>31160</v>
      </c>
      <c r="Y252" s="138"/>
      <c r="Z252" s="138">
        <v>2</v>
      </c>
      <c r="AA252" s="138">
        <v>3</v>
      </c>
      <c r="AB252" s="138" t="str">
        <f t="shared" si="52"/>
        <v>{10000,9000,8000}</v>
      </c>
      <c r="AC252" s="138">
        <v>1000</v>
      </c>
      <c r="AD252" s="138">
        <v>4000</v>
      </c>
      <c r="AE252" s="138">
        <f>SUM($R$141:$R252)+SUM($X$141:$X252)</f>
        <v>886670</v>
      </c>
      <c r="AF252" s="138">
        <f>SUM($Q$142:Q252)</f>
        <v>26508</v>
      </c>
      <c r="AG252" s="137">
        <f t="shared" si="49"/>
        <v>966194</v>
      </c>
      <c r="AH252" s="139">
        <f>SUM($S$141:S252)</f>
        <v>423.670218205124</v>
      </c>
      <c r="AI252" s="133">
        <f t="shared" si="50"/>
        <v>6.13824884792627</v>
      </c>
      <c r="AJ252" s="15">
        <f t="shared" si="51"/>
        <v>530400</v>
      </c>
      <c r="AL252" s="15">
        <v>112</v>
      </c>
      <c r="AM252" s="15">
        <f t="shared" si="44"/>
        <v>201010</v>
      </c>
      <c r="AN252" s="15">
        <f>SUMIF([1]装备属性!$M$571:$M$870,"&lt;="&amp;AL252,[1]装备属性!$Q$571:$Q$870)</f>
        <v>31081.4031986532</v>
      </c>
      <c r="AO252" s="15">
        <f t="shared" si="45"/>
        <v>6.46721123609728</v>
      </c>
    </row>
    <row r="253" ht="18" spans="1:41">
      <c r="A253" s="9" t="s">
        <v>233</v>
      </c>
      <c r="B253" s="9" t="str">
        <f t="shared" si="34"/>
        <v>[{5205001,3},{2,}]</v>
      </c>
      <c r="C253" s="51" t="str">
        <f t="shared" si="35"/>
        <v>[{5203001,520},{2,7930}]</v>
      </c>
      <c r="D253" s="140">
        <v>113</v>
      </c>
      <c r="E253" s="130">
        <f t="shared" si="36"/>
        <v>438</v>
      </c>
      <c r="F253" s="130">
        <f t="shared" si="55"/>
        <v>235</v>
      </c>
      <c r="G253" s="130">
        <v>60</v>
      </c>
      <c r="H253" s="130">
        <f>SUMIFS(基因产出!$F$90:$F$389,基因产出!$D$90:$D$389,"&lt;="&amp;E253,基因产出!$D$90:$D$389,"&gt;"&amp;_xlfn.MAXIFS($E$141:E253,$E$141:E253,"&lt;"&amp;E253))/COUNTIF($E$141:$E$500,E253)</f>
        <v>0</v>
      </c>
      <c r="I253" s="130">
        <f>IF(COUNTIF($I$141:$I252,$I252)=VLOOKUP($I252,$D$90:$E$120,2,0),$I252+1,$I252)</f>
        <v>15</v>
      </c>
      <c r="J253" s="131">
        <f t="shared" si="37"/>
        <v>88</v>
      </c>
      <c r="K253" s="132">
        <f t="shared" si="38"/>
        <v>0.05</v>
      </c>
      <c r="L253" s="132" t="str">
        <f t="shared" si="39"/>
        <v/>
      </c>
      <c r="M253" s="132" t="str">
        <f t="shared" si="40"/>
        <v/>
      </c>
      <c r="N253" s="132" t="str">
        <f t="shared" si="46"/>
        <v/>
      </c>
      <c r="O253" s="132" t="str">
        <f t="shared" si="41"/>
        <v/>
      </c>
      <c r="P253" s="141">
        <f>(SUM($Q$142:Q253)-SUM($H$141:H253))/SUM($H$141:H253)</f>
        <v>-0.735302184347145</v>
      </c>
      <c r="Q253" s="142">
        <f t="shared" si="56"/>
        <v>515</v>
      </c>
      <c r="R253" s="142">
        <f t="shared" si="53"/>
        <v>7860</v>
      </c>
      <c r="S253" s="133">
        <f t="shared" si="47"/>
        <v>13.4592274678112</v>
      </c>
      <c r="T253" s="134">
        <f>INT(SUM($W$141:W253)/3)+1</f>
        <v>29</v>
      </c>
      <c r="U253" s="135" t="str">
        <f t="shared" si="42"/>
        <v/>
      </c>
      <c r="V253" s="67" t="s">
        <v>168</v>
      </c>
      <c r="W253" s="137" t="str">
        <f t="shared" si="48"/>
        <v/>
      </c>
      <c r="X253" s="137" t="str">
        <f t="shared" si="43"/>
        <v/>
      </c>
      <c r="Y253" s="138"/>
      <c r="Z253" s="138">
        <v>2</v>
      </c>
      <c r="AA253" s="138">
        <v>3</v>
      </c>
      <c r="AB253" s="138" t="str">
        <f t="shared" si="52"/>
        <v>{10000,9000,8000}</v>
      </c>
      <c r="AC253" s="138">
        <v>1000</v>
      </c>
      <c r="AD253" s="138">
        <v>4000</v>
      </c>
      <c r="AE253" s="138">
        <f>SUM($R$141:$R253)+SUM($X$141:$X253)</f>
        <v>894530</v>
      </c>
      <c r="AF253" s="138">
        <f>SUM($Q$142:Q253)</f>
        <v>27023</v>
      </c>
      <c r="AG253" s="137">
        <f t="shared" si="49"/>
        <v>975599</v>
      </c>
      <c r="AH253" s="139">
        <f>SUM($S$141:S253)</f>
        <v>437.129445672935</v>
      </c>
      <c r="AI253" s="133">
        <f t="shared" si="50"/>
        <v>6.72961373390558</v>
      </c>
      <c r="AJ253" s="15">
        <f t="shared" si="51"/>
        <v>581700</v>
      </c>
      <c r="AL253" s="15">
        <v>113</v>
      </c>
      <c r="AM253" s="15">
        <f t="shared" si="44"/>
        <v>201010</v>
      </c>
      <c r="AN253" s="15">
        <f>SUMIF([1]装备属性!$M$571:$M$870,"&lt;="&amp;AL253,[1]装备属性!$Q$571:$Q$870)</f>
        <v>32748.0698653198</v>
      </c>
      <c r="AO253" s="15">
        <f t="shared" si="45"/>
        <v>6.13807167343531</v>
      </c>
    </row>
    <row r="254" ht="18" spans="1:41">
      <c r="A254" s="9" t="s">
        <v>234</v>
      </c>
      <c r="B254" s="9" t="str">
        <f t="shared" si="34"/>
        <v>[{5205001,3},{2,}]</v>
      </c>
      <c r="C254" s="51" t="str">
        <f t="shared" si="35"/>
        <v>[{5203001,525},{2,8000}]</v>
      </c>
      <c r="D254" s="140">
        <v>114</v>
      </c>
      <c r="E254" s="130">
        <f t="shared" si="36"/>
        <v>451</v>
      </c>
      <c r="F254" s="130">
        <f t="shared" si="55"/>
        <v>240</v>
      </c>
      <c r="G254" s="130">
        <v>60</v>
      </c>
      <c r="H254" s="130">
        <f>SUMIFS(基因产出!$F$90:$F$389,基因产出!$D$90:$D$389,"&lt;="&amp;E254,基因产出!$D$90:$D$389,"&gt;"&amp;_xlfn.MAXIFS($E$141:E254,$E$141:E254,"&lt;"&amp;E254))/COUNTIF($E$141:$E$500,E254)</f>
        <v>0</v>
      </c>
      <c r="I254" s="130">
        <f>IF(COUNTIF($I$141:$I253,$I253)=VLOOKUP($I253,$D$90:$E$120,2,0),$I253+1,$I253)</f>
        <v>15</v>
      </c>
      <c r="J254" s="131">
        <f t="shared" si="37"/>
        <v>88</v>
      </c>
      <c r="K254" s="132" t="str">
        <f t="shared" si="38"/>
        <v/>
      </c>
      <c r="L254" s="132" t="str">
        <f t="shared" si="39"/>
        <v/>
      </c>
      <c r="M254" s="132" t="str">
        <f t="shared" si="40"/>
        <v/>
      </c>
      <c r="N254" s="132">
        <f t="shared" si="46"/>
        <v>0.0075</v>
      </c>
      <c r="O254" s="132" t="str">
        <f t="shared" si="41"/>
        <v/>
      </c>
      <c r="P254" s="141">
        <f>(SUM($Q$142:Q254)-SUM($H$141:H254))/SUM($H$141:H254)</f>
        <v>-0.730208639435792</v>
      </c>
      <c r="Q254" s="142">
        <f t="shared" si="56"/>
        <v>520</v>
      </c>
      <c r="R254" s="142">
        <f t="shared" si="53"/>
        <v>7930</v>
      </c>
      <c r="S254" s="133">
        <f t="shared" si="47"/>
        <v>13.5793991416309</v>
      </c>
      <c r="T254" s="134">
        <f>INT(SUM($W$141:W254)/3)+1</f>
        <v>29</v>
      </c>
      <c r="U254" s="135" t="str">
        <f t="shared" si="42"/>
        <v/>
      </c>
      <c r="V254" s="67" t="s">
        <v>168</v>
      </c>
      <c r="W254" s="137" t="str">
        <f t="shared" si="48"/>
        <v/>
      </c>
      <c r="X254" s="137" t="str">
        <f t="shared" si="43"/>
        <v/>
      </c>
      <c r="Y254" s="138"/>
      <c r="Z254" s="138">
        <v>2</v>
      </c>
      <c r="AA254" s="138">
        <v>3</v>
      </c>
      <c r="AB254" s="138" t="str">
        <f t="shared" si="52"/>
        <v>{10000,9000,8000}</v>
      </c>
      <c r="AC254" s="138">
        <v>1000</v>
      </c>
      <c r="AD254" s="138">
        <v>4000</v>
      </c>
      <c r="AE254" s="138">
        <f>SUM($R$141:$R254)+SUM($X$141:$X254)</f>
        <v>902460</v>
      </c>
      <c r="AF254" s="138">
        <f>SUM($Q$142:Q254)</f>
        <v>27543</v>
      </c>
      <c r="AG254" s="137">
        <f t="shared" si="49"/>
        <v>985089</v>
      </c>
      <c r="AH254" s="139">
        <f>SUM($S$141:S254)</f>
        <v>450.708844814566</v>
      </c>
      <c r="AI254" s="133">
        <f t="shared" si="50"/>
        <v>6.78969957081545</v>
      </c>
      <c r="AJ254" s="15">
        <f t="shared" si="51"/>
        <v>586800</v>
      </c>
      <c r="AL254" s="15">
        <v>114</v>
      </c>
      <c r="AM254" s="15">
        <f t="shared" si="44"/>
        <v>201010</v>
      </c>
      <c r="AN254" s="15">
        <f>SUMIF([1]装备属性!$M$571:$M$870,"&lt;="&amp;AL254,[1]装备属性!$Q$571:$Q$870)</f>
        <v>38381.4410774411</v>
      </c>
      <c r="AO254" s="15">
        <f t="shared" si="45"/>
        <v>5.23716656689435</v>
      </c>
    </row>
    <row r="255" ht="18" spans="1:41">
      <c r="A255" s="9" t="s">
        <v>235</v>
      </c>
      <c r="B255" s="9" t="str">
        <f t="shared" si="34"/>
        <v>[{5205001,3},{2,}]</v>
      </c>
      <c r="C255" s="51" t="str">
        <f t="shared" si="35"/>
        <v>[{5203001,530},{2,8070}]</v>
      </c>
      <c r="D255" s="140">
        <v>115</v>
      </c>
      <c r="E255" s="130">
        <f t="shared" si="36"/>
        <v>465</v>
      </c>
      <c r="F255" s="130">
        <f t="shared" si="55"/>
        <v>245</v>
      </c>
      <c r="G255" s="130">
        <v>60</v>
      </c>
      <c r="H255" s="130">
        <f>SUMIFS(基因产出!$F$90:$F$389,基因产出!$D$90:$D$389,"&lt;="&amp;E255,基因产出!$D$90:$D$389,"&gt;"&amp;_xlfn.MAXIFS($E$141:E255,$E$141:E255,"&lt;"&amp;E255))/COUNTIF($E$141:$E$500,E255)</f>
        <v>0</v>
      </c>
      <c r="I255" s="130">
        <f>IF(COUNTIF($I$141:$I254,$I254)=VLOOKUP($I254,$D$90:$E$120,2,0),$I254+1,$I254)</f>
        <v>15</v>
      </c>
      <c r="J255" s="131">
        <f t="shared" si="37"/>
        <v>88</v>
      </c>
      <c r="K255" s="132" t="str">
        <f t="shared" si="38"/>
        <v/>
      </c>
      <c r="L255" s="132" t="str">
        <f t="shared" si="39"/>
        <v/>
      </c>
      <c r="M255" s="132">
        <f t="shared" si="40"/>
        <v>0.002</v>
      </c>
      <c r="N255" s="132" t="str">
        <f t="shared" si="46"/>
        <v/>
      </c>
      <c r="O255" s="132" t="str">
        <f t="shared" si="41"/>
        <v/>
      </c>
      <c r="P255" s="141">
        <f>(SUM($Q$142:Q255)-SUM($H$141:H255))/SUM($H$141:H255)</f>
        <v>-0.725066118131061</v>
      </c>
      <c r="Q255" s="142">
        <f t="shared" si="56"/>
        <v>525</v>
      </c>
      <c r="R255" s="142">
        <f t="shared" si="53"/>
        <v>8000</v>
      </c>
      <c r="S255" s="133">
        <f t="shared" si="47"/>
        <v>13.6995708154506</v>
      </c>
      <c r="T255" s="134">
        <f>INT(SUM($W$141:W255)/3)+1</f>
        <v>29</v>
      </c>
      <c r="U255" s="135" t="str">
        <f t="shared" si="42"/>
        <v/>
      </c>
      <c r="V255" s="67" t="s">
        <v>168</v>
      </c>
      <c r="W255" s="137" t="str">
        <f t="shared" si="48"/>
        <v/>
      </c>
      <c r="X255" s="137" t="str">
        <f t="shared" si="43"/>
        <v/>
      </c>
      <c r="Y255" s="138"/>
      <c r="Z255" s="138">
        <v>2</v>
      </c>
      <c r="AA255" s="138">
        <v>3</v>
      </c>
      <c r="AB255" s="138" t="str">
        <f t="shared" si="52"/>
        <v>{10000,9000,8000}</v>
      </c>
      <c r="AC255" s="138">
        <v>1000</v>
      </c>
      <c r="AD255" s="138">
        <v>4000</v>
      </c>
      <c r="AE255" s="138">
        <f>SUM($R$141:$R255)+SUM($X$141:$X255)</f>
        <v>910460</v>
      </c>
      <c r="AF255" s="138">
        <f>SUM($Q$142:Q255)</f>
        <v>28068</v>
      </c>
      <c r="AG255" s="137">
        <f t="shared" si="49"/>
        <v>994664</v>
      </c>
      <c r="AH255" s="139">
        <f>SUM($S$141:S255)</f>
        <v>464.408415630017</v>
      </c>
      <c r="AI255" s="133">
        <f t="shared" si="50"/>
        <v>6.84978540772532</v>
      </c>
      <c r="AJ255" s="15">
        <f t="shared" si="51"/>
        <v>591900</v>
      </c>
      <c r="AL255" s="15">
        <v>115</v>
      </c>
      <c r="AM255" s="15">
        <f t="shared" si="44"/>
        <v>206350</v>
      </c>
      <c r="AN255" s="15">
        <f>SUMIF([1]装备属性!$M$571:$M$870,"&lt;="&amp;AL255,[1]装备属性!$Q$571:$Q$870)</f>
        <v>42548.1077441078</v>
      </c>
      <c r="AO255" s="15">
        <f t="shared" si="45"/>
        <v>4.84980439649695</v>
      </c>
    </row>
    <row r="256" ht="18" spans="1:41">
      <c r="A256" s="9" t="s">
        <v>236</v>
      </c>
      <c r="B256" s="9" t="str">
        <f t="shared" si="34"/>
        <v>[{5205001,3},{2,32280}]</v>
      </c>
      <c r="C256" s="51" t="str">
        <f t="shared" si="35"/>
        <v>[{5203001,535},{2,8140}]</v>
      </c>
      <c r="D256" s="140">
        <v>116</v>
      </c>
      <c r="E256" s="130">
        <f t="shared" si="36"/>
        <v>479</v>
      </c>
      <c r="F256" s="130">
        <f t="shared" si="55"/>
        <v>250</v>
      </c>
      <c r="G256" s="130">
        <v>60</v>
      </c>
      <c r="H256" s="130">
        <f>SUMIFS(基因产出!$F$90:$F$389,基因产出!$D$90:$D$389,"&lt;="&amp;E256,基因产出!$D$90:$D$389,"&gt;"&amp;_xlfn.MAXIFS($E$141:E256,$E$141:E256,"&lt;"&amp;E256))/COUNTIF($E$141:$E$500,E256)</f>
        <v>0</v>
      </c>
      <c r="I256" s="130">
        <f>IF(COUNTIF($I$141:$I255,$I255)=VLOOKUP($I255,$D$90:$E$120,2,0),$I255+1,$I255)</f>
        <v>15</v>
      </c>
      <c r="J256" s="131">
        <f t="shared" si="37"/>
        <v>88</v>
      </c>
      <c r="K256" s="132" t="str">
        <f t="shared" si="38"/>
        <v/>
      </c>
      <c r="L256" s="132">
        <f t="shared" si="39"/>
        <v>0.03</v>
      </c>
      <c r="M256" s="132" t="str">
        <f t="shared" si="40"/>
        <v/>
      </c>
      <c r="N256" s="132" t="str">
        <f t="shared" si="46"/>
        <v/>
      </c>
      <c r="O256" s="132" t="str">
        <f t="shared" si="41"/>
        <v/>
      </c>
      <c r="P256" s="141">
        <f>(SUM($Q$142:Q256)-SUM($H$141:H256))/SUM($H$141:H256)</f>
        <v>-0.719874620432951</v>
      </c>
      <c r="Q256" s="142">
        <f t="shared" si="56"/>
        <v>530</v>
      </c>
      <c r="R256" s="142">
        <f t="shared" si="53"/>
        <v>8070</v>
      </c>
      <c r="S256" s="133">
        <f t="shared" si="47"/>
        <v>13.8197424892704</v>
      </c>
      <c r="T256" s="134">
        <f>INT(SUM($W$141:W256)/3)+1</f>
        <v>30</v>
      </c>
      <c r="U256" s="135" t="str">
        <f t="shared" si="42"/>
        <v/>
      </c>
      <c r="V256" s="67" t="s">
        <v>91</v>
      </c>
      <c r="W256" s="137">
        <f t="shared" si="48"/>
        <v>3</v>
      </c>
      <c r="X256" s="137">
        <f t="shared" si="43"/>
        <v>32280</v>
      </c>
      <c r="Y256" s="138"/>
      <c r="Z256" s="138">
        <v>2</v>
      </c>
      <c r="AA256" s="138">
        <v>3</v>
      </c>
      <c r="AB256" s="138" t="str">
        <f t="shared" si="52"/>
        <v>{10000,9000,8000}</v>
      </c>
      <c r="AC256" s="138">
        <v>1000</v>
      </c>
      <c r="AD256" s="138">
        <v>4000</v>
      </c>
      <c r="AE256" s="138">
        <f>SUM($R$141:$R256)+SUM($X$141:$X256)</f>
        <v>950810</v>
      </c>
      <c r="AF256" s="138">
        <f>SUM($Q$142:Q256)</f>
        <v>28598</v>
      </c>
      <c r="AG256" s="137">
        <f t="shared" si="49"/>
        <v>1036604</v>
      </c>
      <c r="AH256" s="139">
        <f>SUM($S$141:S256)</f>
        <v>478.228158119287</v>
      </c>
      <c r="AI256" s="133">
        <f t="shared" si="50"/>
        <v>6.90987124463519</v>
      </c>
      <c r="AJ256" s="15">
        <f t="shared" si="51"/>
        <v>597300</v>
      </c>
      <c r="AL256" s="15">
        <v>116</v>
      </c>
      <c r="AM256" s="15">
        <f t="shared" si="44"/>
        <v>206350</v>
      </c>
      <c r="AN256" s="15">
        <f>SUMIF([1]装备属性!$M$571:$M$870,"&lt;="&amp;AL256,[1]装备属性!$Q$571:$Q$870)</f>
        <v>46959.4410774411</v>
      </c>
      <c r="AO256" s="15">
        <f t="shared" si="45"/>
        <v>4.39421754743007</v>
      </c>
    </row>
    <row r="257" ht="18" spans="1:41">
      <c r="A257" s="9" t="s">
        <v>233</v>
      </c>
      <c r="B257" s="9" t="str">
        <f t="shared" si="34"/>
        <v>[{5205001,3},{2,}]</v>
      </c>
      <c r="C257" s="51" t="str">
        <f t="shared" si="35"/>
        <v>[{5203001,540},{2,8210}]</v>
      </c>
      <c r="D257" s="140">
        <v>117</v>
      </c>
      <c r="E257" s="130">
        <f t="shared" si="36"/>
        <v>493</v>
      </c>
      <c r="F257" s="130">
        <f t="shared" si="55"/>
        <v>255</v>
      </c>
      <c r="G257" s="130">
        <v>60</v>
      </c>
      <c r="H257" s="130">
        <f>SUMIFS(基因产出!$F$90:$F$389,基因产出!$D$90:$D$389,"&lt;="&amp;E257,基因产出!$D$90:$D$389,"&gt;"&amp;_xlfn.MAXIFS($E$141:E257,$E$141:E257,"&lt;"&amp;E257))/COUNTIF($E$141:$E$500,E257)</f>
        <v>0</v>
      </c>
      <c r="I257" s="130">
        <f>IF(COUNTIF($I$141:$I256,$I256)=VLOOKUP($I256,$D$90:$E$120,2,0),$I256+1,$I256)</f>
        <v>15</v>
      </c>
      <c r="J257" s="131">
        <f t="shared" si="37"/>
        <v>88</v>
      </c>
      <c r="K257" s="132">
        <f t="shared" si="38"/>
        <v>0.05</v>
      </c>
      <c r="L257" s="132" t="str">
        <f t="shared" si="39"/>
        <v/>
      </c>
      <c r="M257" s="132" t="str">
        <f t="shared" si="40"/>
        <v/>
      </c>
      <c r="N257" s="132" t="str">
        <f t="shared" si="46"/>
        <v/>
      </c>
      <c r="O257" s="132" t="str">
        <f t="shared" si="41"/>
        <v/>
      </c>
      <c r="P257" s="141">
        <f>(SUM($Q$142:Q257)-SUM($H$141:H257))/SUM($H$141:H257)</f>
        <v>-0.714634146341463</v>
      </c>
      <c r="Q257" s="142">
        <f t="shared" si="56"/>
        <v>535</v>
      </c>
      <c r="R257" s="142">
        <f t="shared" si="53"/>
        <v>8140</v>
      </c>
      <c r="S257" s="133">
        <f t="shared" si="47"/>
        <v>13.9399141630901</v>
      </c>
      <c r="T257" s="134">
        <f>INT(SUM($W$141:W257)/3)+1</f>
        <v>30</v>
      </c>
      <c r="U257" s="135" t="str">
        <f t="shared" si="42"/>
        <v/>
      </c>
      <c r="V257" s="67" t="s">
        <v>168</v>
      </c>
      <c r="W257" s="137" t="str">
        <f t="shared" si="48"/>
        <v/>
      </c>
      <c r="X257" s="137" t="str">
        <f t="shared" si="43"/>
        <v/>
      </c>
      <c r="Y257" s="138"/>
      <c r="Z257" s="138">
        <v>2</v>
      </c>
      <c r="AA257" s="138">
        <v>3</v>
      </c>
      <c r="AB257" s="138" t="str">
        <f t="shared" si="52"/>
        <v>{10000,9000,8000}</v>
      </c>
      <c r="AC257" s="138">
        <v>1000</v>
      </c>
      <c r="AD257" s="138">
        <v>4000</v>
      </c>
      <c r="AE257" s="138">
        <f>SUM($R$141:$R257)+SUM($X$141:$X257)</f>
        <v>958950</v>
      </c>
      <c r="AF257" s="138">
        <f>SUM($Q$142:Q257)</f>
        <v>29133</v>
      </c>
      <c r="AG257" s="137">
        <f t="shared" si="49"/>
        <v>1046349</v>
      </c>
      <c r="AH257" s="139">
        <f>SUM($S$141:S257)</f>
        <v>492.168072282377</v>
      </c>
      <c r="AI257" s="133">
        <f t="shared" si="50"/>
        <v>6.96995708154506</v>
      </c>
      <c r="AJ257" s="15">
        <f t="shared" si="51"/>
        <v>602400</v>
      </c>
      <c r="AL257" s="15">
        <v>117</v>
      </c>
      <c r="AM257" s="15">
        <f t="shared" si="44"/>
        <v>206350</v>
      </c>
      <c r="AN257" s="15">
        <f>SUMIF([1]装备属性!$M$571:$M$870,"&lt;="&amp;AL257,[1]装备属性!$Q$571:$Q$870)</f>
        <v>52641.228956229</v>
      </c>
      <c r="AO257" s="15">
        <f t="shared" si="45"/>
        <v>3.9199312799399</v>
      </c>
    </row>
    <row r="258" ht="18" spans="1:41">
      <c r="A258" s="9" t="s">
        <v>234</v>
      </c>
      <c r="B258" s="9" t="str">
        <f t="shared" si="34"/>
        <v>[{5205001,3},{2,}]</v>
      </c>
      <c r="C258" s="51" t="str">
        <f t="shared" si="35"/>
        <v>[{5203001,545},{2,8280}]</v>
      </c>
      <c r="D258" s="140">
        <v>118</v>
      </c>
      <c r="E258" s="130">
        <f t="shared" si="36"/>
        <v>507</v>
      </c>
      <c r="F258" s="130">
        <f t="shared" si="55"/>
        <v>260</v>
      </c>
      <c r="G258" s="130">
        <v>60</v>
      </c>
      <c r="H258" s="130">
        <f>SUMIFS(基因产出!$F$90:$F$389,基因产出!$D$90:$D$389,"&lt;="&amp;E258,基因产出!$D$90:$D$389,"&gt;"&amp;_xlfn.MAXIFS($E$141:E258,$E$141:E258,"&lt;"&amp;E258))/COUNTIF($E$141:$E$500,E258)</f>
        <v>0</v>
      </c>
      <c r="I258" s="130">
        <f>IF(COUNTIF($I$141:$I257,$I257)=VLOOKUP($I257,$D$90:$E$120,2,0),$I257+1,$I257)</f>
        <v>15</v>
      </c>
      <c r="J258" s="131">
        <f t="shared" si="37"/>
        <v>88</v>
      </c>
      <c r="K258" s="132" t="str">
        <f t="shared" si="38"/>
        <v/>
      </c>
      <c r="L258" s="132" t="str">
        <f t="shared" si="39"/>
        <v/>
      </c>
      <c r="M258" s="132" t="str">
        <f t="shared" si="40"/>
        <v/>
      </c>
      <c r="N258" s="132">
        <f t="shared" si="46"/>
        <v>0.0075</v>
      </c>
      <c r="O258" s="132" t="str">
        <f t="shared" si="41"/>
        <v/>
      </c>
      <c r="P258" s="141">
        <f>(SUM($Q$142:Q258)-SUM($H$141:H258))/SUM($H$141:H258)</f>
        <v>-0.709344695856597</v>
      </c>
      <c r="Q258" s="142">
        <f t="shared" si="56"/>
        <v>540</v>
      </c>
      <c r="R258" s="142">
        <f t="shared" si="53"/>
        <v>8210</v>
      </c>
      <c r="S258" s="133">
        <f t="shared" si="47"/>
        <v>14.0600858369099</v>
      </c>
      <c r="T258" s="134">
        <f>INT(SUM($W$141:W258)/3)+1</f>
        <v>30</v>
      </c>
      <c r="U258" s="135" t="str">
        <f t="shared" si="42"/>
        <v/>
      </c>
      <c r="V258" s="67" t="s">
        <v>168</v>
      </c>
      <c r="W258" s="137" t="str">
        <f t="shared" si="48"/>
        <v/>
      </c>
      <c r="X258" s="137" t="str">
        <f t="shared" si="43"/>
        <v/>
      </c>
      <c r="Y258" s="138"/>
      <c r="Z258" s="138">
        <v>2</v>
      </c>
      <c r="AA258" s="138">
        <v>3</v>
      </c>
      <c r="AB258" s="138" t="str">
        <f t="shared" si="52"/>
        <v>{10000,9000,8000}</v>
      </c>
      <c r="AC258" s="138">
        <v>1000</v>
      </c>
      <c r="AD258" s="138">
        <v>4000</v>
      </c>
      <c r="AE258" s="138">
        <f>SUM($R$141:$R258)+SUM($X$141:$X258)</f>
        <v>967160</v>
      </c>
      <c r="AF258" s="138">
        <f>SUM($Q$142:Q258)</f>
        <v>29673</v>
      </c>
      <c r="AG258" s="137">
        <f t="shared" si="49"/>
        <v>1056179</v>
      </c>
      <c r="AH258" s="139">
        <f>SUM($S$141:S258)</f>
        <v>506.228158119287</v>
      </c>
      <c r="AI258" s="133">
        <f t="shared" si="50"/>
        <v>7.03004291845494</v>
      </c>
      <c r="AJ258" s="15">
        <f t="shared" si="51"/>
        <v>607500</v>
      </c>
      <c r="AL258" s="15">
        <v>118</v>
      </c>
      <c r="AM258" s="15">
        <f t="shared" si="44"/>
        <v>206350</v>
      </c>
      <c r="AN258" s="15">
        <f>SUMIF([1]装备属性!$M$571:$M$870,"&lt;="&amp;AL258,[1]装备属性!$Q$571:$Q$870)</f>
        <v>58114.8929128686</v>
      </c>
      <c r="AO258" s="15">
        <f t="shared" si="45"/>
        <v>3.55072494600273</v>
      </c>
    </row>
    <row r="259" ht="18" spans="1:41">
      <c r="A259" s="9" t="s">
        <v>235</v>
      </c>
      <c r="B259" s="9" t="str">
        <f t="shared" si="34"/>
        <v>[{5205001,3},{2,}]</v>
      </c>
      <c r="C259" s="51" t="str">
        <f t="shared" si="35"/>
        <v>[{5203001,550},{2,8350}]</v>
      </c>
      <c r="D259" s="140">
        <v>119</v>
      </c>
      <c r="E259" s="130">
        <f t="shared" si="36"/>
        <v>521</v>
      </c>
      <c r="F259" s="130">
        <f t="shared" si="55"/>
        <v>265</v>
      </c>
      <c r="G259" s="130">
        <v>60</v>
      </c>
      <c r="H259" s="130">
        <f>SUMIFS(基因产出!$F$90:$F$389,基因产出!$D$90:$D$389,"&lt;="&amp;E259,基因产出!$D$90:$D$389,"&gt;"&amp;_xlfn.MAXIFS($E$141:E259,$E$141:E259,"&lt;"&amp;E259))/COUNTIF($E$141:$E$500,E259)</f>
        <v>0</v>
      </c>
      <c r="I259" s="130">
        <f>IF(COUNTIF($I$141:$I258,$I258)=VLOOKUP($I258,$D$90:$E$120,2,0),$I258+1,$I258)</f>
        <v>15</v>
      </c>
      <c r="J259" s="131">
        <f t="shared" si="37"/>
        <v>88</v>
      </c>
      <c r="K259" s="132" t="str">
        <f t="shared" si="38"/>
        <v/>
      </c>
      <c r="L259" s="132" t="str">
        <f t="shared" si="39"/>
        <v/>
      </c>
      <c r="M259" s="132">
        <f t="shared" si="40"/>
        <v>0.002</v>
      </c>
      <c r="N259" s="132" t="str">
        <f t="shared" si="46"/>
        <v/>
      </c>
      <c r="O259" s="132" t="str">
        <f t="shared" si="41"/>
        <v/>
      </c>
      <c r="P259" s="141">
        <f>(SUM($Q$142:Q259)-SUM($H$141:H259))/SUM($H$141:H259)</f>
        <v>-0.704006268978352</v>
      </c>
      <c r="Q259" s="142">
        <f t="shared" si="56"/>
        <v>545</v>
      </c>
      <c r="R259" s="142">
        <f t="shared" si="53"/>
        <v>8280</v>
      </c>
      <c r="S259" s="133">
        <f t="shared" si="47"/>
        <v>14.1802575107296</v>
      </c>
      <c r="T259" s="134">
        <f>INT(SUM($W$141:W259)/3)+1</f>
        <v>30</v>
      </c>
      <c r="U259" s="135" t="str">
        <f t="shared" si="42"/>
        <v/>
      </c>
      <c r="V259" s="67" t="s">
        <v>168</v>
      </c>
      <c r="W259" s="137" t="str">
        <f t="shared" si="48"/>
        <v/>
      </c>
      <c r="X259" s="137" t="str">
        <f t="shared" si="43"/>
        <v/>
      </c>
      <c r="Y259" s="138"/>
      <c r="Z259" s="138">
        <v>2</v>
      </c>
      <c r="AA259" s="138">
        <v>3</v>
      </c>
      <c r="AB259" s="138" t="str">
        <f t="shared" si="52"/>
        <v>{10000,9000,8000}</v>
      </c>
      <c r="AC259" s="138">
        <v>1000</v>
      </c>
      <c r="AD259" s="138">
        <v>4000</v>
      </c>
      <c r="AE259" s="138">
        <f>SUM($R$141:$R259)+SUM($X$141:$X259)</f>
        <v>975440</v>
      </c>
      <c r="AF259" s="138">
        <f>SUM($Q$142:Q259)</f>
        <v>30218</v>
      </c>
      <c r="AG259" s="137">
        <f t="shared" si="49"/>
        <v>1066094</v>
      </c>
      <c r="AH259" s="139">
        <f>SUM($S$141:S259)</f>
        <v>520.408415630017</v>
      </c>
      <c r="AI259" s="133">
        <f t="shared" si="50"/>
        <v>7.09012875536481</v>
      </c>
      <c r="AJ259" s="15">
        <f t="shared" si="51"/>
        <v>612600</v>
      </c>
      <c r="AL259" s="15">
        <v>119</v>
      </c>
      <c r="AM259" s="15">
        <f t="shared" si="44"/>
        <v>206350</v>
      </c>
      <c r="AN259" s="15">
        <f>SUMIF([1]装备属性!$M$571:$M$870,"&lt;="&amp;AL259,[1]装备属性!$Q$571:$Q$870)</f>
        <v>66530.8820727602</v>
      </c>
      <c r="AO259" s="15">
        <f t="shared" si="45"/>
        <v>3.10156717559117</v>
      </c>
    </row>
    <row r="260" ht="18" spans="1:41">
      <c r="A260" s="9" t="s">
        <v>236</v>
      </c>
      <c r="B260" s="9" t="str">
        <f t="shared" si="34"/>
        <v>[{5205001,3},{2,33400}]</v>
      </c>
      <c r="C260" s="51" t="str">
        <f t="shared" si="35"/>
        <v>[{5203001,555},{2,8420}]</v>
      </c>
      <c r="D260" s="140">
        <v>120</v>
      </c>
      <c r="E260" s="130">
        <f t="shared" si="36"/>
        <v>535</v>
      </c>
      <c r="F260" s="130">
        <f t="shared" si="55"/>
        <v>270</v>
      </c>
      <c r="G260" s="130">
        <v>60</v>
      </c>
      <c r="H260" s="130">
        <f>SUMIFS(基因产出!$F$90:$F$389,基因产出!$D$90:$D$389,"&lt;="&amp;E260,基因产出!$D$90:$D$389,"&gt;"&amp;_xlfn.MAXIFS($E$141:E260,$E$141:E260,"&lt;"&amp;E260))/COUNTIF($E$141:$E$500,E260)</f>
        <v>0</v>
      </c>
      <c r="I260" s="130">
        <f>IF(COUNTIF($I$141:$I259,$I259)=VLOOKUP($I259,$D$90:$E$120,2,0),$I259+1,$I259)</f>
        <v>15</v>
      </c>
      <c r="J260" s="131">
        <f t="shared" si="37"/>
        <v>88</v>
      </c>
      <c r="K260" s="132" t="str">
        <f t="shared" si="38"/>
        <v/>
      </c>
      <c r="L260" s="132">
        <f t="shared" si="39"/>
        <v>0.03</v>
      </c>
      <c r="M260" s="132" t="str">
        <f t="shared" si="40"/>
        <v/>
      </c>
      <c r="N260" s="132" t="str">
        <f t="shared" si="46"/>
        <v/>
      </c>
      <c r="O260" s="132" t="str">
        <f t="shared" si="41"/>
        <v/>
      </c>
      <c r="P260" s="141">
        <f>(SUM($Q$142:Q260)-SUM($H$141:H260))/SUM($H$141:H260)</f>
        <v>-0.698618865706729</v>
      </c>
      <c r="Q260" s="142">
        <f t="shared" si="56"/>
        <v>550</v>
      </c>
      <c r="R260" s="142">
        <f t="shared" si="53"/>
        <v>8350</v>
      </c>
      <c r="S260" s="133">
        <f t="shared" si="47"/>
        <v>14.3004291845494</v>
      </c>
      <c r="T260" s="134">
        <f>INT(SUM($W$141:W260)/3)+1</f>
        <v>31</v>
      </c>
      <c r="U260" s="135" t="str">
        <f t="shared" si="42"/>
        <v>55</v>
      </c>
      <c r="V260" s="67" t="s">
        <v>94</v>
      </c>
      <c r="W260" s="137">
        <f t="shared" si="48"/>
        <v>3</v>
      </c>
      <c r="X260" s="137">
        <f t="shared" si="43"/>
        <v>33400</v>
      </c>
      <c r="Y260" s="138"/>
      <c r="Z260" s="138">
        <v>2</v>
      </c>
      <c r="AA260" s="138">
        <v>3</v>
      </c>
      <c r="AB260" s="138" t="str">
        <f t="shared" si="52"/>
        <v>{10000,9000,8000}</v>
      </c>
      <c r="AC260" s="138">
        <v>1000</v>
      </c>
      <c r="AD260" s="138">
        <v>4000</v>
      </c>
      <c r="AE260" s="138">
        <f>SUM($R$141:$R260)+SUM($X$141:$X260)</f>
        <v>1017190</v>
      </c>
      <c r="AF260" s="138">
        <f>SUM($Q$142:Q260)</f>
        <v>30768</v>
      </c>
      <c r="AG260" s="137">
        <f t="shared" si="49"/>
        <v>1109494</v>
      </c>
      <c r="AH260" s="139">
        <f>SUM($S$141:S260)</f>
        <v>534.708844814566</v>
      </c>
      <c r="AI260" s="133">
        <f t="shared" si="50"/>
        <v>7.15021459227468</v>
      </c>
      <c r="AJ260" s="15">
        <f t="shared" si="51"/>
        <v>618000</v>
      </c>
      <c r="AL260" s="15">
        <v>120</v>
      </c>
      <c r="AM260" s="15">
        <f t="shared" si="44"/>
        <v>211760</v>
      </c>
      <c r="AN260" s="15">
        <f>SUMIF([1]装备属性!$M$571:$M$870,"&lt;="&amp;AL260,[1]装备属性!$Q$571:$Q$870)</f>
        <v>77140.6509813584</v>
      </c>
      <c r="AO260" s="15">
        <f t="shared" si="45"/>
        <v>2.74511554292138</v>
      </c>
    </row>
    <row r="261" ht="18" spans="1:41">
      <c r="A261" s="9" t="s">
        <v>237</v>
      </c>
      <c r="B261" s="9" t="str">
        <f t="shared" si="34"/>
        <v>[{5205001,3},{2,}]</v>
      </c>
      <c r="C261" s="51" t="str">
        <f t="shared" si="35"/>
        <v>[{5203001,560},{2,8490}]</v>
      </c>
      <c r="D261" s="140">
        <v>121</v>
      </c>
      <c r="E261" s="130">
        <f t="shared" si="36"/>
        <v>550</v>
      </c>
      <c r="F261" s="130">
        <f t="shared" si="55"/>
        <v>275</v>
      </c>
      <c r="G261" s="130">
        <v>120</v>
      </c>
      <c r="H261" s="130">
        <f>SUMIFS(基因产出!$F$90:$F$389,基因产出!$D$90:$D$389,"&lt;="&amp;E261,基因产出!$D$90:$D$389,"&gt;"&amp;_xlfn.MAXIFS($E$141:E261,$E$141:E261,"&lt;"&amp;E261))/COUNTIF($E$141:$E$500,E261)</f>
        <v>0</v>
      </c>
      <c r="I261" s="130">
        <f>IF(COUNTIF($I$141:$I260,$I260)=VLOOKUP($I260,$D$90:$E$120,2,0),$I260+1,$I260)</f>
        <v>16</v>
      </c>
      <c r="J261" s="131">
        <f t="shared" si="37"/>
        <v>94</v>
      </c>
      <c r="K261" s="132">
        <f t="shared" si="38"/>
        <v>0.05</v>
      </c>
      <c r="L261" s="132" t="str">
        <f t="shared" si="39"/>
        <v/>
      </c>
      <c r="M261" s="132" t="str">
        <f t="shared" si="40"/>
        <v/>
      </c>
      <c r="N261" s="132" t="str">
        <f t="shared" si="46"/>
        <v/>
      </c>
      <c r="O261" s="132" t="str">
        <f t="shared" si="41"/>
        <v/>
      </c>
      <c r="P261" s="141">
        <f>(SUM($Q$142:Q261)-SUM($H$141:H261))/SUM($H$141:H261)</f>
        <v>-0.693182486041728</v>
      </c>
      <c r="Q261" s="142">
        <f t="shared" si="56"/>
        <v>555</v>
      </c>
      <c r="R261" s="142">
        <f t="shared" si="53"/>
        <v>8420</v>
      </c>
      <c r="S261" s="133">
        <f t="shared" si="47"/>
        <v>14.3011291845494</v>
      </c>
      <c r="T261" s="134">
        <f>INT(SUM($W$141:W261)/3)+1</f>
        <v>31</v>
      </c>
      <c r="U261" s="135" t="str">
        <f t="shared" si="42"/>
        <v/>
      </c>
      <c r="V261" s="67" t="s">
        <v>168</v>
      </c>
      <c r="W261" s="137" t="str">
        <f t="shared" si="48"/>
        <v/>
      </c>
      <c r="X261" s="137" t="str">
        <f t="shared" si="43"/>
        <v/>
      </c>
      <c r="Y261" s="138"/>
      <c r="Z261" s="138">
        <v>2</v>
      </c>
      <c r="AA261" s="138">
        <v>3</v>
      </c>
      <c r="AB261" s="138" t="str">
        <f t="shared" si="52"/>
        <v>{10000,9000,8000}</v>
      </c>
      <c r="AC261" s="138">
        <v>1000</v>
      </c>
      <c r="AD261" s="138">
        <v>4000</v>
      </c>
      <c r="AE261" s="138">
        <f>SUM($R$141:$R261)+SUM($X$141:$X261)</f>
        <v>1025610</v>
      </c>
      <c r="AF261" s="138">
        <f>SUM($Q$142:Q261)</f>
        <v>31323</v>
      </c>
      <c r="AG261" s="137">
        <f t="shared" si="49"/>
        <v>1119579</v>
      </c>
      <c r="AH261" s="139">
        <f>SUM($S$141:S261)</f>
        <v>549.009973999115</v>
      </c>
      <c r="AI261" s="133">
        <f t="shared" si="50"/>
        <v>7.15056459227468</v>
      </c>
      <c r="AJ261" s="15">
        <f t="shared" si="51"/>
        <v>618000</v>
      </c>
      <c r="AL261" s="15">
        <v>121</v>
      </c>
      <c r="AM261" s="15">
        <f t="shared" si="44"/>
        <v>211760</v>
      </c>
      <c r="AN261" s="15">
        <f>SUMIF([1]装备属性!$M$571:$M$870,"&lt;="&amp;AL261,[1]装备属性!$Q$571:$Q$870)</f>
        <v>92175.290547754</v>
      </c>
      <c r="AO261" s="15">
        <f t="shared" si="45"/>
        <v>2.29736189321033</v>
      </c>
    </row>
    <row r="262" ht="18" spans="1:41">
      <c r="A262" s="9" t="s">
        <v>238</v>
      </c>
      <c r="B262" s="9" t="str">
        <f t="shared" si="34"/>
        <v>[{5205001,3},{2,}]</v>
      </c>
      <c r="C262" s="51" t="str">
        <f t="shared" si="35"/>
        <v>[{5203001,565},{2,8560}]</v>
      </c>
      <c r="D262" s="140">
        <v>122</v>
      </c>
      <c r="E262" s="130">
        <f t="shared" si="36"/>
        <v>564</v>
      </c>
      <c r="F262" s="130">
        <f t="shared" si="55"/>
        <v>280</v>
      </c>
      <c r="G262" s="130">
        <v>120</v>
      </c>
      <c r="H262" s="130">
        <f>SUMIFS(基因产出!$F$90:$F$389,基因产出!$D$90:$D$389,"&lt;="&amp;E262,基因产出!$D$90:$D$389,"&gt;"&amp;_xlfn.MAXIFS($E$141:E262,$E$141:E262,"&lt;"&amp;E262))/COUNTIF($E$141:$E$500,E262)</f>
        <v>0</v>
      </c>
      <c r="I262" s="130">
        <f>IF(COUNTIF($I$141:$I261,$I261)=VLOOKUP($I261,$D$90:$E$120,2,0),$I261+1,$I261)</f>
        <v>16</v>
      </c>
      <c r="J262" s="131">
        <f t="shared" si="37"/>
        <v>94</v>
      </c>
      <c r="K262" s="132" t="str">
        <f t="shared" si="38"/>
        <v/>
      </c>
      <c r="L262" s="132" t="str">
        <f t="shared" si="39"/>
        <v/>
      </c>
      <c r="M262" s="132" t="str">
        <f t="shared" si="40"/>
        <v/>
      </c>
      <c r="N262" s="132">
        <f t="shared" si="46"/>
        <v>0.0075</v>
      </c>
      <c r="O262" s="132" t="str">
        <f t="shared" si="41"/>
        <v/>
      </c>
      <c r="P262" s="141">
        <f>(SUM($Q$142:Q262)-SUM($H$141:H262))/SUM($H$141:H262)</f>
        <v>-0.687697129983348</v>
      </c>
      <c r="Q262" s="142">
        <f t="shared" si="56"/>
        <v>560</v>
      </c>
      <c r="R262" s="142">
        <f t="shared" si="53"/>
        <v>8490</v>
      </c>
      <c r="S262" s="133">
        <f t="shared" si="47"/>
        <v>14.3018291845494</v>
      </c>
      <c r="T262" s="134">
        <f>INT(SUM($W$141:W262)/3)+1</f>
        <v>31</v>
      </c>
      <c r="U262" s="135" t="str">
        <f t="shared" si="42"/>
        <v/>
      </c>
      <c r="V262" s="67" t="s">
        <v>168</v>
      </c>
      <c r="W262" s="137" t="str">
        <f t="shared" si="48"/>
        <v/>
      </c>
      <c r="X262" s="137" t="str">
        <f t="shared" si="43"/>
        <v/>
      </c>
      <c r="Y262" s="138"/>
      <c r="Z262" s="138">
        <v>2</v>
      </c>
      <c r="AA262" s="138">
        <v>3</v>
      </c>
      <c r="AB262" s="138" t="str">
        <f t="shared" si="52"/>
        <v>{10000,9000,8000}</v>
      </c>
      <c r="AC262" s="138">
        <v>1000</v>
      </c>
      <c r="AD262" s="138">
        <v>4000</v>
      </c>
      <c r="AE262" s="138">
        <f>SUM($R$141:$R262)+SUM($X$141:$X262)</f>
        <v>1034100</v>
      </c>
      <c r="AF262" s="138">
        <f>SUM($Q$142:Q262)</f>
        <v>31883</v>
      </c>
      <c r="AG262" s="137">
        <f t="shared" si="49"/>
        <v>1129749</v>
      </c>
      <c r="AH262" s="139">
        <f>SUM($S$141:S262)</f>
        <v>563.311803183665</v>
      </c>
      <c r="AI262" s="133">
        <f t="shared" si="50"/>
        <v>7.15091459227468</v>
      </c>
      <c r="AJ262" s="15">
        <f t="shared" si="51"/>
        <v>618000</v>
      </c>
      <c r="AL262" s="15">
        <v>122</v>
      </c>
      <c r="AM262" s="15">
        <f t="shared" si="44"/>
        <v>211760</v>
      </c>
      <c r="AN262" s="15">
        <f>SUMIF([1]装备属性!$M$571:$M$870,"&lt;="&amp;AL262,[1]装备属性!$Q$571:$Q$870)</f>
        <v>110625.919274041</v>
      </c>
      <c r="AO262" s="15">
        <f t="shared" si="45"/>
        <v>1.91419878261469</v>
      </c>
    </row>
    <row r="263" ht="18" spans="1:41">
      <c r="A263" s="9" t="s">
        <v>239</v>
      </c>
      <c r="B263" s="9" t="str">
        <f t="shared" si="34"/>
        <v>[{5205001,3},{2,}]</v>
      </c>
      <c r="C263" s="51" t="str">
        <f t="shared" si="35"/>
        <v>[{5203001,570},{2,8630}]</v>
      </c>
      <c r="D263" s="140">
        <v>123</v>
      </c>
      <c r="E263" s="130">
        <f t="shared" si="36"/>
        <v>578</v>
      </c>
      <c r="F263" s="130">
        <f t="shared" si="55"/>
        <v>285</v>
      </c>
      <c r="G263" s="130">
        <v>120</v>
      </c>
      <c r="H263" s="130">
        <f>SUMIFS(基因产出!$F$90:$F$389,基因产出!$D$90:$D$389,"&lt;="&amp;E263,基因产出!$D$90:$D$389,"&gt;"&amp;_xlfn.MAXIFS($E$141:E263,$E$141:E263,"&lt;"&amp;E263))/COUNTIF($E$141:$E$500,E263)</f>
        <v>0</v>
      </c>
      <c r="I263" s="130">
        <f>IF(COUNTIF($I$141:$I262,$I262)=VLOOKUP($I262,$D$90:$E$120,2,0),$I262+1,$I262)</f>
        <v>16</v>
      </c>
      <c r="J263" s="131">
        <f t="shared" si="37"/>
        <v>94</v>
      </c>
      <c r="K263" s="132" t="str">
        <f t="shared" si="38"/>
        <v/>
      </c>
      <c r="L263" s="132" t="str">
        <f t="shared" si="39"/>
        <v/>
      </c>
      <c r="M263" s="132">
        <f t="shared" si="40"/>
        <v>0.002</v>
      </c>
      <c r="N263" s="132" t="str">
        <f t="shared" si="46"/>
        <v/>
      </c>
      <c r="O263" s="132" t="str">
        <f t="shared" si="41"/>
        <v/>
      </c>
      <c r="P263" s="141">
        <f>(SUM($Q$142:Q263)-SUM($H$141:H263))/SUM($H$141:H263)</f>
        <v>-0.68216279753159</v>
      </c>
      <c r="Q263" s="142">
        <f t="shared" si="56"/>
        <v>565</v>
      </c>
      <c r="R263" s="142">
        <f t="shared" si="53"/>
        <v>8560</v>
      </c>
      <c r="S263" s="133">
        <f t="shared" si="47"/>
        <v>14.3025291845494</v>
      </c>
      <c r="T263" s="134">
        <f>INT(SUM($W$141:W263)/3)+1</f>
        <v>31</v>
      </c>
      <c r="U263" s="135" t="str">
        <f t="shared" si="42"/>
        <v/>
      </c>
      <c r="V263" s="67" t="s">
        <v>168</v>
      </c>
      <c r="W263" s="137" t="str">
        <f t="shared" si="48"/>
        <v/>
      </c>
      <c r="X263" s="137" t="str">
        <f t="shared" si="43"/>
        <v/>
      </c>
      <c r="Y263" s="138"/>
      <c r="Z263" s="138">
        <v>2</v>
      </c>
      <c r="AA263" s="138">
        <v>3</v>
      </c>
      <c r="AB263" s="138" t="str">
        <f t="shared" si="52"/>
        <v>{10000,9000,8000}</v>
      </c>
      <c r="AC263" s="138">
        <v>1000</v>
      </c>
      <c r="AD263" s="138">
        <v>4000</v>
      </c>
      <c r="AE263" s="138">
        <f>SUM($R$141:$R263)+SUM($X$141:$X263)</f>
        <v>1042660</v>
      </c>
      <c r="AF263" s="138">
        <f>SUM($Q$142:Q263)</f>
        <v>32448</v>
      </c>
      <c r="AG263" s="137">
        <f t="shared" si="49"/>
        <v>1140004</v>
      </c>
      <c r="AH263" s="139">
        <f>SUM($S$141:S263)</f>
        <v>577.614332368214</v>
      </c>
      <c r="AI263" s="133">
        <f t="shared" si="50"/>
        <v>7.15126459227468</v>
      </c>
      <c r="AJ263" s="15">
        <f t="shared" si="51"/>
        <v>618000</v>
      </c>
      <c r="AL263" s="15">
        <v>123</v>
      </c>
      <c r="AM263" s="15">
        <f t="shared" si="44"/>
        <v>211760</v>
      </c>
      <c r="AN263" s="15">
        <f>SUMIF([1]装备属性!$M$571:$M$870,"&lt;="&amp;AL263,[1]装备属性!$Q$571:$Q$870)</f>
        <v>128443.00525581</v>
      </c>
      <c r="AO263" s="15">
        <f t="shared" si="45"/>
        <v>1.6486689919646</v>
      </c>
    </row>
    <row r="264" ht="18" spans="1:41">
      <c r="A264" s="9" t="s">
        <v>240</v>
      </c>
      <c r="B264" s="9" t="str">
        <f t="shared" si="34"/>
        <v>[{5205001,3},{2,}]</v>
      </c>
      <c r="C264" s="51" t="str">
        <f t="shared" si="35"/>
        <v>[{5203001,575},{2,8700}]</v>
      </c>
      <c r="D264" s="140">
        <v>124</v>
      </c>
      <c r="E264" s="130">
        <f t="shared" si="36"/>
        <v>592</v>
      </c>
      <c r="F264" s="130">
        <f t="shared" si="55"/>
        <v>290</v>
      </c>
      <c r="G264" s="130">
        <v>120</v>
      </c>
      <c r="H264" s="130">
        <f>SUMIFS(基因产出!$F$90:$F$389,基因产出!$D$90:$D$389,"&lt;="&amp;E264,基因产出!$D$90:$D$389,"&gt;"&amp;_xlfn.MAXIFS($E$141:E264,$E$141:E264,"&lt;"&amp;E264))/COUNTIF($E$141:$E$500,E264)</f>
        <v>0</v>
      </c>
      <c r="I264" s="130">
        <f>IF(COUNTIF($I$141:$I263,$I263)=VLOOKUP($I263,$D$90:$E$120,2,0),$I263+1,$I263)</f>
        <v>16</v>
      </c>
      <c r="J264" s="131">
        <f t="shared" si="37"/>
        <v>94</v>
      </c>
      <c r="K264" s="132" t="str">
        <f t="shared" si="38"/>
        <v/>
      </c>
      <c r="L264" s="132">
        <f t="shared" si="39"/>
        <v>0.03</v>
      </c>
      <c r="M264" s="132" t="str">
        <f t="shared" si="40"/>
        <v/>
      </c>
      <c r="N264" s="132" t="str">
        <f t="shared" si="46"/>
        <v/>
      </c>
      <c r="O264" s="132" t="str">
        <f t="shared" si="41"/>
        <v/>
      </c>
      <c r="P264" s="141">
        <f>(SUM($Q$142:Q264)-SUM($H$141:H264))/SUM($H$141:H264)</f>
        <v>-0.676579488686453</v>
      </c>
      <c r="Q264" s="142">
        <f t="shared" si="56"/>
        <v>570</v>
      </c>
      <c r="R264" s="142">
        <f t="shared" si="53"/>
        <v>8630</v>
      </c>
      <c r="S264" s="133">
        <f t="shared" si="47"/>
        <v>14.3032291845494</v>
      </c>
      <c r="T264" s="134">
        <f>INT(SUM($W$141:W264)/3)+1</f>
        <v>31</v>
      </c>
      <c r="U264" s="135" t="str">
        <f t="shared" si="42"/>
        <v/>
      </c>
      <c r="V264" s="67" t="s">
        <v>168</v>
      </c>
      <c r="W264" s="137" t="str">
        <f t="shared" si="48"/>
        <v/>
      </c>
      <c r="X264" s="137" t="str">
        <f t="shared" si="43"/>
        <v/>
      </c>
      <c r="Y264" s="138"/>
      <c r="Z264" s="138">
        <v>2</v>
      </c>
      <c r="AA264" s="138">
        <v>3</v>
      </c>
      <c r="AB264" s="138" t="str">
        <f t="shared" si="52"/>
        <v>{10000,9000,8000}</v>
      </c>
      <c r="AC264" s="138">
        <v>1000</v>
      </c>
      <c r="AD264" s="138">
        <v>4000</v>
      </c>
      <c r="AE264" s="138">
        <f>SUM($R$141:$R264)+SUM($X$141:$X264)</f>
        <v>1051290</v>
      </c>
      <c r="AF264" s="138">
        <f>SUM($Q$142:Q264)</f>
        <v>33018</v>
      </c>
      <c r="AG264" s="137">
        <f t="shared" si="49"/>
        <v>1150344</v>
      </c>
      <c r="AH264" s="139">
        <f>SUM($S$141:S264)</f>
        <v>591.917561552763</v>
      </c>
      <c r="AI264" s="133">
        <f t="shared" si="50"/>
        <v>7.15161459227468</v>
      </c>
      <c r="AJ264" s="15">
        <f t="shared" si="51"/>
        <v>618000</v>
      </c>
      <c r="AL264" s="15">
        <v>124</v>
      </c>
      <c r="AM264" s="15">
        <f t="shared" si="44"/>
        <v>211760</v>
      </c>
      <c r="AN264" s="15">
        <f>SUMIF([1]装备属性!$M$571:$M$870,"&lt;="&amp;AL264,[1]装备属性!$Q$571:$Q$870)</f>
        <v>146893.633982098</v>
      </c>
      <c r="AO264" s="15">
        <f t="shared" si="45"/>
        <v>1.44158731906522</v>
      </c>
    </row>
    <row r="265" ht="18" spans="1:41">
      <c r="A265" s="9" t="s">
        <v>237</v>
      </c>
      <c r="B265" s="9" t="str">
        <f t="shared" si="34"/>
        <v>[{5205001,3},{2,}]</v>
      </c>
      <c r="C265" s="51" t="str">
        <f t="shared" si="35"/>
        <v>[{5203001,580},{2,8770}]</v>
      </c>
      <c r="D265" s="140">
        <v>125</v>
      </c>
      <c r="E265" s="130">
        <f t="shared" si="36"/>
        <v>607</v>
      </c>
      <c r="F265" s="130">
        <f t="shared" si="55"/>
        <v>295</v>
      </c>
      <c r="G265" s="130">
        <v>120</v>
      </c>
      <c r="H265" s="130">
        <f>SUMIFS(基因产出!$F$90:$F$389,基因产出!$D$90:$D$389,"&lt;="&amp;E265,基因产出!$D$90:$D$389,"&gt;"&amp;_xlfn.MAXIFS($E$141:E265,$E$141:E265,"&lt;"&amp;E265))/COUNTIF($E$141:$E$500,E265)</f>
        <v>0</v>
      </c>
      <c r="I265" s="130">
        <f>IF(COUNTIF($I$141:$I264,$I264)=VLOOKUP($I264,$D$90:$E$120,2,0),$I264+1,$I264)</f>
        <v>16</v>
      </c>
      <c r="J265" s="131">
        <f t="shared" si="37"/>
        <v>94</v>
      </c>
      <c r="K265" s="132">
        <f t="shared" si="38"/>
        <v>0.05</v>
      </c>
      <c r="L265" s="132" t="str">
        <f t="shared" si="39"/>
        <v/>
      </c>
      <c r="M265" s="132" t="str">
        <f t="shared" si="40"/>
        <v/>
      </c>
      <c r="N265" s="132" t="str">
        <f t="shared" si="46"/>
        <v/>
      </c>
      <c r="O265" s="132" t="str">
        <f t="shared" si="41"/>
        <v/>
      </c>
      <c r="P265" s="141">
        <f>(SUM($Q$142:Q265)-SUM($H$141:H265))/SUM($H$141:H265)</f>
        <v>-0.670947203447938</v>
      </c>
      <c r="Q265" s="142">
        <f t="shared" si="56"/>
        <v>575</v>
      </c>
      <c r="R265" s="142">
        <f t="shared" si="53"/>
        <v>8700</v>
      </c>
      <c r="S265" s="133">
        <f t="shared" si="47"/>
        <v>14.3039291845494</v>
      </c>
      <c r="T265" s="134">
        <f>INT(SUM($W$141:W265)/3)+1</f>
        <v>31</v>
      </c>
      <c r="U265" s="135" t="str">
        <f t="shared" si="42"/>
        <v/>
      </c>
      <c r="V265" s="67" t="s">
        <v>168</v>
      </c>
      <c r="W265" s="137" t="str">
        <f t="shared" si="48"/>
        <v/>
      </c>
      <c r="X265" s="137" t="str">
        <f t="shared" si="43"/>
        <v/>
      </c>
      <c r="Y265" s="138"/>
      <c r="Z265" s="138">
        <v>2</v>
      </c>
      <c r="AA265" s="138">
        <v>3</v>
      </c>
      <c r="AB265" s="138" t="str">
        <f t="shared" si="52"/>
        <v>{10000,9000,8000}</v>
      </c>
      <c r="AC265" s="138">
        <v>1000</v>
      </c>
      <c r="AD265" s="138">
        <v>4000</v>
      </c>
      <c r="AE265" s="138">
        <f>SUM($R$141:$R265)+SUM($X$141:$X265)</f>
        <v>1059990</v>
      </c>
      <c r="AF265" s="138">
        <f>SUM($Q$142:Q265)</f>
        <v>33593</v>
      </c>
      <c r="AG265" s="137">
        <f t="shared" si="49"/>
        <v>1160769</v>
      </c>
      <c r="AH265" s="139">
        <f>SUM($S$141:S265)</f>
        <v>606.221490737313</v>
      </c>
      <c r="AI265" s="133">
        <f t="shared" si="50"/>
        <v>7.15196459227468</v>
      </c>
      <c r="AJ265" s="15">
        <f t="shared" si="51"/>
        <v>618000</v>
      </c>
      <c r="AL265" s="15">
        <v>125</v>
      </c>
      <c r="AM265" s="15">
        <f t="shared" si="44"/>
        <v>211760</v>
      </c>
      <c r="AN265" s="15">
        <f>SUMIF([1]装备属性!$M$571:$M$870,"&lt;="&amp;AL265,[1]装备属性!$Q$571:$Q$870)</f>
        <v>165344.262708385</v>
      </c>
      <c r="AO265" s="15">
        <f t="shared" si="45"/>
        <v>1.28072178938242</v>
      </c>
    </row>
    <row r="266" ht="18" spans="1:41">
      <c r="A266" s="9" t="s">
        <v>238</v>
      </c>
      <c r="B266" s="9" t="str">
        <f t="shared" si="34"/>
        <v>[{5205001,3},{2,}]</v>
      </c>
      <c r="C266" s="51" t="str">
        <f t="shared" si="35"/>
        <v>[{5203001,585},{2,8840}]</v>
      </c>
      <c r="D266" s="140">
        <v>126</v>
      </c>
      <c r="E266" s="130">
        <f t="shared" si="36"/>
        <v>621</v>
      </c>
      <c r="F266" s="130">
        <f t="shared" si="55"/>
        <v>300</v>
      </c>
      <c r="G266" s="130">
        <v>120</v>
      </c>
      <c r="H266" s="130">
        <f>SUMIFS(基因产出!$F$90:$F$389,基因产出!$D$90:$D$389,"&lt;="&amp;E266,基因产出!$D$90:$D$389,"&gt;"&amp;_xlfn.MAXIFS($E$141:E266,$E$141:E266,"&lt;"&amp;E266))/COUNTIF($E$141:$E$500,E266)</f>
        <v>0</v>
      </c>
      <c r="I266" s="130">
        <f>IF(COUNTIF($I$141:$I265,$I265)=VLOOKUP($I265,$D$90:$E$120,2,0),$I265+1,$I265)</f>
        <v>16</v>
      </c>
      <c r="J266" s="131">
        <f t="shared" si="37"/>
        <v>94</v>
      </c>
      <c r="K266" s="132" t="str">
        <f t="shared" si="38"/>
        <v/>
      </c>
      <c r="L266" s="132" t="str">
        <f t="shared" si="39"/>
        <v/>
      </c>
      <c r="M266" s="132" t="str">
        <f t="shared" si="40"/>
        <v/>
      </c>
      <c r="N266" s="132">
        <f t="shared" si="46"/>
        <v>0.0075</v>
      </c>
      <c r="O266" s="132" t="str">
        <f t="shared" si="41"/>
        <v/>
      </c>
      <c r="P266" s="141">
        <f>(SUM($Q$142:Q266)-SUM($H$141:H266))/SUM($H$141:H266)</f>
        <v>-0.665265941816045</v>
      </c>
      <c r="Q266" s="142">
        <f t="shared" si="56"/>
        <v>580</v>
      </c>
      <c r="R266" s="142">
        <f t="shared" si="53"/>
        <v>8770</v>
      </c>
      <c r="S266" s="133">
        <f t="shared" si="47"/>
        <v>14.3046291845494</v>
      </c>
      <c r="T266" s="134">
        <f>INT(SUM($W$141:W266)/3)+1</f>
        <v>31</v>
      </c>
      <c r="U266" s="135" t="str">
        <f t="shared" si="42"/>
        <v/>
      </c>
      <c r="V266" s="67" t="s">
        <v>168</v>
      </c>
      <c r="W266" s="137" t="str">
        <f t="shared" si="48"/>
        <v/>
      </c>
      <c r="X266" s="137" t="str">
        <f t="shared" si="43"/>
        <v/>
      </c>
      <c r="Y266" s="138"/>
      <c r="Z266" s="138">
        <v>2</v>
      </c>
      <c r="AA266" s="138">
        <v>3</v>
      </c>
      <c r="AB266" s="138" t="str">
        <f t="shared" si="52"/>
        <v>{10000,9000,8000}</v>
      </c>
      <c r="AC266" s="138">
        <v>1000</v>
      </c>
      <c r="AD266" s="138">
        <v>4000</v>
      </c>
      <c r="AE266" s="138">
        <f>SUM($R$141:$R266)+SUM($X$141:$X266)</f>
        <v>1068760</v>
      </c>
      <c r="AF266" s="138">
        <f>SUM($Q$142:Q266)</f>
        <v>34173</v>
      </c>
      <c r="AG266" s="137">
        <f t="shared" si="49"/>
        <v>1171279</v>
      </c>
      <c r="AH266" s="139">
        <f>SUM($S$141:S266)</f>
        <v>620.526119921862</v>
      </c>
      <c r="AI266" s="133">
        <f t="shared" si="50"/>
        <v>7.15231459227468</v>
      </c>
      <c r="AJ266" s="15">
        <f t="shared" si="51"/>
        <v>618000</v>
      </c>
      <c r="AL266" s="15">
        <v>126</v>
      </c>
      <c r="AM266" s="15">
        <f t="shared" si="44"/>
        <v>217240</v>
      </c>
      <c r="AN266" s="15">
        <f>SUMIF([1]装备属性!$M$571:$M$870,"&lt;="&amp;AL266,[1]装备属性!$Q$571:$Q$870)</f>
        <v>181883.558101339</v>
      </c>
      <c r="AO266" s="15">
        <f t="shared" si="45"/>
        <v>1.19439053352454</v>
      </c>
    </row>
    <row r="267" ht="18" spans="1:41">
      <c r="A267" s="9" t="s">
        <v>239</v>
      </c>
      <c r="B267" s="9" t="str">
        <f t="shared" si="34"/>
        <v>[{5205001,3},{2,}]</v>
      </c>
      <c r="C267" s="51" t="str">
        <f t="shared" si="35"/>
        <v>[{5203001,590},{2,8910}]</v>
      </c>
      <c r="D267" s="140">
        <v>127</v>
      </c>
      <c r="E267" s="130">
        <f t="shared" si="36"/>
        <v>635</v>
      </c>
      <c r="F267" s="130">
        <f t="shared" si="55"/>
        <v>305</v>
      </c>
      <c r="G267" s="130">
        <v>120</v>
      </c>
      <c r="H267" s="130">
        <f>SUMIFS(基因产出!$F$90:$F$389,基因产出!$D$90:$D$389,"&lt;="&amp;E267,基因产出!$D$90:$D$389,"&gt;"&amp;_xlfn.MAXIFS($E$141:E267,$E$141:E267,"&lt;"&amp;E267))/COUNTIF($E$141:$E$500,E267)</f>
        <v>0</v>
      </c>
      <c r="I267" s="130">
        <f>IF(COUNTIF($I$141:$I266,$I266)=VLOOKUP($I266,$D$90:$E$120,2,0),$I266+1,$I266)</f>
        <v>16</v>
      </c>
      <c r="J267" s="131">
        <f t="shared" si="37"/>
        <v>94</v>
      </c>
      <c r="K267" s="132" t="str">
        <f t="shared" si="38"/>
        <v/>
      </c>
      <c r="L267" s="132" t="str">
        <f t="shared" si="39"/>
        <v/>
      </c>
      <c r="M267" s="132">
        <f t="shared" si="40"/>
        <v>0.002</v>
      </c>
      <c r="N267" s="132" t="str">
        <f t="shared" si="46"/>
        <v/>
      </c>
      <c r="O267" s="132" t="str">
        <f t="shared" si="41"/>
        <v/>
      </c>
      <c r="P267" s="141">
        <f>(SUM($Q$142:Q267)-SUM($H$141:H267))/SUM($H$141:H267)</f>
        <v>-0.659535703790773</v>
      </c>
      <c r="Q267" s="142">
        <f t="shared" si="56"/>
        <v>585</v>
      </c>
      <c r="R267" s="142">
        <f t="shared" si="53"/>
        <v>8840</v>
      </c>
      <c r="S267" s="133">
        <f t="shared" si="47"/>
        <v>14.3053291845494</v>
      </c>
      <c r="T267" s="134">
        <f>INT(SUM($W$141:W267)/3)+1</f>
        <v>31</v>
      </c>
      <c r="U267" s="135" t="str">
        <f t="shared" si="42"/>
        <v/>
      </c>
      <c r="V267" s="67" t="s">
        <v>168</v>
      </c>
      <c r="W267" s="137" t="str">
        <f t="shared" si="48"/>
        <v/>
      </c>
      <c r="X267" s="137" t="str">
        <f t="shared" si="43"/>
        <v/>
      </c>
      <c r="Y267" s="138"/>
      <c r="Z267" s="138">
        <v>2</v>
      </c>
      <c r="AA267" s="138">
        <v>3</v>
      </c>
      <c r="AB267" s="138" t="str">
        <f t="shared" si="52"/>
        <v>{10000,9000,8000}</v>
      </c>
      <c r="AC267" s="138">
        <v>1000</v>
      </c>
      <c r="AD267" s="138">
        <v>4000</v>
      </c>
      <c r="AE267" s="138">
        <f>SUM($R$141:$R267)+SUM($X$141:$X267)</f>
        <v>1077600</v>
      </c>
      <c r="AF267" s="138">
        <f>SUM($Q$142:Q267)</f>
        <v>34758</v>
      </c>
      <c r="AG267" s="137">
        <f t="shared" si="49"/>
        <v>1181874</v>
      </c>
      <c r="AH267" s="139">
        <f>SUM($S$141:S267)</f>
        <v>634.831449106411</v>
      </c>
      <c r="AI267" s="133">
        <f t="shared" si="50"/>
        <v>7.15266459227468</v>
      </c>
      <c r="AJ267" s="15">
        <f t="shared" si="51"/>
        <v>618000</v>
      </c>
      <c r="AL267" s="15">
        <v>127</v>
      </c>
      <c r="AM267" s="15">
        <f t="shared" si="44"/>
        <v>217240</v>
      </c>
      <c r="AN267" s="15">
        <f>SUMIF([1]装备属性!$M$571:$M$870,"&lt;="&amp;AL267,[1]装备属性!$Q$571:$Q$870)</f>
        <v>189993.327009937</v>
      </c>
      <c r="AO267" s="15">
        <f t="shared" si="45"/>
        <v>1.1434085787057</v>
      </c>
    </row>
    <row r="268" ht="18" spans="1:41">
      <c r="A268" s="9" t="s">
        <v>240</v>
      </c>
      <c r="B268" s="9" t="str">
        <f t="shared" si="34"/>
        <v>[{5205001,3},{2,35640}]</v>
      </c>
      <c r="C268" s="51" t="str">
        <f t="shared" si="35"/>
        <v>[{5203001,595},{2,8980}]</v>
      </c>
      <c r="D268" s="140">
        <v>128</v>
      </c>
      <c r="E268" s="130">
        <f t="shared" si="36"/>
        <v>650</v>
      </c>
      <c r="F268" s="130">
        <f t="shared" si="55"/>
        <v>310</v>
      </c>
      <c r="G268" s="130">
        <v>120</v>
      </c>
      <c r="H268" s="130">
        <f>SUMIFS(基因产出!$F$90:$F$389,基因产出!$D$90:$D$389,"&lt;="&amp;E268,基因产出!$D$90:$D$389,"&gt;"&amp;_xlfn.MAXIFS($E$141:E268,$E$141:E268,"&lt;"&amp;E268))/COUNTIF($E$141:$E$500,E268)</f>
        <v>0</v>
      </c>
      <c r="I268" s="130">
        <f>IF(COUNTIF($I$141:$I267,$I267)=VLOOKUP($I267,$D$90:$E$120,2,0),$I267+1,$I267)</f>
        <v>16</v>
      </c>
      <c r="J268" s="131">
        <f t="shared" si="37"/>
        <v>94</v>
      </c>
      <c r="K268" s="132" t="str">
        <f t="shared" si="38"/>
        <v/>
      </c>
      <c r="L268" s="132">
        <f t="shared" si="39"/>
        <v>0.03</v>
      </c>
      <c r="M268" s="132" t="str">
        <f t="shared" si="40"/>
        <v/>
      </c>
      <c r="N268" s="132" t="str">
        <f t="shared" si="46"/>
        <v/>
      </c>
      <c r="O268" s="132" t="str">
        <f t="shared" si="41"/>
        <v/>
      </c>
      <c r="P268" s="141">
        <f>(SUM($Q$142:Q268)-SUM($H$141:H268))/SUM($H$141:H268)</f>
        <v>-0.653756489372123</v>
      </c>
      <c r="Q268" s="142">
        <f t="shared" si="56"/>
        <v>590</v>
      </c>
      <c r="R268" s="142">
        <f t="shared" si="53"/>
        <v>8910</v>
      </c>
      <c r="S268" s="133">
        <f t="shared" si="47"/>
        <v>14.3060291845494</v>
      </c>
      <c r="T268" s="134">
        <f>INT(SUM($W$141:W268)/3)+1</f>
        <v>32</v>
      </c>
      <c r="U268" s="135" t="str">
        <f t="shared" si="42"/>
        <v/>
      </c>
      <c r="V268" s="67" t="s">
        <v>91</v>
      </c>
      <c r="W268" s="137">
        <f t="shared" si="48"/>
        <v>3</v>
      </c>
      <c r="X268" s="137">
        <f t="shared" si="43"/>
        <v>35640</v>
      </c>
      <c r="Y268" s="138"/>
      <c r="Z268" s="138">
        <v>2</v>
      </c>
      <c r="AA268" s="138">
        <v>3</v>
      </c>
      <c r="AB268" s="138" t="str">
        <f t="shared" si="52"/>
        <v>{10000,9000,8000}</v>
      </c>
      <c r="AC268" s="138">
        <v>1000</v>
      </c>
      <c r="AD268" s="138">
        <v>4000</v>
      </c>
      <c r="AE268" s="138">
        <f>SUM($R$141:$R268)+SUM($X$141:$X268)</f>
        <v>1122150</v>
      </c>
      <c r="AF268" s="138">
        <f>SUM($Q$142:Q268)</f>
        <v>35348</v>
      </c>
      <c r="AG268" s="137">
        <f t="shared" si="49"/>
        <v>1228194</v>
      </c>
      <c r="AH268" s="139">
        <f>SUM($S$141:S268)</f>
        <v>649.137478290961</v>
      </c>
      <c r="AI268" s="133">
        <f t="shared" si="50"/>
        <v>7.15301459227468</v>
      </c>
      <c r="AJ268" s="15">
        <f t="shared" si="51"/>
        <v>618300</v>
      </c>
      <c r="AL268" s="15">
        <v>128</v>
      </c>
      <c r="AM268" s="15">
        <f t="shared" si="44"/>
        <v>217240</v>
      </c>
      <c r="AN268" s="15">
        <f>SUMIF([1]装备属性!$M$571:$M$870,"&lt;="&amp;AL268,[1]装备属性!$Q$571:$Q$870)</f>
        <v>189993.327009937</v>
      </c>
      <c r="AO268" s="15">
        <f t="shared" si="45"/>
        <v>1.1434085787057</v>
      </c>
    </row>
    <row r="269" ht="18" spans="1:41">
      <c r="A269" s="9" t="s">
        <v>237</v>
      </c>
      <c r="B269" s="9" t="str">
        <f t="shared" si="34"/>
        <v>[{5205001,3},{2,}]</v>
      </c>
      <c r="C269" s="51" t="str">
        <f t="shared" si="35"/>
        <v>[{5203001,600},{2,9050}]</v>
      </c>
      <c r="D269" s="140">
        <v>129</v>
      </c>
      <c r="E269" s="130">
        <f t="shared" si="36"/>
        <v>664</v>
      </c>
      <c r="F269" s="130">
        <f t="shared" si="55"/>
        <v>315</v>
      </c>
      <c r="G269" s="130">
        <v>120</v>
      </c>
      <c r="H269" s="130">
        <f>SUMIFS(基因产出!$F$90:$F$389,基因产出!$D$90:$D$389,"&lt;="&amp;E269,基因产出!$D$90:$D$389,"&gt;"&amp;_xlfn.MAXIFS($E$141:E269,$E$141:E269,"&lt;"&amp;E269))/COUNTIF($E$141:$E$500,E269)</f>
        <v>0</v>
      </c>
      <c r="I269" s="130">
        <f>IF(COUNTIF($I$141:$I268,$I268)=VLOOKUP($I268,$D$90:$E$120,2,0),$I268+1,$I268)</f>
        <v>16</v>
      </c>
      <c r="J269" s="131">
        <f t="shared" si="37"/>
        <v>94</v>
      </c>
      <c r="K269" s="132">
        <f t="shared" si="38"/>
        <v>0.05</v>
      </c>
      <c r="L269" s="132" t="str">
        <f t="shared" si="39"/>
        <v/>
      </c>
      <c r="M269" s="132" t="str">
        <f t="shared" si="40"/>
        <v/>
      </c>
      <c r="N269" s="132" t="str">
        <f t="shared" si="46"/>
        <v/>
      </c>
      <c r="O269" s="132" t="str">
        <f t="shared" si="41"/>
        <v/>
      </c>
      <c r="P269" s="141">
        <f>(SUM($Q$142:Q269)-SUM($H$141:H269))/SUM($H$141:H269)</f>
        <v>-0.647928298560094</v>
      </c>
      <c r="Q269" s="142">
        <f t="shared" si="56"/>
        <v>595</v>
      </c>
      <c r="R269" s="142">
        <f t="shared" si="53"/>
        <v>8980</v>
      </c>
      <c r="S269" s="133">
        <f t="shared" si="47"/>
        <v>14.3067291845494</v>
      </c>
      <c r="T269" s="134">
        <f>INT(SUM($W$141:W269)/3)+1</f>
        <v>32</v>
      </c>
      <c r="U269" s="135" t="str">
        <f t="shared" si="42"/>
        <v/>
      </c>
      <c r="V269" s="67" t="s">
        <v>168</v>
      </c>
      <c r="W269" s="137" t="str">
        <f t="shared" si="48"/>
        <v/>
      </c>
      <c r="X269" s="137" t="str">
        <f t="shared" si="43"/>
        <v/>
      </c>
      <c r="Y269" s="138"/>
      <c r="Z269" s="138">
        <v>2</v>
      </c>
      <c r="AA269" s="138">
        <v>3</v>
      </c>
      <c r="AB269" s="138" t="str">
        <f t="shared" si="52"/>
        <v>{10000,9000,8000}</v>
      </c>
      <c r="AC269" s="138">
        <v>1000</v>
      </c>
      <c r="AD269" s="138">
        <v>4000</v>
      </c>
      <c r="AE269" s="138">
        <f>SUM($R$141:$R269)+SUM($X$141:$X269)</f>
        <v>1131130</v>
      </c>
      <c r="AF269" s="138">
        <f>SUM($Q$142:Q269)</f>
        <v>35943</v>
      </c>
      <c r="AG269" s="137">
        <f t="shared" si="49"/>
        <v>1238959</v>
      </c>
      <c r="AH269" s="139">
        <f>SUM($S$141:S269)</f>
        <v>663.44420747551</v>
      </c>
      <c r="AI269" s="133">
        <f t="shared" si="50"/>
        <v>7.15336459227468</v>
      </c>
      <c r="AJ269" s="15">
        <f t="shared" si="51"/>
        <v>618300</v>
      </c>
      <c r="AL269" s="15">
        <v>129</v>
      </c>
      <c r="AM269" s="15">
        <f t="shared" si="44"/>
        <v>217240</v>
      </c>
      <c r="AN269" s="15">
        <f>SUMIF([1]装备属性!$M$571:$M$870,"&lt;="&amp;AL269,[1]装备属性!$Q$571:$Q$870)</f>
        <v>190482.660343271</v>
      </c>
      <c r="AO269" s="15">
        <f t="shared" si="45"/>
        <v>1.14047126183827</v>
      </c>
    </row>
    <row r="270" ht="18" spans="1:41">
      <c r="A270" s="9" t="s">
        <v>241</v>
      </c>
      <c r="B270" s="9" t="str">
        <f t="shared" ref="B270:B333" si="57">"[{5205001,3},{2,"&amp;X270&amp;"}]"</f>
        <v>[{5205001,3},{2,}]</v>
      </c>
      <c r="C270" s="51" t="str">
        <f t="shared" ref="C270:C333" si="58">"[{5203001,"&amp;Q271&amp;"},{2,"&amp;R271&amp;"}]"</f>
        <v>[{5203001,605},{2,9120}]</v>
      </c>
      <c r="D270" s="140">
        <v>130</v>
      </c>
      <c r="E270" s="130">
        <f t="shared" ref="E270:E333" si="59">INT(AH270)+1</f>
        <v>678</v>
      </c>
      <c r="F270" s="130">
        <f t="shared" si="55"/>
        <v>320</v>
      </c>
      <c r="G270" s="130">
        <v>120</v>
      </c>
      <c r="H270" s="130">
        <f>SUMIFS(基因产出!$F$90:$F$389,基因产出!$D$90:$D$389,"&lt;="&amp;E270,基因产出!$D$90:$D$389,"&gt;"&amp;_xlfn.MAXIFS($E$141:E270,$E$141:E270,"&lt;"&amp;E270))/COUNTIF($E$141:$E$500,E270)</f>
        <v>0</v>
      </c>
      <c r="I270" s="130">
        <f>IF(COUNTIF($I$141:$I269,$I269)=VLOOKUP($I269,$D$90:$E$120,2,0),$I269+1,$I269)</f>
        <v>16</v>
      </c>
      <c r="J270" s="131">
        <f t="shared" ref="J270:J333" si="60">--SUBSTITUTE(LEFT(A270,FIND("\",A270)-1),"队长攻击力+","")</f>
        <v>94</v>
      </c>
      <c r="K270" s="132" t="str">
        <f t="shared" ref="K270:K333" si="61">IFERROR(IF(FIND(K$140,$A270)&gt;0,5%,0%),"")</f>
        <v/>
      </c>
      <c r="L270" s="132" t="str">
        <f t="shared" ref="L270:L333" si="62">IFERROR(IF(FIND(L$140,$A270)&gt;0,3%,0%),"")</f>
        <v/>
      </c>
      <c r="M270" s="132" t="str">
        <f t="shared" ref="M270:M333" si="63">IFERROR(IF(FIND(M$140,$A270)&gt;0,0.2%,0%),"")</f>
        <v/>
      </c>
      <c r="N270" s="132">
        <f t="shared" si="46"/>
        <v>0.0075</v>
      </c>
      <c r="O270" s="132">
        <f t="shared" ref="O270:O333" si="64">IFERROR(IF(FIND(O$140,$A270)&gt;0,5%,0%),"")</f>
        <v>0.05</v>
      </c>
      <c r="P270" s="141">
        <f>(SUM($Q$142:Q270)-SUM($H$141:H270))/SUM($H$141:H270)</f>
        <v>-0.642051131354687</v>
      </c>
      <c r="Q270" s="142">
        <f t="shared" si="56"/>
        <v>600</v>
      </c>
      <c r="R270" s="142">
        <f t="shared" si="53"/>
        <v>9050</v>
      </c>
      <c r="S270" s="133">
        <f t="shared" si="47"/>
        <v>14.3074291845494</v>
      </c>
      <c r="T270" s="134">
        <f>INT(SUM($W$141:W270)/3)+1</f>
        <v>32</v>
      </c>
      <c r="U270" s="135" t="str">
        <f t="shared" ref="U270:U333" si="65">IFERROR(IF(FIND("攻击",V270)&gt;0,SUBSTITUTE(V270,"攻击+",""),""),"")</f>
        <v/>
      </c>
      <c r="V270" s="67" t="s">
        <v>168</v>
      </c>
      <c r="W270" s="137" t="str">
        <f t="shared" si="48"/>
        <v/>
      </c>
      <c r="X270" s="137" t="str">
        <f t="shared" ref="X270:X333" si="66">IFERROR(IF(W270="","",R270*4),"")</f>
        <v/>
      </c>
      <c r="Y270" s="138"/>
      <c r="Z270" s="138">
        <v>2</v>
      </c>
      <c r="AA270" s="138">
        <v>3</v>
      </c>
      <c r="AB270" s="138" t="str">
        <f t="shared" si="52"/>
        <v>{10000,9000,8000}</v>
      </c>
      <c r="AC270" s="138">
        <v>1000</v>
      </c>
      <c r="AD270" s="138">
        <v>4000</v>
      </c>
      <c r="AE270" s="138">
        <f>SUM($R$141:$R270)+SUM($X$141:$X270)</f>
        <v>1140180</v>
      </c>
      <c r="AF270" s="138">
        <f>SUM($Q$142:Q270)</f>
        <v>36543</v>
      </c>
      <c r="AG270" s="137">
        <f t="shared" si="49"/>
        <v>1249809</v>
      </c>
      <c r="AH270" s="139">
        <f>SUM($S$141:S270)</f>
        <v>677.751636660059</v>
      </c>
      <c r="AI270" s="133">
        <f t="shared" si="50"/>
        <v>7.15371459227468</v>
      </c>
      <c r="AJ270" s="15">
        <f t="shared" si="51"/>
        <v>618300</v>
      </c>
      <c r="AL270" s="15">
        <v>130</v>
      </c>
      <c r="AM270" s="15">
        <f t="shared" ref="AM270:AM333" si="67">SUMIF($E$141:$E$500,"&lt;="&amp;AL270,$R$141:$R$500)</f>
        <v>217240</v>
      </c>
      <c r="AN270" s="15">
        <f>SUMIF([1]装备属性!$M$571:$M$870,"&lt;="&amp;AL270,[1]装备属性!$Q$571:$Q$870)</f>
        <v>190727.327009937</v>
      </c>
      <c r="AO270" s="15">
        <f t="shared" ref="AO270:AO333" si="68">AM270/AN270</f>
        <v>1.13900825542782</v>
      </c>
    </row>
    <row r="271" ht="18" spans="1:41">
      <c r="A271" s="9" t="s">
        <v>239</v>
      </c>
      <c r="B271" s="9" t="str">
        <f t="shared" si="57"/>
        <v>[{5205001,3},{2,}]</v>
      </c>
      <c r="C271" s="51" t="str">
        <f t="shared" si="58"/>
        <v>[{5203001,610},{2,9190}]</v>
      </c>
      <c r="D271" s="140">
        <v>131</v>
      </c>
      <c r="E271" s="130">
        <f t="shared" si="59"/>
        <v>693</v>
      </c>
      <c r="F271" s="130">
        <f t="shared" si="55"/>
        <v>325</v>
      </c>
      <c r="G271" s="130">
        <v>120</v>
      </c>
      <c r="H271" s="130">
        <f>SUMIFS(基因产出!$F$90:$F$389,基因产出!$D$90:$D$389,"&lt;="&amp;E271,基因产出!$D$90:$D$389,"&gt;"&amp;_xlfn.MAXIFS($E$141:E271,$E$141:E271,"&lt;"&amp;E271))/COUNTIF($E$141:$E$500,E271)</f>
        <v>0</v>
      </c>
      <c r="I271" s="130">
        <f>IF(COUNTIF($I$141:$I270,$I270)=VLOOKUP($I270,$D$90:$E$120,2,0),$I270+1,$I270)</f>
        <v>16</v>
      </c>
      <c r="J271" s="131">
        <f t="shared" si="60"/>
        <v>94</v>
      </c>
      <c r="K271" s="132" t="str">
        <f t="shared" si="61"/>
        <v/>
      </c>
      <c r="L271" s="132" t="str">
        <f t="shared" si="62"/>
        <v/>
      </c>
      <c r="M271" s="132">
        <f t="shared" si="63"/>
        <v>0.002</v>
      </c>
      <c r="N271" s="132" t="str">
        <f t="shared" ref="N271:N334" si="69">IFERROR(IF(FIND(N$140,$A271)&gt;0,$N$137,0%),IF(O271="","",$N$137))</f>
        <v/>
      </c>
      <c r="O271" s="132" t="str">
        <f t="shared" si="64"/>
        <v/>
      </c>
      <c r="P271" s="141">
        <f>(SUM($Q$142:Q271)-SUM($H$141:H271))/SUM($H$141:H271)</f>
        <v>-0.636124987755902</v>
      </c>
      <c r="Q271" s="142">
        <f t="shared" si="56"/>
        <v>605</v>
      </c>
      <c r="R271" s="142">
        <f t="shared" si="53"/>
        <v>9120</v>
      </c>
      <c r="S271" s="133">
        <f t="shared" ref="S271:S334" si="70">MAX(VLOOKUP(I271,$D$91:$J$120,6,0)*($D270)/(SUMIF($I$141:$I$500,$I271,$D$141:$D$500))*$E$83/24,IF(ISNUMBER(S270),S270+0.0007,0))</f>
        <v>14.3081291845494</v>
      </c>
      <c r="T271" s="134">
        <f>INT(SUM($W$141:W271)/3)+1</f>
        <v>32</v>
      </c>
      <c r="U271" s="135" t="str">
        <f t="shared" si="65"/>
        <v/>
      </c>
      <c r="V271" s="67" t="s">
        <v>168</v>
      </c>
      <c r="W271" s="137" t="str">
        <f t="shared" ref="W271:W334" si="71">IF(U271&amp;V271="","",3)</f>
        <v/>
      </c>
      <c r="X271" s="137" t="str">
        <f t="shared" si="66"/>
        <v/>
      </c>
      <c r="Y271" s="138"/>
      <c r="Z271" s="138">
        <v>2</v>
      </c>
      <c r="AA271" s="138">
        <v>3</v>
      </c>
      <c r="AB271" s="138" t="str">
        <f t="shared" si="52"/>
        <v>{10000,9000,8000}</v>
      </c>
      <c r="AC271" s="138">
        <v>1000</v>
      </c>
      <c r="AD271" s="138">
        <v>4000</v>
      </c>
      <c r="AE271" s="138">
        <f>SUM($R$141:$R271)+SUM($X$141:$X271)</f>
        <v>1149300</v>
      </c>
      <c r="AF271" s="138">
        <f>SUM($Q$142:Q271)</f>
        <v>37148</v>
      </c>
      <c r="AG271" s="137">
        <f t="shared" ref="AG271:AG334" si="72">AF271*3+AE271</f>
        <v>1260744</v>
      </c>
      <c r="AH271" s="139">
        <f>SUM($S$141:S271)</f>
        <v>692.059765844609</v>
      </c>
      <c r="AI271" s="133">
        <f t="shared" ref="AI271:AI334" si="73">S271/2</f>
        <v>7.15406459227468</v>
      </c>
      <c r="AJ271" s="15">
        <f t="shared" ref="AJ271:AJ334" si="74">CEILING(AI271*3600*24,300)</f>
        <v>618300</v>
      </c>
      <c r="AL271" s="15">
        <v>131</v>
      </c>
      <c r="AM271" s="15">
        <f t="shared" si="67"/>
        <v>222790</v>
      </c>
      <c r="AN271" s="15">
        <f>SUMIF([1]装备属性!$M$571:$M$870,"&lt;="&amp;AL271,[1]装备属性!$Q$571:$Q$870)</f>
        <v>190727.327009937</v>
      </c>
      <c r="AO271" s="15">
        <f t="shared" si="68"/>
        <v>1.16810738918599</v>
      </c>
    </row>
    <row r="272" ht="18" spans="1:41">
      <c r="A272" s="9" t="s">
        <v>240</v>
      </c>
      <c r="B272" s="9" t="str">
        <f t="shared" si="57"/>
        <v>[{5205001,3},{2,}]</v>
      </c>
      <c r="C272" s="51" t="str">
        <f t="shared" si="58"/>
        <v>[{5203001,615},{2,9260}]</v>
      </c>
      <c r="D272" s="140">
        <v>132</v>
      </c>
      <c r="E272" s="130">
        <f t="shared" si="59"/>
        <v>707</v>
      </c>
      <c r="F272" s="130">
        <f t="shared" si="55"/>
        <v>330</v>
      </c>
      <c r="G272" s="130">
        <v>120</v>
      </c>
      <c r="H272" s="130">
        <f>SUMIFS(基因产出!$F$90:$F$389,基因产出!$D$90:$D$389,"&lt;="&amp;E272,基因产出!$D$90:$D$389,"&gt;"&amp;_xlfn.MAXIFS($E$141:E272,$E$141:E272,"&lt;"&amp;E272))/COUNTIF($E$141:$E$500,E272)</f>
        <v>0</v>
      </c>
      <c r="I272" s="130">
        <f>IF(COUNTIF($I$141:$I271,$I271)=VLOOKUP($I271,$D$90:$E$120,2,0),$I271+1,$I271)</f>
        <v>16</v>
      </c>
      <c r="J272" s="131">
        <f t="shared" si="60"/>
        <v>94</v>
      </c>
      <c r="K272" s="132" t="str">
        <f t="shared" si="61"/>
        <v/>
      </c>
      <c r="L272" s="132">
        <f t="shared" si="62"/>
        <v>0.03</v>
      </c>
      <c r="M272" s="132" t="str">
        <f t="shared" si="63"/>
        <v/>
      </c>
      <c r="N272" s="132" t="str">
        <f t="shared" si="69"/>
        <v/>
      </c>
      <c r="O272" s="132" t="str">
        <f t="shared" si="64"/>
        <v/>
      </c>
      <c r="P272" s="141">
        <f>(SUM($Q$142:Q272)-SUM($H$141:H272))/SUM($H$141:H272)</f>
        <v>-0.630149867763738</v>
      </c>
      <c r="Q272" s="142">
        <f t="shared" si="56"/>
        <v>610</v>
      </c>
      <c r="R272" s="142">
        <f t="shared" si="53"/>
        <v>9190</v>
      </c>
      <c r="S272" s="133">
        <f t="shared" si="70"/>
        <v>14.3088291845494</v>
      </c>
      <c r="T272" s="134">
        <f>INT(SUM($W$141:W272)/3)+1</f>
        <v>32</v>
      </c>
      <c r="U272" s="135" t="str">
        <f t="shared" si="65"/>
        <v/>
      </c>
      <c r="V272" s="67" t="s">
        <v>168</v>
      </c>
      <c r="W272" s="137" t="str">
        <f t="shared" si="71"/>
        <v/>
      </c>
      <c r="X272" s="137" t="str">
        <f t="shared" si="66"/>
        <v/>
      </c>
      <c r="Y272" s="138"/>
      <c r="Z272" s="138">
        <v>2</v>
      </c>
      <c r="AA272" s="138">
        <v>3</v>
      </c>
      <c r="AB272" s="138" t="str">
        <f t="shared" si="52"/>
        <v>{10000,9000,8000}</v>
      </c>
      <c r="AC272" s="138">
        <v>1000</v>
      </c>
      <c r="AD272" s="138">
        <v>4000</v>
      </c>
      <c r="AE272" s="138">
        <f>SUM($R$141:$R272)+SUM($X$141:$X272)</f>
        <v>1158490</v>
      </c>
      <c r="AF272" s="138">
        <f>SUM($Q$142:Q272)</f>
        <v>37758</v>
      </c>
      <c r="AG272" s="137">
        <f t="shared" si="72"/>
        <v>1271764</v>
      </c>
      <c r="AH272" s="139">
        <f>SUM($S$141:S272)</f>
        <v>706.368595029158</v>
      </c>
      <c r="AI272" s="133">
        <f t="shared" si="73"/>
        <v>7.15441459227468</v>
      </c>
      <c r="AJ272" s="15">
        <f t="shared" si="74"/>
        <v>618300</v>
      </c>
      <c r="AL272" s="15">
        <v>132</v>
      </c>
      <c r="AM272" s="15">
        <f t="shared" si="67"/>
        <v>222790</v>
      </c>
      <c r="AN272" s="15">
        <f>SUMIF([1]装备属性!$M$571:$M$870,"&lt;="&amp;AL272,[1]装备属性!$Q$571:$Q$870)</f>
        <v>190727.327009937</v>
      </c>
      <c r="AO272" s="15">
        <f t="shared" si="68"/>
        <v>1.16810738918599</v>
      </c>
    </row>
    <row r="273" ht="18" spans="1:41">
      <c r="A273" s="9" t="s">
        <v>237</v>
      </c>
      <c r="B273" s="9" t="str">
        <f t="shared" si="57"/>
        <v>[{5205001,3},{2,}]</v>
      </c>
      <c r="C273" s="51" t="str">
        <f t="shared" si="58"/>
        <v>[{5203001,620},{2,9330}]</v>
      </c>
      <c r="D273" s="140">
        <v>133</v>
      </c>
      <c r="E273" s="130">
        <f t="shared" si="59"/>
        <v>721</v>
      </c>
      <c r="F273" s="130">
        <f t="shared" si="55"/>
        <v>335</v>
      </c>
      <c r="G273" s="130">
        <v>120</v>
      </c>
      <c r="H273" s="130">
        <f>SUMIFS(基因产出!$F$90:$F$389,基因产出!$D$90:$D$389,"&lt;="&amp;E273,基因产出!$D$90:$D$389,"&gt;"&amp;_xlfn.MAXIFS($E$141:E273,$E$141:E273,"&lt;"&amp;E273))/COUNTIF($E$141:$E$500,E273)</f>
        <v>0</v>
      </c>
      <c r="I273" s="130">
        <f>IF(COUNTIF($I$141:$I272,$I272)=VLOOKUP($I272,$D$90:$E$120,2,0),$I272+1,$I272)</f>
        <v>16</v>
      </c>
      <c r="J273" s="131">
        <f t="shared" si="60"/>
        <v>94</v>
      </c>
      <c r="K273" s="132">
        <f t="shared" si="61"/>
        <v>0.05</v>
      </c>
      <c r="L273" s="132" t="str">
        <f t="shared" si="62"/>
        <v/>
      </c>
      <c r="M273" s="132" t="str">
        <f t="shared" si="63"/>
        <v/>
      </c>
      <c r="N273" s="132" t="str">
        <f t="shared" si="69"/>
        <v/>
      </c>
      <c r="O273" s="132" t="str">
        <f t="shared" si="64"/>
        <v/>
      </c>
      <c r="P273" s="141">
        <f>(SUM($Q$142:Q273)-SUM($H$141:H273))/SUM($H$141:H273)</f>
        <v>-0.624125771378196</v>
      </c>
      <c r="Q273" s="142">
        <f t="shared" si="56"/>
        <v>615</v>
      </c>
      <c r="R273" s="142">
        <f t="shared" si="53"/>
        <v>9260</v>
      </c>
      <c r="S273" s="133">
        <f t="shared" si="70"/>
        <v>14.3095291845494</v>
      </c>
      <c r="T273" s="134">
        <f>INT(SUM($W$141:W273)/3)+1</f>
        <v>32</v>
      </c>
      <c r="U273" s="135" t="str">
        <f t="shared" si="65"/>
        <v/>
      </c>
      <c r="V273" s="67" t="s">
        <v>168</v>
      </c>
      <c r="W273" s="137" t="str">
        <f t="shared" si="71"/>
        <v/>
      </c>
      <c r="X273" s="137" t="str">
        <f t="shared" si="66"/>
        <v/>
      </c>
      <c r="Y273" s="138"/>
      <c r="Z273" s="138">
        <v>2</v>
      </c>
      <c r="AA273" s="138">
        <v>3</v>
      </c>
      <c r="AB273" s="138" t="str">
        <f t="shared" ref="AB273:AB336" si="75">"{"&amp;6000+AD273&amp;","&amp;5000+AD273&amp;","&amp;4000+AD273&amp;"}"</f>
        <v>{10000,9000,8000}</v>
      </c>
      <c r="AC273" s="138">
        <v>1000</v>
      </c>
      <c r="AD273" s="138">
        <v>4000</v>
      </c>
      <c r="AE273" s="138">
        <f>SUM($R$141:$R273)+SUM($X$141:$X273)</f>
        <v>1167750</v>
      </c>
      <c r="AF273" s="138">
        <f>SUM($Q$142:Q273)</f>
        <v>38373</v>
      </c>
      <c r="AG273" s="137">
        <f t="shared" si="72"/>
        <v>1282869</v>
      </c>
      <c r="AH273" s="139">
        <f>SUM($S$141:S273)</f>
        <v>720.678124213708</v>
      </c>
      <c r="AI273" s="133">
        <f t="shared" si="73"/>
        <v>7.15476459227468</v>
      </c>
      <c r="AJ273" s="15">
        <f t="shared" si="74"/>
        <v>618300</v>
      </c>
      <c r="AL273" s="15">
        <v>133</v>
      </c>
      <c r="AM273" s="15">
        <f t="shared" si="67"/>
        <v>222790</v>
      </c>
      <c r="AN273" s="15">
        <f>SUMIF([1]装备属性!$M$571:$M$870,"&lt;="&amp;AL273,[1]装备属性!$Q$571:$Q$870)</f>
        <v>191216.660343271</v>
      </c>
      <c r="AO273" s="15">
        <f t="shared" si="68"/>
        <v>1.16511814190274</v>
      </c>
    </row>
    <row r="274" ht="18" spans="1:41">
      <c r="A274" s="9" t="s">
        <v>238</v>
      </c>
      <c r="B274" s="9" t="str">
        <f t="shared" si="57"/>
        <v>[{5205001,3},{2,}]</v>
      </c>
      <c r="C274" s="51" t="str">
        <f t="shared" si="58"/>
        <v>[{5203001,625},{2,9400}]</v>
      </c>
      <c r="D274" s="140">
        <v>134</v>
      </c>
      <c r="E274" s="130">
        <f t="shared" si="59"/>
        <v>735</v>
      </c>
      <c r="F274" s="130">
        <f t="shared" si="55"/>
        <v>340</v>
      </c>
      <c r="G274" s="130">
        <v>120</v>
      </c>
      <c r="H274" s="130">
        <f>SUMIFS(基因产出!$F$90:$F$389,基因产出!$D$90:$D$389,"&lt;="&amp;E274,基因产出!$D$90:$D$389,"&gt;"&amp;_xlfn.MAXIFS($E$141:E274,$E$141:E274,"&lt;"&amp;E274))/COUNTIF($E$141:$E$500,E274)</f>
        <v>0</v>
      </c>
      <c r="I274" s="130">
        <f>IF(COUNTIF($I$141:$I273,$I273)=VLOOKUP($I273,$D$90:$E$120,2,0),$I273+1,$I273)</f>
        <v>16</v>
      </c>
      <c r="J274" s="131">
        <f t="shared" si="60"/>
        <v>94</v>
      </c>
      <c r="K274" s="132" t="str">
        <f t="shared" si="61"/>
        <v/>
      </c>
      <c r="L274" s="132" t="str">
        <f t="shared" si="62"/>
        <v/>
      </c>
      <c r="M274" s="132" t="str">
        <f t="shared" si="63"/>
        <v/>
      </c>
      <c r="N274" s="132">
        <f t="shared" si="69"/>
        <v>0.0075</v>
      </c>
      <c r="O274" s="132" t="str">
        <f t="shared" si="64"/>
        <v/>
      </c>
      <c r="P274" s="141">
        <f>(SUM($Q$142:Q274)-SUM($H$141:H274))/SUM($H$141:H274)</f>
        <v>-0.618052698599275</v>
      </c>
      <c r="Q274" s="142">
        <f t="shared" si="56"/>
        <v>620</v>
      </c>
      <c r="R274" s="142">
        <f t="shared" si="53"/>
        <v>9330</v>
      </c>
      <c r="S274" s="133">
        <f t="shared" si="70"/>
        <v>14.3102291845494</v>
      </c>
      <c r="T274" s="134">
        <f>INT(SUM($W$141:W274)/3)+1</f>
        <v>32</v>
      </c>
      <c r="U274" s="135" t="str">
        <f t="shared" si="65"/>
        <v/>
      </c>
      <c r="V274" s="67" t="s">
        <v>168</v>
      </c>
      <c r="W274" s="137" t="str">
        <f t="shared" si="71"/>
        <v/>
      </c>
      <c r="X274" s="137" t="str">
        <f t="shared" si="66"/>
        <v/>
      </c>
      <c r="Y274" s="138"/>
      <c r="Z274" s="138">
        <v>2</v>
      </c>
      <c r="AA274" s="138">
        <v>3</v>
      </c>
      <c r="AB274" s="138" t="str">
        <f t="shared" si="75"/>
        <v>{10000,9000,8000}</v>
      </c>
      <c r="AC274" s="138">
        <v>1000</v>
      </c>
      <c r="AD274" s="138">
        <v>4000</v>
      </c>
      <c r="AE274" s="138">
        <f>SUM($R$141:$R274)+SUM($X$141:$X274)</f>
        <v>1177080</v>
      </c>
      <c r="AF274" s="138">
        <f>SUM($Q$142:Q274)</f>
        <v>38993</v>
      </c>
      <c r="AG274" s="137">
        <f t="shared" si="72"/>
        <v>1294059</v>
      </c>
      <c r="AH274" s="139">
        <f>SUM($S$141:S274)</f>
        <v>734.988353398257</v>
      </c>
      <c r="AI274" s="133">
        <f t="shared" si="73"/>
        <v>7.15511459227468</v>
      </c>
      <c r="AJ274" s="15">
        <f t="shared" si="74"/>
        <v>618300</v>
      </c>
      <c r="AL274" s="15">
        <v>134</v>
      </c>
      <c r="AM274" s="15">
        <f t="shared" si="67"/>
        <v>222790</v>
      </c>
      <c r="AN274" s="15">
        <f>SUMIF([1]装备属性!$M$571:$M$870,"&lt;="&amp;AL274,[1]装备属性!$Q$571:$Q$870)</f>
        <v>191866.882565493</v>
      </c>
      <c r="AO274" s="15">
        <f t="shared" si="68"/>
        <v>1.16116964543869</v>
      </c>
    </row>
    <row r="275" ht="18" spans="1:41">
      <c r="A275" s="9" t="s">
        <v>239</v>
      </c>
      <c r="B275" s="9" t="str">
        <f t="shared" si="57"/>
        <v>[{5205001,3},{2,}]</v>
      </c>
      <c r="C275" s="51" t="str">
        <f t="shared" si="58"/>
        <v>[{5203001,630},{2,9470}]</v>
      </c>
      <c r="D275" s="140">
        <v>135</v>
      </c>
      <c r="E275" s="130">
        <f t="shared" si="59"/>
        <v>750</v>
      </c>
      <c r="F275" s="130">
        <f t="shared" si="55"/>
        <v>345</v>
      </c>
      <c r="G275" s="130">
        <v>120</v>
      </c>
      <c r="H275" s="130">
        <f>SUMIFS(基因产出!$F$90:$F$389,基因产出!$D$90:$D$389,"&lt;="&amp;E275,基因产出!$D$90:$D$389,"&gt;"&amp;_xlfn.MAXIFS($E$141:E275,$E$141:E275,"&lt;"&amp;E275))/COUNTIF($E$141:$E$500,E275)</f>
        <v>0</v>
      </c>
      <c r="I275" s="130">
        <f>IF(COUNTIF($I$141:$I274,$I274)=VLOOKUP($I274,$D$90:$E$120,2,0),$I274+1,$I274)</f>
        <v>16</v>
      </c>
      <c r="J275" s="131">
        <f t="shared" si="60"/>
        <v>94</v>
      </c>
      <c r="K275" s="132" t="str">
        <f t="shared" si="61"/>
        <v/>
      </c>
      <c r="L275" s="132" t="str">
        <f t="shared" si="62"/>
        <v/>
      </c>
      <c r="M275" s="132">
        <f t="shared" si="63"/>
        <v>0.002</v>
      </c>
      <c r="N275" s="132" t="str">
        <f t="shared" si="69"/>
        <v/>
      </c>
      <c r="O275" s="132" t="str">
        <f t="shared" si="64"/>
        <v/>
      </c>
      <c r="P275" s="141">
        <f>(SUM($Q$142:Q275)-SUM($H$141:H275))/SUM($H$141:H275)</f>
        <v>-0.611930649426976</v>
      </c>
      <c r="Q275" s="142">
        <f t="shared" si="56"/>
        <v>625</v>
      </c>
      <c r="R275" s="142">
        <f t="shared" si="53"/>
        <v>9400</v>
      </c>
      <c r="S275" s="133">
        <f t="shared" si="70"/>
        <v>14.3109291845494</v>
      </c>
      <c r="T275" s="134">
        <f>INT(SUM($W$141:W275)/3)+1</f>
        <v>32</v>
      </c>
      <c r="U275" s="135" t="str">
        <f t="shared" si="65"/>
        <v/>
      </c>
      <c r="V275" s="67" t="s">
        <v>168</v>
      </c>
      <c r="W275" s="137" t="str">
        <f t="shared" si="71"/>
        <v/>
      </c>
      <c r="X275" s="137" t="str">
        <f t="shared" si="66"/>
        <v/>
      </c>
      <c r="Y275" s="138"/>
      <c r="Z275" s="138">
        <v>2</v>
      </c>
      <c r="AA275" s="138">
        <v>3</v>
      </c>
      <c r="AB275" s="138" t="str">
        <f t="shared" si="75"/>
        <v>{10000,9000,8000}</v>
      </c>
      <c r="AC275" s="138">
        <v>1000</v>
      </c>
      <c r="AD275" s="138">
        <v>4000</v>
      </c>
      <c r="AE275" s="138">
        <f>SUM($R$141:$R275)+SUM($X$141:$X275)</f>
        <v>1186480</v>
      </c>
      <c r="AF275" s="138">
        <f>SUM($Q$142:Q275)</f>
        <v>39618</v>
      </c>
      <c r="AG275" s="137">
        <f t="shared" si="72"/>
        <v>1305334</v>
      </c>
      <c r="AH275" s="139">
        <f>SUM($S$141:S275)</f>
        <v>749.299282582806</v>
      </c>
      <c r="AI275" s="133">
        <f t="shared" si="73"/>
        <v>7.15546459227468</v>
      </c>
      <c r="AJ275" s="15">
        <f t="shared" si="74"/>
        <v>618300</v>
      </c>
      <c r="AL275" s="15">
        <v>135</v>
      </c>
      <c r="AM275" s="15">
        <f t="shared" si="67"/>
        <v>222790</v>
      </c>
      <c r="AN275" s="15">
        <f>SUMIF([1]装备属性!$M$571:$M$870,"&lt;="&amp;AL275,[1]装备属性!$Q$571:$Q$870)</f>
        <v>191866.882565493</v>
      </c>
      <c r="AO275" s="15">
        <f t="shared" si="68"/>
        <v>1.16116964543869</v>
      </c>
    </row>
    <row r="276" ht="18" spans="1:41">
      <c r="A276" s="9" t="s">
        <v>240</v>
      </c>
      <c r="B276" s="9" t="str">
        <f t="shared" si="57"/>
        <v>[{5205001,3},{2,37880}]</v>
      </c>
      <c r="C276" s="51" t="str">
        <f t="shared" si="58"/>
        <v>[{5203001,635},{2,9540}]</v>
      </c>
      <c r="D276" s="140">
        <v>136</v>
      </c>
      <c r="E276" s="130">
        <f t="shared" si="59"/>
        <v>764</v>
      </c>
      <c r="F276" s="130">
        <f t="shared" si="55"/>
        <v>350</v>
      </c>
      <c r="G276" s="130">
        <v>120</v>
      </c>
      <c r="H276" s="130">
        <f>SUMIFS(基因产出!$F$90:$F$389,基因产出!$D$90:$D$389,"&lt;="&amp;E276,基因产出!$D$90:$D$389,"&gt;"&amp;_xlfn.MAXIFS($E$141:E276,$E$141:E276,"&lt;"&amp;E276))/COUNTIF($E$141:$E$500,E276)</f>
        <v>0</v>
      </c>
      <c r="I276" s="130">
        <f>IF(COUNTIF($I$141:$I275,$I275)=VLOOKUP($I275,$D$90:$E$120,2,0),$I275+1,$I275)</f>
        <v>16</v>
      </c>
      <c r="J276" s="131">
        <f t="shared" si="60"/>
        <v>94</v>
      </c>
      <c r="K276" s="132" t="str">
        <f t="shared" si="61"/>
        <v/>
      </c>
      <c r="L276" s="132">
        <f t="shared" si="62"/>
        <v>0.03</v>
      </c>
      <c r="M276" s="132" t="str">
        <f t="shared" si="63"/>
        <v/>
      </c>
      <c r="N276" s="132" t="str">
        <f t="shared" si="69"/>
        <v/>
      </c>
      <c r="O276" s="132" t="str">
        <f t="shared" si="64"/>
        <v/>
      </c>
      <c r="P276" s="141">
        <f>(SUM($Q$142:Q276)-SUM($H$141:H276))/SUM($H$141:H276)</f>
        <v>-0.605759623861299</v>
      </c>
      <c r="Q276" s="142">
        <f t="shared" si="56"/>
        <v>630</v>
      </c>
      <c r="R276" s="142">
        <f t="shared" si="53"/>
        <v>9470</v>
      </c>
      <c r="S276" s="133">
        <f t="shared" si="70"/>
        <v>14.3116291845494</v>
      </c>
      <c r="T276" s="134">
        <f>INT(SUM($W$141:W276)/3)+1</f>
        <v>33</v>
      </c>
      <c r="U276" s="135" t="str">
        <f t="shared" si="65"/>
        <v>55</v>
      </c>
      <c r="V276" s="67" t="s">
        <v>94</v>
      </c>
      <c r="W276" s="137">
        <f t="shared" si="71"/>
        <v>3</v>
      </c>
      <c r="X276" s="137">
        <f t="shared" si="66"/>
        <v>37880</v>
      </c>
      <c r="Y276" s="138"/>
      <c r="Z276" s="138">
        <v>2</v>
      </c>
      <c r="AA276" s="138">
        <v>3</v>
      </c>
      <c r="AB276" s="138" t="str">
        <f t="shared" si="75"/>
        <v>{10000,9000,8000}</v>
      </c>
      <c r="AC276" s="138">
        <v>1000</v>
      </c>
      <c r="AD276" s="138">
        <v>4000</v>
      </c>
      <c r="AE276" s="138">
        <f>SUM($R$141:$R276)+SUM($X$141:$X276)</f>
        <v>1233830</v>
      </c>
      <c r="AF276" s="138">
        <f>SUM($Q$142:Q276)</f>
        <v>40248</v>
      </c>
      <c r="AG276" s="137">
        <f t="shared" si="72"/>
        <v>1354574</v>
      </c>
      <c r="AH276" s="139">
        <f>SUM($S$141:S276)</f>
        <v>763.610911767356</v>
      </c>
      <c r="AI276" s="133">
        <f t="shared" si="73"/>
        <v>7.15581459227468</v>
      </c>
      <c r="AJ276" s="15">
        <f t="shared" si="74"/>
        <v>618300</v>
      </c>
      <c r="AL276" s="15">
        <v>136</v>
      </c>
      <c r="AM276" s="15">
        <f t="shared" si="67"/>
        <v>222790</v>
      </c>
      <c r="AN276" s="15">
        <f>SUMIF([1]装备属性!$M$571:$M$870,"&lt;="&amp;AL276,[1]装备属性!$Q$571:$Q$870)</f>
        <v>191866.882565493</v>
      </c>
      <c r="AO276" s="15">
        <f t="shared" si="68"/>
        <v>1.16116964543869</v>
      </c>
    </row>
    <row r="277" ht="18" spans="1:41">
      <c r="A277" s="9" t="s">
        <v>242</v>
      </c>
      <c r="B277" s="9" t="str">
        <f t="shared" si="57"/>
        <v>[{5205001,3},{2,}]</v>
      </c>
      <c r="C277" s="51" t="str">
        <f t="shared" si="58"/>
        <v>[{5203001,640},{2,9610}]</v>
      </c>
      <c r="D277" s="140">
        <v>137</v>
      </c>
      <c r="E277" s="130">
        <f t="shared" si="59"/>
        <v>778</v>
      </c>
      <c r="F277" s="130">
        <f t="shared" si="55"/>
        <v>355</v>
      </c>
      <c r="G277" s="130">
        <v>120</v>
      </c>
      <c r="H277" s="130">
        <f>SUMIFS(基因产出!$F$90:$F$389,基因产出!$D$90:$D$389,"&lt;="&amp;E277,基因产出!$D$90:$D$389,"&gt;"&amp;_xlfn.MAXIFS($E$141:E277,$E$141:E277,"&lt;"&amp;E277))/COUNTIF($E$141:$E$500,E277)</f>
        <v>0</v>
      </c>
      <c r="I277" s="130">
        <f>IF(COUNTIF($I$141:$I276,$I276)=VLOOKUP($I276,$D$90:$E$120,2,0),$I276+1,$I276)</f>
        <v>17</v>
      </c>
      <c r="J277" s="131">
        <f t="shared" si="60"/>
        <v>100</v>
      </c>
      <c r="K277" s="132">
        <f t="shared" si="61"/>
        <v>0.05</v>
      </c>
      <c r="L277" s="132" t="str">
        <f t="shared" si="62"/>
        <v/>
      </c>
      <c r="M277" s="132" t="str">
        <f t="shared" si="63"/>
        <v/>
      </c>
      <c r="N277" s="132" t="str">
        <f t="shared" si="69"/>
        <v/>
      </c>
      <c r="O277" s="132" t="str">
        <f t="shared" si="64"/>
        <v/>
      </c>
      <c r="P277" s="141">
        <f>(SUM($Q$142:Q277)-SUM($H$141:H277))/SUM($H$141:H277)</f>
        <v>-0.599539621902243</v>
      </c>
      <c r="Q277" s="142">
        <f t="shared" si="56"/>
        <v>635</v>
      </c>
      <c r="R277" s="142">
        <f t="shared" si="53"/>
        <v>9540</v>
      </c>
      <c r="S277" s="133">
        <f t="shared" si="70"/>
        <v>14.3123291845494</v>
      </c>
      <c r="T277" s="134">
        <f>INT(SUM($W$141:W277)/3)+1</f>
        <v>33</v>
      </c>
      <c r="U277" s="135" t="str">
        <f t="shared" si="65"/>
        <v/>
      </c>
      <c r="V277" s="67" t="s">
        <v>168</v>
      </c>
      <c r="W277" s="137" t="str">
        <f t="shared" si="71"/>
        <v/>
      </c>
      <c r="X277" s="137" t="str">
        <f t="shared" si="66"/>
        <v/>
      </c>
      <c r="Y277" s="138"/>
      <c r="Z277" s="138">
        <v>2</v>
      </c>
      <c r="AA277" s="138">
        <v>3</v>
      </c>
      <c r="AB277" s="138" t="str">
        <f t="shared" si="75"/>
        <v>{10000,9000,8000}</v>
      </c>
      <c r="AC277" s="138">
        <v>1000</v>
      </c>
      <c r="AD277" s="138">
        <v>4000</v>
      </c>
      <c r="AE277" s="138">
        <f>SUM($R$141:$R277)+SUM($X$141:$X277)</f>
        <v>1243370</v>
      </c>
      <c r="AF277" s="138">
        <f>SUM($Q$142:Q277)</f>
        <v>40883</v>
      </c>
      <c r="AG277" s="137">
        <f t="shared" si="72"/>
        <v>1366019</v>
      </c>
      <c r="AH277" s="139">
        <f>SUM($S$141:S277)</f>
        <v>777.923240951905</v>
      </c>
      <c r="AI277" s="133">
        <f t="shared" si="73"/>
        <v>7.15616459227468</v>
      </c>
      <c r="AJ277" s="15">
        <f t="shared" si="74"/>
        <v>618300</v>
      </c>
      <c r="AL277" s="15">
        <v>137</v>
      </c>
      <c r="AM277" s="15">
        <f t="shared" si="67"/>
        <v>222790</v>
      </c>
      <c r="AN277" s="15">
        <f>SUMIF([1]装备属性!$M$571:$M$870,"&lt;="&amp;AL277,[1]装备属性!$Q$571:$Q$870)</f>
        <v>191866.882565493</v>
      </c>
      <c r="AO277" s="15">
        <f t="shared" si="68"/>
        <v>1.16116964543869</v>
      </c>
    </row>
    <row r="278" ht="18" spans="1:41">
      <c r="A278" s="9" t="s">
        <v>243</v>
      </c>
      <c r="B278" s="9" t="str">
        <f t="shared" si="57"/>
        <v>[{5205001,3},{2,}]</v>
      </c>
      <c r="C278" s="51" t="str">
        <f t="shared" si="58"/>
        <v>[{5203001,645},{2,9680}]</v>
      </c>
      <c r="D278" s="140">
        <v>138</v>
      </c>
      <c r="E278" s="130">
        <f t="shared" si="59"/>
        <v>793</v>
      </c>
      <c r="F278" s="130">
        <f t="shared" si="55"/>
        <v>360</v>
      </c>
      <c r="G278" s="130">
        <v>120</v>
      </c>
      <c r="H278" s="130">
        <f>SUMIFS(基因产出!$F$90:$F$389,基因产出!$D$90:$D$389,"&lt;="&amp;E278,基因产出!$D$90:$D$389,"&gt;"&amp;_xlfn.MAXIFS($E$141:E278,$E$141:E278,"&lt;"&amp;E278))/COUNTIF($E$141:$E$500,E278)</f>
        <v>0</v>
      </c>
      <c r="I278" s="130">
        <f>IF(COUNTIF($I$141:$I277,$I277)=VLOOKUP($I277,$D$90:$E$120,2,0),$I277+1,$I277)</f>
        <v>17</v>
      </c>
      <c r="J278" s="131">
        <f t="shared" si="60"/>
        <v>100</v>
      </c>
      <c r="K278" s="132" t="str">
        <f t="shared" si="61"/>
        <v/>
      </c>
      <c r="L278" s="132" t="str">
        <f t="shared" si="62"/>
        <v/>
      </c>
      <c r="M278" s="132" t="str">
        <f t="shared" si="63"/>
        <v/>
      </c>
      <c r="N278" s="132">
        <f t="shared" si="69"/>
        <v>0.0075</v>
      </c>
      <c r="O278" s="132" t="str">
        <f t="shared" si="64"/>
        <v/>
      </c>
      <c r="P278" s="141">
        <f>(SUM($Q$142:Q278)-SUM($H$141:H278))/SUM($H$141:H278)</f>
        <v>-0.593270643549809</v>
      </c>
      <c r="Q278" s="142">
        <f t="shared" si="56"/>
        <v>640</v>
      </c>
      <c r="R278" s="142">
        <f t="shared" si="53"/>
        <v>9610</v>
      </c>
      <c r="S278" s="133">
        <f t="shared" si="70"/>
        <v>14.3130291845494</v>
      </c>
      <c r="T278" s="134">
        <f>INT(SUM($W$141:W278)/3)+1</f>
        <v>33</v>
      </c>
      <c r="U278" s="135" t="str">
        <f t="shared" si="65"/>
        <v/>
      </c>
      <c r="V278" s="67" t="s">
        <v>168</v>
      </c>
      <c r="W278" s="137" t="str">
        <f t="shared" si="71"/>
        <v/>
      </c>
      <c r="X278" s="137" t="str">
        <f t="shared" si="66"/>
        <v/>
      </c>
      <c r="Y278" s="138"/>
      <c r="Z278" s="138">
        <v>2</v>
      </c>
      <c r="AA278" s="138">
        <v>3</v>
      </c>
      <c r="AB278" s="138" t="str">
        <f t="shared" si="75"/>
        <v>{10000,9000,8000}</v>
      </c>
      <c r="AC278" s="138">
        <v>1000</v>
      </c>
      <c r="AD278" s="138">
        <v>4000</v>
      </c>
      <c r="AE278" s="138">
        <f>SUM($R$141:$R278)+SUM($X$141:$X278)</f>
        <v>1252980</v>
      </c>
      <c r="AF278" s="138">
        <f>SUM($Q$142:Q278)</f>
        <v>41523</v>
      </c>
      <c r="AG278" s="137">
        <f t="shared" si="72"/>
        <v>1377549</v>
      </c>
      <c r="AH278" s="139">
        <f>SUM($S$141:S278)</f>
        <v>792.236270136454</v>
      </c>
      <c r="AI278" s="133">
        <f t="shared" si="73"/>
        <v>7.15651459227468</v>
      </c>
      <c r="AJ278" s="15">
        <f t="shared" si="74"/>
        <v>618600</v>
      </c>
      <c r="AL278" s="15">
        <v>138</v>
      </c>
      <c r="AM278" s="15">
        <f t="shared" si="67"/>
        <v>228410</v>
      </c>
      <c r="AN278" s="15">
        <f>SUMIF([1]装备属性!$M$571:$M$870,"&lt;="&amp;AL278,[1]装备属性!$Q$571:$Q$870)</f>
        <v>192517.104787715</v>
      </c>
      <c r="AO278" s="15">
        <f t="shared" si="68"/>
        <v>1.1864400321824</v>
      </c>
    </row>
    <row r="279" ht="18" spans="1:41">
      <c r="A279" s="9" t="s">
        <v>244</v>
      </c>
      <c r="B279" s="9" t="str">
        <f t="shared" si="57"/>
        <v>[{5205001,3},{2,}]</v>
      </c>
      <c r="C279" s="51" t="str">
        <f t="shared" si="58"/>
        <v>[{5203001,650},{2,9750}]</v>
      </c>
      <c r="D279" s="140">
        <v>139</v>
      </c>
      <c r="E279" s="130">
        <f t="shared" si="59"/>
        <v>807</v>
      </c>
      <c r="F279" s="130">
        <f t="shared" si="55"/>
        <v>365</v>
      </c>
      <c r="G279" s="130">
        <v>120</v>
      </c>
      <c r="H279" s="130">
        <f>SUMIFS(基因产出!$F$90:$F$389,基因产出!$D$90:$D$389,"&lt;="&amp;E279,基因产出!$D$90:$D$389,"&gt;"&amp;_xlfn.MAXIFS($E$141:E279,$E$141:E279,"&lt;"&amp;E279))/COUNTIF($E$141:$E$500,E279)</f>
        <v>0</v>
      </c>
      <c r="I279" s="130">
        <f>IF(COUNTIF($I$141:$I278,$I278)=VLOOKUP($I278,$D$90:$E$120,2,0),$I278+1,$I278)</f>
        <v>17</v>
      </c>
      <c r="J279" s="131">
        <f t="shared" si="60"/>
        <v>100</v>
      </c>
      <c r="K279" s="132" t="str">
        <f t="shared" si="61"/>
        <v/>
      </c>
      <c r="L279" s="132" t="str">
        <f t="shared" si="62"/>
        <v/>
      </c>
      <c r="M279" s="132">
        <f t="shared" si="63"/>
        <v>0.002</v>
      </c>
      <c r="N279" s="132" t="str">
        <f t="shared" si="69"/>
        <v/>
      </c>
      <c r="O279" s="132" t="str">
        <f t="shared" si="64"/>
        <v/>
      </c>
      <c r="P279" s="141">
        <f>(SUM($Q$142:Q279)-SUM($H$141:H279))/SUM($H$141:H279)</f>
        <v>-0.586952688803996</v>
      </c>
      <c r="Q279" s="142">
        <f t="shared" si="56"/>
        <v>645</v>
      </c>
      <c r="R279" s="142">
        <f t="shared" si="53"/>
        <v>9680</v>
      </c>
      <c r="S279" s="133">
        <f t="shared" si="70"/>
        <v>14.3137291845494</v>
      </c>
      <c r="T279" s="134">
        <f>INT(SUM($W$141:W279)/3)+1</f>
        <v>33</v>
      </c>
      <c r="U279" s="135" t="str">
        <f t="shared" si="65"/>
        <v/>
      </c>
      <c r="V279" s="67" t="s">
        <v>168</v>
      </c>
      <c r="W279" s="137" t="str">
        <f t="shared" si="71"/>
        <v/>
      </c>
      <c r="X279" s="137" t="str">
        <f t="shared" si="66"/>
        <v/>
      </c>
      <c r="Y279" s="138"/>
      <c r="Z279" s="138">
        <v>2</v>
      </c>
      <c r="AA279" s="138">
        <v>3</v>
      </c>
      <c r="AB279" s="138" t="str">
        <f t="shared" si="75"/>
        <v>{10000,9000,8000}</v>
      </c>
      <c r="AC279" s="138">
        <v>1000</v>
      </c>
      <c r="AD279" s="138">
        <v>4000</v>
      </c>
      <c r="AE279" s="138">
        <f>SUM($R$141:$R279)+SUM($X$141:$X279)</f>
        <v>1262660</v>
      </c>
      <c r="AF279" s="138">
        <f>SUM($Q$142:Q279)</f>
        <v>42168</v>
      </c>
      <c r="AG279" s="137">
        <f t="shared" si="72"/>
        <v>1389164</v>
      </c>
      <c r="AH279" s="139">
        <f>SUM($S$141:S279)</f>
        <v>806.549999321004</v>
      </c>
      <c r="AI279" s="133">
        <f t="shared" si="73"/>
        <v>7.15686459227468</v>
      </c>
      <c r="AJ279" s="15">
        <f t="shared" si="74"/>
        <v>618600</v>
      </c>
      <c r="AL279" s="15">
        <v>139</v>
      </c>
      <c r="AM279" s="15">
        <f t="shared" si="67"/>
        <v>228410</v>
      </c>
      <c r="AN279" s="15">
        <f>SUMIF([1]装备属性!$M$571:$M$870,"&lt;="&amp;AL279,[1]装备属性!$Q$571:$Q$870)</f>
        <v>192517.104787715</v>
      </c>
      <c r="AO279" s="15">
        <f t="shared" si="68"/>
        <v>1.1864400321824</v>
      </c>
    </row>
    <row r="280" ht="18" spans="1:41">
      <c r="A280" s="9" t="s">
        <v>245</v>
      </c>
      <c r="B280" s="9" t="str">
        <f t="shared" si="57"/>
        <v>[{5205001,3},{2,}]</v>
      </c>
      <c r="C280" s="51" t="str">
        <f t="shared" si="58"/>
        <v>[{5203001,655},{2,9820}]</v>
      </c>
      <c r="D280" s="140">
        <v>140</v>
      </c>
      <c r="E280" s="130">
        <f t="shared" si="59"/>
        <v>821</v>
      </c>
      <c r="F280" s="130">
        <f t="shared" si="55"/>
        <v>370</v>
      </c>
      <c r="G280" s="130">
        <v>120</v>
      </c>
      <c r="H280" s="130">
        <f>SUMIFS(基因产出!$F$90:$F$389,基因产出!$D$90:$D$389,"&lt;="&amp;E280,基因产出!$D$90:$D$389,"&gt;"&amp;_xlfn.MAXIFS($E$141:E280,$E$141:E280,"&lt;"&amp;E280))/COUNTIF($E$141:$E$500,E280)</f>
        <v>0</v>
      </c>
      <c r="I280" s="130">
        <f>IF(COUNTIF($I$141:$I279,$I279)=VLOOKUP($I279,$D$90:$E$120,2,0),$I279+1,$I279)</f>
        <v>17</v>
      </c>
      <c r="J280" s="131">
        <f t="shared" si="60"/>
        <v>100</v>
      </c>
      <c r="K280" s="132" t="str">
        <f t="shared" si="61"/>
        <v/>
      </c>
      <c r="L280" s="132">
        <f t="shared" si="62"/>
        <v>0.03</v>
      </c>
      <c r="M280" s="132" t="str">
        <f t="shared" si="63"/>
        <v/>
      </c>
      <c r="N280" s="132" t="str">
        <f t="shared" si="69"/>
        <v/>
      </c>
      <c r="O280" s="132" t="str">
        <f t="shared" si="64"/>
        <v/>
      </c>
      <c r="P280" s="141">
        <f>(SUM($Q$142:Q280)-SUM($H$141:H280))/SUM($H$141:H280)</f>
        <v>-0.580585757664806</v>
      </c>
      <c r="Q280" s="142">
        <f t="shared" si="56"/>
        <v>650</v>
      </c>
      <c r="R280" s="142">
        <f t="shared" si="53"/>
        <v>9750</v>
      </c>
      <c r="S280" s="133">
        <f t="shared" si="70"/>
        <v>14.3144291845494</v>
      </c>
      <c r="T280" s="134">
        <f>INT(SUM($W$141:W280)/3)+1</f>
        <v>33</v>
      </c>
      <c r="U280" s="135" t="str">
        <f t="shared" si="65"/>
        <v/>
      </c>
      <c r="V280" s="67" t="s">
        <v>168</v>
      </c>
      <c r="W280" s="137" t="str">
        <f t="shared" si="71"/>
        <v/>
      </c>
      <c r="X280" s="137" t="str">
        <f t="shared" si="66"/>
        <v/>
      </c>
      <c r="Y280" s="138"/>
      <c r="Z280" s="138">
        <v>2</v>
      </c>
      <c r="AA280" s="138">
        <v>3</v>
      </c>
      <c r="AB280" s="138" t="str">
        <f t="shared" si="75"/>
        <v>{10000,9000,8000}</v>
      </c>
      <c r="AC280" s="138">
        <v>1000</v>
      </c>
      <c r="AD280" s="138">
        <v>4000</v>
      </c>
      <c r="AE280" s="138">
        <f>SUM($R$141:$R280)+SUM($X$141:$X280)</f>
        <v>1272410</v>
      </c>
      <c r="AF280" s="138">
        <f>SUM($Q$142:Q280)</f>
        <v>42818</v>
      </c>
      <c r="AG280" s="137">
        <f t="shared" si="72"/>
        <v>1400864</v>
      </c>
      <c r="AH280" s="139">
        <f>SUM($S$141:S280)</f>
        <v>820.864428505553</v>
      </c>
      <c r="AI280" s="133">
        <f t="shared" si="73"/>
        <v>7.15721459227468</v>
      </c>
      <c r="AJ280" s="15">
        <f t="shared" si="74"/>
        <v>618600</v>
      </c>
      <c r="AL280" s="15">
        <v>140</v>
      </c>
      <c r="AM280" s="15">
        <f t="shared" si="67"/>
        <v>228410</v>
      </c>
      <c r="AN280" s="15">
        <f>SUMIF([1]装备属性!$M$571:$M$870,"&lt;="&amp;AL280,[1]装备属性!$Q$571:$Q$870)</f>
        <v>192517.104787715</v>
      </c>
      <c r="AO280" s="15">
        <f t="shared" si="68"/>
        <v>1.1864400321824</v>
      </c>
    </row>
    <row r="281" ht="18" spans="1:41">
      <c r="A281" s="9" t="s">
        <v>242</v>
      </c>
      <c r="B281" s="9" t="str">
        <f t="shared" si="57"/>
        <v>[{5205001,3},{2,}]</v>
      </c>
      <c r="C281" s="51" t="str">
        <f t="shared" si="58"/>
        <v>[{5203001,660},{2,9890}]</v>
      </c>
      <c r="D281" s="140">
        <v>141</v>
      </c>
      <c r="E281" s="130">
        <f t="shared" si="59"/>
        <v>836</v>
      </c>
      <c r="F281" s="130">
        <f t="shared" si="55"/>
        <v>375</v>
      </c>
      <c r="G281" s="130">
        <v>120</v>
      </c>
      <c r="H281" s="130">
        <f>SUMIFS(基因产出!$F$90:$F$389,基因产出!$D$90:$D$389,"&lt;="&amp;E281,基因产出!$D$90:$D$389,"&gt;"&amp;_xlfn.MAXIFS($E$141:E281,$E$141:E281,"&lt;"&amp;E281))/COUNTIF($E$141:$E$500,E281)</f>
        <v>0</v>
      </c>
      <c r="I281" s="130">
        <f>IF(COUNTIF($I$141:$I280,$I280)=VLOOKUP($I280,$D$90:$E$120,2,0),$I280+1,$I280)</f>
        <v>17</v>
      </c>
      <c r="J281" s="131">
        <f t="shared" si="60"/>
        <v>100</v>
      </c>
      <c r="K281" s="132">
        <f t="shared" si="61"/>
        <v>0.05</v>
      </c>
      <c r="L281" s="132" t="str">
        <f t="shared" si="62"/>
        <v/>
      </c>
      <c r="M281" s="132" t="str">
        <f t="shared" si="63"/>
        <v/>
      </c>
      <c r="N281" s="132" t="str">
        <f t="shared" si="69"/>
        <v/>
      </c>
      <c r="O281" s="132" t="str">
        <f t="shared" si="64"/>
        <v/>
      </c>
      <c r="P281" s="141">
        <f>(SUM($Q$142:Q281)-SUM($H$141:H281))/SUM($H$141:H281)</f>
        <v>-0.574169850132236</v>
      </c>
      <c r="Q281" s="142">
        <f t="shared" si="56"/>
        <v>655</v>
      </c>
      <c r="R281" s="142">
        <f t="shared" si="53"/>
        <v>9820</v>
      </c>
      <c r="S281" s="133">
        <f t="shared" si="70"/>
        <v>14.3151291845494</v>
      </c>
      <c r="T281" s="134">
        <f>INT(SUM($W$141:W281)/3)+1</f>
        <v>33</v>
      </c>
      <c r="U281" s="135" t="str">
        <f t="shared" si="65"/>
        <v/>
      </c>
      <c r="V281" s="67" t="s">
        <v>168</v>
      </c>
      <c r="W281" s="137" t="str">
        <f t="shared" si="71"/>
        <v/>
      </c>
      <c r="X281" s="137" t="str">
        <f t="shared" si="66"/>
        <v/>
      </c>
      <c r="Y281" s="138"/>
      <c r="Z281" s="138">
        <v>2</v>
      </c>
      <c r="AA281" s="138">
        <v>3</v>
      </c>
      <c r="AB281" s="138" t="str">
        <f t="shared" si="75"/>
        <v>{10000,9000,8000}</v>
      </c>
      <c r="AC281" s="138">
        <v>1000</v>
      </c>
      <c r="AD281" s="138">
        <v>4000</v>
      </c>
      <c r="AE281" s="138">
        <f>SUM($R$141:$R281)+SUM($X$141:$X281)</f>
        <v>1282230</v>
      </c>
      <c r="AF281" s="138">
        <f>SUM($Q$142:Q281)</f>
        <v>43473</v>
      </c>
      <c r="AG281" s="137">
        <f t="shared" si="72"/>
        <v>1412649</v>
      </c>
      <c r="AH281" s="139">
        <f>SUM($S$141:S281)</f>
        <v>835.179557690102</v>
      </c>
      <c r="AI281" s="133">
        <f t="shared" si="73"/>
        <v>7.15756459227468</v>
      </c>
      <c r="AJ281" s="15">
        <f t="shared" si="74"/>
        <v>618600</v>
      </c>
      <c r="AL281" s="15">
        <v>141</v>
      </c>
      <c r="AM281" s="15">
        <f t="shared" si="67"/>
        <v>228410</v>
      </c>
      <c r="AN281" s="15">
        <f>SUMIF([1]装备属性!$M$571:$M$870,"&lt;="&amp;AL281,[1]装备属性!$Q$571:$Q$870)</f>
        <v>192517.104787715</v>
      </c>
      <c r="AO281" s="15">
        <f t="shared" si="68"/>
        <v>1.1864400321824</v>
      </c>
    </row>
    <row r="282" ht="18" spans="1:41">
      <c r="A282" s="9" t="s">
        <v>243</v>
      </c>
      <c r="B282" s="9" t="str">
        <f t="shared" si="57"/>
        <v>[{5205001,3},{2,}]</v>
      </c>
      <c r="C282" s="51" t="str">
        <f t="shared" si="58"/>
        <v>[{5203001,665},{2,9960}]</v>
      </c>
      <c r="D282" s="140">
        <v>142</v>
      </c>
      <c r="E282" s="130">
        <f t="shared" si="59"/>
        <v>850</v>
      </c>
      <c r="F282" s="130">
        <f t="shared" si="55"/>
        <v>380</v>
      </c>
      <c r="G282" s="130">
        <v>120</v>
      </c>
      <c r="H282" s="130">
        <f>SUMIFS(基因产出!$F$90:$F$389,基因产出!$D$90:$D$389,"&lt;="&amp;E282,基因产出!$D$90:$D$389,"&gt;"&amp;_xlfn.MAXIFS($E$141:E282,$E$141:E282,"&lt;"&amp;E282))/COUNTIF($E$141:$E$500,E282)</f>
        <v>0</v>
      </c>
      <c r="I282" s="130">
        <f>IF(COUNTIF($I$141:$I281,$I281)=VLOOKUP($I281,$D$90:$E$120,2,0),$I281+1,$I281)</f>
        <v>17</v>
      </c>
      <c r="J282" s="131">
        <f t="shared" si="60"/>
        <v>100</v>
      </c>
      <c r="K282" s="132" t="str">
        <f t="shared" si="61"/>
        <v/>
      </c>
      <c r="L282" s="132" t="str">
        <f t="shared" si="62"/>
        <v/>
      </c>
      <c r="M282" s="132" t="str">
        <f t="shared" si="63"/>
        <v/>
      </c>
      <c r="N282" s="132">
        <f t="shared" si="69"/>
        <v>0.0075</v>
      </c>
      <c r="O282" s="132" t="str">
        <f t="shared" si="64"/>
        <v/>
      </c>
      <c r="P282" s="141">
        <f>(SUM($Q$142:Q282)-SUM($H$141:H282))/SUM($H$141:H282)</f>
        <v>-0.567704966206289</v>
      </c>
      <c r="Q282" s="142">
        <f t="shared" si="56"/>
        <v>660</v>
      </c>
      <c r="R282" s="142">
        <f t="shared" si="53"/>
        <v>9890</v>
      </c>
      <c r="S282" s="133">
        <f t="shared" si="70"/>
        <v>14.3158291845494</v>
      </c>
      <c r="T282" s="134">
        <f>INT(SUM($W$141:W282)/3)+1</f>
        <v>33</v>
      </c>
      <c r="U282" s="135" t="str">
        <f t="shared" si="65"/>
        <v/>
      </c>
      <c r="V282" s="67" t="s">
        <v>168</v>
      </c>
      <c r="W282" s="137" t="str">
        <f t="shared" si="71"/>
        <v/>
      </c>
      <c r="X282" s="137" t="str">
        <f t="shared" si="66"/>
        <v/>
      </c>
      <c r="Y282" s="138"/>
      <c r="Z282" s="138">
        <v>2</v>
      </c>
      <c r="AA282" s="138">
        <v>3</v>
      </c>
      <c r="AB282" s="138" t="str">
        <f t="shared" si="75"/>
        <v>{10000,9000,8000}</v>
      </c>
      <c r="AC282" s="138">
        <v>1000</v>
      </c>
      <c r="AD282" s="138">
        <v>4000</v>
      </c>
      <c r="AE282" s="138">
        <f>SUM($R$141:$R282)+SUM($X$141:$X282)</f>
        <v>1292120</v>
      </c>
      <c r="AF282" s="138">
        <f>SUM($Q$142:Q282)</f>
        <v>44133</v>
      </c>
      <c r="AG282" s="137">
        <f t="shared" si="72"/>
        <v>1424519</v>
      </c>
      <c r="AH282" s="139">
        <f>SUM($S$141:S282)</f>
        <v>849.495386874652</v>
      </c>
      <c r="AI282" s="133">
        <f t="shared" si="73"/>
        <v>7.15791459227468</v>
      </c>
      <c r="AJ282" s="15">
        <f t="shared" si="74"/>
        <v>618600</v>
      </c>
      <c r="AL282" s="15">
        <v>142</v>
      </c>
      <c r="AM282" s="15">
        <f t="shared" si="67"/>
        <v>228410</v>
      </c>
      <c r="AN282" s="15">
        <f>SUMIF([1]装备属性!$M$571:$M$870,"&lt;="&amp;AL282,[1]装备属性!$Q$571:$Q$870)</f>
        <v>192517.104787715</v>
      </c>
      <c r="AO282" s="15">
        <f t="shared" si="68"/>
        <v>1.1864400321824</v>
      </c>
    </row>
    <row r="283" ht="18" spans="1:41">
      <c r="A283" s="9" t="s">
        <v>244</v>
      </c>
      <c r="B283" s="9" t="str">
        <f t="shared" si="57"/>
        <v>[{5205001,3},{2,}]</v>
      </c>
      <c r="C283" s="51" t="str">
        <f t="shared" si="58"/>
        <v>[{5203001,670},{2,10030}]</v>
      </c>
      <c r="D283" s="140">
        <v>143</v>
      </c>
      <c r="E283" s="130">
        <f t="shared" si="59"/>
        <v>864</v>
      </c>
      <c r="F283" s="130">
        <f t="shared" si="55"/>
        <v>385</v>
      </c>
      <c r="G283" s="130">
        <v>120</v>
      </c>
      <c r="H283" s="130">
        <f>SUMIFS(基因产出!$F$90:$F$389,基因产出!$D$90:$D$389,"&lt;="&amp;E283,基因产出!$D$90:$D$389,"&gt;"&amp;_xlfn.MAXIFS($E$141:E283,$E$141:E283,"&lt;"&amp;E283))/COUNTIF($E$141:$E$500,E283)</f>
        <v>0</v>
      </c>
      <c r="I283" s="130">
        <f>IF(COUNTIF($I$141:$I282,$I282)=VLOOKUP($I282,$D$90:$E$120,2,0),$I282+1,$I282)</f>
        <v>17</v>
      </c>
      <c r="J283" s="131">
        <f t="shared" si="60"/>
        <v>100</v>
      </c>
      <c r="K283" s="132" t="str">
        <f t="shared" si="61"/>
        <v/>
      </c>
      <c r="L283" s="132" t="str">
        <f t="shared" si="62"/>
        <v/>
      </c>
      <c r="M283" s="132">
        <f t="shared" si="63"/>
        <v>0.002</v>
      </c>
      <c r="N283" s="132" t="str">
        <f t="shared" si="69"/>
        <v/>
      </c>
      <c r="O283" s="132" t="str">
        <f t="shared" si="64"/>
        <v/>
      </c>
      <c r="P283" s="141">
        <f>(SUM($Q$142:Q283)-SUM($H$141:H283))/SUM($H$141:H283)</f>
        <v>-0.561191105886963</v>
      </c>
      <c r="Q283" s="142">
        <f t="shared" si="56"/>
        <v>665</v>
      </c>
      <c r="R283" s="142">
        <f t="shared" si="53"/>
        <v>9960</v>
      </c>
      <c r="S283" s="133">
        <f t="shared" si="70"/>
        <v>14.3165291845494</v>
      </c>
      <c r="T283" s="134">
        <f>INT(SUM($W$141:W283)/3)+1</f>
        <v>33</v>
      </c>
      <c r="U283" s="135" t="str">
        <f t="shared" si="65"/>
        <v/>
      </c>
      <c r="V283" s="67" t="s">
        <v>168</v>
      </c>
      <c r="W283" s="137" t="str">
        <f t="shared" si="71"/>
        <v/>
      </c>
      <c r="X283" s="137" t="str">
        <f t="shared" si="66"/>
        <v/>
      </c>
      <c r="Y283" s="138"/>
      <c r="Z283" s="138">
        <v>2</v>
      </c>
      <c r="AA283" s="138">
        <v>3</v>
      </c>
      <c r="AB283" s="138" t="str">
        <f t="shared" si="75"/>
        <v>{10000,9000,8000}</v>
      </c>
      <c r="AC283" s="138">
        <v>1000</v>
      </c>
      <c r="AD283" s="138">
        <v>4000</v>
      </c>
      <c r="AE283" s="138">
        <f>SUM($R$141:$R283)+SUM($X$141:$X283)</f>
        <v>1302080</v>
      </c>
      <c r="AF283" s="138">
        <f>SUM($Q$142:Q283)</f>
        <v>44798</v>
      </c>
      <c r="AG283" s="137">
        <f t="shared" si="72"/>
        <v>1436474</v>
      </c>
      <c r="AH283" s="139">
        <f>SUM($S$141:S283)</f>
        <v>863.811916059201</v>
      </c>
      <c r="AI283" s="133">
        <f t="shared" si="73"/>
        <v>7.15826459227468</v>
      </c>
      <c r="AJ283" s="15">
        <f t="shared" si="74"/>
        <v>618600</v>
      </c>
      <c r="AL283" s="15">
        <v>143</v>
      </c>
      <c r="AM283" s="15">
        <f t="shared" si="67"/>
        <v>228410</v>
      </c>
      <c r="AN283" s="15">
        <f>SUMIF([1]装备属性!$M$571:$M$870,"&lt;="&amp;AL283,[1]装备属性!$Q$571:$Q$870)</f>
        <v>192517.104787715</v>
      </c>
      <c r="AO283" s="15">
        <f t="shared" si="68"/>
        <v>1.1864400321824</v>
      </c>
    </row>
    <row r="284" ht="18" spans="1:41">
      <c r="A284" s="9" t="s">
        <v>245</v>
      </c>
      <c r="B284" s="9" t="str">
        <f t="shared" si="57"/>
        <v>[{5205001,3},{2,40120}]</v>
      </c>
      <c r="C284" s="51" t="str">
        <f t="shared" si="58"/>
        <v>[{5203001,675},{2,10100}]</v>
      </c>
      <c r="D284" s="140">
        <v>144</v>
      </c>
      <c r="E284" s="130">
        <f t="shared" si="59"/>
        <v>879</v>
      </c>
      <c r="F284" s="130">
        <f t="shared" si="55"/>
        <v>390</v>
      </c>
      <c r="G284" s="130">
        <v>120</v>
      </c>
      <c r="H284" s="130">
        <f>SUMIFS(基因产出!$F$90:$F$389,基因产出!$D$90:$D$389,"&lt;="&amp;E284,基因产出!$D$90:$D$389,"&gt;"&amp;_xlfn.MAXIFS($E$141:E284,$E$141:E284,"&lt;"&amp;E284))/COUNTIF($E$141:$E$500,E284)</f>
        <v>0</v>
      </c>
      <c r="I284" s="130">
        <f>IF(COUNTIF($I$141:$I283,$I283)=VLOOKUP($I283,$D$90:$E$120,2,0),$I283+1,$I283)</f>
        <v>17</v>
      </c>
      <c r="J284" s="131">
        <f t="shared" si="60"/>
        <v>100</v>
      </c>
      <c r="K284" s="132" t="str">
        <f t="shared" si="61"/>
        <v/>
      </c>
      <c r="L284" s="132">
        <f t="shared" si="62"/>
        <v>0.03</v>
      </c>
      <c r="M284" s="132" t="str">
        <f t="shared" si="63"/>
        <v/>
      </c>
      <c r="N284" s="132" t="str">
        <f t="shared" si="69"/>
        <v/>
      </c>
      <c r="O284" s="132" t="str">
        <f t="shared" si="64"/>
        <v/>
      </c>
      <c r="P284" s="141">
        <f>(SUM($Q$142:Q284)-SUM($H$141:H284))/SUM($H$141:H284)</f>
        <v>-0.554628269174258</v>
      </c>
      <c r="Q284" s="142">
        <f t="shared" si="56"/>
        <v>670</v>
      </c>
      <c r="R284" s="142">
        <f t="shared" si="53"/>
        <v>10030</v>
      </c>
      <c r="S284" s="133">
        <f t="shared" si="70"/>
        <v>14.3172291845494</v>
      </c>
      <c r="T284" s="134">
        <f>INT(SUM($W$141:W284)/3)+1</f>
        <v>34</v>
      </c>
      <c r="U284" s="135" t="str">
        <f t="shared" si="65"/>
        <v/>
      </c>
      <c r="V284" s="67" t="s">
        <v>91</v>
      </c>
      <c r="W284" s="137">
        <f t="shared" si="71"/>
        <v>3</v>
      </c>
      <c r="X284" s="137">
        <f t="shared" si="66"/>
        <v>40120</v>
      </c>
      <c r="Y284" s="138"/>
      <c r="Z284" s="138">
        <v>2</v>
      </c>
      <c r="AA284" s="138">
        <v>3</v>
      </c>
      <c r="AB284" s="138" t="str">
        <f t="shared" si="75"/>
        <v>{10000,9000,8000}</v>
      </c>
      <c r="AC284" s="138">
        <v>1000</v>
      </c>
      <c r="AD284" s="138">
        <v>4000</v>
      </c>
      <c r="AE284" s="138">
        <f>SUM($R$141:$R284)+SUM($X$141:$X284)</f>
        <v>1352230</v>
      </c>
      <c r="AF284" s="138">
        <f>SUM($Q$142:Q284)</f>
        <v>45468</v>
      </c>
      <c r="AG284" s="137">
        <f t="shared" si="72"/>
        <v>1488634</v>
      </c>
      <c r="AH284" s="139">
        <f>SUM($S$141:S284)</f>
        <v>878.12914524375</v>
      </c>
      <c r="AI284" s="133">
        <f t="shared" si="73"/>
        <v>7.15861459227468</v>
      </c>
      <c r="AJ284" s="15">
        <f t="shared" si="74"/>
        <v>618600</v>
      </c>
      <c r="AL284" s="15">
        <v>144</v>
      </c>
      <c r="AM284" s="15">
        <f t="shared" si="67"/>
        <v>234100</v>
      </c>
      <c r="AN284" s="15">
        <f>SUMIF([1]装备属性!$M$571:$M$870,"&lt;="&amp;AL284,[1]装备属性!$Q$571:$Q$870)</f>
        <v>192517.104787715</v>
      </c>
      <c r="AO284" s="15">
        <f t="shared" si="68"/>
        <v>1.21599584752813</v>
      </c>
    </row>
    <row r="285" ht="18" spans="1:41">
      <c r="A285" s="9" t="s">
        <v>242</v>
      </c>
      <c r="B285" s="9" t="str">
        <f t="shared" si="57"/>
        <v>[{5205001,3},{2,}]</v>
      </c>
      <c r="C285" s="51" t="str">
        <f t="shared" si="58"/>
        <v>[{5203001,680},{2,10170}]</v>
      </c>
      <c r="D285" s="140">
        <v>145</v>
      </c>
      <c r="E285" s="130">
        <f t="shared" si="59"/>
        <v>893</v>
      </c>
      <c r="F285" s="130">
        <f t="shared" si="55"/>
        <v>395</v>
      </c>
      <c r="G285" s="130">
        <v>120</v>
      </c>
      <c r="H285" s="130">
        <f>SUMIFS(基因产出!$F$90:$F$389,基因产出!$D$90:$D$389,"&lt;="&amp;E285,基因产出!$D$90:$D$389,"&gt;"&amp;_xlfn.MAXIFS($E$141:E285,$E$141:E285,"&lt;"&amp;E285))/COUNTIF($E$141:$E$500,E285)</f>
        <v>0</v>
      </c>
      <c r="I285" s="130">
        <f>IF(COUNTIF($I$141:$I284,$I284)=VLOOKUP($I284,$D$90:$E$120,2,0),$I284+1,$I284)</f>
        <v>17</v>
      </c>
      <c r="J285" s="131">
        <f t="shared" si="60"/>
        <v>100</v>
      </c>
      <c r="K285" s="132">
        <f t="shared" si="61"/>
        <v>0.05</v>
      </c>
      <c r="L285" s="132" t="str">
        <f t="shared" si="62"/>
        <v/>
      </c>
      <c r="M285" s="132" t="str">
        <f t="shared" si="63"/>
        <v/>
      </c>
      <c r="N285" s="132" t="str">
        <f t="shared" si="69"/>
        <v/>
      </c>
      <c r="O285" s="132" t="str">
        <f t="shared" si="64"/>
        <v/>
      </c>
      <c r="P285" s="141">
        <f>(SUM($Q$142:Q285)-SUM($H$141:H285))/SUM($H$141:H285)</f>
        <v>-0.548016456068175</v>
      </c>
      <c r="Q285" s="142">
        <f t="shared" si="56"/>
        <v>675</v>
      </c>
      <c r="R285" s="142">
        <f t="shared" si="53"/>
        <v>10100</v>
      </c>
      <c r="S285" s="133">
        <f t="shared" si="70"/>
        <v>14.3179291845494</v>
      </c>
      <c r="T285" s="134">
        <f>INT(SUM($W$141:W285)/3)+1</f>
        <v>34</v>
      </c>
      <c r="U285" s="135" t="str">
        <f t="shared" si="65"/>
        <v/>
      </c>
      <c r="V285" s="67" t="s">
        <v>168</v>
      </c>
      <c r="W285" s="137" t="str">
        <f t="shared" si="71"/>
        <v/>
      </c>
      <c r="X285" s="137" t="str">
        <f t="shared" si="66"/>
        <v/>
      </c>
      <c r="Y285" s="138"/>
      <c r="Z285" s="138">
        <v>2</v>
      </c>
      <c r="AA285" s="138">
        <v>3</v>
      </c>
      <c r="AB285" s="138" t="str">
        <f t="shared" si="75"/>
        <v>{10000,9000,8000}</v>
      </c>
      <c r="AC285" s="138">
        <v>1000</v>
      </c>
      <c r="AD285" s="138">
        <v>4000</v>
      </c>
      <c r="AE285" s="138">
        <f>SUM($R$141:$R285)+SUM($X$141:$X285)</f>
        <v>1362330</v>
      </c>
      <c r="AF285" s="138">
        <f>SUM($Q$142:Q285)</f>
        <v>46143</v>
      </c>
      <c r="AG285" s="137">
        <f t="shared" si="72"/>
        <v>1500759</v>
      </c>
      <c r="AH285" s="139">
        <f>SUM($S$141:S285)</f>
        <v>892.4470744283</v>
      </c>
      <c r="AI285" s="133">
        <f t="shared" si="73"/>
        <v>7.15896459227468</v>
      </c>
      <c r="AJ285" s="15">
        <f t="shared" si="74"/>
        <v>618600</v>
      </c>
      <c r="AL285" s="15">
        <v>145</v>
      </c>
      <c r="AM285" s="15">
        <f t="shared" si="67"/>
        <v>234100</v>
      </c>
      <c r="AN285" s="15">
        <f>SUMIF([1]装备属性!$M$571:$M$870,"&lt;="&amp;AL285,[1]装备属性!$Q$571:$Q$870)</f>
        <v>192517.104787715</v>
      </c>
      <c r="AO285" s="15">
        <f t="shared" si="68"/>
        <v>1.21599584752813</v>
      </c>
    </row>
    <row r="286" ht="18" spans="1:41">
      <c r="A286" s="9" t="s">
        <v>243</v>
      </c>
      <c r="B286" s="9" t="str">
        <f t="shared" si="57"/>
        <v>[{5205001,3},{2,}]</v>
      </c>
      <c r="C286" s="51" t="str">
        <f t="shared" si="58"/>
        <v>[{5203001,685},{2,10240}]</v>
      </c>
      <c r="D286" s="140">
        <v>146</v>
      </c>
      <c r="E286" s="130">
        <f t="shared" si="59"/>
        <v>907</v>
      </c>
      <c r="F286" s="130">
        <f t="shared" si="55"/>
        <v>400</v>
      </c>
      <c r="G286" s="130">
        <v>120</v>
      </c>
      <c r="H286" s="130">
        <f>SUMIFS(基因产出!$F$90:$F$389,基因产出!$D$90:$D$389,"&lt;="&amp;E286,基因产出!$D$90:$D$389,"&gt;"&amp;_xlfn.MAXIFS($E$141:E286,$E$141:E286,"&lt;"&amp;E286))/COUNTIF($E$141:$E$500,E286)</f>
        <v>0</v>
      </c>
      <c r="I286" s="130">
        <f>IF(COUNTIF($I$141:$I285,$I285)=VLOOKUP($I285,$D$90:$E$120,2,0),$I285+1,$I285)</f>
        <v>17</v>
      </c>
      <c r="J286" s="131">
        <f t="shared" si="60"/>
        <v>100</v>
      </c>
      <c r="K286" s="132" t="str">
        <f t="shared" si="61"/>
        <v/>
      </c>
      <c r="L286" s="132" t="str">
        <f t="shared" si="62"/>
        <v/>
      </c>
      <c r="M286" s="132" t="str">
        <f t="shared" si="63"/>
        <v/>
      </c>
      <c r="N286" s="132">
        <f t="shared" si="69"/>
        <v>0.0075</v>
      </c>
      <c r="O286" s="132" t="str">
        <f t="shared" si="64"/>
        <v/>
      </c>
      <c r="P286" s="141">
        <f>(SUM($Q$142:Q286)-SUM($H$141:H286))/SUM($H$141:H286)</f>
        <v>-0.541355666568714</v>
      </c>
      <c r="Q286" s="142">
        <f t="shared" si="56"/>
        <v>680</v>
      </c>
      <c r="R286" s="142">
        <f t="shared" si="53"/>
        <v>10170</v>
      </c>
      <c r="S286" s="133">
        <f t="shared" si="70"/>
        <v>14.3186291845494</v>
      </c>
      <c r="T286" s="134">
        <f>INT(SUM($W$141:W286)/3)+1</f>
        <v>34</v>
      </c>
      <c r="U286" s="135" t="str">
        <f t="shared" si="65"/>
        <v/>
      </c>
      <c r="V286" s="67" t="s">
        <v>168</v>
      </c>
      <c r="W286" s="137" t="str">
        <f t="shared" si="71"/>
        <v/>
      </c>
      <c r="X286" s="137" t="str">
        <f t="shared" si="66"/>
        <v/>
      </c>
      <c r="Y286" s="138"/>
      <c r="Z286" s="138">
        <v>2</v>
      </c>
      <c r="AA286" s="138">
        <v>3</v>
      </c>
      <c r="AB286" s="138" t="str">
        <f t="shared" si="75"/>
        <v>{10000,9000,8000}</v>
      </c>
      <c r="AC286" s="138">
        <v>1000</v>
      </c>
      <c r="AD286" s="138">
        <v>4000</v>
      </c>
      <c r="AE286" s="138">
        <f>SUM($R$141:$R286)+SUM($X$141:$X286)</f>
        <v>1372500</v>
      </c>
      <c r="AF286" s="138">
        <f>SUM($Q$142:Q286)</f>
        <v>46823</v>
      </c>
      <c r="AG286" s="137">
        <f t="shared" si="72"/>
        <v>1512969</v>
      </c>
      <c r="AH286" s="139">
        <f>SUM($S$141:S286)</f>
        <v>906.765703612849</v>
      </c>
      <c r="AI286" s="133">
        <f t="shared" si="73"/>
        <v>7.15931459227468</v>
      </c>
      <c r="AJ286" s="15">
        <f t="shared" si="74"/>
        <v>618600</v>
      </c>
      <c r="AL286" s="15">
        <v>146</v>
      </c>
      <c r="AM286" s="15">
        <f t="shared" si="67"/>
        <v>234100</v>
      </c>
      <c r="AN286" s="15">
        <f>SUMIF([1]装备属性!$M$571:$M$870,"&lt;="&amp;AL286,[1]装备属性!$Q$571:$Q$870)</f>
        <v>192517.104787715</v>
      </c>
      <c r="AO286" s="15">
        <f t="shared" si="68"/>
        <v>1.21599584752813</v>
      </c>
    </row>
    <row r="287" ht="18" spans="1:41">
      <c r="A287" s="9" t="s">
        <v>244</v>
      </c>
      <c r="B287" s="9" t="str">
        <f t="shared" si="57"/>
        <v>[{5205001,3},{2,}]</v>
      </c>
      <c r="C287" s="51" t="str">
        <f t="shared" si="58"/>
        <v>[{5203001,690},{2,10310}]</v>
      </c>
      <c r="D287" s="140">
        <v>147</v>
      </c>
      <c r="E287" s="130">
        <f t="shared" si="59"/>
        <v>922</v>
      </c>
      <c r="F287" s="130">
        <f t="shared" si="55"/>
        <v>405</v>
      </c>
      <c r="G287" s="130">
        <v>120</v>
      </c>
      <c r="H287" s="130">
        <f>SUMIFS(基因产出!$F$90:$F$389,基因产出!$D$90:$D$389,"&lt;="&amp;E287,基因产出!$D$90:$D$389,"&gt;"&amp;_xlfn.MAXIFS($E$141:E287,$E$141:E287,"&lt;"&amp;E287))/COUNTIF($E$141:$E$500,E287)</f>
        <v>0</v>
      </c>
      <c r="I287" s="130">
        <f>IF(COUNTIF($I$141:$I286,$I286)=VLOOKUP($I286,$D$90:$E$120,2,0),$I286+1,$I286)</f>
        <v>17</v>
      </c>
      <c r="J287" s="131">
        <f t="shared" si="60"/>
        <v>100</v>
      </c>
      <c r="K287" s="132" t="str">
        <f t="shared" si="61"/>
        <v/>
      </c>
      <c r="L287" s="132" t="str">
        <f t="shared" si="62"/>
        <v/>
      </c>
      <c r="M287" s="132">
        <f t="shared" si="63"/>
        <v>0.002</v>
      </c>
      <c r="N287" s="132" t="str">
        <f t="shared" si="69"/>
        <v/>
      </c>
      <c r="O287" s="132" t="str">
        <f t="shared" si="64"/>
        <v/>
      </c>
      <c r="P287" s="141">
        <f>(SUM($Q$142:Q287)-SUM($H$141:H287))/SUM($H$141:H287)</f>
        <v>-0.534645900675874</v>
      </c>
      <c r="Q287" s="142">
        <f t="shared" si="56"/>
        <v>685</v>
      </c>
      <c r="R287" s="142">
        <f t="shared" si="53"/>
        <v>10240</v>
      </c>
      <c r="S287" s="133">
        <f t="shared" si="70"/>
        <v>14.3193291845494</v>
      </c>
      <c r="T287" s="134">
        <f>INT(SUM($W$141:W287)/3)+1</f>
        <v>34</v>
      </c>
      <c r="U287" s="135" t="str">
        <f t="shared" si="65"/>
        <v/>
      </c>
      <c r="V287" s="67" t="s">
        <v>168</v>
      </c>
      <c r="W287" s="137" t="str">
        <f t="shared" si="71"/>
        <v/>
      </c>
      <c r="X287" s="137" t="str">
        <f t="shared" si="66"/>
        <v/>
      </c>
      <c r="Y287" s="138"/>
      <c r="Z287" s="138">
        <v>2</v>
      </c>
      <c r="AA287" s="138">
        <v>3</v>
      </c>
      <c r="AB287" s="138" t="str">
        <f t="shared" si="75"/>
        <v>{10000,9000,8000}</v>
      </c>
      <c r="AC287" s="138">
        <v>1000</v>
      </c>
      <c r="AD287" s="138">
        <v>4000</v>
      </c>
      <c r="AE287" s="138">
        <f>SUM($R$141:$R287)+SUM($X$141:$X287)</f>
        <v>1382740</v>
      </c>
      <c r="AF287" s="138">
        <f>SUM($Q$142:Q287)</f>
        <v>47508</v>
      </c>
      <c r="AG287" s="137">
        <f t="shared" si="72"/>
        <v>1525264</v>
      </c>
      <c r="AH287" s="139">
        <f>SUM($S$141:S287)</f>
        <v>921.085032797399</v>
      </c>
      <c r="AI287" s="133">
        <f t="shared" si="73"/>
        <v>7.15966459227468</v>
      </c>
      <c r="AJ287" s="15">
        <f t="shared" si="74"/>
        <v>618600</v>
      </c>
      <c r="AL287" s="15">
        <v>147</v>
      </c>
      <c r="AM287" s="15">
        <f t="shared" si="67"/>
        <v>234100</v>
      </c>
      <c r="AN287" s="15">
        <f>SUMIF([1]装备属性!$M$571:$M$870,"&lt;="&amp;AL287,[1]装备属性!$Q$571:$Q$870)</f>
        <v>192517.104787715</v>
      </c>
      <c r="AO287" s="15">
        <f t="shared" si="68"/>
        <v>1.21599584752813</v>
      </c>
    </row>
    <row r="288" ht="18" spans="1:41">
      <c r="A288" s="9" t="s">
        <v>245</v>
      </c>
      <c r="B288" s="9" t="str">
        <f t="shared" si="57"/>
        <v>[{5205001,3},{2,}]</v>
      </c>
      <c r="C288" s="51" t="str">
        <f t="shared" si="58"/>
        <v>[{5203001,695},{2,10380}]</v>
      </c>
      <c r="D288" s="140">
        <v>148</v>
      </c>
      <c r="E288" s="130">
        <f t="shared" si="59"/>
        <v>936</v>
      </c>
      <c r="F288" s="130">
        <f t="shared" si="55"/>
        <v>410</v>
      </c>
      <c r="G288" s="130">
        <v>120</v>
      </c>
      <c r="H288" s="130">
        <f>SUMIFS(基因产出!$F$90:$F$389,基因产出!$D$90:$D$389,"&lt;="&amp;E288,基因产出!$D$90:$D$389,"&gt;"&amp;_xlfn.MAXIFS($E$141:E288,$E$141:E288,"&lt;"&amp;E288))/COUNTIF($E$141:$E$500,E288)</f>
        <v>0</v>
      </c>
      <c r="I288" s="130">
        <f>IF(COUNTIF($I$141:$I287,$I287)=VLOOKUP($I287,$D$90:$E$120,2,0),$I287+1,$I287)</f>
        <v>17</v>
      </c>
      <c r="J288" s="131">
        <f t="shared" si="60"/>
        <v>100</v>
      </c>
      <c r="K288" s="132" t="str">
        <f t="shared" si="61"/>
        <v/>
      </c>
      <c r="L288" s="132">
        <f t="shared" si="62"/>
        <v>0.03</v>
      </c>
      <c r="M288" s="132" t="str">
        <f t="shared" si="63"/>
        <v/>
      </c>
      <c r="N288" s="132" t="str">
        <f t="shared" si="69"/>
        <v/>
      </c>
      <c r="O288" s="132" t="str">
        <f t="shared" si="64"/>
        <v/>
      </c>
      <c r="P288" s="141">
        <f>(SUM($Q$142:Q288)-SUM($H$141:H288))/SUM($H$141:H288)</f>
        <v>-0.527887158389656</v>
      </c>
      <c r="Q288" s="142">
        <f t="shared" si="56"/>
        <v>690</v>
      </c>
      <c r="R288" s="142">
        <f t="shared" ref="R288:R351" si="76">R287+70</f>
        <v>10310</v>
      </c>
      <c r="S288" s="133">
        <f t="shared" si="70"/>
        <v>14.3200291845494</v>
      </c>
      <c r="T288" s="134">
        <f>INT(SUM($W$141:W288)/3)+1</f>
        <v>34</v>
      </c>
      <c r="U288" s="135" t="str">
        <f t="shared" si="65"/>
        <v/>
      </c>
      <c r="V288" s="67" t="s">
        <v>168</v>
      </c>
      <c r="W288" s="137" t="str">
        <f t="shared" si="71"/>
        <v/>
      </c>
      <c r="X288" s="137" t="str">
        <f t="shared" si="66"/>
        <v/>
      </c>
      <c r="Y288" s="138"/>
      <c r="Z288" s="138">
        <v>2</v>
      </c>
      <c r="AA288" s="138">
        <v>3</v>
      </c>
      <c r="AB288" s="138" t="str">
        <f t="shared" si="75"/>
        <v>{10000,9000,8000}</v>
      </c>
      <c r="AC288" s="138">
        <v>1000</v>
      </c>
      <c r="AD288" s="138">
        <v>4000</v>
      </c>
      <c r="AE288" s="138">
        <f>SUM($R$141:$R288)+SUM($X$141:$X288)</f>
        <v>1393050</v>
      </c>
      <c r="AF288" s="138">
        <f>SUM($Q$142:Q288)</f>
        <v>48198</v>
      </c>
      <c r="AG288" s="137">
        <f t="shared" si="72"/>
        <v>1537644</v>
      </c>
      <c r="AH288" s="139">
        <f>SUM($S$141:S288)</f>
        <v>935.405061981948</v>
      </c>
      <c r="AI288" s="133">
        <f t="shared" si="73"/>
        <v>7.16001459227468</v>
      </c>
      <c r="AJ288" s="15">
        <f t="shared" si="74"/>
        <v>618900</v>
      </c>
      <c r="AL288" s="15">
        <v>148</v>
      </c>
      <c r="AM288" s="15">
        <f t="shared" si="67"/>
        <v>234100</v>
      </c>
      <c r="AN288" s="15">
        <f>SUMIF([1]装备属性!$M$571:$M$870,"&lt;="&amp;AL288,[1]装备属性!$Q$571:$Q$870)</f>
        <v>192517.104787715</v>
      </c>
      <c r="AO288" s="15">
        <f t="shared" si="68"/>
        <v>1.21599584752813</v>
      </c>
    </row>
    <row r="289" ht="18" spans="1:41">
      <c r="A289" s="9" t="s">
        <v>242</v>
      </c>
      <c r="B289" s="9" t="str">
        <f t="shared" si="57"/>
        <v>[{5205001,3},{2,}]</v>
      </c>
      <c r="C289" s="51" t="str">
        <f t="shared" si="58"/>
        <v>[{5203001,700},{2,10450}]</v>
      </c>
      <c r="D289" s="140">
        <v>149</v>
      </c>
      <c r="E289" s="130">
        <f t="shared" si="59"/>
        <v>950</v>
      </c>
      <c r="F289" s="130">
        <f t="shared" si="55"/>
        <v>415</v>
      </c>
      <c r="G289" s="130">
        <v>120</v>
      </c>
      <c r="H289" s="130">
        <f>SUMIFS(基因产出!$F$90:$F$389,基因产出!$D$90:$D$389,"&lt;="&amp;E289,基因产出!$D$90:$D$389,"&gt;"&amp;_xlfn.MAXIFS($E$141:E289,$E$141:E289,"&lt;"&amp;E289))/COUNTIF($E$141:$E$500,E289)</f>
        <v>0</v>
      </c>
      <c r="I289" s="130">
        <f>IF(COUNTIF($I$141:$I288,$I288)=VLOOKUP($I288,$D$90:$E$120,2,0),$I288+1,$I288)</f>
        <v>17</v>
      </c>
      <c r="J289" s="131">
        <f t="shared" si="60"/>
        <v>100</v>
      </c>
      <c r="K289" s="132">
        <f t="shared" si="61"/>
        <v>0.05</v>
      </c>
      <c r="L289" s="132" t="str">
        <f t="shared" si="62"/>
        <v/>
      </c>
      <c r="M289" s="132" t="str">
        <f t="shared" si="63"/>
        <v/>
      </c>
      <c r="N289" s="132" t="str">
        <f t="shared" si="69"/>
        <v/>
      </c>
      <c r="O289" s="132" t="str">
        <f t="shared" si="64"/>
        <v/>
      </c>
      <c r="P289" s="141">
        <f>(SUM($Q$142:Q289)-SUM($H$141:H289))/SUM($H$141:H289)</f>
        <v>-0.52107943971006</v>
      </c>
      <c r="Q289" s="142">
        <f t="shared" si="56"/>
        <v>695</v>
      </c>
      <c r="R289" s="142">
        <f t="shared" si="76"/>
        <v>10380</v>
      </c>
      <c r="S289" s="133">
        <f t="shared" si="70"/>
        <v>14.3207291845494</v>
      </c>
      <c r="T289" s="134">
        <f>INT(SUM($W$141:W289)/3)+1</f>
        <v>34</v>
      </c>
      <c r="U289" s="135" t="str">
        <f t="shared" si="65"/>
        <v/>
      </c>
      <c r="V289" s="67" t="s">
        <v>168</v>
      </c>
      <c r="W289" s="137" t="str">
        <f t="shared" si="71"/>
        <v/>
      </c>
      <c r="X289" s="137" t="str">
        <f t="shared" si="66"/>
        <v/>
      </c>
      <c r="Y289" s="138"/>
      <c r="Z289" s="138">
        <v>2</v>
      </c>
      <c r="AA289" s="138">
        <v>3</v>
      </c>
      <c r="AB289" s="138" t="str">
        <f t="shared" si="75"/>
        <v>{10000,9000,8000}</v>
      </c>
      <c r="AC289" s="138">
        <v>1000</v>
      </c>
      <c r="AD289" s="138">
        <v>4000</v>
      </c>
      <c r="AE289" s="138">
        <f>SUM($R$141:$R289)+SUM($X$141:$X289)</f>
        <v>1403430</v>
      </c>
      <c r="AF289" s="138">
        <f>SUM($Q$142:Q289)</f>
        <v>48893</v>
      </c>
      <c r="AG289" s="137">
        <f t="shared" si="72"/>
        <v>1550109</v>
      </c>
      <c r="AH289" s="139">
        <f>SUM($S$141:S289)</f>
        <v>949.725791166497</v>
      </c>
      <c r="AI289" s="133">
        <f t="shared" si="73"/>
        <v>7.16036459227468</v>
      </c>
      <c r="AJ289" s="15">
        <f t="shared" si="74"/>
        <v>618900</v>
      </c>
      <c r="AL289" s="15">
        <v>149</v>
      </c>
      <c r="AM289" s="15">
        <f t="shared" si="67"/>
        <v>234100</v>
      </c>
      <c r="AN289" s="15">
        <f>SUMIF([1]装备属性!$M$571:$M$870,"&lt;="&amp;AL289,[1]装备属性!$Q$571:$Q$870)</f>
        <v>192517.104787715</v>
      </c>
      <c r="AO289" s="15">
        <f t="shared" si="68"/>
        <v>1.21599584752813</v>
      </c>
    </row>
    <row r="290" ht="18" spans="1:41">
      <c r="A290" s="9" t="s">
        <v>246</v>
      </c>
      <c r="B290" s="9" t="str">
        <f t="shared" si="57"/>
        <v>[{5205001,3},{2,}]</v>
      </c>
      <c r="C290" s="51" t="str">
        <f t="shared" si="58"/>
        <v>[{5203001,705},{2,10520}]</v>
      </c>
      <c r="D290" s="140">
        <v>150</v>
      </c>
      <c r="E290" s="130">
        <f t="shared" si="59"/>
        <v>965</v>
      </c>
      <c r="F290" s="130">
        <f t="shared" si="55"/>
        <v>420</v>
      </c>
      <c r="G290" s="130">
        <v>120</v>
      </c>
      <c r="H290" s="130">
        <f>SUMIFS(基因产出!$F$90:$F$389,基因产出!$D$90:$D$389,"&lt;="&amp;E290,基因产出!$D$90:$D$389,"&gt;"&amp;_xlfn.MAXIFS($E$141:E290,$E$141:E290,"&lt;"&amp;E290))/COUNTIF($E$141:$E$500,E290)</f>
        <v>0</v>
      </c>
      <c r="I290" s="130">
        <f>IF(COUNTIF($I$141:$I289,$I289)=VLOOKUP($I289,$D$90:$E$120,2,0),$I289+1,$I289)</f>
        <v>17</v>
      </c>
      <c r="J290" s="131">
        <f t="shared" si="60"/>
        <v>100</v>
      </c>
      <c r="K290" s="132" t="str">
        <f t="shared" si="61"/>
        <v/>
      </c>
      <c r="L290" s="132" t="str">
        <f t="shared" si="62"/>
        <v/>
      </c>
      <c r="M290" s="132" t="str">
        <f t="shared" si="63"/>
        <v/>
      </c>
      <c r="N290" s="132">
        <f t="shared" si="69"/>
        <v>0.0075</v>
      </c>
      <c r="O290" s="132">
        <f t="shared" si="64"/>
        <v>0.05</v>
      </c>
      <c r="P290" s="141">
        <f>(SUM($Q$142:Q290)-SUM($H$141:H290))/SUM($H$141:H290)</f>
        <v>-0.514222744637085</v>
      </c>
      <c r="Q290" s="142">
        <f t="shared" si="56"/>
        <v>700</v>
      </c>
      <c r="R290" s="142">
        <f t="shared" si="76"/>
        <v>10450</v>
      </c>
      <c r="S290" s="133">
        <f t="shared" si="70"/>
        <v>14.3214291845494</v>
      </c>
      <c r="T290" s="134">
        <f>INT(SUM($W$141:W290)/3)+1</f>
        <v>34</v>
      </c>
      <c r="U290" s="135" t="str">
        <f t="shared" si="65"/>
        <v/>
      </c>
      <c r="V290" s="67" t="s">
        <v>168</v>
      </c>
      <c r="W290" s="137" t="str">
        <f t="shared" si="71"/>
        <v/>
      </c>
      <c r="X290" s="137" t="str">
        <f t="shared" si="66"/>
        <v/>
      </c>
      <c r="Y290" s="138"/>
      <c r="Z290" s="138">
        <v>2</v>
      </c>
      <c r="AA290" s="138">
        <v>3</v>
      </c>
      <c r="AB290" s="138" t="str">
        <f t="shared" si="75"/>
        <v>{10000,9000,8000}</v>
      </c>
      <c r="AC290" s="138">
        <v>1000</v>
      </c>
      <c r="AD290" s="138">
        <v>4000</v>
      </c>
      <c r="AE290" s="138">
        <f>SUM($R$141:$R290)+SUM($X$141:$X290)</f>
        <v>1413880</v>
      </c>
      <c r="AF290" s="138">
        <f>SUM($Q$142:Q290)</f>
        <v>49593</v>
      </c>
      <c r="AG290" s="137">
        <f t="shared" si="72"/>
        <v>1562659</v>
      </c>
      <c r="AH290" s="139">
        <f>SUM($S$141:S290)</f>
        <v>964.047220351047</v>
      </c>
      <c r="AI290" s="133">
        <f t="shared" si="73"/>
        <v>7.16071459227468</v>
      </c>
      <c r="AJ290" s="15">
        <f t="shared" si="74"/>
        <v>618900</v>
      </c>
      <c r="AL290" s="15">
        <v>150</v>
      </c>
      <c r="AM290" s="15">
        <f t="shared" si="67"/>
        <v>234100</v>
      </c>
      <c r="AN290" s="15">
        <f>SUMIF([1]装备属性!$M$571:$M$870,"&lt;="&amp;AL290,[1]装备属性!$Q$571:$Q$870)</f>
        <v>192517.104787715</v>
      </c>
      <c r="AO290" s="15">
        <f t="shared" si="68"/>
        <v>1.21599584752813</v>
      </c>
    </row>
    <row r="291" ht="18" spans="1:41">
      <c r="A291" s="9" t="s">
        <v>244</v>
      </c>
      <c r="B291" s="9" t="str">
        <f t="shared" si="57"/>
        <v>[{5205001,3},{2,}]</v>
      </c>
      <c r="C291" s="51" t="str">
        <f t="shared" si="58"/>
        <v>[{5203001,710},{2,10590}]</v>
      </c>
      <c r="D291" s="140">
        <v>151</v>
      </c>
      <c r="E291" s="130">
        <f t="shared" si="59"/>
        <v>979</v>
      </c>
      <c r="F291" s="130">
        <f t="shared" si="55"/>
        <v>425</v>
      </c>
      <c r="G291" s="130">
        <v>120</v>
      </c>
      <c r="H291" s="130">
        <f>SUMIFS(基因产出!$F$90:$F$389,基因产出!$D$90:$D$389,"&lt;="&amp;E291,基因产出!$D$90:$D$389,"&gt;"&amp;_xlfn.MAXIFS($E$141:E291,$E$141:E291,"&lt;"&amp;E291))/COUNTIF($E$141:$E$500,E291)</f>
        <v>0</v>
      </c>
      <c r="I291" s="130">
        <f>IF(COUNTIF($I$141:$I290,$I290)=VLOOKUP($I290,$D$90:$E$120,2,0),$I290+1,$I290)</f>
        <v>17</v>
      </c>
      <c r="J291" s="131">
        <f t="shared" si="60"/>
        <v>100</v>
      </c>
      <c r="K291" s="132" t="str">
        <f t="shared" si="61"/>
        <v/>
      </c>
      <c r="L291" s="132" t="str">
        <f t="shared" si="62"/>
        <v/>
      </c>
      <c r="M291" s="132">
        <f t="shared" si="63"/>
        <v>0.002</v>
      </c>
      <c r="N291" s="132" t="str">
        <f t="shared" si="69"/>
        <v/>
      </c>
      <c r="O291" s="132" t="str">
        <f t="shared" si="64"/>
        <v/>
      </c>
      <c r="P291" s="141">
        <f>(SUM($Q$142:Q291)-SUM($H$141:H291))/SUM($H$141:H291)</f>
        <v>-0.507317073170732</v>
      </c>
      <c r="Q291" s="142">
        <f t="shared" si="56"/>
        <v>705</v>
      </c>
      <c r="R291" s="142">
        <f t="shared" si="76"/>
        <v>10520</v>
      </c>
      <c r="S291" s="133">
        <f t="shared" si="70"/>
        <v>14.3221291845494</v>
      </c>
      <c r="T291" s="134">
        <f>INT(SUM($W$141:W291)/3)+1</f>
        <v>34</v>
      </c>
      <c r="U291" s="135" t="str">
        <f t="shared" si="65"/>
        <v/>
      </c>
      <c r="V291" s="67" t="s">
        <v>168</v>
      </c>
      <c r="W291" s="137" t="str">
        <f t="shared" si="71"/>
        <v/>
      </c>
      <c r="X291" s="137" t="str">
        <f t="shared" si="66"/>
        <v/>
      </c>
      <c r="Y291" s="138"/>
      <c r="Z291" s="138">
        <v>2</v>
      </c>
      <c r="AA291" s="138">
        <v>3</v>
      </c>
      <c r="AB291" s="138" t="str">
        <f t="shared" si="75"/>
        <v>{10000,9000,8000}</v>
      </c>
      <c r="AC291" s="138">
        <v>1000</v>
      </c>
      <c r="AD291" s="138">
        <v>4000</v>
      </c>
      <c r="AE291" s="138">
        <f>SUM($R$141:$R291)+SUM($X$141:$X291)</f>
        <v>1424400</v>
      </c>
      <c r="AF291" s="138">
        <f>SUM($Q$142:Q291)</f>
        <v>50298</v>
      </c>
      <c r="AG291" s="137">
        <f t="shared" si="72"/>
        <v>1575294</v>
      </c>
      <c r="AH291" s="139">
        <f>SUM($S$141:S291)</f>
        <v>978.369349535596</v>
      </c>
      <c r="AI291" s="133">
        <f t="shared" si="73"/>
        <v>7.16106459227468</v>
      </c>
      <c r="AJ291" s="15">
        <f t="shared" si="74"/>
        <v>618900</v>
      </c>
      <c r="AL291" s="15">
        <v>151</v>
      </c>
      <c r="AM291" s="15">
        <f t="shared" si="67"/>
        <v>239860</v>
      </c>
      <c r="AN291" s="15">
        <f>SUMIF([1]装备属性!$M$571:$M$870,"&lt;="&amp;AL291,[1]装备属性!$Q$571:$Q$870)</f>
        <v>192517.104787715</v>
      </c>
      <c r="AO291" s="15">
        <f t="shared" si="68"/>
        <v>1.24591526692908</v>
      </c>
    </row>
    <row r="292" ht="18" spans="1:41">
      <c r="A292" s="9" t="s">
        <v>245</v>
      </c>
      <c r="B292" s="9" t="str">
        <f t="shared" si="57"/>
        <v>[{5205001,3},{2,42360}]</v>
      </c>
      <c r="C292" s="51" t="str">
        <f t="shared" si="58"/>
        <v>[{5203001,715},{2,10660}]</v>
      </c>
      <c r="D292" s="140">
        <v>152</v>
      </c>
      <c r="E292" s="130">
        <f t="shared" si="59"/>
        <v>993</v>
      </c>
      <c r="F292" s="130">
        <f t="shared" si="55"/>
        <v>430</v>
      </c>
      <c r="G292" s="130">
        <v>120</v>
      </c>
      <c r="H292" s="130">
        <f>SUMIFS(基因产出!$F$90:$F$389,基因产出!$D$90:$D$389,"&lt;="&amp;E292,基因产出!$D$90:$D$389,"&gt;"&amp;_xlfn.MAXIFS($E$141:E292,$E$141:E292,"&lt;"&amp;E292))/COUNTIF($E$141:$E$500,E292)</f>
        <v>0</v>
      </c>
      <c r="I292" s="130">
        <f>IF(COUNTIF($I$141:$I291,$I291)=VLOOKUP($I291,$D$90:$E$120,2,0),$I291+1,$I291)</f>
        <v>17</v>
      </c>
      <c r="J292" s="131">
        <f t="shared" si="60"/>
        <v>100</v>
      </c>
      <c r="K292" s="132" t="str">
        <f t="shared" si="61"/>
        <v/>
      </c>
      <c r="L292" s="132">
        <f t="shared" si="62"/>
        <v>0.03</v>
      </c>
      <c r="M292" s="132" t="str">
        <f t="shared" si="63"/>
        <v/>
      </c>
      <c r="N292" s="132" t="str">
        <f t="shared" si="69"/>
        <v/>
      </c>
      <c r="O292" s="132" t="str">
        <f t="shared" si="64"/>
        <v/>
      </c>
      <c r="P292" s="141">
        <f>(SUM($Q$142:Q292)-SUM($H$141:H292))/SUM($H$141:H292)</f>
        <v>-0.500362425311</v>
      </c>
      <c r="Q292" s="142">
        <f t="shared" si="56"/>
        <v>710</v>
      </c>
      <c r="R292" s="142">
        <f t="shared" si="76"/>
        <v>10590</v>
      </c>
      <c r="S292" s="133">
        <f t="shared" si="70"/>
        <v>14.3228291845494</v>
      </c>
      <c r="T292" s="134">
        <f>INT(SUM($W$141:W292)/3)+1</f>
        <v>35</v>
      </c>
      <c r="U292" s="135" t="str">
        <f t="shared" si="65"/>
        <v>55</v>
      </c>
      <c r="V292" s="67" t="s">
        <v>94</v>
      </c>
      <c r="W292" s="137">
        <f t="shared" si="71"/>
        <v>3</v>
      </c>
      <c r="X292" s="137">
        <f t="shared" si="66"/>
        <v>42360</v>
      </c>
      <c r="Y292" s="138"/>
      <c r="Z292" s="138">
        <v>2</v>
      </c>
      <c r="AA292" s="138">
        <v>3</v>
      </c>
      <c r="AB292" s="138" t="str">
        <f t="shared" si="75"/>
        <v>{10000,9000,8000}</v>
      </c>
      <c r="AC292" s="138">
        <v>1000</v>
      </c>
      <c r="AD292" s="138">
        <v>4000</v>
      </c>
      <c r="AE292" s="138">
        <f>SUM($R$141:$R292)+SUM($X$141:$X292)</f>
        <v>1477350</v>
      </c>
      <c r="AF292" s="138">
        <f>SUM($Q$142:Q292)</f>
        <v>51008</v>
      </c>
      <c r="AG292" s="137">
        <f t="shared" si="72"/>
        <v>1630374</v>
      </c>
      <c r="AH292" s="139">
        <f>SUM($S$141:S292)</f>
        <v>992.692178720145</v>
      </c>
      <c r="AI292" s="133">
        <f t="shared" si="73"/>
        <v>7.16141459227468</v>
      </c>
      <c r="AJ292" s="15">
        <f t="shared" si="74"/>
        <v>618900</v>
      </c>
      <c r="AL292" s="15">
        <v>152</v>
      </c>
      <c r="AM292" s="15">
        <f t="shared" si="67"/>
        <v>239860</v>
      </c>
      <c r="AN292" s="15">
        <f>SUMIF([1]装备属性!$M$571:$M$870,"&lt;="&amp;AL292,[1]装备属性!$Q$571:$Q$870)</f>
        <v>192517.104787715</v>
      </c>
      <c r="AO292" s="15">
        <f t="shared" si="68"/>
        <v>1.24591526692908</v>
      </c>
    </row>
    <row r="293" ht="18" spans="1:41">
      <c r="A293" s="9" t="s">
        <v>247</v>
      </c>
      <c r="B293" s="9" t="str">
        <f t="shared" si="57"/>
        <v>[{5205001,3},{2,}]</v>
      </c>
      <c r="C293" s="51" t="str">
        <f t="shared" si="58"/>
        <v>[{5203001,720},{2,10730}]</v>
      </c>
      <c r="D293" s="140">
        <v>153</v>
      </c>
      <c r="E293" s="130">
        <f t="shared" si="59"/>
        <v>1008</v>
      </c>
      <c r="F293" s="130">
        <f t="shared" si="55"/>
        <v>435</v>
      </c>
      <c r="G293" s="130">
        <v>120</v>
      </c>
      <c r="H293" s="130">
        <f>SUMIFS(基因产出!$F$90:$F$389,基因产出!$D$90:$D$389,"&lt;="&amp;E293,基因产出!$D$90:$D$389,"&gt;"&amp;_xlfn.MAXIFS($E$141:E293,$E$141:E293,"&lt;"&amp;E293))/COUNTIF($E$141:$E$500,E293)</f>
        <v>0</v>
      </c>
      <c r="I293" s="130">
        <f>IF(COUNTIF($I$141:$I292,$I292)=VLOOKUP($I292,$D$90:$E$120,2,0),$I292+1,$I292)</f>
        <v>18</v>
      </c>
      <c r="J293" s="131">
        <f t="shared" si="60"/>
        <v>106</v>
      </c>
      <c r="K293" s="132">
        <f t="shared" si="61"/>
        <v>0.05</v>
      </c>
      <c r="L293" s="132" t="str">
        <f t="shared" si="62"/>
        <v/>
      </c>
      <c r="M293" s="132" t="str">
        <f t="shared" si="63"/>
        <v/>
      </c>
      <c r="N293" s="132" t="str">
        <f t="shared" si="69"/>
        <v/>
      </c>
      <c r="O293" s="132" t="str">
        <f t="shared" si="64"/>
        <v/>
      </c>
      <c r="P293" s="141">
        <f>(SUM($Q$142:Q293)-SUM($H$141:H293))/SUM($H$141:H293)</f>
        <v>-0.49335880105789</v>
      </c>
      <c r="Q293" s="142">
        <f t="shared" si="56"/>
        <v>715</v>
      </c>
      <c r="R293" s="142">
        <f t="shared" si="76"/>
        <v>10660</v>
      </c>
      <c r="S293" s="133">
        <f t="shared" si="70"/>
        <v>14.3235291845494</v>
      </c>
      <c r="T293" s="134">
        <f>INT(SUM($W$141:W293)/3)+1</f>
        <v>35</v>
      </c>
      <c r="U293" s="135" t="str">
        <f t="shared" si="65"/>
        <v/>
      </c>
      <c r="V293" s="67" t="s">
        <v>168</v>
      </c>
      <c r="W293" s="137" t="str">
        <f t="shared" si="71"/>
        <v/>
      </c>
      <c r="X293" s="137" t="str">
        <f t="shared" si="66"/>
        <v/>
      </c>
      <c r="Y293" s="138"/>
      <c r="Z293" s="138">
        <v>2</v>
      </c>
      <c r="AA293" s="138">
        <v>3</v>
      </c>
      <c r="AB293" s="138" t="str">
        <f t="shared" si="75"/>
        <v>{10000,9000,8000}</v>
      </c>
      <c r="AC293" s="138">
        <v>1000</v>
      </c>
      <c r="AD293" s="138">
        <v>4000</v>
      </c>
      <c r="AE293" s="138">
        <f>SUM($R$141:$R293)+SUM($X$141:$X293)</f>
        <v>1488010</v>
      </c>
      <c r="AF293" s="138">
        <f>SUM($Q$142:Q293)</f>
        <v>51723</v>
      </c>
      <c r="AG293" s="137">
        <f t="shared" si="72"/>
        <v>1643179</v>
      </c>
      <c r="AH293" s="139">
        <f>SUM($S$141:S293)</f>
        <v>1007.01570790469</v>
      </c>
      <c r="AI293" s="133">
        <f t="shared" si="73"/>
        <v>7.16176459227468</v>
      </c>
      <c r="AJ293" s="15">
        <f t="shared" si="74"/>
        <v>618900</v>
      </c>
      <c r="AL293" s="15">
        <v>153</v>
      </c>
      <c r="AM293" s="15">
        <f t="shared" si="67"/>
        <v>239860</v>
      </c>
      <c r="AN293" s="15">
        <f>SUMIF([1]装备属性!$M$571:$M$870,"&lt;="&amp;AL293,[1]装备属性!$Q$571:$Q$870)</f>
        <v>192517.104787715</v>
      </c>
      <c r="AO293" s="15">
        <f t="shared" si="68"/>
        <v>1.24591526692908</v>
      </c>
    </row>
    <row r="294" ht="18" spans="1:41">
      <c r="A294" s="9" t="s">
        <v>248</v>
      </c>
      <c r="B294" s="9" t="str">
        <f t="shared" si="57"/>
        <v>[{5205001,3},{2,}]</v>
      </c>
      <c r="C294" s="51" t="str">
        <f t="shared" si="58"/>
        <v>[{5203001,725},{2,10800}]</v>
      </c>
      <c r="D294" s="140">
        <v>154</v>
      </c>
      <c r="E294" s="130">
        <f t="shared" si="59"/>
        <v>1022</v>
      </c>
      <c r="F294" s="130">
        <f t="shared" si="55"/>
        <v>440</v>
      </c>
      <c r="G294" s="130">
        <v>120</v>
      </c>
      <c r="H294" s="130">
        <f>SUMIFS(基因产出!$F$90:$F$389,基因产出!$D$90:$D$389,"&lt;="&amp;E294,基因产出!$D$90:$D$389,"&gt;"&amp;_xlfn.MAXIFS($E$141:E294,$E$141:E294,"&lt;"&amp;E294))/COUNTIF($E$141:$E$500,E294)</f>
        <v>0</v>
      </c>
      <c r="I294" s="130">
        <f>IF(COUNTIF($I$141:$I293,$I293)=VLOOKUP($I293,$D$90:$E$120,2,0),$I293+1,$I293)</f>
        <v>18</v>
      </c>
      <c r="J294" s="131">
        <f t="shared" si="60"/>
        <v>106</v>
      </c>
      <c r="K294" s="132" t="str">
        <f t="shared" si="61"/>
        <v/>
      </c>
      <c r="L294" s="132" t="str">
        <f t="shared" si="62"/>
        <v/>
      </c>
      <c r="M294" s="132" t="str">
        <f t="shared" si="63"/>
        <v/>
      </c>
      <c r="N294" s="132">
        <f t="shared" si="69"/>
        <v>0.0075</v>
      </c>
      <c r="O294" s="132" t="str">
        <f t="shared" si="64"/>
        <v/>
      </c>
      <c r="P294" s="141">
        <f>(SUM($Q$142:Q294)-SUM($H$141:H294))/SUM($H$141:H294)</f>
        <v>-0.486306200411402</v>
      </c>
      <c r="Q294" s="142">
        <f t="shared" si="56"/>
        <v>720</v>
      </c>
      <c r="R294" s="142">
        <f t="shared" si="76"/>
        <v>10730</v>
      </c>
      <c r="S294" s="133">
        <f t="shared" si="70"/>
        <v>14.3242291845494</v>
      </c>
      <c r="T294" s="134">
        <f>INT(SUM($W$141:W294)/3)+1</f>
        <v>35</v>
      </c>
      <c r="U294" s="135" t="str">
        <f t="shared" si="65"/>
        <v/>
      </c>
      <c r="V294" s="67" t="s">
        <v>168</v>
      </c>
      <c r="W294" s="137" t="str">
        <f t="shared" si="71"/>
        <v/>
      </c>
      <c r="X294" s="137" t="str">
        <f t="shared" si="66"/>
        <v/>
      </c>
      <c r="Y294" s="138"/>
      <c r="Z294" s="138">
        <v>2</v>
      </c>
      <c r="AA294" s="138">
        <v>3</v>
      </c>
      <c r="AB294" s="138" t="str">
        <f t="shared" si="75"/>
        <v>{10000,9000,8000}</v>
      </c>
      <c r="AC294" s="138">
        <v>1000</v>
      </c>
      <c r="AD294" s="138">
        <v>4000</v>
      </c>
      <c r="AE294" s="138">
        <f>SUM($R$141:$R294)+SUM($X$141:$X294)</f>
        <v>1498740</v>
      </c>
      <c r="AF294" s="138">
        <f>SUM($Q$142:Q294)</f>
        <v>52443</v>
      </c>
      <c r="AG294" s="137">
        <f t="shared" si="72"/>
        <v>1656069</v>
      </c>
      <c r="AH294" s="139">
        <f>SUM($S$141:S294)</f>
        <v>1021.33993708924</v>
      </c>
      <c r="AI294" s="133">
        <f t="shared" si="73"/>
        <v>7.16211459227468</v>
      </c>
      <c r="AJ294" s="15">
        <f t="shared" si="74"/>
        <v>618900</v>
      </c>
      <c r="AL294" s="15">
        <v>154</v>
      </c>
      <c r="AM294" s="15">
        <f t="shared" si="67"/>
        <v>239860</v>
      </c>
      <c r="AN294" s="15">
        <f>SUMIF([1]装备属性!$M$571:$M$870,"&lt;="&amp;AL294,[1]装备属性!$Q$571:$Q$870)</f>
        <v>192517.104787715</v>
      </c>
      <c r="AO294" s="15">
        <f t="shared" si="68"/>
        <v>1.24591526692908</v>
      </c>
    </row>
    <row r="295" ht="18" spans="1:41">
      <c r="A295" s="9" t="s">
        <v>249</v>
      </c>
      <c r="B295" s="9" t="str">
        <f t="shared" si="57"/>
        <v>[{5205001,3},{2,}]</v>
      </c>
      <c r="C295" s="51" t="str">
        <f t="shared" si="58"/>
        <v>[{5203001,730},{2,10870}]</v>
      </c>
      <c r="D295" s="140">
        <v>155</v>
      </c>
      <c r="E295" s="130">
        <f t="shared" si="59"/>
        <v>1036</v>
      </c>
      <c r="F295" s="130">
        <f t="shared" si="55"/>
        <v>445</v>
      </c>
      <c r="G295" s="130">
        <v>120</v>
      </c>
      <c r="H295" s="130">
        <f>SUMIFS(基因产出!$F$90:$F$389,基因产出!$D$90:$D$389,"&lt;="&amp;E295,基因产出!$D$90:$D$389,"&gt;"&amp;_xlfn.MAXIFS($E$141:E295,$E$141:E295,"&lt;"&amp;E295))/COUNTIF($E$141:$E$500,E295)</f>
        <v>0</v>
      </c>
      <c r="I295" s="130">
        <f>IF(COUNTIF($I$141:$I294,$I294)=VLOOKUP($I294,$D$90:$E$120,2,0),$I294+1,$I294)</f>
        <v>18</v>
      </c>
      <c r="J295" s="131">
        <f t="shared" si="60"/>
        <v>106</v>
      </c>
      <c r="K295" s="132" t="str">
        <f t="shared" si="61"/>
        <v/>
      </c>
      <c r="L295" s="132" t="str">
        <f t="shared" si="62"/>
        <v/>
      </c>
      <c r="M295" s="132">
        <f t="shared" si="63"/>
        <v>0.002</v>
      </c>
      <c r="N295" s="132" t="str">
        <f t="shared" si="69"/>
        <v/>
      </c>
      <c r="O295" s="132" t="str">
        <f t="shared" si="64"/>
        <v/>
      </c>
      <c r="P295" s="141">
        <f>(SUM($Q$142:Q295)-SUM($H$141:H295))/SUM($H$141:H295)</f>
        <v>-0.479204623371535</v>
      </c>
      <c r="Q295" s="142">
        <f t="shared" si="56"/>
        <v>725</v>
      </c>
      <c r="R295" s="142">
        <f t="shared" si="76"/>
        <v>10800</v>
      </c>
      <c r="S295" s="133">
        <f t="shared" si="70"/>
        <v>14.3249291845494</v>
      </c>
      <c r="T295" s="134">
        <f>INT(SUM($W$141:W295)/3)+1</f>
        <v>35</v>
      </c>
      <c r="U295" s="135" t="str">
        <f t="shared" si="65"/>
        <v/>
      </c>
      <c r="V295" s="67" t="s">
        <v>168</v>
      </c>
      <c r="W295" s="137" t="str">
        <f t="shared" si="71"/>
        <v/>
      </c>
      <c r="X295" s="137" t="str">
        <f t="shared" si="66"/>
        <v/>
      </c>
      <c r="Y295" s="138"/>
      <c r="Z295" s="138">
        <v>2</v>
      </c>
      <c r="AA295" s="138">
        <v>3</v>
      </c>
      <c r="AB295" s="138" t="str">
        <f t="shared" si="75"/>
        <v>{10000,9000,8000}</v>
      </c>
      <c r="AC295" s="138">
        <v>1000</v>
      </c>
      <c r="AD295" s="138">
        <v>4000</v>
      </c>
      <c r="AE295" s="138">
        <f>SUM($R$141:$R295)+SUM($X$141:$X295)</f>
        <v>1509540</v>
      </c>
      <c r="AF295" s="138">
        <f>SUM($Q$142:Q295)</f>
        <v>53168</v>
      </c>
      <c r="AG295" s="137">
        <f t="shared" si="72"/>
        <v>1669044</v>
      </c>
      <c r="AH295" s="139">
        <f>SUM($S$141:S295)</f>
        <v>1035.66486627379</v>
      </c>
      <c r="AI295" s="133">
        <f t="shared" si="73"/>
        <v>7.16246459227468</v>
      </c>
      <c r="AJ295" s="15">
        <f t="shared" si="74"/>
        <v>618900</v>
      </c>
      <c r="AL295" s="15">
        <v>155</v>
      </c>
      <c r="AM295" s="15">
        <f t="shared" si="67"/>
        <v>239860</v>
      </c>
      <c r="AN295" s="15">
        <f>SUMIF([1]装备属性!$M$571:$M$870,"&lt;="&amp;AL295,[1]装备属性!$Q$571:$Q$870)</f>
        <v>192517.104787715</v>
      </c>
      <c r="AO295" s="15">
        <f t="shared" si="68"/>
        <v>1.24591526692908</v>
      </c>
    </row>
    <row r="296" ht="18" spans="1:41">
      <c r="A296" s="9" t="s">
        <v>250</v>
      </c>
      <c r="B296" s="9" t="str">
        <f t="shared" si="57"/>
        <v>[{5205001,3},{2,}]</v>
      </c>
      <c r="C296" s="51" t="str">
        <f t="shared" si="58"/>
        <v>[{5203001,735},{2,10940}]</v>
      </c>
      <c r="D296" s="140">
        <v>156</v>
      </c>
      <c r="E296" s="130">
        <f t="shared" si="59"/>
        <v>1050</v>
      </c>
      <c r="F296" s="130">
        <f t="shared" si="55"/>
        <v>450</v>
      </c>
      <c r="G296" s="130">
        <v>120</v>
      </c>
      <c r="H296" s="130">
        <f>SUMIFS(基因产出!$F$90:$F$389,基因产出!$D$90:$D$389,"&lt;="&amp;E296,基因产出!$D$90:$D$389,"&gt;"&amp;_xlfn.MAXIFS($E$141:E296,$E$141:E296,"&lt;"&amp;E296))/COUNTIF($E$141:$E$500,E296)</f>
        <v>0</v>
      </c>
      <c r="I296" s="130">
        <f>IF(COUNTIF($I$141:$I295,$I295)=VLOOKUP($I295,$D$90:$E$120,2,0),$I295+1,$I295)</f>
        <v>18</v>
      </c>
      <c r="J296" s="131">
        <f t="shared" si="60"/>
        <v>106</v>
      </c>
      <c r="K296" s="132" t="str">
        <f t="shared" si="61"/>
        <v/>
      </c>
      <c r="L296" s="132">
        <f t="shared" si="62"/>
        <v>0.03</v>
      </c>
      <c r="M296" s="132" t="str">
        <f t="shared" si="63"/>
        <v/>
      </c>
      <c r="N296" s="132" t="str">
        <f t="shared" si="69"/>
        <v/>
      </c>
      <c r="O296" s="132" t="str">
        <f t="shared" si="64"/>
        <v/>
      </c>
      <c r="P296" s="141">
        <f>(SUM($Q$142:Q296)-SUM($H$141:H296))/SUM($H$141:H296)</f>
        <v>-0.47205406993829</v>
      </c>
      <c r="Q296" s="142">
        <f t="shared" si="56"/>
        <v>730</v>
      </c>
      <c r="R296" s="142">
        <f t="shared" si="76"/>
        <v>10870</v>
      </c>
      <c r="S296" s="133">
        <f t="shared" si="70"/>
        <v>14.3256291845494</v>
      </c>
      <c r="T296" s="134">
        <f>INT(SUM($W$141:W296)/3)+1</f>
        <v>35</v>
      </c>
      <c r="U296" s="135" t="str">
        <f t="shared" si="65"/>
        <v/>
      </c>
      <c r="V296" s="67" t="s">
        <v>168</v>
      </c>
      <c r="W296" s="137" t="str">
        <f t="shared" si="71"/>
        <v/>
      </c>
      <c r="X296" s="137" t="str">
        <f t="shared" si="66"/>
        <v/>
      </c>
      <c r="Y296" s="138"/>
      <c r="Z296" s="138">
        <v>2</v>
      </c>
      <c r="AA296" s="138">
        <v>3</v>
      </c>
      <c r="AB296" s="138" t="str">
        <f t="shared" si="75"/>
        <v>{10000,9000,8000}</v>
      </c>
      <c r="AC296" s="138">
        <v>1000</v>
      </c>
      <c r="AD296" s="138">
        <v>4000</v>
      </c>
      <c r="AE296" s="138">
        <f>SUM($R$141:$R296)+SUM($X$141:$X296)</f>
        <v>1520410</v>
      </c>
      <c r="AF296" s="138">
        <f>SUM($Q$142:Q296)</f>
        <v>53898</v>
      </c>
      <c r="AG296" s="137">
        <f t="shared" si="72"/>
        <v>1682104</v>
      </c>
      <c r="AH296" s="139">
        <f>SUM($S$141:S296)</f>
        <v>1049.99049545834</v>
      </c>
      <c r="AI296" s="133">
        <f t="shared" si="73"/>
        <v>7.16281459227468</v>
      </c>
      <c r="AJ296" s="15">
        <f t="shared" si="74"/>
        <v>618900</v>
      </c>
      <c r="AL296" s="15">
        <v>156</v>
      </c>
      <c r="AM296" s="15">
        <f t="shared" si="67"/>
        <v>239860</v>
      </c>
      <c r="AN296" s="15">
        <f>SUMIF([1]装备属性!$M$571:$M$870,"&lt;="&amp;AL296,[1]装备属性!$Q$571:$Q$870)</f>
        <v>192517.104787715</v>
      </c>
      <c r="AO296" s="15">
        <f t="shared" si="68"/>
        <v>1.24591526692908</v>
      </c>
    </row>
    <row r="297" ht="18" spans="1:41">
      <c r="A297" s="9" t="s">
        <v>247</v>
      </c>
      <c r="B297" s="9" t="str">
        <f t="shared" si="57"/>
        <v>[{5205001,3},{2,}]</v>
      </c>
      <c r="C297" s="51" t="str">
        <f t="shared" si="58"/>
        <v>[{5203001,740},{2,11010}]</v>
      </c>
      <c r="D297" s="140">
        <v>157</v>
      </c>
      <c r="E297" s="130">
        <f t="shared" si="59"/>
        <v>1065</v>
      </c>
      <c r="F297" s="130">
        <f t="shared" si="55"/>
        <v>455</v>
      </c>
      <c r="G297" s="130">
        <v>120</v>
      </c>
      <c r="H297" s="130">
        <f>SUMIFS(基因产出!$F$90:$F$389,基因产出!$D$90:$D$389,"&lt;="&amp;E297,基因产出!$D$90:$D$389,"&gt;"&amp;_xlfn.MAXIFS($E$141:E297,$E$141:E297,"&lt;"&amp;E297))/COUNTIF($E$141:$E$500,E297)</f>
        <v>0</v>
      </c>
      <c r="I297" s="130">
        <f>IF(COUNTIF($I$141:$I296,$I296)=VLOOKUP($I296,$D$90:$E$120,2,0),$I296+1,$I296)</f>
        <v>18</v>
      </c>
      <c r="J297" s="131">
        <f t="shared" si="60"/>
        <v>106</v>
      </c>
      <c r="K297" s="132">
        <f t="shared" si="61"/>
        <v>0.05</v>
      </c>
      <c r="L297" s="132" t="str">
        <f t="shared" si="62"/>
        <v/>
      </c>
      <c r="M297" s="132" t="str">
        <f t="shared" si="63"/>
        <v/>
      </c>
      <c r="N297" s="132" t="str">
        <f t="shared" si="69"/>
        <v/>
      </c>
      <c r="O297" s="132" t="str">
        <f t="shared" si="64"/>
        <v/>
      </c>
      <c r="P297" s="141">
        <f>(SUM($Q$142:Q297)-SUM($H$141:H297))/SUM($H$141:H297)</f>
        <v>-0.464854540111666</v>
      </c>
      <c r="Q297" s="142">
        <f t="shared" si="56"/>
        <v>735</v>
      </c>
      <c r="R297" s="142">
        <f t="shared" si="76"/>
        <v>10940</v>
      </c>
      <c r="S297" s="133">
        <f t="shared" si="70"/>
        <v>14.3263291845494</v>
      </c>
      <c r="T297" s="134">
        <f>INT(SUM($W$141:W297)/3)+1</f>
        <v>35</v>
      </c>
      <c r="U297" s="135" t="str">
        <f t="shared" si="65"/>
        <v/>
      </c>
      <c r="V297" s="67" t="s">
        <v>168</v>
      </c>
      <c r="W297" s="137" t="str">
        <f t="shared" si="71"/>
        <v/>
      </c>
      <c r="X297" s="137" t="str">
        <f t="shared" si="66"/>
        <v/>
      </c>
      <c r="Y297" s="138"/>
      <c r="Z297" s="138">
        <v>2</v>
      </c>
      <c r="AA297" s="138">
        <v>3</v>
      </c>
      <c r="AB297" s="138" t="str">
        <f t="shared" si="75"/>
        <v>{10000,9000,8000}</v>
      </c>
      <c r="AC297" s="138">
        <v>1000</v>
      </c>
      <c r="AD297" s="138">
        <v>4000</v>
      </c>
      <c r="AE297" s="138">
        <f>SUM($R$141:$R297)+SUM($X$141:$X297)</f>
        <v>1531350</v>
      </c>
      <c r="AF297" s="138">
        <f>SUM($Q$142:Q297)</f>
        <v>54633</v>
      </c>
      <c r="AG297" s="137">
        <f t="shared" si="72"/>
        <v>1695249</v>
      </c>
      <c r="AH297" s="139">
        <f>SUM($S$141:S297)</f>
        <v>1064.31682464289</v>
      </c>
      <c r="AI297" s="133">
        <f t="shared" si="73"/>
        <v>7.16316459227468</v>
      </c>
      <c r="AJ297" s="15">
        <f t="shared" si="74"/>
        <v>618900</v>
      </c>
      <c r="AL297" s="15">
        <v>157</v>
      </c>
      <c r="AM297" s="15">
        <f t="shared" si="67"/>
        <v>245690</v>
      </c>
      <c r="AN297" s="15">
        <f>SUMIF([1]装备属性!$M$571:$M$870,"&lt;="&amp;AL297,[1]装备属性!$Q$571:$Q$870)</f>
        <v>192517.104787715</v>
      </c>
      <c r="AO297" s="15">
        <f t="shared" si="68"/>
        <v>1.27619829038525</v>
      </c>
    </row>
    <row r="298" ht="18" spans="1:41">
      <c r="A298" s="9" t="s">
        <v>248</v>
      </c>
      <c r="B298" s="9" t="str">
        <f t="shared" si="57"/>
        <v>[{5205001,3},{2,}]</v>
      </c>
      <c r="C298" s="51" t="str">
        <f t="shared" si="58"/>
        <v>[{5203001,745},{2,11080}]</v>
      </c>
      <c r="D298" s="140">
        <v>158</v>
      </c>
      <c r="E298" s="130">
        <f t="shared" si="59"/>
        <v>1079</v>
      </c>
      <c r="F298" s="130">
        <f t="shared" si="55"/>
        <v>460</v>
      </c>
      <c r="G298" s="130">
        <v>120</v>
      </c>
      <c r="H298" s="130">
        <f>SUMIFS(基因产出!$F$90:$F$389,基因产出!$D$90:$D$389,"&lt;="&amp;E298,基因产出!$D$90:$D$389,"&gt;"&amp;_xlfn.MAXIFS($E$141:E298,$E$141:E298,"&lt;"&amp;E298))/COUNTIF($E$141:$E$500,E298)</f>
        <v>0</v>
      </c>
      <c r="I298" s="130">
        <f>IF(COUNTIF($I$141:$I297,$I297)=VLOOKUP($I297,$D$90:$E$120,2,0),$I297+1,$I297)</f>
        <v>18</v>
      </c>
      <c r="J298" s="131">
        <f t="shared" si="60"/>
        <v>106</v>
      </c>
      <c r="K298" s="132" t="str">
        <f t="shared" si="61"/>
        <v/>
      </c>
      <c r="L298" s="132" t="str">
        <f t="shared" si="62"/>
        <v/>
      </c>
      <c r="M298" s="132" t="str">
        <f t="shared" si="63"/>
        <v/>
      </c>
      <c r="N298" s="132">
        <f t="shared" si="69"/>
        <v>0.0075</v>
      </c>
      <c r="O298" s="132" t="str">
        <f t="shared" si="64"/>
        <v/>
      </c>
      <c r="P298" s="141">
        <f>(SUM($Q$142:Q298)-SUM($H$141:H298))/SUM($H$141:H298)</f>
        <v>-0.457606033891664</v>
      </c>
      <c r="Q298" s="142">
        <f t="shared" si="56"/>
        <v>740</v>
      </c>
      <c r="R298" s="142">
        <f t="shared" si="76"/>
        <v>11010</v>
      </c>
      <c r="S298" s="133">
        <f t="shared" si="70"/>
        <v>14.3270291845494</v>
      </c>
      <c r="T298" s="134">
        <f>INT(SUM($W$141:W298)/3)+1</f>
        <v>35</v>
      </c>
      <c r="U298" s="135" t="str">
        <f t="shared" si="65"/>
        <v/>
      </c>
      <c r="V298" s="67" t="s">
        <v>168</v>
      </c>
      <c r="W298" s="137" t="str">
        <f t="shared" si="71"/>
        <v/>
      </c>
      <c r="X298" s="137" t="str">
        <f t="shared" si="66"/>
        <v/>
      </c>
      <c r="Y298" s="138"/>
      <c r="Z298" s="138">
        <v>2</v>
      </c>
      <c r="AA298" s="138">
        <v>3</v>
      </c>
      <c r="AB298" s="138" t="str">
        <f t="shared" si="75"/>
        <v>{10000,9000,8000}</v>
      </c>
      <c r="AC298" s="138">
        <v>1000</v>
      </c>
      <c r="AD298" s="138">
        <v>4000</v>
      </c>
      <c r="AE298" s="138">
        <f>SUM($R$141:$R298)+SUM($X$141:$X298)</f>
        <v>1542360</v>
      </c>
      <c r="AF298" s="138">
        <f>SUM($Q$142:Q298)</f>
        <v>55373</v>
      </c>
      <c r="AG298" s="137">
        <f t="shared" si="72"/>
        <v>1708479</v>
      </c>
      <c r="AH298" s="139">
        <f>SUM($S$141:S298)</f>
        <v>1078.64385382744</v>
      </c>
      <c r="AI298" s="133">
        <f t="shared" si="73"/>
        <v>7.16351459227468</v>
      </c>
      <c r="AJ298" s="15">
        <f t="shared" si="74"/>
        <v>619200</v>
      </c>
      <c r="AL298" s="15">
        <v>158</v>
      </c>
      <c r="AM298" s="15">
        <f t="shared" si="67"/>
        <v>245690</v>
      </c>
      <c r="AN298" s="15">
        <f>SUMIF([1]装备属性!$M$571:$M$870,"&lt;="&amp;AL298,[1]装备属性!$Q$571:$Q$870)</f>
        <v>192517.104787715</v>
      </c>
      <c r="AO298" s="15">
        <f t="shared" si="68"/>
        <v>1.27619829038525</v>
      </c>
    </row>
    <row r="299" ht="18" spans="1:41">
      <c r="A299" s="9" t="s">
        <v>249</v>
      </c>
      <c r="B299" s="9" t="str">
        <f t="shared" si="57"/>
        <v>[{5205001,3},{2,}]</v>
      </c>
      <c r="C299" s="51" t="str">
        <f t="shared" si="58"/>
        <v>[{5203001,750},{2,11150}]</v>
      </c>
      <c r="D299" s="140">
        <v>159</v>
      </c>
      <c r="E299" s="130">
        <f t="shared" si="59"/>
        <v>1093</v>
      </c>
      <c r="F299" s="130">
        <f t="shared" si="55"/>
        <v>465</v>
      </c>
      <c r="G299" s="130">
        <v>120</v>
      </c>
      <c r="H299" s="130">
        <f>SUMIFS(基因产出!$F$90:$F$389,基因产出!$D$90:$D$389,"&lt;="&amp;E299,基因产出!$D$90:$D$389,"&gt;"&amp;_xlfn.MAXIFS($E$141:E299,$E$141:E299,"&lt;"&amp;E299))/COUNTIF($E$141:$E$500,E299)</f>
        <v>0</v>
      </c>
      <c r="I299" s="130">
        <f>IF(COUNTIF($I$141:$I298,$I298)=VLOOKUP($I298,$D$90:$E$120,2,0),$I298+1,$I298)</f>
        <v>18</v>
      </c>
      <c r="J299" s="131">
        <f t="shared" si="60"/>
        <v>106</v>
      </c>
      <c r="K299" s="132" t="str">
        <f t="shared" si="61"/>
        <v/>
      </c>
      <c r="L299" s="132" t="str">
        <f t="shared" si="62"/>
        <v/>
      </c>
      <c r="M299" s="132">
        <f t="shared" si="63"/>
        <v>0.002</v>
      </c>
      <c r="N299" s="132" t="str">
        <f t="shared" si="69"/>
        <v/>
      </c>
      <c r="O299" s="132" t="str">
        <f t="shared" si="64"/>
        <v/>
      </c>
      <c r="P299" s="141">
        <f>(SUM($Q$142:Q299)-SUM($H$141:H299))/SUM($H$141:H299)</f>
        <v>-0.450308551278284</v>
      </c>
      <c r="Q299" s="142">
        <f t="shared" si="56"/>
        <v>745</v>
      </c>
      <c r="R299" s="142">
        <f t="shared" si="76"/>
        <v>11080</v>
      </c>
      <c r="S299" s="133">
        <f t="shared" si="70"/>
        <v>14.3277291845494</v>
      </c>
      <c r="T299" s="134">
        <f>INT(SUM($W$141:W299)/3)+1</f>
        <v>35</v>
      </c>
      <c r="U299" s="135" t="str">
        <f t="shared" si="65"/>
        <v/>
      </c>
      <c r="V299" s="67" t="s">
        <v>168</v>
      </c>
      <c r="W299" s="137" t="str">
        <f t="shared" si="71"/>
        <v/>
      </c>
      <c r="X299" s="137" t="str">
        <f t="shared" si="66"/>
        <v/>
      </c>
      <c r="Y299" s="138"/>
      <c r="Z299" s="138">
        <v>2</v>
      </c>
      <c r="AA299" s="138">
        <v>3</v>
      </c>
      <c r="AB299" s="138" t="str">
        <f t="shared" si="75"/>
        <v>{10000,9000,8000}</v>
      </c>
      <c r="AC299" s="138">
        <v>1000</v>
      </c>
      <c r="AD299" s="138">
        <v>4000</v>
      </c>
      <c r="AE299" s="138">
        <f>SUM($R$141:$R299)+SUM($X$141:$X299)</f>
        <v>1553440</v>
      </c>
      <c r="AF299" s="138">
        <f>SUM($Q$142:Q299)</f>
        <v>56118</v>
      </c>
      <c r="AG299" s="137">
        <f t="shared" si="72"/>
        <v>1721794</v>
      </c>
      <c r="AH299" s="139">
        <f>SUM($S$141:S299)</f>
        <v>1092.97158301199</v>
      </c>
      <c r="AI299" s="133">
        <f t="shared" si="73"/>
        <v>7.16386459227468</v>
      </c>
      <c r="AJ299" s="15">
        <f t="shared" si="74"/>
        <v>619200</v>
      </c>
      <c r="AL299" s="15">
        <v>159</v>
      </c>
      <c r="AM299" s="15">
        <f t="shared" si="67"/>
        <v>245690</v>
      </c>
      <c r="AN299" s="15">
        <f>SUMIF([1]装备属性!$M$571:$M$870,"&lt;="&amp;AL299,[1]装备属性!$Q$571:$Q$870)</f>
        <v>192517.104787715</v>
      </c>
      <c r="AO299" s="15">
        <f t="shared" si="68"/>
        <v>1.27619829038525</v>
      </c>
    </row>
    <row r="300" ht="18" spans="1:41">
      <c r="A300" s="9" t="s">
        <v>250</v>
      </c>
      <c r="B300" s="9" t="str">
        <f t="shared" si="57"/>
        <v>[{5205001,3},{2,44600}]</v>
      </c>
      <c r="C300" s="51" t="str">
        <f t="shared" si="58"/>
        <v>[{5203001,755},{2,11220}]</v>
      </c>
      <c r="D300" s="140">
        <v>160</v>
      </c>
      <c r="E300" s="130">
        <f t="shared" si="59"/>
        <v>1108</v>
      </c>
      <c r="F300" s="130">
        <f t="shared" si="55"/>
        <v>470</v>
      </c>
      <c r="G300" s="130">
        <v>120</v>
      </c>
      <c r="H300" s="130">
        <f>SUMIFS(基因产出!$F$90:$F$389,基因产出!$D$90:$D$389,"&lt;="&amp;E300,基因产出!$D$90:$D$389,"&gt;"&amp;_xlfn.MAXIFS($E$141:E300,$E$141:E300,"&lt;"&amp;E300))/COUNTIF($E$141:$E$500,E300)</f>
        <v>0</v>
      </c>
      <c r="I300" s="130">
        <f>IF(COUNTIF($I$141:$I299,$I299)=VLOOKUP($I299,$D$90:$E$120,2,0),$I299+1,$I299)</f>
        <v>18</v>
      </c>
      <c r="J300" s="131">
        <f t="shared" si="60"/>
        <v>106</v>
      </c>
      <c r="K300" s="132" t="str">
        <f t="shared" si="61"/>
        <v/>
      </c>
      <c r="L300" s="132">
        <f t="shared" si="62"/>
        <v>0.03</v>
      </c>
      <c r="M300" s="132" t="str">
        <f t="shared" si="63"/>
        <v/>
      </c>
      <c r="N300" s="132" t="str">
        <f t="shared" si="69"/>
        <v/>
      </c>
      <c r="O300" s="132" t="str">
        <f t="shared" si="64"/>
        <v/>
      </c>
      <c r="P300" s="141">
        <f>(SUM($Q$142:Q300)-SUM($H$141:H300))/SUM($H$141:H300)</f>
        <v>-0.442962092271525</v>
      </c>
      <c r="Q300" s="142">
        <f t="shared" si="56"/>
        <v>750</v>
      </c>
      <c r="R300" s="142">
        <f t="shared" si="76"/>
        <v>11150</v>
      </c>
      <c r="S300" s="133">
        <f t="shared" si="70"/>
        <v>14.3284291845494</v>
      </c>
      <c r="T300" s="134">
        <f>INT(SUM($W$141:W300)/3)+1</f>
        <v>36</v>
      </c>
      <c r="U300" s="135" t="str">
        <f t="shared" si="65"/>
        <v/>
      </c>
      <c r="V300" s="67" t="s">
        <v>91</v>
      </c>
      <c r="W300" s="137">
        <f t="shared" si="71"/>
        <v>3</v>
      </c>
      <c r="X300" s="137">
        <f t="shared" si="66"/>
        <v>44600</v>
      </c>
      <c r="Y300" s="138"/>
      <c r="Z300" s="138">
        <v>2</v>
      </c>
      <c r="AA300" s="138">
        <v>3</v>
      </c>
      <c r="AB300" s="138" t="str">
        <f t="shared" si="75"/>
        <v>{10000,9000,8000}</v>
      </c>
      <c r="AC300" s="138">
        <v>1000</v>
      </c>
      <c r="AD300" s="138">
        <v>4000</v>
      </c>
      <c r="AE300" s="138">
        <f>SUM($R$141:$R300)+SUM($X$141:$X300)</f>
        <v>1609190</v>
      </c>
      <c r="AF300" s="138">
        <f>SUM($Q$142:Q300)</f>
        <v>56868</v>
      </c>
      <c r="AG300" s="137">
        <f t="shared" si="72"/>
        <v>1779794</v>
      </c>
      <c r="AH300" s="139">
        <f>SUM($S$141:S300)</f>
        <v>1107.30001219654</v>
      </c>
      <c r="AI300" s="133">
        <f t="shared" si="73"/>
        <v>7.16421459227468</v>
      </c>
      <c r="AJ300" s="15">
        <f t="shared" si="74"/>
        <v>619200</v>
      </c>
      <c r="AL300" s="15">
        <v>160</v>
      </c>
      <c r="AM300" s="15">
        <f t="shared" si="67"/>
        <v>245690</v>
      </c>
      <c r="AN300" s="15">
        <f>SUMIF([1]装备属性!$M$571:$M$870,"&lt;="&amp;AL300,[1]装备属性!$Q$571:$Q$870)</f>
        <v>192517.104787715</v>
      </c>
      <c r="AO300" s="15">
        <f t="shared" si="68"/>
        <v>1.27619829038525</v>
      </c>
    </row>
    <row r="301" ht="18" spans="1:41">
      <c r="A301" s="9" t="s">
        <v>247</v>
      </c>
      <c r="B301" s="9" t="str">
        <f t="shared" si="57"/>
        <v>[{5205001,3},{2,}]</v>
      </c>
      <c r="C301" s="51" t="str">
        <f t="shared" si="58"/>
        <v>[{5203001,760},{2,11290}]</v>
      </c>
      <c r="D301" s="140">
        <v>161</v>
      </c>
      <c r="E301" s="130">
        <f t="shared" si="59"/>
        <v>1122</v>
      </c>
      <c r="F301" s="130">
        <f t="shared" si="55"/>
        <v>475</v>
      </c>
      <c r="G301" s="130">
        <v>120</v>
      </c>
      <c r="H301" s="130">
        <f>SUMIFS(基因产出!$F$90:$F$389,基因产出!$D$90:$D$389,"&lt;="&amp;E301,基因产出!$D$90:$D$389,"&gt;"&amp;_xlfn.MAXIFS($E$141:E301,$E$141:E301,"&lt;"&amp;E301))/COUNTIF($E$141:$E$500,E301)</f>
        <v>0</v>
      </c>
      <c r="I301" s="130">
        <f>IF(COUNTIF($I$141:$I300,$I300)=VLOOKUP($I300,$D$90:$E$120,2,0),$I300+1,$I300)</f>
        <v>18</v>
      </c>
      <c r="J301" s="131">
        <f t="shared" si="60"/>
        <v>106</v>
      </c>
      <c r="K301" s="132">
        <f t="shared" si="61"/>
        <v>0.05</v>
      </c>
      <c r="L301" s="132" t="str">
        <f t="shared" si="62"/>
        <v/>
      </c>
      <c r="M301" s="132" t="str">
        <f t="shared" si="63"/>
        <v/>
      </c>
      <c r="N301" s="132" t="str">
        <f t="shared" si="69"/>
        <v/>
      </c>
      <c r="O301" s="132" t="str">
        <f t="shared" si="64"/>
        <v/>
      </c>
      <c r="P301" s="141">
        <f>(SUM($Q$142:Q301)-SUM($H$141:H301))/SUM($H$141:H301)</f>
        <v>-0.435566656871388</v>
      </c>
      <c r="Q301" s="142">
        <f t="shared" si="56"/>
        <v>755</v>
      </c>
      <c r="R301" s="142">
        <f t="shared" si="76"/>
        <v>11220</v>
      </c>
      <c r="S301" s="133">
        <f t="shared" si="70"/>
        <v>14.3291291845494</v>
      </c>
      <c r="T301" s="134">
        <f>INT(SUM($W$141:W301)/3)+1</f>
        <v>36</v>
      </c>
      <c r="U301" s="135" t="str">
        <f t="shared" si="65"/>
        <v/>
      </c>
      <c r="V301" s="67" t="s">
        <v>168</v>
      </c>
      <c r="W301" s="137" t="str">
        <f t="shared" si="71"/>
        <v/>
      </c>
      <c r="X301" s="137" t="str">
        <f t="shared" si="66"/>
        <v/>
      </c>
      <c r="Y301" s="138"/>
      <c r="Z301" s="138">
        <v>2</v>
      </c>
      <c r="AA301" s="138">
        <v>3</v>
      </c>
      <c r="AB301" s="138" t="str">
        <f t="shared" si="75"/>
        <v>{10000,9000,8000}</v>
      </c>
      <c r="AC301" s="138">
        <v>1000</v>
      </c>
      <c r="AD301" s="138">
        <v>4000</v>
      </c>
      <c r="AE301" s="138">
        <f>SUM($R$141:$R301)+SUM($X$141:$X301)</f>
        <v>1620410</v>
      </c>
      <c r="AF301" s="138">
        <f>SUM($Q$142:Q301)</f>
        <v>57623</v>
      </c>
      <c r="AG301" s="137">
        <f t="shared" si="72"/>
        <v>1793279</v>
      </c>
      <c r="AH301" s="139">
        <f>SUM($S$141:S301)</f>
        <v>1121.62914138109</v>
      </c>
      <c r="AI301" s="133">
        <f t="shared" si="73"/>
        <v>7.16456459227468</v>
      </c>
      <c r="AJ301" s="15">
        <f t="shared" si="74"/>
        <v>619200</v>
      </c>
      <c r="AL301" s="15">
        <v>161</v>
      </c>
      <c r="AM301" s="15">
        <f t="shared" si="67"/>
        <v>245690</v>
      </c>
      <c r="AN301" s="15">
        <f>SUMIF([1]装备属性!$M$571:$M$870,"&lt;="&amp;AL301,[1]装备属性!$Q$571:$Q$870)</f>
        <v>192517.104787715</v>
      </c>
      <c r="AO301" s="15">
        <f t="shared" si="68"/>
        <v>1.27619829038525</v>
      </c>
    </row>
    <row r="302" ht="18" spans="1:41">
      <c r="A302" s="9" t="s">
        <v>248</v>
      </c>
      <c r="B302" s="9" t="str">
        <f t="shared" si="57"/>
        <v>[{5205001,3},{2,}]</v>
      </c>
      <c r="C302" s="51" t="str">
        <f t="shared" si="58"/>
        <v>[{5203001,765},{2,11360}]</v>
      </c>
      <c r="D302" s="140">
        <v>162</v>
      </c>
      <c r="E302" s="130">
        <f t="shared" si="59"/>
        <v>1136</v>
      </c>
      <c r="F302" s="130">
        <f t="shared" ref="F302:F365" si="77">F301+5</f>
        <v>480</v>
      </c>
      <c r="G302" s="130">
        <v>120</v>
      </c>
      <c r="H302" s="130">
        <f>SUMIFS(基因产出!$F$90:$F$389,基因产出!$D$90:$D$389,"&lt;="&amp;E302,基因产出!$D$90:$D$389,"&gt;"&amp;_xlfn.MAXIFS($E$141:E302,$E$141:E302,"&lt;"&amp;E302))/COUNTIF($E$141:$E$500,E302)</f>
        <v>0</v>
      </c>
      <c r="I302" s="130">
        <f>IF(COUNTIF($I$141:$I301,$I301)=VLOOKUP($I301,$D$90:$E$120,2,0),$I301+1,$I301)</f>
        <v>18</v>
      </c>
      <c r="J302" s="131">
        <f t="shared" si="60"/>
        <v>106</v>
      </c>
      <c r="K302" s="132" t="str">
        <f t="shared" si="61"/>
        <v/>
      </c>
      <c r="L302" s="132" t="str">
        <f t="shared" si="62"/>
        <v/>
      </c>
      <c r="M302" s="132" t="str">
        <f t="shared" si="63"/>
        <v/>
      </c>
      <c r="N302" s="132">
        <f t="shared" si="69"/>
        <v>0.0075</v>
      </c>
      <c r="O302" s="132" t="str">
        <f t="shared" si="64"/>
        <v/>
      </c>
      <c r="P302" s="141">
        <f>(SUM($Q$142:Q302)-SUM($H$141:H302))/SUM($H$141:H302)</f>
        <v>-0.428122245077872</v>
      </c>
      <c r="Q302" s="142">
        <f t="shared" si="56"/>
        <v>760</v>
      </c>
      <c r="R302" s="142">
        <f t="shared" si="76"/>
        <v>11290</v>
      </c>
      <c r="S302" s="133">
        <f t="shared" si="70"/>
        <v>14.3298291845494</v>
      </c>
      <c r="T302" s="134">
        <f>INT(SUM($W$141:W302)/3)+1</f>
        <v>36</v>
      </c>
      <c r="U302" s="135" t="str">
        <f t="shared" si="65"/>
        <v/>
      </c>
      <c r="V302" s="67" t="s">
        <v>168</v>
      </c>
      <c r="W302" s="137" t="str">
        <f t="shared" si="71"/>
        <v/>
      </c>
      <c r="X302" s="137" t="str">
        <f t="shared" si="66"/>
        <v/>
      </c>
      <c r="Y302" s="138"/>
      <c r="Z302" s="138">
        <v>2</v>
      </c>
      <c r="AA302" s="138">
        <v>3</v>
      </c>
      <c r="AB302" s="138" t="str">
        <f t="shared" si="75"/>
        <v>{10000,9000,8000}</v>
      </c>
      <c r="AC302" s="138">
        <v>1000</v>
      </c>
      <c r="AD302" s="138">
        <v>4000</v>
      </c>
      <c r="AE302" s="138">
        <f>SUM($R$141:$R302)+SUM($X$141:$X302)</f>
        <v>1631700</v>
      </c>
      <c r="AF302" s="138">
        <f>SUM($Q$142:Q302)</f>
        <v>58383</v>
      </c>
      <c r="AG302" s="137">
        <f t="shared" si="72"/>
        <v>1806849</v>
      </c>
      <c r="AH302" s="139">
        <f>SUM($S$141:S302)</f>
        <v>1135.95897056564</v>
      </c>
      <c r="AI302" s="133">
        <f t="shared" si="73"/>
        <v>7.16491459227468</v>
      </c>
      <c r="AJ302" s="15">
        <f t="shared" si="74"/>
        <v>619200</v>
      </c>
      <c r="AL302" s="15">
        <v>162</v>
      </c>
      <c r="AM302" s="15">
        <f t="shared" si="67"/>
        <v>245690</v>
      </c>
      <c r="AN302" s="15">
        <f>SUMIF([1]装备属性!$M$571:$M$870,"&lt;="&amp;AL302,[1]装备属性!$Q$571:$Q$870)</f>
        <v>192517.104787715</v>
      </c>
      <c r="AO302" s="15">
        <f t="shared" si="68"/>
        <v>1.27619829038525</v>
      </c>
    </row>
    <row r="303" ht="18" spans="1:41">
      <c r="A303" s="9" t="s">
        <v>249</v>
      </c>
      <c r="B303" s="9" t="str">
        <f t="shared" si="57"/>
        <v>[{5205001,3},{2,}]</v>
      </c>
      <c r="C303" s="51" t="str">
        <f t="shared" si="58"/>
        <v>[{5203001,770},{2,11430}]</v>
      </c>
      <c r="D303" s="140">
        <v>163</v>
      </c>
      <c r="E303" s="130">
        <f t="shared" si="59"/>
        <v>1151</v>
      </c>
      <c r="F303" s="130">
        <f t="shared" si="77"/>
        <v>485</v>
      </c>
      <c r="G303" s="130">
        <v>120</v>
      </c>
      <c r="H303" s="130">
        <f>SUMIFS(基因产出!$F$90:$F$389,基因产出!$D$90:$D$389,"&lt;="&amp;E303,基因产出!$D$90:$D$389,"&gt;"&amp;_xlfn.MAXIFS($E$141:E303,$E$141:E303,"&lt;"&amp;E303))/COUNTIF($E$141:$E$500,E303)</f>
        <v>0</v>
      </c>
      <c r="I303" s="130">
        <f>IF(COUNTIF($I$141:$I302,$I302)=VLOOKUP($I302,$D$90:$E$120,2,0),$I302+1,$I302)</f>
        <v>18</v>
      </c>
      <c r="J303" s="131">
        <f t="shared" si="60"/>
        <v>106</v>
      </c>
      <c r="K303" s="132" t="str">
        <f t="shared" si="61"/>
        <v/>
      </c>
      <c r="L303" s="132" t="str">
        <f t="shared" si="62"/>
        <v/>
      </c>
      <c r="M303" s="132">
        <f t="shared" si="63"/>
        <v>0.002</v>
      </c>
      <c r="N303" s="132" t="str">
        <f t="shared" si="69"/>
        <v/>
      </c>
      <c r="O303" s="132" t="str">
        <f t="shared" si="64"/>
        <v/>
      </c>
      <c r="P303" s="141">
        <f>(SUM($Q$142:Q303)-SUM($H$141:H303))/SUM($H$141:H303)</f>
        <v>-0.420628856890979</v>
      </c>
      <c r="Q303" s="142">
        <f t="shared" si="56"/>
        <v>765</v>
      </c>
      <c r="R303" s="142">
        <f t="shared" si="76"/>
        <v>11360</v>
      </c>
      <c r="S303" s="133">
        <f t="shared" si="70"/>
        <v>14.3305291845494</v>
      </c>
      <c r="T303" s="134">
        <f>INT(SUM($W$141:W303)/3)+1</f>
        <v>36</v>
      </c>
      <c r="U303" s="135" t="str">
        <f t="shared" si="65"/>
        <v/>
      </c>
      <c r="V303" s="67" t="s">
        <v>168</v>
      </c>
      <c r="W303" s="137" t="str">
        <f t="shared" si="71"/>
        <v/>
      </c>
      <c r="X303" s="137" t="str">
        <f t="shared" si="66"/>
        <v/>
      </c>
      <c r="Y303" s="138"/>
      <c r="Z303" s="138">
        <v>2</v>
      </c>
      <c r="AA303" s="138">
        <v>3</v>
      </c>
      <c r="AB303" s="138" t="str">
        <f t="shared" si="75"/>
        <v>{10000,9000,8000}</v>
      </c>
      <c r="AC303" s="138">
        <v>1000</v>
      </c>
      <c r="AD303" s="138">
        <v>4000</v>
      </c>
      <c r="AE303" s="138">
        <f>SUM($R$141:$R303)+SUM($X$141:$X303)</f>
        <v>1643060</v>
      </c>
      <c r="AF303" s="138">
        <f>SUM($Q$142:Q303)</f>
        <v>59148</v>
      </c>
      <c r="AG303" s="137">
        <f t="shared" si="72"/>
        <v>1820504</v>
      </c>
      <c r="AH303" s="139">
        <f>SUM($S$141:S303)</f>
        <v>1150.28949975019</v>
      </c>
      <c r="AI303" s="133">
        <f t="shared" si="73"/>
        <v>7.16526459227468</v>
      </c>
      <c r="AJ303" s="15">
        <f t="shared" si="74"/>
        <v>619200</v>
      </c>
      <c r="AL303" s="15">
        <v>163</v>
      </c>
      <c r="AM303" s="15">
        <f t="shared" si="67"/>
        <v>245690</v>
      </c>
      <c r="AN303" s="15">
        <f>SUMIF([1]装备属性!$M$571:$M$870,"&lt;="&amp;AL303,[1]装备属性!$Q$571:$Q$870)</f>
        <v>192517.104787715</v>
      </c>
      <c r="AO303" s="15">
        <f t="shared" si="68"/>
        <v>1.27619829038525</v>
      </c>
    </row>
    <row r="304" ht="18" spans="1:41">
      <c r="A304" s="9" t="s">
        <v>250</v>
      </c>
      <c r="B304" s="9" t="str">
        <f t="shared" si="57"/>
        <v>[{5205001,3},{2,}]</v>
      </c>
      <c r="C304" s="51" t="str">
        <f t="shared" si="58"/>
        <v>[{5203001,775},{2,11500}]</v>
      </c>
      <c r="D304" s="140">
        <v>164</v>
      </c>
      <c r="E304" s="130">
        <f t="shared" si="59"/>
        <v>1165</v>
      </c>
      <c r="F304" s="130">
        <f t="shared" si="77"/>
        <v>490</v>
      </c>
      <c r="G304" s="130">
        <v>120</v>
      </c>
      <c r="H304" s="130">
        <f>SUMIFS(基因产出!$F$90:$F$389,基因产出!$D$90:$D$389,"&lt;="&amp;E304,基因产出!$D$90:$D$389,"&gt;"&amp;_xlfn.MAXIFS($E$141:E304,$E$141:E304,"&lt;"&amp;E304))/COUNTIF($E$141:$E$500,E304)</f>
        <v>0</v>
      </c>
      <c r="I304" s="130">
        <f>IF(COUNTIF($I$141:$I303,$I303)=VLOOKUP($I303,$D$90:$E$120,2,0),$I303+1,$I303)</f>
        <v>18</v>
      </c>
      <c r="J304" s="131">
        <f t="shared" si="60"/>
        <v>106</v>
      </c>
      <c r="K304" s="132" t="str">
        <f t="shared" si="61"/>
        <v/>
      </c>
      <c r="L304" s="132">
        <f t="shared" si="62"/>
        <v>0.03</v>
      </c>
      <c r="M304" s="132" t="str">
        <f t="shared" si="63"/>
        <v/>
      </c>
      <c r="N304" s="132" t="str">
        <f t="shared" si="69"/>
        <v/>
      </c>
      <c r="O304" s="132" t="str">
        <f t="shared" si="64"/>
        <v/>
      </c>
      <c r="P304" s="141">
        <f>(SUM($Q$142:Q304)-SUM($H$141:H304))/SUM($H$141:H304)</f>
        <v>-0.413086492310706</v>
      </c>
      <c r="Q304" s="142">
        <f t="shared" si="56"/>
        <v>770</v>
      </c>
      <c r="R304" s="142">
        <f t="shared" si="76"/>
        <v>11430</v>
      </c>
      <c r="S304" s="133">
        <f t="shared" si="70"/>
        <v>14.3312291845494</v>
      </c>
      <c r="T304" s="134">
        <f>INT(SUM($W$141:W304)/3)+1</f>
        <v>36</v>
      </c>
      <c r="U304" s="135" t="str">
        <f t="shared" si="65"/>
        <v/>
      </c>
      <c r="V304" s="67" t="s">
        <v>168</v>
      </c>
      <c r="W304" s="137" t="str">
        <f t="shared" si="71"/>
        <v/>
      </c>
      <c r="X304" s="137" t="str">
        <f t="shared" si="66"/>
        <v/>
      </c>
      <c r="Y304" s="138"/>
      <c r="Z304" s="138">
        <v>2</v>
      </c>
      <c r="AA304" s="138">
        <v>3</v>
      </c>
      <c r="AB304" s="138" t="str">
        <f t="shared" si="75"/>
        <v>{10000,9000,8000}</v>
      </c>
      <c r="AC304" s="138">
        <v>1000</v>
      </c>
      <c r="AD304" s="138">
        <v>4000</v>
      </c>
      <c r="AE304" s="138">
        <f>SUM($R$141:$R304)+SUM($X$141:$X304)</f>
        <v>1654490</v>
      </c>
      <c r="AF304" s="138">
        <f>SUM($Q$142:Q304)</f>
        <v>59918</v>
      </c>
      <c r="AG304" s="137">
        <f t="shared" si="72"/>
        <v>1834244</v>
      </c>
      <c r="AH304" s="139">
        <f>SUM($S$141:S304)</f>
        <v>1164.62072893474</v>
      </c>
      <c r="AI304" s="133">
        <f t="shared" si="73"/>
        <v>7.16561459227468</v>
      </c>
      <c r="AJ304" s="15">
        <f t="shared" si="74"/>
        <v>619200</v>
      </c>
      <c r="AL304" s="15">
        <v>164</v>
      </c>
      <c r="AM304" s="15">
        <f t="shared" si="67"/>
        <v>251590</v>
      </c>
      <c r="AN304" s="15">
        <f>SUMIF([1]装备属性!$M$571:$M$870,"&lt;="&amp;AL304,[1]装备属性!$Q$571:$Q$870)</f>
        <v>192517.104787715</v>
      </c>
      <c r="AO304" s="15">
        <f t="shared" si="68"/>
        <v>1.30684491789664</v>
      </c>
    </row>
    <row r="305" ht="18" spans="1:41">
      <c r="A305" s="9" t="s">
        <v>247</v>
      </c>
      <c r="B305" s="9" t="str">
        <f t="shared" si="57"/>
        <v>[{5205001,3},{2,}]</v>
      </c>
      <c r="C305" s="51" t="str">
        <f t="shared" si="58"/>
        <v>[{5203001,780},{2,11570}]</v>
      </c>
      <c r="D305" s="140">
        <v>165</v>
      </c>
      <c r="E305" s="130">
        <f t="shared" si="59"/>
        <v>1179</v>
      </c>
      <c r="F305" s="130">
        <f t="shared" si="77"/>
        <v>495</v>
      </c>
      <c r="G305" s="130">
        <v>120</v>
      </c>
      <c r="H305" s="130">
        <f>SUMIFS(基因产出!$F$90:$F$389,基因产出!$D$90:$D$389,"&lt;="&amp;E305,基因产出!$D$90:$D$389,"&gt;"&amp;_xlfn.MAXIFS($E$141:E305,$E$141:E305,"&lt;"&amp;E305))/COUNTIF($E$141:$E$500,E305)</f>
        <v>0</v>
      </c>
      <c r="I305" s="130">
        <f>IF(COUNTIF($I$141:$I304,$I304)=VLOOKUP($I304,$D$90:$E$120,2,0),$I304+1,$I304)</f>
        <v>18</v>
      </c>
      <c r="J305" s="131">
        <f t="shared" si="60"/>
        <v>106</v>
      </c>
      <c r="K305" s="132">
        <f t="shared" si="61"/>
        <v>0.05</v>
      </c>
      <c r="L305" s="132" t="str">
        <f t="shared" si="62"/>
        <v/>
      </c>
      <c r="M305" s="132" t="str">
        <f t="shared" si="63"/>
        <v/>
      </c>
      <c r="N305" s="132" t="str">
        <f t="shared" si="69"/>
        <v/>
      </c>
      <c r="O305" s="132" t="str">
        <f t="shared" si="64"/>
        <v/>
      </c>
      <c r="P305" s="141">
        <f>(SUM($Q$142:Q305)-SUM($H$141:H305))/SUM($H$141:H305)</f>
        <v>-0.405495151337056</v>
      </c>
      <c r="Q305" s="142">
        <f t="shared" si="56"/>
        <v>775</v>
      </c>
      <c r="R305" s="142">
        <f t="shared" si="76"/>
        <v>11500</v>
      </c>
      <c r="S305" s="133">
        <f t="shared" si="70"/>
        <v>14.3319291845494</v>
      </c>
      <c r="T305" s="134">
        <f>INT(SUM($W$141:W305)/3)+1</f>
        <v>36</v>
      </c>
      <c r="U305" s="135" t="str">
        <f t="shared" si="65"/>
        <v/>
      </c>
      <c r="V305" s="67" t="s">
        <v>168</v>
      </c>
      <c r="W305" s="137" t="str">
        <f t="shared" si="71"/>
        <v/>
      </c>
      <c r="X305" s="137" t="str">
        <f t="shared" si="66"/>
        <v/>
      </c>
      <c r="Y305" s="138"/>
      <c r="Z305" s="138">
        <v>2</v>
      </c>
      <c r="AA305" s="138">
        <v>3</v>
      </c>
      <c r="AB305" s="138" t="str">
        <f t="shared" si="75"/>
        <v>{10000,9000,8000}</v>
      </c>
      <c r="AC305" s="138">
        <v>1000</v>
      </c>
      <c r="AD305" s="138">
        <v>4000</v>
      </c>
      <c r="AE305" s="138">
        <f>SUM($R$141:$R305)+SUM($X$141:$X305)</f>
        <v>1665990</v>
      </c>
      <c r="AF305" s="138">
        <f>SUM($Q$142:Q305)</f>
        <v>60693</v>
      </c>
      <c r="AG305" s="137">
        <f t="shared" si="72"/>
        <v>1848069</v>
      </c>
      <c r="AH305" s="139">
        <f>SUM($S$141:S305)</f>
        <v>1178.95265811929</v>
      </c>
      <c r="AI305" s="133">
        <f t="shared" si="73"/>
        <v>7.16596459227468</v>
      </c>
      <c r="AJ305" s="15">
        <f t="shared" si="74"/>
        <v>619200</v>
      </c>
      <c r="AL305" s="15">
        <v>165</v>
      </c>
      <c r="AM305" s="15">
        <f t="shared" si="67"/>
        <v>251590</v>
      </c>
      <c r="AN305" s="15">
        <f>SUMIF([1]装备属性!$M$571:$M$870,"&lt;="&amp;AL305,[1]装备属性!$Q$571:$Q$870)</f>
        <v>192517.104787715</v>
      </c>
      <c r="AO305" s="15">
        <f t="shared" si="68"/>
        <v>1.30684491789664</v>
      </c>
    </row>
    <row r="306" ht="18" spans="1:41">
      <c r="A306" s="9" t="s">
        <v>248</v>
      </c>
      <c r="B306" s="9" t="str">
        <f t="shared" si="57"/>
        <v>[{5205001,3},{2,}]</v>
      </c>
      <c r="C306" s="51" t="str">
        <f t="shared" si="58"/>
        <v>[{5203001,785},{2,11640}]</v>
      </c>
      <c r="D306" s="140">
        <v>166</v>
      </c>
      <c r="E306" s="130">
        <f t="shared" si="59"/>
        <v>1194</v>
      </c>
      <c r="F306" s="130">
        <f t="shared" si="77"/>
        <v>500</v>
      </c>
      <c r="G306" s="130">
        <v>120</v>
      </c>
      <c r="H306" s="130">
        <f>SUMIFS(基因产出!$F$90:$F$389,基因产出!$D$90:$D$389,"&lt;="&amp;E306,基因产出!$D$90:$D$389,"&gt;"&amp;_xlfn.MAXIFS($E$141:E306,$E$141:E306,"&lt;"&amp;E306))/COUNTIF($E$141:$E$500,E306)</f>
        <v>0</v>
      </c>
      <c r="I306" s="130">
        <f>IF(COUNTIF($I$141:$I305,$I305)=VLOOKUP($I305,$D$90:$E$120,2,0),$I305+1,$I305)</f>
        <v>18</v>
      </c>
      <c r="J306" s="131">
        <f t="shared" si="60"/>
        <v>106</v>
      </c>
      <c r="K306" s="132" t="str">
        <f t="shared" si="61"/>
        <v/>
      </c>
      <c r="L306" s="132" t="str">
        <f t="shared" si="62"/>
        <v/>
      </c>
      <c r="M306" s="132" t="str">
        <f t="shared" si="63"/>
        <v/>
      </c>
      <c r="N306" s="132">
        <f t="shared" si="69"/>
        <v>0.0075</v>
      </c>
      <c r="O306" s="132" t="str">
        <f t="shared" si="64"/>
        <v/>
      </c>
      <c r="P306" s="141">
        <f>(SUM($Q$142:Q306)-SUM($H$141:H306))/SUM($H$141:H306)</f>
        <v>-0.397854833970026</v>
      </c>
      <c r="Q306" s="142">
        <f t="shared" si="56"/>
        <v>780</v>
      </c>
      <c r="R306" s="142">
        <f t="shared" si="76"/>
        <v>11570</v>
      </c>
      <c r="S306" s="133">
        <f t="shared" si="70"/>
        <v>14.3326291845494</v>
      </c>
      <c r="T306" s="134">
        <f>INT(SUM($W$141:W306)/3)+1</f>
        <v>36</v>
      </c>
      <c r="U306" s="135" t="str">
        <f t="shared" si="65"/>
        <v/>
      </c>
      <c r="V306" s="67" t="s">
        <v>168</v>
      </c>
      <c r="W306" s="137" t="str">
        <f t="shared" si="71"/>
        <v/>
      </c>
      <c r="X306" s="137" t="str">
        <f t="shared" si="66"/>
        <v/>
      </c>
      <c r="Y306" s="138"/>
      <c r="Z306" s="138">
        <v>2</v>
      </c>
      <c r="AA306" s="138">
        <v>3</v>
      </c>
      <c r="AB306" s="138" t="str">
        <f t="shared" si="75"/>
        <v>{10000,9000,8000}</v>
      </c>
      <c r="AC306" s="138">
        <v>1000</v>
      </c>
      <c r="AD306" s="138">
        <v>4000</v>
      </c>
      <c r="AE306" s="138">
        <f>SUM($R$141:$R306)+SUM($X$141:$X306)</f>
        <v>1677560</v>
      </c>
      <c r="AF306" s="138">
        <f>SUM($Q$142:Q306)</f>
        <v>61473</v>
      </c>
      <c r="AG306" s="137">
        <f t="shared" si="72"/>
        <v>1861979</v>
      </c>
      <c r="AH306" s="139">
        <f>SUM($S$141:S306)</f>
        <v>1193.28528730384</v>
      </c>
      <c r="AI306" s="133">
        <f t="shared" si="73"/>
        <v>7.16631459227468</v>
      </c>
      <c r="AJ306" s="15">
        <f t="shared" si="74"/>
        <v>619200</v>
      </c>
      <c r="AL306" s="15">
        <v>166</v>
      </c>
      <c r="AM306" s="15">
        <f t="shared" si="67"/>
        <v>251590</v>
      </c>
      <c r="AN306" s="15">
        <f>SUMIF([1]装备属性!$M$571:$M$870,"&lt;="&amp;AL306,[1]装备属性!$Q$571:$Q$870)</f>
        <v>192517.104787715</v>
      </c>
      <c r="AO306" s="15">
        <f t="shared" si="68"/>
        <v>1.30684491789664</v>
      </c>
    </row>
    <row r="307" ht="18" spans="1:41">
      <c r="A307" s="9" t="s">
        <v>249</v>
      </c>
      <c r="B307" s="9" t="str">
        <f t="shared" si="57"/>
        <v>[{5205001,3},{2,}]</v>
      </c>
      <c r="C307" s="51" t="str">
        <f t="shared" si="58"/>
        <v>[{5203001,790},{2,11710}]</v>
      </c>
      <c r="D307" s="140">
        <v>167</v>
      </c>
      <c r="E307" s="130">
        <f t="shared" si="59"/>
        <v>1208</v>
      </c>
      <c r="F307" s="130">
        <f t="shared" si="77"/>
        <v>505</v>
      </c>
      <c r="G307" s="130">
        <v>120</v>
      </c>
      <c r="H307" s="130">
        <f>SUMIFS(基因产出!$F$90:$F$389,基因产出!$D$90:$D$389,"&lt;="&amp;E307,基因产出!$D$90:$D$389,"&gt;"&amp;_xlfn.MAXIFS($E$141:E307,$E$141:E307,"&lt;"&amp;E307))/COUNTIF($E$141:$E$500,E307)</f>
        <v>0</v>
      </c>
      <c r="I307" s="130">
        <f>IF(COUNTIF($I$141:$I306,$I306)=VLOOKUP($I306,$D$90:$E$120,2,0),$I306+1,$I306)</f>
        <v>18</v>
      </c>
      <c r="J307" s="131">
        <f t="shared" si="60"/>
        <v>106</v>
      </c>
      <c r="K307" s="132" t="str">
        <f t="shared" si="61"/>
        <v/>
      </c>
      <c r="L307" s="132" t="str">
        <f t="shared" si="62"/>
        <v/>
      </c>
      <c r="M307" s="132">
        <f t="shared" si="63"/>
        <v>0.002</v>
      </c>
      <c r="N307" s="132" t="str">
        <f t="shared" si="69"/>
        <v/>
      </c>
      <c r="O307" s="132" t="str">
        <f t="shared" si="64"/>
        <v/>
      </c>
      <c r="P307" s="141">
        <f>(SUM($Q$142:Q307)-SUM($H$141:H307))/SUM($H$141:H307)</f>
        <v>-0.390165540209619</v>
      </c>
      <c r="Q307" s="142">
        <f t="shared" si="56"/>
        <v>785</v>
      </c>
      <c r="R307" s="142">
        <f t="shared" si="76"/>
        <v>11640</v>
      </c>
      <c r="S307" s="133">
        <f t="shared" si="70"/>
        <v>14.3333291845494</v>
      </c>
      <c r="T307" s="134">
        <f>INT(SUM($W$141:W307)/3)+1</f>
        <v>36</v>
      </c>
      <c r="U307" s="135" t="str">
        <f t="shared" si="65"/>
        <v/>
      </c>
      <c r="V307" s="67" t="s">
        <v>168</v>
      </c>
      <c r="W307" s="137" t="str">
        <f t="shared" si="71"/>
        <v/>
      </c>
      <c r="X307" s="137" t="str">
        <f t="shared" si="66"/>
        <v/>
      </c>
      <c r="Y307" s="138"/>
      <c r="Z307" s="138">
        <v>2</v>
      </c>
      <c r="AA307" s="138">
        <v>3</v>
      </c>
      <c r="AB307" s="138" t="str">
        <f t="shared" si="75"/>
        <v>{10000,9000,8000}</v>
      </c>
      <c r="AC307" s="138">
        <v>1000</v>
      </c>
      <c r="AD307" s="138">
        <v>4000</v>
      </c>
      <c r="AE307" s="138">
        <f>SUM($R$141:$R307)+SUM($X$141:$X307)</f>
        <v>1689200</v>
      </c>
      <c r="AF307" s="138">
        <f>SUM($Q$142:Q307)</f>
        <v>62258</v>
      </c>
      <c r="AG307" s="137">
        <f t="shared" si="72"/>
        <v>1875974</v>
      </c>
      <c r="AH307" s="139">
        <f>SUM($S$141:S307)</f>
        <v>1207.61861648839</v>
      </c>
      <c r="AI307" s="133">
        <f t="shared" si="73"/>
        <v>7.16666459227468</v>
      </c>
      <c r="AJ307" s="15">
        <f t="shared" si="74"/>
        <v>619200</v>
      </c>
      <c r="AL307" s="15">
        <v>167</v>
      </c>
      <c r="AM307" s="15">
        <f t="shared" si="67"/>
        <v>251590</v>
      </c>
      <c r="AN307" s="15">
        <f>SUMIF([1]装备属性!$M$571:$M$870,"&lt;="&amp;AL307,[1]装备属性!$Q$571:$Q$870)</f>
        <v>192517.104787715</v>
      </c>
      <c r="AO307" s="15">
        <f t="shared" si="68"/>
        <v>1.30684491789664</v>
      </c>
    </row>
    <row r="308" ht="18" spans="1:41">
      <c r="A308" s="9" t="s">
        <v>250</v>
      </c>
      <c r="B308" s="9" t="str">
        <f t="shared" si="57"/>
        <v>[{5205001,3},{2,46840}]</v>
      </c>
      <c r="C308" s="51" t="str">
        <f t="shared" si="58"/>
        <v>[{5203001,795},{2,11780}]</v>
      </c>
      <c r="D308" s="140">
        <v>168</v>
      </c>
      <c r="E308" s="130">
        <f t="shared" si="59"/>
        <v>1222</v>
      </c>
      <c r="F308" s="130">
        <f t="shared" si="77"/>
        <v>510</v>
      </c>
      <c r="G308" s="130">
        <v>120</v>
      </c>
      <c r="H308" s="130">
        <f>SUMIFS(基因产出!$F$90:$F$389,基因产出!$D$90:$D$389,"&lt;="&amp;E308,基因产出!$D$90:$D$389,"&gt;"&amp;_xlfn.MAXIFS($E$141:E308,$E$141:E308,"&lt;"&amp;E308))/COUNTIF($E$141:$E$500,E308)</f>
        <v>0</v>
      </c>
      <c r="I308" s="130">
        <f>IF(COUNTIF($I$141:$I307,$I307)=VLOOKUP($I307,$D$90:$E$120,2,0),$I307+1,$I307)</f>
        <v>18</v>
      </c>
      <c r="J308" s="131">
        <f t="shared" si="60"/>
        <v>106</v>
      </c>
      <c r="K308" s="132" t="str">
        <f t="shared" si="61"/>
        <v/>
      </c>
      <c r="L308" s="132">
        <f t="shared" si="62"/>
        <v>0.03</v>
      </c>
      <c r="M308" s="132" t="str">
        <f t="shared" si="63"/>
        <v/>
      </c>
      <c r="N308" s="132" t="str">
        <f t="shared" si="69"/>
        <v/>
      </c>
      <c r="O308" s="132" t="str">
        <f t="shared" si="64"/>
        <v/>
      </c>
      <c r="P308" s="141">
        <f>(SUM($Q$142:Q308)-SUM($H$141:H308))/SUM($H$141:H308)</f>
        <v>-0.382427270055833</v>
      </c>
      <c r="Q308" s="142">
        <f t="shared" si="56"/>
        <v>790</v>
      </c>
      <c r="R308" s="142">
        <f t="shared" si="76"/>
        <v>11710</v>
      </c>
      <c r="S308" s="133">
        <f t="shared" si="70"/>
        <v>14.3340291845494</v>
      </c>
      <c r="T308" s="134">
        <f>INT(SUM($W$141:W308)/3)+1</f>
        <v>37</v>
      </c>
      <c r="U308" s="135" t="str">
        <f t="shared" si="65"/>
        <v>60</v>
      </c>
      <c r="V308" s="67" t="s">
        <v>77</v>
      </c>
      <c r="W308" s="137">
        <f t="shared" si="71"/>
        <v>3</v>
      </c>
      <c r="X308" s="137">
        <f t="shared" si="66"/>
        <v>46840</v>
      </c>
      <c r="Y308" s="138"/>
      <c r="Z308" s="138">
        <v>2</v>
      </c>
      <c r="AA308" s="138">
        <v>3</v>
      </c>
      <c r="AB308" s="138" t="str">
        <f t="shared" si="75"/>
        <v>{10000,9000,8000}</v>
      </c>
      <c r="AC308" s="138">
        <v>1000</v>
      </c>
      <c r="AD308" s="138">
        <v>4000</v>
      </c>
      <c r="AE308" s="138">
        <f>SUM($R$141:$R308)+SUM($X$141:$X308)</f>
        <v>1747750</v>
      </c>
      <c r="AF308" s="138">
        <f>SUM($Q$142:Q308)</f>
        <v>63048</v>
      </c>
      <c r="AG308" s="137">
        <f t="shared" si="72"/>
        <v>1936894</v>
      </c>
      <c r="AH308" s="139">
        <f>SUM($S$141:S308)</f>
        <v>1221.95264567294</v>
      </c>
      <c r="AI308" s="133">
        <f t="shared" si="73"/>
        <v>7.16701459227468</v>
      </c>
      <c r="AJ308" s="15">
        <f t="shared" si="74"/>
        <v>619500</v>
      </c>
      <c r="AL308" s="15">
        <v>168</v>
      </c>
      <c r="AM308" s="15">
        <f t="shared" si="67"/>
        <v>251590</v>
      </c>
      <c r="AN308" s="15">
        <f>SUMIF([1]装备属性!$M$571:$M$870,"&lt;="&amp;AL308,[1]装备属性!$Q$571:$Q$870)</f>
        <v>192517.104787715</v>
      </c>
      <c r="AO308" s="15">
        <f t="shared" si="68"/>
        <v>1.30684491789664</v>
      </c>
    </row>
    <row r="309" ht="18" spans="1:41">
      <c r="A309" s="9" t="s">
        <v>251</v>
      </c>
      <c r="B309" s="9" t="str">
        <f t="shared" si="57"/>
        <v>[{5205001,3},{2,}]</v>
      </c>
      <c r="C309" s="51" t="str">
        <f t="shared" si="58"/>
        <v>[{5203001,800},{2,11850}]</v>
      </c>
      <c r="D309" s="140">
        <v>169</v>
      </c>
      <c r="E309" s="130">
        <f t="shared" si="59"/>
        <v>1238</v>
      </c>
      <c r="F309" s="130">
        <f t="shared" si="77"/>
        <v>515</v>
      </c>
      <c r="G309" s="130">
        <v>120</v>
      </c>
      <c r="H309" s="130">
        <f>SUMIFS(基因产出!$F$90:$F$389,基因产出!$D$90:$D$389,"&lt;="&amp;E309,基因产出!$D$90:$D$389,"&gt;"&amp;_xlfn.MAXIFS($E$141:E309,$E$141:E309,"&lt;"&amp;E309))/COUNTIF($E$141:$E$500,E309)</f>
        <v>0</v>
      </c>
      <c r="I309" s="130">
        <f>IF(COUNTIF($I$141:$I308,$I308)=VLOOKUP($I308,$D$90:$E$120,2,0),$I308+1,$I308)</f>
        <v>19</v>
      </c>
      <c r="J309" s="131">
        <f t="shared" si="60"/>
        <v>110</v>
      </c>
      <c r="K309" s="132">
        <f t="shared" si="61"/>
        <v>0.05</v>
      </c>
      <c r="L309" s="132" t="str">
        <f t="shared" si="62"/>
        <v/>
      </c>
      <c r="M309" s="132" t="str">
        <f t="shared" si="63"/>
        <v/>
      </c>
      <c r="N309" s="132" t="str">
        <f t="shared" si="69"/>
        <v/>
      </c>
      <c r="O309" s="132" t="str">
        <f t="shared" si="64"/>
        <v/>
      </c>
      <c r="P309" s="141">
        <f>(SUM($Q$142:Q309)-SUM($H$141:H309))/SUM($H$141:H309)</f>
        <v>-0.374640023508669</v>
      </c>
      <c r="Q309" s="142">
        <f t="shared" si="56"/>
        <v>795</v>
      </c>
      <c r="R309" s="142">
        <f t="shared" si="76"/>
        <v>11780</v>
      </c>
      <c r="S309" s="133">
        <f t="shared" si="70"/>
        <v>15.4674220963173</v>
      </c>
      <c r="T309" s="134">
        <f>INT(SUM($W$141:W309)/3)+1</f>
        <v>37</v>
      </c>
      <c r="U309" s="135" t="str">
        <f t="shared" si="65"/>
        <v/>
      </c>
      <c r="V309" s="67" t="s">
        <v>168</v>
      </c>
      <c r="W309" s="137" t="str">
        <f t="shared" si="71"/>
        <v/>
      </c>
      <c r="X309" s="137" t="str">
        <f t="shared" si="66"/>
        <v/>
      </c>
      <c r="Y309" s="138"/>
      <c r="Z309" s="138">
        <v>2</v>
      </c>
      <c r="AA309" s="138">
        <v>3</v>
      </c>
      <c r="AB309" s="138" t="str">
        <f t="shared" si="75"/>
        <v>{10000,9000,8000}</v>
      </c>
      <c r="AC309" s="138">
        <v>1000</v>
      </c>
      <c r="AD309" s="138">
        <v>4000</v>
      </c>
      <c r="AE309" s="138">
        <f>SUM($R$141:$R309)+SUM($X$141:$X309)</f>
        <v>1759530</v>
      </c>
      <c r="AF309" s="138">
        <f>SUM($Q$142:Q309)</f>
        <v>63843</v>
      </c>
      <c r="AG309" s="137">
        <f t="shared" si="72"/>
        <v>1951059</v>
      </c>
      <c r="AH309" s="139">
        <f>SUM($S$141:S309)</f>
        <v>1237.42006776925</v>
      </c>
      <c r="AI309" s="133">
        <f t="shared" si="73"/>
        <v>7.73371104815864</v>
      </c>
      <c r="AJ309" s="15">
        <f t="shared" si="74"/>
        <v>668400</v>
      </c>
      <c r="AL309" s="15">
        <v>169</v>
      </c>
      <c r="AM309" s="15">
        <f t="shared" si="67"/>
        <v>251590</v>
      </c>
      <c r="AN309" s="15">
        <f>SUMIF([1]装备属性!$M$571:$M$870,"&lt;="&amp;AL309,[1]装备属性!$Q$571:$Q$870)</f>
        <v>192517.104787715</v>
      </c>
      <c r="AO309" s="15">
        <f t="shared" si="68"/>
        <v>1.30684491789664</v>
      </c>
    </row>
    <row r="310" ht="18" spans="1:41">
      <c r="A310" s="9" t="s">
        <v>252</v>
      </c>
      <c r="B310" s="9" t="str">
        <f t="shared" si="57"/>
        <v>[{5205001,3},{2,}]</v>
      </c>
      <c r="C310" s="51" t="str">
        <f t="shared" si="58"/>
        <v>[{5203001,805},{2,11920}]</v>
      </c>
      <c r="D310" s="140">
        <v>170</v>
      </c>
      <c r="E310" s="130">
        <f t="shared" si="59"/>
        <v>1253</v>
      </c>
      <c r="F310" s="130">
        <f t="shared" si="77"/>
        <v>520</v>
      </c>
      <c r="G310" s="130">
        <v>120</v>
      </c>
      <c r="H310" s="130">
        <f>SUMIFS(基因产出!$F$90:$F$389,基因产出!$D$90:$D$389,"&lt;="&amp;E310,基因产出!$D$90:$D$389,"&gt;"&amp;_xlfn.MAXIFS($E$141:E310,$E$141:E310,"&lt;"&amp;E310))/COUNTIF($E$141:$E$500,E310)</f>
        <v>0</v>
      </c>
      <c r="I310" s="130">
        <f>IF(COUNTIF($I$141:$I309,$I309)=VLOOKUP($I309,$D$90:$E$120,2,0),$I309+1,$I309)</f>
        <v>19</v>
      </c>
      <c r="J310" s="131">
        <f t="shared" si="60"/>
        <v>110</v>
      </c>
      <c r="K310" s="132" t="str">
        <f t="shared" si="61"/>
        <v/>
      </c>
      <c r="L310" s="132" t="str">
        <f t="shared" si="62"/>
        <v/>
      </c>
      <c r="M310" s="132" t="str">
        <f t="shared" si="63"/>
        <v/>
      </c>
      <c r="N310" s="132">
        <f t="shared" si="69"/>
        <v>0.0075</v>
      </c>
      <c r="O310" s="132" t="str">
        <f t="shared" si="64"/>
        <v/>
      </c>
      <c r="P310" s="141">
        <f>(SUM($Q$142:Q310)-SUM($H$141:H310))/SUM($H$141:H310)</f>
        <v>-0.366803800568126</v>
      </c>
      <c r="Q310" s="142">
        <f t="shared" si="56"/>
        <v>800</v>
      </c>
      <c r="R310" s="142">
        <f t="shared" si="76"/>
        <v>11850</v>
      </c>
      <c r="S310" s="133">
        <f t="shared" si="70"/>
        <v>15.5594900849858</v>
      </c>
      <c r="T310" s="134">
        <f>INT(SUM($W$141:W310)/3)+1</f>
        <v>37</v>
      </c>
      <c r="U310" s="135" t="str">
        <f t="shared" si="65"/>
        <v/>
      </c>
      <c r="V310" s="67" t="s">
        <v>168</v>
      </c>
      <c r="W310" s="137" t="str">
        <f t="shared" si="71"/>
        <v/>
      </c>
      <c r="X310" s="137" t="str">
        <f t="shared" si="66"/>
        <v/>
      </c>
      <c r="Y310" s="138"/>
      <c r="Z310" s="138">
        <v>2</v>
      </c>
      <c r="AA310" s="138">
        <v>3</v>
      </c>
      <c r="AB310" s="138" t="str">
        <f t="shared" si="75"/>
        <v>{10000,9000,8000}</v>
      </c>
      <c r="AC310" s="138">
        <v>1000</v>
      </c>
      <c r="AD310" s="138">
        <v>4000</v>
      </c>
      <c r="AE310" s="138">
        <f>SUM($R$141:$R310)+SUM($X$141:$X310)</f>
        <v>1771380</v>
      </c>
      <c r="AF310" s="138">
        <f>SUM($Q$142:Q310)</f>
        <v>64643</v>
      </c>
      <c r="AG310" s="137">
        <f t="shared" si="72"/>
        <v>1965309</v>
      </c>
      <c r="AH310" s="139">
        <f>SUM($S$141:S310)</f>
        <v>1252.97955785424</v>
      </c>
      <c r="AI310" s="133">
        <f t="shared" si="73"/>
        <v>7.77974504249292</v>
      </c>
      <c r="AJ310" s="15">
        <f t="shared" si="74"/>
        <v>672300</v>
      </c>
      <c r="AL310" s="15">
        <v>170</v>
      </c>
      <c r="AM310" s="15">
        <f t="shared" si="67"/>
        <v>251590</v>
      </c>
      <c r="AN310" s="15">
        <f>SUMIF([1]装备属性!$M$571:$M$870,"&lt;="&amp;AL310,[1]装备属性!$Q$571:$Q$870)</f>
        <v>192517.104787715</v>
      </c>
      <c r="AO310" s="15">
        <f t="shared" si="68"/>
        <v>1.30684491789664</v>
      </c>
    </row>
    <row r="311" ht="18" spans="1:41">
      <c r="A311" s="9" t="s">
        <v>253</v>
      </c>
      <c r="B311" s="9" t="str">
        <f t="shared" si="57"/>
        <v>[{5205001,3},{2,}]</v>
      </c>
      <c r="C311" s="51" t="str">
        <f t="shared" si="58"/>
        <v>[{5203001,810},{2,11990}]</v>
      </c>
      <c r="D311" s="140">
        <v>171</v>
      </c>
      <c r="E311" s="130">
        <f t="shared" si="59"/>
        <v>1269</v>
      </c>
      <c r="F311" s="130">
        <f t="shared" si="77"/>
        <v>525</v>
      </c>
      <c r="G311" s="130">
        <v>120</v>
      </c>
      <c r="H311" s="130">
        <f>SUMIFS(基因产出!$F$90:$F$389,基因产出!$D$90:$D$389,"&lt;="&amp;E311,基因产出!$D$90:$D$389,"&gt;"&amp;_xlfn.MAXIFS($E$141:E311,$E$141:E311,"&lt;"&amp;E311))/COUNTIF($E$141:$E$500,E311)</f>
        <v>0</v>
      </c>
      <c r="I311" s="130">
        <f>IF(COUNTIF($I$141:$I310,$I310)=VLOOKUP($I310,$D$90:$E$120,2,0),$I310+1,$I310)</f>
        <v>19</v>
      </c>
      <c r="J311" s="131">
        <f t="shared" si="60"/>
        <v>110</v>
      </c>
      <c r="K311" s="132" t="str">
        <f t="shared" si="61"/>
        <v/>
      </c>
      <c r="L311" s="132" t="str">
        <f t="shared" si="62"/>
        <v/>
      </c>
      <c r="M311" s="132">
        <f t="shared" si="63"/>
        <v>0.002</v>
      </c>
      <c r="N311" s="132" t="str">
        <f t="shared" si="69"/>
        <v/>
      </c>
      <c r="O311" s="132" t="str">
        <f t="shared" si="64"/>
        <v/>
      </c>
      <c r="P311" s="141">
        <f>(SUM($Q$142:Q311)-SUM($H$141:H311))/SUM($H$141:H311)</f>
        <v>-0.358918601234205</v>
      </c>
      <c r="Q311" s="142">
        <f t="shared" si="56"/>
        <v>805</v>
      </c>
      <c r="R311" s="142">
        <f t="shared" si="76"/>
        <v>11920</v>
      </c>
      <c r="S311" s="133">
        <f t="shared" si="70"/>
        <v>15.6515580736544</v>
      </c>
      <c r="T311" s="134">
        <f>INT(SUM($W$141:W311)/3)+1</f>
        <v>37</v>
      </c>
      <c r="U311" s="135" t="str">
        <f t="shared" si="65"/>
        <v/>
      </c>
      <c r="V311" s="67" t="s">
        <v>168</v>
      </c>
      <c r="W311" s="137" t="str">
        <f t="shared" si="71"/>
        <v/>
      </c>
      <c r="X311" s="137" t="str">
        <f t="shared" si="66"/>
        <v/>
      </c>
      <c r="Y311" s="138"/>
      <c r="Z311" s="138">
        <v>2</v>
      </c>
      <c r="AA311" s="138">
        <v>3</v>
      </c>
      <c r="AB311" s="138" t="str">
        <f t="shared" si="75"/>
        <v>{10000,9000,8000}</v>
      </c>
      <c r="AC311" s="138">
        <v>1000</v>
      </c>
      <c r="AD311" s="138">
        <v>4000</v>
      </c>
      <c r="AE311" s="138">
        <f>SUM($R$141:$R311)+SUM($X$141:$X311)</f>
        <v>1783300</v>
      </c>
      <c r="AF311" s="138">
        <f>SUM($Q$142:Q311)</f>
        <v>65448</v>
      </c>
      <c r="AG311" s="137">
        <f t="shared" si="72"/>
        <v>1979644</v>
      </c>
      <c r="AH311" s="139">
        <f>SUM($S$141:S311)</f>
        <v>1268.63111592789</v>
      </c>
      <c r="AI311" s="133">
        <f t="shared" si="73"/>
        <v>7.8257790368272</v>
      </c>
      <c r="AJ311" s="15">
        <f t="shared" si="74"/>
        <v>676200</v>
      </c>
      <c r="AL311" s="15">
        <v>171</v>
      </c>
      <c r="AM311" s="15">
        <f t="shared" si="67"/>
        <v>257560</v>
      </c>
      <c r="AN311" s="15">
        <f>SUMIF([1]装备属性!$M$571:$M$870,"&lt;="&amp;AL311,[1]装备属性!$Q$571:$Q$870)</f>
        <v>192517.104787715</v>
      </c>
      <c r="AO311" s="15">
        <f t="shared" si="68"/>
        <v>1.33785514946325</v>
      </c>
    </row>
    <row r="312" ht="18" spans="1:41">
      <c r="A312" s="9" t="s">
        <v>254</v>
      </c>
      <c r="B312" s="9" t="str">
        <f t="shared" si="57"/>
        <v>[{5205001,3},{2,}]</v>
      </c>
      <c r="C312" s="51" t="str">
        <f t="shared" si="58"/>
        <v>[{5203001,815},{2,12060}]</v>
      </c>
      <c r="D312" s="140">
        <v>172</v>
      </c>
      <c r="E312" s="130">
        <f t="shared" si="59"/>
        <v>1285</v>
      </c>
      <c r="F312" s="130">
        <f t="shared" si="77"/>
        <v>530</v>
      </c>
      <c r="G312" s="130">
        <v>120</v>
      </c>
      <c r="H312" s="130">
        <f>SUMIFS(基因产出!$F$90:$F$389,基因产出!$D$90:$D$389,"&lt;="&amp;E312,基因产出!$D$90:$D$389,"&gt;"&amp;_xlfn.MAXIFS($E$141:E312,$E$141:E312,"&lt;"&amp;E312))/COUNTIF($E$141:$E$500,E312)</f>
        <v>0</v>
      </c>
      <c r="I312" s="130">
        <f>IF(COUNTIF($I$141:$I311,$I311)=VLOOKUP($I311,$D$90:$E$120,2,0),$I311+1,$I311)</f>
        <v>19</v>
      </c>
      <c r="J312" s="131">
        <f t="shared" si="60"/>
        <v>110</v>
      </c>
      <c r="K312" s="132" t="str">
        <f t="shared" si="61"/>
        <v/>
      </c>
      <c r="L312" s="132">
        <f t="shared" si="62"/>
        <v>0.03</v>
      </c>
      <c r="M312" s="132" t="str">
        <f t="shared" si="63"/>
        <v/>
      </c>
      <c r="N312" s="132" t="str">
        <f t="shared" si="69"/>
        <v/>
      </c>
      <c r="O312" s="132" t="str">
        <f t="shared" si="64"/>
        <v/>
      </c>
      <c r="P312" s="141">
        <f>(SUM($Q$142:Q312)-SUM($H$141:H312))/SUM($H$141:H312)</f>
        <v>-0.350984425506906</v>
      </c>
      <c r="Q312" s="142">
        <f t="shared" si="56"/>
        <v>810</v>
      </c>
      <c r="R312" s="142">
        <f t="shared" si="76"/>
        <v>11990</v>
      </c>
      <c r="S312" s="133">
        <f t="shared" si="70"/>
        <v>15.7436260623229</v>
      </c>
      <c r="T312" s="134">
        <f>INT(SUM($W$141:W312)/3)+1</f>
        <v>37</v>
      </c>
      <c r="U312" s="135" t="str">
        <f t="shared" si="65"/>
        <v/>
      </c>
      <c r="V312" s="67" t="s">
        <v>168</v>
      </c>
      <c r="W312" s="137" t="str">
        <f t="shared" si="71"/>
        <v/>
      </c>
      <c r="X312" s="137" t="str">
        <f t="shared" si="66"/>
        <v/>
      </c>
      <c r="Y312" s="138"/>
      <c r="Z312" s="138">
        <v>2</v>
      </c>
      <c r="AA312" s="138">
        <v>3</v>
      </c>
      <c r="AB312" s="138" t="str">
        <f t="shared" si="75"/>
        <v>{10000,9000,8000}</v>
      </c>
      <c r="AC312" s="138">
        <v>1000</v>
      </c>
      <c r="AD312" s="138">
        <v>4000</v>
      </c>
      <c r="AE312" s="138">
        <f>SUM($R$141:$R312)+SUM($X$141:$X312)</f>
        <v>1795290</v>
      </c>
      <c r="AF312" s="138">
        <f>SUM($Q$142:Q312)</f>
        <v>66258</v>
      </c>
      <c r="AG312" s="137">
        <f t="shared" si="72"/>
        <v>1994064</v>
      </c>
      <c r="AH312" s="139">
        <f>SUM($S$141:S312)</f>
        <v>1284.37474199022</v>
      </c>
      <c r="AI312" s="133">
        <f t="shared" si="73"/>
        <v>7.87181303116147</v>
      </c>
      <c r="AJ312" s="15">
        <f t="shared" si="74"/>
        <v>680400</v>
      </c>
      <c r="AL312" s="15">
        <v>172</v>
      </c>
      <c r="AM312" s="15">
        <f t="shared" si="67"/>
        <v>257560</v>
      </c>
      <c r="AN312" s="15">
        <f>SUMIF([1]装备属性!$M$571:$M$870,"&lt;="&amp;AL312,[1]装备属性!$Q$571:$Q$870)</f>
        <v>192517.104787715</v>
      </c>
      <c r="AO312" s="15">
        <f t="shared" si="68"/>
        <v>1.33785514946325</v>
      </c>
    </row>
    <row r="313" ht="18" spans="1:41">
      <c r="A313" s="9" t="s">
        <v>251</v>
      </c>
      <c r="B313" s="9" t="str">
        <f t="shared" si="57"/>
        <v>[{5205001,3},{2,}]</v>
      </c>
      <c r="C313" s="51" t="str">
        <f t="shared" si="58"/>
        <v>[{5203001,820},{2,12130}]</v>
      </c>
      <c r="D313" s="140">
        <v>173</v>
      </c>
      <c r="E313" s="130">
        <f t="shared" si="59"/>
        <v>1301</v>
      </c>
      <c r="F313" s="130">
        <f t="shared" si="77"/>
        <v>535</v>
      </c>
      <c r="G313" s="130">
        <v>120</v>
      </c>
      <c r="H313" s="130">
        <f>SUMIFS(基因产出!$F$90:$F$389,基因产出!$D$90:$D$389,"&lt;="&amp;E313,基因产出!$D$90:$D$389,"&gt;"&amp;_xlfn.MAXIFS($E$141:E313,$E$141:E313,"&lt;"&amp;E313))/COUNTIF($E$141:$E$500,E313)</f>
        <v>0</v>
      </c>
      <c r="I313" s="130">
        <f>IF(COUNTIF($I$141:$I312,$I312)=VLOOKUP($I312,$D$90:$E$120,2,0),$I312+1,$I312)</f>
        <v>19</v>
      </c>
      <c r="J313" s="131">
        <f t="shared" si="60"/>
        <v>110</v>
      </c>
      <c r="K313" s="132">
        <f t="shared" si="61"/>
        <v>0.05</v>
      </c>
      <c r="L313" s="132" t="str">
        <f t="shared" si="62"/>
        <v/>
      </c>
      <c r="M313" s="132" t="str">
        <f t="shared" si="63"/>
        <v/>
      </c>
      <c r="N313" s="132" t="str">
        <f t="shared" si="69"/>
        <v/>
      </c>
      <c r="O313" s="132" t="str">
        <f t="shared" si="64"/>
        <v/>
      </c>
      <c r="P313" s="141">
        <f>(SUM($Q$142:Q313)-SUM($H$141:H313))/SUM($H$141:H313)</f>
        <v>-0.343001273386228</v>
      </c>
      <c r="Q313" s="142">
        <f t="shared" ref="Q313:Q376" si="78">Q312+5</f>
        <v>815</v>
      </c>
      <c r="R313" s="142">
        <f t="shared" si="76"/>
        <v>12060</v>
      </c>
      <c r="S313" s="133">
        <f t="shared" si="70"/>
        <v>15.8356940509915</v>
      </c>
      <c r="T313" s="134">
        <f>INT(SUM($W$141:W313)/3)+1</f>
        <v>37</v>
      </c>
      <c r="U313" s="135" t="str">
        <f t="shared" si="65"/>
        <v/>
      </c>
      <c r="V313" s="67" t="s">
        <v>168</v>
      </c>
      <c r="W313" s="137" t="str">
        <f t="shared" si="71"/>
        <v/>
      </c>
      <c r="X313" s="137" t="str">
        <f t="shared" si="66"/>
        <v/>
      </c>
      <c r="Y313" s="138"/>
      <c r="Z313" s="138">
        <v>2</v>
      </c>
      <c r="AA313" s="138">
        <v>3</v>
      </c>
      <c r="AB313" s="138" t="str">
        <f t="shared" si="75"/>
        <v>{10000,9000,8000}</v>
      </c>
      <c r="AC313" s="138">
        <v>1000</v>
      </c>
      <c r="AD313" s="138">
        <v>4000</v>
      </c>
      <c r="AE313" s="138">
        <f>SUM($R$141:$R313)+SUM($X$141:$X313)</f>
        <v>1807350</v>
      </c>
      <c r="AF313" s="138">
        <f>SUM($Q$142:Q313)</f>
        <v>67073</v>
      </c>
      <c r="AG313" s="137">
        <f t="shared" si="72"/>
        <v>2008569</v>
      </c>
      <c r="AH313" s="139">
        <f>SUM($S$141:S313)</f>
        <v>1300.21043604121</v>
      </c>
      <c r="AI313" s="133">
        <f t="shared" si="73"/>
        <v>7.91784702549575</v>
      </c>
      <c r="AJ313" s="15">
        <f t="shared" si="74"/>
        <v>684300</v>
      </c>
      <c r="AL313" s="15">
        <v>173</v>
      </c>
      <c r="AM313" s="15">
        <f t="shared" si="67"/>
        <v>257560</v>
      </c>
      <c r="AN313" s="15">
        <f>SUMIF([1]装备属性!$M$571:$M$870,"&lt;="&amp;AL313,[1]装备属性!$Q$571:$Q$870)</f>
        <v>192517.104787715</v>
      </c>
      <c r="AO313" s="15">
        <f t="shared" si="68"/>
        <v>1.33785514946325</v>
      </c>
    </row>
    <row r="314" ht="18" spans="1:41">
      <c r="A314" s="9" t="s">
        <v>255</v>
      </c>
      <c r="B314" s="9" t="str">
        <f t="shared" si="57"/>
        <v>[{5205001,3},{2,}]</v>
      </c>
      <c r="C314" s="51" t="str">
        <f t="shared" si="58"/>
        <v>[{5203001,825},{2,12200}]</v>
      </c>
      <c r="D314" s="140">
        <v>174</v>
      </c>
      <c r="E314" s="130">
        <f t="shared" si="59"/>
        <v>1317</v>
      </c>
      <c r="F314" s="130">
        <f t="shared" si="77"/>
        <v>540</v>
      </c>
      <c r="G314" s="130">
        <v>120</v>
      </c>
      <c r="H314" s="130">
        <f>SUMIFS(基因产出!$F$90:$F$389,基因产出!$D$90:$D$389,"&lt;="&amp;E314,基因产出!$D$90:$D$389,"&gt;"&amp;_xlfn.MAXIFS($E$141:E314,$E$141:E314,"&lt;"&amp;E314))/COUNTIF($E$141:$E$500,E314)</f>
        <v>0</v>
      </c>
      <c r="I314" s="130">
        <f>IF(COUNTIF($I$141:$I313,$I313)=VLOOKUP($I313,$D$90:$E$120,2,0),$I313+1,$I313)</f>
        <v>19</v>
      </c>
      <c r="J314" s="131">
        <f t="shared" si="60"/>
        <v>110</v>
      </c>
      <c r="K314" s="132" t="str">
        <f t="shared" si="61"/>
        <v/>
      </c>
      <c r="L314" s="132" t="str">
        <f t="shared" si="62"/>
        <v/>
      </c>
      <c r="M314" s="132" t="str">
        <f t="shared" si="63"/>
        <v/>
      </c>
      <c r="N314" s="132">
        <f t="shared" si="69"/>
        <v>0.0075</v>
      </c>
      <c r="O314" s="132">
        <f t="shared" si="64"/>
        <v>0.05</v>
      </c>
      <c r="P314" s="141">
        <f>(SUM($Q$142:Q314)-SUM($H$141:H314))/SUM($H$141:H314)</f>
        <v>-0.334969144872172</v>
      </c>
      <c r="Q314" s="142">
        <f t="shared" si="78"/>
        <v>820</v>
      </c>
      <c r="R314" s="142">
        <f t="shared" si="76"/>
        <v>12130</v>
      </c>
      <c r="S314" s="133">
        <f t="shared" si="70"/>
        <v>15.9277620396601</v>
      </c>
      <c r="T314" s="134">
        <f>INT(SUM($W$141:W314)/3)+1</f>
        <v>37</v>
      </c>
      <c r="U314" s="135" t="str">
        <f t="shared" si="65"/>
        <v/>
      </c>
      <c r="V314" s="67" t="s">
        <v>168</v>
      </c>
      <c r="W314" s="137" t="str">
        <f t="shared" si="71"/>
        <v/>
      </c>
      <c r="X314" s="137" t="str">
        <f t="shared" si="66"/>
        <v/>
      </c>
      <c r="Y314" s="138"/>
      <c r="Z314" s="138">
        <v>2</v>
      </c>
      <c r="AA314" s="138">
        <v>3</v>
      </c>
      <c r="AB314" s="138" t="str">
        <f t="shared" si="75"/>
        <v>{10000,9000,8000}</v>
      </c>
      <c r="AC314" s="138">
        <v>1000</v>
      </c>
      <c r="AD314" s="138">
        <v>4000</v>
      </c>
      <c r="AE314" s="138">
        <f>SUM($R$141:$R314)+SUM($X$141:$X314)</f>
        <v>1819480</v>
      </c>
      <c r="AF314" s="138">
        <f>SUM($Q$142:Q314)</f>
        <v>67893</v>
      </c>
      <c r="AG314" s="137">
        <f t="shared" si="72"/>
        <v>2023159</v>
      </c>
      <c r="AH314" s="139">
        <f>SUM($S$141:S314)</f>
        <v>1316.13819808087</v>
      </c>
      <c r="AI314" s="133">
        <f t="shared" si="73"/>
        <v>7.96388101983003</v>
      </c>
      <c r="AJ314" s="15">
        <f t="shared" si="74"/>
        <v>688200</v>
      </c>
      <c r="AL314" s="15">
        <v>174</v>
      </c>
      <c r="AM314" s="15">
        <f t="shared" si="67"/>
        <v>257560</v>
      </c>
      <c r="AN314" s="15">
        <f>SUMIF([1]装备属性!$M$571:$M$870,"&lt;="&amp;AL314,[1]装备属性!$Q$571:$Q$870)</f>
        <v>192517.104787715</v>
      </c>
      <c r="AO314" s="15">
        <f t="shared" si="68"/>
        <v>1.33785514946325</v>
      </c>
    </row>
    <row r="315" ht="18" spans="1:41">
      <c r="A315" s="9" t="s">
        <v>253</v>
      </c>
      <c r="B315" s="9" t="str">
        <f t="shared" si="57"/>
        <v>[{5205001,3},{2,}]</v>
      </c>
      <c r="C315" s="51" t="str">
        <f t="shared" si="58"/>
        <v>[{5203001,830},{2,12270}]</v>
      </c>
      <c r="D315" s="140">
        <v>175</v>
      </c>
      <c r="E315" s="130">
        <f t="shared" si="59"/>
        <v>1333</v>
      </c>
      <c r="F315" s="130">
        <f t="shared" si="77"/>
        <v>545</v>
      </c>
      <c r="G315" s="130">
        <v>120</v>
      </c>
      <c r="H315" s="130">
        <f>SUMIFS(基因产出!$F$90:$F$389,基因产出!$D$90:$D$389,"&lt;="&amp;E315,基因产出!$D$90:$D$389,"&gt;"&amp;_xlfn.MAXIFS($E$141:E315,$E$141:E315,"&lt;"&amp;E315))/COUNTIF($E$141:$E$500,E315)</f>
        <v>0</v>
      </c>
      <c r="I315" s="130">
        <f>IF(COUNTIF($I$141:$I314,$I314)=VLOOKUP($I314,$D$90:$E$120,2,0),$I314+1,$I314)</f>
        <v>19</v>
      </c>
      <c r="J315" s="131">
        <f t="shared" si="60"/>
        <v>110</v>
      </c>
      <c r="K315" s="132" t="str">
        <f t="shared" si="61"/>
        <v/>
      </c>
      <c r="L315" s="132" t="str">
        <f t="shared" si="62"/>
        <v/>
      </c>
      <c r="M315" s="132">
        <f t="shared" si="63"/>
        <v>0.002</v>
      </c>
      <c r="N315" s="132" t="str">
        <f t="shared" si="69"/>
        <v/>
      </c>
      <c r="O315" s="132" t="str">
        <f t="shared" si="64"/>
        <v/>
      </c>
      <c r="P315" s="141">
        <f>(SUM($Q$142:Q315)-SUM($H$141:H315))/SUM($H$141:H315)</f>
        <v>-0.326888039964737</v>
      </c>
      <c r="Q315" s="142">
        <f t="shared" si="78"/>
        <v>825</v>
      </c>
      <c r="R315" s="142">
        <f t="shared" si="76"/>
        <v>12200</v>
      </c>
      <c r="S315" s="133">
        <f t="shared" si="70"/>
        <v>16.0198300283286</v>
      </c>
      <c r="T315" s="134">
        <f>INT(SUM($W$141:W315)/3)+1</f>
        <v>37</v>
      </c>
      <c r="U315" s="135" t="str">
        <f t="shared" si="65"/>
        <v/>
      </c>
      <c r="V315" s="67" t="s">
        <v>168</v>
      </c>
      <c r="W315" s="137" t="str">
        <f t="shared" si="71"/>
        <v/>
      </c>
      <c r="X315" s="137" t="str">
        <f t="shared" si="66"/>
        <v/>
      </c>
      <c r="Y315" s="138"/>
      <c r="Z315" s="138">
        <v>2</v>
      </c>
      <c r="AA315" s="138">
        <v>3</v>
      </c>
      <c r="AB315" s="138" t="str">
        <f t="shared" si="75"/>
        <v>{10000,9000,8000}</v>
      </c>
      <c r="AC315" s="138">
        <v>1000</v>
      </c>
      <c r="AD315" s="138">
        <v>4000</v>
      </c>
      <c r="AE315" s="138">
        <f>SUM($R$141:$R315)+SUM($X$141:$X315)</f>
        <v>1831680</v>
      </c>
      <c r="AF315" s="138">
        <f>SUM($Q$142:Q315)</f>
        <v>68718</v>
      </c>
      <c r="AG315" s="137">
        <f t="shared" si="72"/>
        <v>2037834</v>
      </c>
      <c r="AH315" s="139">
        <f>SUM($S$141:S315)</f>
        <v>1332.1580281092</v>
      </c>
      <c r="AI315" s="133">
        <f t="shared" si="73"/>
        <v>8.00991501416431</v>
      </c>
      <c r="AJ315" s="15">
        <f t="shared" si="74"/>
        <v>692100</v>
      </c>
      <c r="AL315" s="15">
        <v>175</v>
      </c>
      <c r="AM315" s="15">
        <f t="shared" si="67"/>
        <v>257560</v>
      </c>
      <c r="AN315" s="15">
        <f>SUMIF([1]装备属性!$M$571:$M$870,"&lt;="&amp;AL315,[1]装备属性!$Q$571:$Q$870)</f>
        <v>192517.104787715</v>
      </c>
      <c r="AO315" s="15">
        <f t="shared" si="68"/>
        <v>1.33785514946325</v>
      </c>
    </row>
    <row r="316" ht="18" spans="1:41">
      <c r="A316" s="9" t="s">
        <v>254</v>
      </c>
      <c r="B316" s="9" t="str">
        <f t="shared" si="57"/>
        <v>[{5205001,3},{2,49080}]</v>
      </c>
      <c r="C316" s="51" t="str">
        <f t="shared" si="58"/>
        <v>[{5203001,835},{2,12340}]</v>
      </c>
      <c r="D316" s="140">
        <v>176</v>
      </c>
      <c r="E316" s="130">
        <f t="shared" si="59"/>
        <v>1349</v>
      </c>
      <c r="F316" s="130">
        <f t="shared" si="77"/>
        <v>550</v>
      </c>
      <c r="G316" s="130">
        <v>120</v>
      </c>
      <c r="H316" s="130">
        <f>SUMIFS(基因产出!$F$90:$F$389,基因产出!$D$90:$D$389,"&lt;="&amp;E316,基因产出!$D$90:$D$389,"&gt;"&amp;_xlfn.MAXIFS($E$141:E316,$E$141:E316,"&lt;"&amp;E316))/COUNTIF($E$141:$E$500,E316)</f>
        <v>0</v>
      </c>
      <c r="I316" s="130">
        <f>IF(COUNTIF($I$141:$I315,$I315)=VLOOKUP($I315,$D$90:$E$120,2,0),$I315+1,$I315)</f>
        <v>19</v>
      </c>
      <c r="J316" s="131">
        <f t="shared" si="60"/>
        <v>110</v>
      </c>
      <c r="K316" s="132" t="str">
        <f t="shared" si="61"/>
        <v/>
      </c>
      <c r="L316" s="132">
        <f t="shared" si="62"/>
        <v>0.03</v>
      </c>
      <c r="M316" s="132" t="str">
        <f t="shared" si="63"/>
        <v/>
      </c>
      <c r="N316" s="132" t="str">
        <f t="shared" si="69"/>
        <v/>
      </c>
      <c r="O316" s="132" t="str">
        <f t="shared" si="64"/>
        <v/>
      </c>
      <c r="P316" s="141">
        <f>(SUM($Q$142:Q316)-SUM($H$141:H316))/SUM($H$141:H316)</f>
        <v>-0.318757958663924</v>
      </c>
      <c r="Q316" s="142">
        <f t="shared" si="78"/>
        <v>830</v>
      </c>
      <c r="R316" s="142">
        <f t="shared" si="76"/>
        <v>12270</v>
      </c>
      <c r="S316" s="133">
        <f t="shared" si="70"/>
        <v>16.1118980169972</v>
      </c>
      <c r="T316" s="134">
        <f>INT(SUM($W$141:W316)/3)+1</f>
        <v>38</v>
      </c>
      <c r="U316" s="135" t="str">
        <f t="shared" si="65"/>
        <v/>
      </c>
      <c r="V316" s="67" t="s">
        <v>91</v>
      </c>
      <c r="W316" s="137">
        <f t="shared" si="71"/>
        <v>3</v>
      </c>
      <c r="X316" s="137">
        <f t="shared" si="66"/>
        <v>49080</v>
      </c>
      <c r="Y316" s="138"/>
      <c r="Z316" s="138">
        <v>2</v>
      </c>
      <c r="AA316" s="138">
        <v>3</v>
      </c>
      <c r="AB316" s="138" t="str">
        <f t="shared" si="75"/>
        <v>{10000,9000,8000}</v>
      </c>
      <c r="AC316" s="138">
        <v>1000</v>
      </c>
      <c r="AD316" s="138">
        <v>4000</v>
      </c>
      <c r="AE316" s="138">
        <f>SUM($R$141:$R316)+SUM($X$141:$X316)</f>
        <v>1893030</v>
      </c>
      <c r="AF316" s="138">
        <f>SUM($Q$142:Q316)</f>
        <v>69548</v>
      </c>
      <c r="AG316" s="137">
        <f t="shared" si="72"/>
        <v>2101674</v>
      </c>
      <c r="AH316" s="139">
        <f>SUM($S$141:S316)</f>
        <v>1348.26992612619</v>
      </c>
      <c r="AI316" s="133">
        <f t="shared" si="73"/>
        <v>8.05594900849858</v>
      </c>
      <c r="AJ316" s="15">
        <f t="shared" si="74"/>
        <v>696300</v>
      </c>
      <c r="AL316" s="15">
        <v>176</v>
      </c>
      <c r="AM316" s="15">
        <f t="shared" si="67"/>
        <v>257560</v>
      </c>
      <c r="AN316" s="15">
        <f>SUMIF([1]装备属性!$M$571:$M$870,"&lt;="&amp;AL316,[1]装备属性!$Q$571:$Q$870)</f>
        <v>192517.104787715</v>
      </c>
      <c r="AO316" s="15">
        <f t="shared" si="68"/>
        <v>1.33785514946325</v>
      </c>
    </row>
    <row r="317" ht="18" spans="1:41">
      <c r="A317" s="9" t="s">
        <v>251</v>
      </c>
      <c r="B317" s="9" t="str">
        <f t="shared" si="57"/>
        <v>[{5205001,3},{2,}]</v>
      </c>
      <c r="C317" s="51" t="str">
        <f t="shared" si="58"/>
        <v>[{5203001,840},{2,12410}]</v>
      </c>
      <c r="D317" s="140">
        <v>177</v>
      </c>
      <c r="E317" s="130">
        <f t="shared" si="59"/>
        <v>1365</v>
      </c>
      <c r="F317" s="130">
        <f t="shared" si="77"/>
        <v>555</v>
      </c>
      <c r="G317" s="130">
        <v>120</v>
      </c>
      <c r="H317" s="130">
        <f>SUMIFS(基因产出!$F$90:$F$389,基因产出!$D$90:$D$389,"&lt;="&amp;E317,基因产出!$D$90:$D$389,"&gt;"&amp;_xlfn.MAXIFS($E$141:E317,$E$141:E317,"&lt;"&amp;E317))/COUNTIF($E$141:$E$500,E317)</f>
        <v>0</v>
      </c>
      <c r="I317" s="130">
        <f>IF(COUNTIF($I$141:$I316,$I316)=VLOOKUP($I316,$D$90:$E$120,2,0),$I316+1,$I316)</f>
        <v>19</v>
      </c>
      <c r="J317" s="131">
        <f t="shared" si="60"/>
        <v>110</v>
      </c>
      <c r="K317" s="132">
        <f t="shared" si="61"/>
        <v>0.05</v>
      </c>
      <c r="L317" s="132" t="str">
        <f t="shared" si="62"/>
        <v/>
      </c>
      <c r="M317" s="132" t="str">
        <f t="shared" si="63"/>
        <v/>
      </c>
      <c r="N317" s="132" t="str">
        <f t="shared" si="69"/>
        <v/>
      </c>
      <c r="O317" s="132" t="str">
        <f t="shared" si="64"/>
        <v/>
      </c>
      <c r="P317" s="141">
        <f>(SUM($Q$142:Q317)-SUM($H$141:H317))/SUM($H$141:H317)</f>
        <v>-0.310578900969733</v>
      </c>
      <c r="Q317" s="142">
        <f t="shared" si="78"/>
        <v>835</v>
      </c>
      <c r="R317" s="142">
        <f t="shared" si="76"/>
        <v>12340</v>
      </c>
      <c r="S317" s="133">
        <f t="shared" si="70"/>
        <v>16.2039660056657</v>
      </c>
      <c r="T317" s="134">
        <f>INT(SUM($W$141:W317)/3)+1</f>
        <v>38</v>
      </c>
      <c r="U317" s="135" t="str">
        <f t="shared" si="65"/>
        <v/>
      </c>
      <c r="V317" s="67" t="s">
        <v>168</v>
      </c>
      <c r="W317" s="137" t="str">
        <f t="shared" si="71"/>
        <v/>
      </c>
      <c r="X317" s="137" t="str">
        <f t="shared" si="66"/>
        <v/>
      </c>
      <c r="Y317" s="138"/>
      <c r="Z317" s="138">
        <v>2</v>
      </c>
      <c r="AA317" s="138">
        <v>3</v>
      </c>
      <c r="AB317" s="138" t="str">
        <f t="shared" si="75"/>
        <v>{10000,9000,8000}</v>
      </c>
      <c r="AC317" s="138">
        <v>1000</v>
      </c>
      <c r="AD317" s="138">
        <v>4000</v>
      </c>
      <c r="AE317" s="138">
        <f>SUM($R$141:$R317)+SUM($X$141:$X317)</f>
        <v>1905370</v>
      </c>
      <c r="AF317" s="138">
        <f>SUM($Q$142:Q317)</f>
        <v>70383</v>
      </c>
      <c r="AG317" s="137">
        <f t="shared" si="72"/>
        <v>2116519</v>
      </c>
      <c r="AH317" s="139">
        <f>SUM($S$141:S317)</f>
        <v>1364.47389213186</v>
      </c>
      <c r="AI317" s="133">
        <f t="shared" si="73"/>
        <v>8.10198300283286</v>
      </c>
      <c r="AJ317" s="15">
        <f t="shared" si="74"/>
        <v>700200</v>
      </c>
      <c r="AL317" s="15">
        <v>177</v>
      </c>
      <c r="AM317" s="15">
        <f t="shared" si="67"/>
        <v>257560</v>
      </c>
      <c r="AN317" s="15">
        <f>SUMIF([1]装备属性!$M$571:$M$870,"&lt;="&amp;AL317,[1]装备属性!$Q$571:$Q$870)</f>
        <v>192517.104787715</v>
      </c>
      <c r="AO317" s="15">
        <f t="shared" si="68"/>
        <v>1.33785514946325</v>
      </c>
    </row>
    <row r="318" ht="18" spans="1:41">
      <c r="A318" s="9" t="s">
        <v>252</v>
      </c>
      <c r="B318" s="9" t="str">
        <f t="shared" si="57"/>
        <v>[{5205001,3},{2,}]</v>
      </c>
      <c r="C318" s="51" t="str">
        <f t="shared" si="58"/>
        <v>[{5203001,845},{2,12480}]</v>
      </c>
      <c r="D318" s="140">
        <v>178</v>
      </c>
      <c r="E318" s="130">
        <f t="shared" si="59"/>
        <v>1381</v>
      </c>
      <c r="F318" s="130">
        <f t="shared" si="77"/>
        <v>560</v>
      </c>
      <c r="G318" s="130">
        <v>120</v>
      </c>
      <c r="H318" s="130">
        <f>SUMIFS(基因产出!$F$90:$F$389,基因产出!$D$90:$D$389,"&lt;="&amp;E318,基因产出!$D$90:$D$389,"&gt;"&amp;_xlfn.MAXIFS($E$141:E318,$E$141:E318,"&lt;"&amp;E318))/COUNTIF($E$141:$E$500,E318)</f>
        <v>0</v>
      </c>
      <c r="I318" s="130">
        <f>IF(COUNTIF($I$141:$I317,$I317)=VLOOKUP($I317,$D$90:$E$120,2,0),$I317+1,$I317)</f>
        <v>19</v>
      </c>
      <c r="J318" s="131">
        <f t="shared" si="60"/>
        <v>110</v>
      </c>
      <c r="K318" s="132" t="str">
        <f t="shared" si="61"/>
        <v/>
      </c>
      <c r="L318" s="132" t="str">
        <f t="shared" si="62"/>
        <v/>
      </c>
      <c r="M318" s="132" t="str">
        <f t="shared" si="63"/>
        <v/>
      </c>
      <c r="N318" s="132">
        <f t="shared" si="69"/>
        <v>0.0075</v>
      </c>
      <c r="O318" s="132" t="str">
        <f t="shared" si="64"/>
        <v/>
      </c>
      <c r="P318" s="141">
        <f>(SUM($Q$142:Q318)-SUM($H$141:H318))/SUM($H$141:H318)</f>
        <v>-0.302350866882163</v>
      </c>
      <c r="Q318" s="142">
        <f t="shared" si="78"/>
        <v>840</v>
      </c>
      <c r="R318" s="142">
        <f t="shared" si="76"/>
        <v>12410</v>
      </c>
      <c r="S318" s="133">
        <f t="shared" si="70"/>
        <v>16.2960339943343</v>
      </c>
      <c r="T318" s="134">
        <f>INT(SUM($W$141:W318)/3)+1</f>
        <v>38</v>
      </c>
      <c r="U318" s="135" t="str">
        <f t="shared" si="65"/>
        <v/>
      </c>
      <c r="V318" s="67" t="s">
        <v>168</v>
      </c>
      <c r="W318" s="137" t="str">
        <f t="shared" si="71"/>
        <v/>
      </c>
      <c r="X318" s="137" t="str">
        <f t="shared" si="66"/>
        <v/>
      </c>
      <c r="Y318" s="138"/>
      <c r="Z318" s="138">
        <v>2</v>
      </c>
      <c r="AA318" s="138">
        <v>3</v>
      </c>
      <c r="AB318" s="138" t="str">
        <f t="shared" si="75"/>
        <v>{10000,9000,8000}</v>
      </c>
      <c r="AC318" s="138">
        <v>1000</v>
      </c>
      <c r="AD318" s="138">
        <v>4000</v>
      </c>
      <c r="AE318" s="138">
        <f>SUM($R$141:$R318)+SUM($X$141:$X318)</f>
        <v>1917780</v>
      </c>
      <c r="AF318" s="138">
        <f>SUM($Q$142:Q318)</f>
        <v>71223</v>
      </c>
      <c r="AG318" s="137">
        <f t="shared" si="72"/>
        <v>2131449</v>
      </c>
      <c r="AH318" s="139">
        <f>SUM($S$141:S318)</f>
        <v>1380.76992612619</v>
      </c>
      <c r="AI318" s="133">
        <f t="shared" si="73"/>
        <v>8.14801699716714</v>
      </c>
      <c r="AJ318" s="15">
        <f t="shared" si="74"/>
        <v>704100</v>
      </c>
      <c r="AL318" s="15">
        <v>178</v>
      </c>
      <c r="AM318" s="15">
        <f t="shared" si="67"/>
        <v>263600</v>
      </c>
      <c r="AN318" s="15">
        <f>SUMIF([1]装备属性!$M$571:$M$870,"&lt;="&amp;AL318,[1]装备属性!$Q$571:$Q$870)</f>
        <v>192517.104787715</v>
      </c>
      <c r="AO318" s="15">
        <f t="shared" si="68"/>
        <v>1.36922898508507</v>
      </c>
    </row>
    <row r="319" ht="18" spans="1:41">
      <c r="A319" s="9" t="s">
        <v>253</v>
      </c>
      <c r="B319" s="9" t="str">
        <f t="shared" si="57"/>
        <v>[{5205001,3},{2,}]</v>
      </c>
      <c r="C319" s="51" t="str">
        <f t="shared" si="58"/>
        <v>[{5203001,850},{2,12550}]</v>
      </c>
      <c r="D319" s="140">
        <v>179</v>
      </c>
      <c r="E319" s="130">
        <f t="shared" si="59"/>
        <v>1398</v>
      </c>
      <c r="F319" s="130">
        <f t="shared" si="77"/>
        <v>565</v>
      </c>
      <c r="G319" s="130">
        <v>120</v>
      </c>
      <c r="H319" s="130">
        <f>SUMIFS(基因产出!$F$90:$F$389,基因产出!$D$90:$D$389,"&lt;="&amp;E319,基因产出!$D$90:$D$389,"&gt;"&amp;_xlfn.MAXIFS($E$141:E319,$E$141:E319,"&lt;"&amp;E319))/COUNTIF($E$141:$E$500,E319)</f>
        <v>0</v>
      </c>
      <c r="I319" s="130">
        <f>IF(COUNTIF($I$141:$I318,$I318)=VLOOKUP($I318,$D$90:$E$120,2,0),$I318+1,$I318)</f>
        <v>19</v>
      </c>
      <c r="J319" s="131">
        <f t="shared" si="60"/>
        <v>110</v>
      </c>
      <c r="K319" s="132" t="str">
        <f t="shared" si="61"/>
        <v/>
      </c>
      <c r="L319" s="132" t="str">
        <f t="shared" si="62"/>
        <v/>
      </c>
      <c r="M319" s="132">
        <f t="shared" si="63"/>
        <v>0.002</v>
      </c>
      <c r="N319" s="132" t="str">
        <f t="shared" si="69"/>
        <v/>
      </c>
      <c r="O319" s="132" t="str">
        <f t="shared" si="64"/>
        <v/>
      </c>
      <c r="P319" s="141">
        <f>(SUM($Q$142:Q319)-SUM($H$141:H319))/SUM($H$141:H319)</f>
        <v>-0.294073856401215</v>
      </c>
      <c r="Q319" s="142">
        <f t="shared" si="78"/>
        <v>845</v>
      </c>
      <c r="R319" s="142">
        <f t="shared" si="76"/>
        <v>12480</v>
      </c>
      <c r="S319" s="133">
        <f t="shared" si="70"/>
        <v>16.3881019830028</v>
      </c>
      <c r="T319" s="134">
        <f>INT(SUM($W$141:W319)/3)+1</f>
        <v>38</v>
      </c>
      <c r="U319" s="135" t="str">
        <f t="shared" si="65"/>
        <v/>
      </c>
      <c r="V319" s="67" t="s">
        <v>168</v>
      </c>
      <c r="W319" s="137" t="str">
        <f t="shared" si="71"/>
        <v/>
      </c>
      <c r="X319" s="137" t="str">
        <f t="shared" si="66"/>
        <v/>
      </c>
      <c r="Y319" s="138"/>
      <c r="Z319" s="138">
        <v>2</v>
      </c>
      <c r="AA319" s="138">
        <v>3</v>
      </c>
      <c r="AB319" s="138" t="str">
        <f t="shared" si="75"/>
        <v>{10000,9000,8000}</v>
      </c>
      <c r="AC319" s="138">
        <v>1000</v>
      </c>
      <c r="AD319" s="138">
        <v>4000</v>
      </c>
      <c r="AE319" s="138">
        <f>SUM($R$141:$R319)+SUM($X$141:$X319)</f>
        <v>1930260</v>
      </c>
      <c r="AF319" s="138">
        <f>SUM($Q$142:Q319)</f>
        <v>72068</v>
      </c>
      <c r="AG319" s="137">
        <f t="shared" si="72"/>
        <v>2146464</v>
      </c>
      <c r="AH319" s="139">
        <f>SUM($S$141:S319)</f>
        <v>1397.1580281092</v>
      </c>
      <c r="AI319" s="133">
        <f t="shared" si="73"/>
        <v>8.19405099150142</v>
      </c>
      <c r="AJ319" s="15">
        <f t="shared" si="74"/>
        <v>708000</v>
      </c>
      <c r="AL319" s="15">
        <v>179</v>
      </c>
      <c r="AM319" s="15">
        <f t="shared" si="67"/>
        <v>263600</v>
      </c>
      <c r="AN319" s="15">
        <f>SUMIF([1]装备属性!$M$571:$M$870,"&lt;="&amp;AL319,[1]装备属性!$Q$571:$Q$870)</f>
        <v>192517.104787715</v>
      </c>
      <c r="AO319" s="15">
        <f t="shared" si="68"/>
        <v>1.36922898508507</v>
      </c>
    </row>
    <row r="320" ht="18" spans="1:41">
      <c r="A320" s="9" t="s">
        <v>254</v>
      </c>
      <c r="B320" s="9" t="str">
        <f t="shared" si="57"/>
        <v>[{5205001,3},{2,}]</v>
      </c>
      <c r="C320" s="51" t="str">
        <f t="shared" si="58"/>
        <v>[{5203001,855},{2,12620}]</v>
      </c>
      <c r="D320" s="140">
        <v>180</v>
      </c>
      <c r="E320" s="130">
        <f t="shared" si="59"/>
        <v>1414</v>
      </c>
      <c r="F320" s="130">
        <f t="shared" si="77"/>
        <v>570</v>
      </c>
      <c r="G320" s="130">
        <v>120</v>
      </c>
      <c r="H320" s="130">
        <f>SUMIFS(基因产出!$F$90:$F$389,基因产出!$D$90:$D$389,"&lt;="&amp;E320,基因产出!$D$90:$D$389,"&gt;"&amp;_xlfn.MAXIFS($E$141:E320,$E$141:E320,"&lt;"&amp;E320))/COUNTIF($E$141:$E$500,E320)</f>
        <v>0</v>
      </c>
      <c r="I320" s="130">
        <f>IF(COUNTIF($I$141:$I319,$I319)=VLOOKUP($I319,$D$90:$E$120,2,0),$I319+1,$I319)</f>
        <v>19</v>
      </c>
      <c r="J320" s="131">
        <f t="shared" si="60"/>
        <v>110</v>
      </c>
      <c r="K320" s="132" t="str">
        <f t="shared" si="61"/>
        <v/>
      </c>
      <c r="L320" s="132">
        <f t="shared" si="62"/>
        <v>0.03</v>
      </c>
      <c r="M320" s="132" t="str">
        <f t="shared" si="63"/>
        <v/>
      </c>
      <c r="N320" s="132" t="str">
        <f t="shared" si="69"/>
        <v/>
      </c>
      <c r="O320" s="132" t="str">
        <f t="shared" si="64"/>
        <v/>
      </c>
      <c r="P320" s="141">
        <f>(SUM($Q$142:Q320)-SUM($H$141:H320))/SUM($H$141:H320)</f>
        <v>-0.285747869526888</v>
      </c>
      <c r="Q320" s="142">
        <f t="shared" si="78"/>
        <v>850</v>
      </c>
      <c r="R320" s="142">
        <f t="shared" si="76"/>
        <v>12550</v>
      </c>
      <c r="S320" s="133">
        <f t="shared" si="70"/>
        <v>16.4801699716714</v>
      </c>
      <c r="T320" s="134">
        <f>INT(SUM($W$141:W320)/3)+1</f>
        <v>38</v>
      </c>
      <c r="U320" s="135" t="str">
        <f t="shared" si="65"/>
        <v/>
      </c>
      <c r="V320" s="67" t="s">
        <v>168</v>
      </c>
      <c r="W320" s="137" t="str">
        <f t="shared" si="71"/>
        <v/>
      </c>
      <c r="X320" s="137" t="str">
        <f t="shared" si="66"/>
        <v/>
      </c>
      <c r="Y320" s="138"/>
      <c r="Z320" s="138">
        <v>2</v>
      </c>
      <c r="AA320" s="138">
        <v>3</v>
      </c>
      <c r="AB320" s="138" t="str">
        <f t="shared" si="75"/>
        <v>{10000,9000,8000}</v>
      </c>
      <c r="AC320" s="138">
        <v>1000</v>
      </c>
      <c r="AD320" s="138">
        <v>4000</v>
      </c>
      <c r="AE320" s="138">
        <f>SUM($R$141:$R320)+SUM($X$141:$X320)</f>
        <v>1942810</v>
      </c>
      <c r="AF320" s="138">
        <f>SUM($Q$142:Q320)</f>
        <v>72918</v>
      </c>
      <c r="AG320" s="137">
        <f t="shared" si="72"/>
        <v>2161564</v>
      </c>
      <c r="AH320" s="139">
        <f>SUM($S$141:S320)</f>
        <v>1413.63819808087</v>
      </c>
      <c r="AI320" s="133">
        <f t="shared" si="73"/>
        <v>8.24008498583569</v>
      </c>
      <c r="AJ320" s="15">
        <f t="shared" si="74"/>
        <v>712200</v>
      </c>
      <c r="AL320" s="15">
        <v>180</v>
      </c>
      <c r="AM320" s="15">
        <f t="shared" si="67"/>
        <v>263600</v>
      </c>
      <c r="AN320" s="15">
        <f>SUMIF([1]装备属性!$M$571:$M$870,"&lt;="&amp;AL320,[1]装备属性!$Q$571:$Q$870)</f>
        <v>192517.104787715</v>
      </c>
      <c r="AO320" s="15">
        <f t="shared" si="68"/>
        <v>1.36922898508507</v>
      </c>
    </row>
    <row r="321" ht="18" spans="1:41">
      <c r="A321" s="9" t="s">
        <v>251</v>
      </c>
      <c r="B321" s="9" t="str">
        <f t="shared" si="57"/>
        <v>[{5205001,3},{2,}]</v>
      </c>
      <c r="C321" s="51" t="str">
        <f t="shared" si="58"/>
        <v>[{5203001,860},{2,12690}]</v>
      </c>
      <c r="D321" s="140">
        <v>181</v>
      </c>
      <c r="E321" s="130">
        <f t="shared" si="59"/>
        <v>1431</v>
      </c>
      <c r="F321" s="130">
        <f t="shared" si="77"/>
        <v>575</v>
      </c>
      <c r="G321" s="130">
        <v>120</v>
      </c>
      <c r="H321" s="130">
        <f>SUMIFS(基因产出!$F$90:$F$389,基因产出!$D$90:$D$389,"&lt;="&amp;E321,基因产出!$D$90:$D$389,"&gt;"&amp;_xlfn.MAXIFS($E$141:E321,$E$141:E321,"&lt;"&amp;E321))/COUNTIF($E$141:$E$500,E321)</f>
        <v>0</v>
      </c>
      <c r="I321" s="130">
        <f>IF(COUNTIF($I$141:$I320,$I320)=VLOOKUP($I320,$D$90:$E$120,2,0),$I320+1,$I320)</f>
        <v>19</v>
      </c>
      <c r="J321" s="131">
        <f t="shared" si="60"/>
        <v>110</v>
      </c>
      <c r="K321" s="132">
        <f t="shared" si="61"/>
        <v>0.05</v>
      </c>
      <c r="L321" s="132" t="str">
        <f t="shared" si="62"/>
        <v/>
      </c>
      <c r="M321" s="132" t="str">
        <f t="shared" si="63"/>
        <v/>
      </c>
      <c r="N321" s="132" t="str">
        <f t="shared" si="69"/>
        <v/>
      </c>
      <c r="O321" s="132" t="str">
        <f t="shared" si="64"/>
        <v/>
      </c>
      <c r="P321" s="141">
        <f>(SUM($Q$142:Q321)-SUM($H$141:H321))/SUM($H$141:H321)</f>
        <v>-0.277372906259183</v>
      </c>
      <c r="Q321" s="142">
        <f t="shared" si="78"/>
        <v>855</v>
      </c>
      <c r="R321" s="142">
        <f t="shared" si="76"/>
        <v>12620</v>
      </c>
      <c r="S321" s="133">
        <f t="shared" si="70"/>
        <v>16.5722379603399</v>
      </c>
      <c r="T321" s="134">
        <f>INT(SUM($W$141:W321)/3)+1</f>
        <v>38</v>
      </c>
      <c r="U321" s="135" t="str">
        <f t="shared" si="65"/>
        <v/>
      </c>
      <c r="V321" s="67" t="s">
        <v>168</v>
      </c>
      <c r="W321" s="137" t="str">
        <f t="shared" si="71"/>
        <v/>
      </c>
      <c r="X321" s="137" t="str">
        <f t="shared" si="66"/>
        <v/>
      </c>
      <c r="Y321" s="138"/>
      <c r="Z321" s="138">
        <v>2</v>
      </c>
      <c r="AA321" s="138">
        <v>3</v>
      </c>
      <c r="AB321" s="138" t="str">
        <f t="shared" si="75"/>
        <v>{10000,9000,8000}</v>
      </c>
      <c r="AC321" s="138">
        <v>1000</v>
      </c>
      <c r="AD321" s="138">
        <v>4000</v>
      </c>
      <c r="AE321" s="138">
        <f>SUM($R$141:$R321)+SUM($X$141:$X321)</f>
        <v>1955430</v>
      </c>
      <c r="AF321" s="138">
        <f>SUM($Q$142:Q321)</f>
        <v>73773</v>
      </c>
      <c r="AG321" s="137">
        <f t="shared" si="72"/>
        <v>2176749</v>
      </c>
      <c r="AH321" s="139">
        <f>SUM($S$141:S321)</f>
        <v>1430.21043604121</v>
      </c>
      <c r="AI321" s="133">
        <f t="shared" si="73"/>
        <v>8.28611898016997</v>
      </c>
      <c r="AJ321" s="15">
        <f t="shared" si="74"/>
        <v>716100</v>
      </c>
      <c r="AL321" s="15">
        <v>181</v>
      </c>
      <c r="AM321" s="15">
        <f t="shared" si="67"/>
        <v>263600</v>
      </c>
      <c r="AN321" s="15">
        <f>SUMIF([1]装备属性!$M$571:$M$870,"&lt;="&amp;AL321,[1]装备属性!$Q$571:$Q$870)</f>
        <v>192517.104787715</v>
      </c>
      <c r="AO321" s="15">
        <f t="shared" si="68"/>
        <v>1.36922898508507</v>
      </c>
    </row>
    <row r="322" ht="18" spans="1:41">
      <c r="A322" s="9" t="s">
        <v>252</v>
      </c>
      <c r="B322" s="9" t="str">
        <f t="shared" si="57"/>
        <v>[{5205001,3},{2,}]</v>
      </c>
      <c r="C322" s="51" t="str">
        <f t="shared" si="58"/>
        <v>[{5203001,865},{2,12760}]</v>
      </c>
      <c r="D322" s="140">
        <v>182</v>
      </c>
      <c r="E322" s="130">
        <f t="shared" si="59"/>
        <v>1447</v>
      </c>
      <c r="F322" s="130">
        <f t="shared" si="77"/>
        <v>580</v>
      </c>
      <c r="G322" s="130">
        <v>120</v>
      </c>
      <c r="H322" s="130">
        <f>SUMIFS(基因产出!$F$90:$F$389,基因产出!$D$90:$D$389,"&lt;="&amp;E322,基因产出!$D$90:$D$389,"&gt;"&amp;_xlfn.MAXIFS($E$141:E322,$E$141:E322,"&lt;"&amp;E322))/COUNTIF($E$141:$E$500,E322)</f>
        <v>0</v>
      </c>
      <c r="I322" s="130">
        <f>IF(COUNTIF($I$141:$I321,$I321)=VLOOKUP($I321,$D$90:$E$120,2,0),$I321+1,$I321)</f>
        <v>19</v>
      </c>
      <c r="J322" s="131">
        <f t="shared" si="60"/>
        <v>110</v>
      </c>
      <c r="K322" s="132" t="str">
        <f t="shared" si="61"/>
        <v/>
      </c>
      <c r="L322" s="132" t="str">
        <f t="shared" si="62"/>
        <v/>
      </c>
      <c r="M322" s="132" t="str">
        <f t="shared" si="63"/>
        <v/>
      </c>
      <c r="N322" s="132">
        <f t="shared" si="69"/>
        <v>0.0075</v>
      </c>
      <c r="O322" s="132" t="str">
        <f t="shared" si="64"/>
        <v/>
      </c>
      <c r="P322" s="141">
        <f>(SUM($Q$142:Q322)-SUM($H$141:H322))/SUM($H$141:H322)</f>
        <v>-0.2689489665981</v>
      </c>
      <c r="Q322" s="142">
        <f t="shared" si="78"/>
        <v>860</v>
      </c>
      <c r="R322" s="142">
        <f t="shared" si="76"/>
        <v>12690</v>
      </c>
      <c r="S322" s="133">
        <f t="shared" si="70"/>
        <v>16.6643059490085</v>
      </c>
      <c r="T322" s="134">
        <f>INT(SUM($W$141:W322)/3)+1</f>
        <v>38</v>
      </c>
      <c r="U322" s="135" t="str">
        <f t="shared" si="65"/>
        <v/>
      </c>
      <c r="V322" s="67" t="s">
        <v>168</v>
      </c>
      <c r="W322" s="137" t="str">
        <f t="shared" si="71"/>
        <v/>
      </c>
      <c r="X322" s="137" t="str">
        <f t="shared" si="66"/>
        <v/>
      </c>
      <c r="Y322" s="138"/>
      <c r="Z322" s="138">
        <v>2</v>
      </c>
      <c r="AA322" s="138">
        <v>3</v>
      </c>
      <c r="AB322" s="138" t="str">
        <f t="shared" si="75"/>
        <v>{10000,9000,8000}</v>
      </c>
      <c r="AC322" s="138">
        <v>1000</v>
      </c>
      <c r="AD322" s="138">
        <v>4000</v>
      </c>
      <c r="AE322" s="138">
        <f>SUM($R$141:$R322)+SUM($X$141:$X322)</f>
        <v>1968120</v>
      </c>
      <c r="AF322" s="138">
        <f>SUM($Q$142:Q322)</f>
        <v>74633</v>
      </c>
      <c r="AG322" s="137">
        <f t="shared" si="72"/>
        <v>2192019</v>
      </c>
      <c r="AH322" s="139">
        <f>SUM($S$141:S322)</f>
        <v>1446.87474199022</v>
      </c>
      <c r="AI322" s="133">
        <f t="shared" si="73"/>
        <v>8.33215297450425</v>
      </c>
      <c r="AJ322" s="15">
        <f t="shared" si="74"/>
        <v>720000</v>
      </c>
      <c r="AL322" s="15">
        <v>182</v>
      </c>
      <c r="AM322" s="15">
        <f t="shared" si="67"/>
        <v>263600</v>
      </c>
      <c r="AN322" s="15">
        <f>SUMIF([1]装备属性!$M$571:$M$870,"&lt;="&amp;AL322,[1]装备属性!$Q$571:$Q$870)</f>
        <v>192517.104787715</v>
      </c>
      <c r="AO322" s="15">
        <f t="shared" si="68"/>
        <v>1.36922898508507</v>
      </c>
    </row>
    <row r="323" ht="18" spans="1:41">
      <c r="A323" s="9" t="s">
        <v>253</v>
      </c>
      <c r="B323" s="9" t="str">
        <f t="shared" si="57"/>
        <v>[{5205001,3},{2,}]</v>
      </c>
      <c r="C323" s="51" t="str">
        <f t="shared" si="58"/>
        <v>[{5203001,870},{2,12830}]</v>
      </c>
      <c r="D323" s="140">
        <v>183</v>
      </c>
      <c r="E323" s="130">
        <f t="shared" si="59"/>
        <v>1464</v>
      </c>
      <c r="F323" s="130">
        <f t="shared" si="77"/>
        <v>585</v>
      </c>
      <c r="G323" s="130">
        <v>120</v>
      </c>
      <c r="H323" s="130">
        <f>SUMIFS(基因产出!$F$90:$F$389,基因产出!$D$90:$D$389,"&lt;="&amp;E323,基因产出!$D$90:$D$389,"&gt;"&amp;_xlfn.MAXIFS($E$141:E323,$E$141:E323,"&lt;"&amp;E323))/COUNTIF($E$141:$E$500,E323)</f>
        <v>0</v>
      </c>
      <c r="I323" s="130">
        <f>IF(COUNTIF($I$141:$I322,$I322)=VLOOKUP($I322,$D$90:$E$120,2,0),$I322+1,$I322)</f>
        <v>19</v>
      </c>
      <c r="J323" s="131">
        <f t="shared" si="60"/>
        <v>110</v>
      </c>
      <c r="K323" s="132" t="str">
        <f t="shared" si="61"/>
        <v/>
      </c>
      <c r="L323" s="132" t="str">
        <f t="shared" si="62"/>
        <v/>
      </c>
      <c r="M323" s="132">
        <f t="shared" si="63"/>
        <v>0.002</v>
      </c>
      <c r="N323" s="132" t="str">
        <f t="shared" si="69"/>
        <v/>
      </c>
      <c r="O323" s="132" t="str">
        <f t="shared" si="64"/>
        <v/>
      </c>
      <c r="P323" s="141">
        <f>(SUM($Q$142:Q323)-SUM($H$141:H323))/SUM($H$141:H323)</f>
        <v>-0.260476050543638</v>
      </c>
      <c r="Q323" s="142">
        <f t="shared" si="78"/>
        <v>865</v>
      </c>
      <c r="R323" s="142">
        <f t="shared" si="76"/>
        <v>12760</v>
      </c>
      <c r="S323" s="133">
        <f t="shared" si="70"/>
        <v>16.7563739376771</v>
      </c>
      <c r="T323" s="134">
        <f>INT(SUM($W$141:W323)/3)+1</f>
        <v>38</v>
      </c>
      <c r="U323" s="135" t="str">
        <f t="shared" si="65"/>
        <v/>
      </c>
      <c r="V323" s="67" t="s">
        <v>168</v>
      </c>
      <c r="W323" s="137" t="str">
        <f t="shared" si="71"/>
        <v/>
      </c>
      <c r="X323" s="137" t="str">
        <f t="shared" si="66"/>
        <v/>
      </c>
      <c r="Y323" s="138"/>
      <c r="Z323" s="138">
        <v>2</v>
      </c>
      <c r="AA323" s="138">
        <v>3</v>
      </c>
      <c r="AB323" s="138" t="str">
        <f t="shared" si="75"/>
        <v>{10000,9000,8000}</v>
      </c>
      <c r="AC323" s="138">
        <v>1000</v>
      </c>
      <c r="AD323" s="138">
        <v>4000</v>
      </c>
      <c r="AE323" s="138">
        <f>SUM($R$141:$R323)+SUM($X$141:$X323)</f>
        <v>1980880</v>
      </c>
      <c r="AF323" s="138">
        <f>SUM($Q$142:Q323)</f>
        <v>75498</v>
      </c>
      <c r="AG323" s="137">
        <f t="shared" si="72"/>
        <v>2207374</v>
      </c>
      <c r="AH323" s="139">
        <f>SUM($S$141:S323)</f>
        <v>1463.63111592789</v>
      </c>
      <c r="AI323" s="133">
        <f t="shared" si="73"/>
        <v>8.37818696883853</v>
      </c>
      <c r="AJ323" s="15">
        <f t="shared" si="74"/>
        <v>723900</v>
      </c>
      <c r="AL323" s="15">
        <v>183</v>
      </c>
      <c r="AM323" s="15">
        <f t="shared" si="67"/>
        <v>263600</v>
      </c>
      <c r="AN323" s="15">
        <f>SUMIF([1]装备属性!$M$571:$M$870,"&lt;="&amp;AL323,[1]装备属性!$Q$571:$Q$870)</f>
        <v>192517.104787715</v>
      </c>
      <c r="AO323" s="15">
        <f t="shared" si="68"/>
        <v>1.36922898508507</v>
      </c>
    </row>
    <row r="324" ht="18" spans="1:41">
      <c r="A324" s="9" t="s">
        <v>254</v>
      </c>
      <c r="B324" s="9" t="str">
        <f t="shared" si="57"/>
        <v>[{5205001,3},{2,51320}]</v>
      </c>
      <c r="C324" s="51" t="str">
        <f t="shared" si="58"/>
        <v>[{5203001,875},{2,12900}]</v>
      </c>
      <c r="D324" s="140">
        <v>184</v>
      </c>
      <c r="E324" s="130">
        <f t="shared" si="59"/>
        <v>1481</v>
      </c>
      <c r="F324" s="130">
        <f t="shared" si="77"/>
        <v>590</v>
      </c>
      <c r="G324" s="130">
        <v>120</v>
      </c>
      <c r="H324" s="130">
        <f>SUMIFS(基因产出!$F$90:$F$389,基因产出!$D$90:$D$389,"&lt;="&amp;E324,基因产出!$D$90:$D$389,"&gt;"&amp;_xlfn.MAXIFS($E$141:E324,$E$141:E324,"&lt;"&amp;E324))/COUNTIF($E$141:$E$500,E324)</f>
        <v>0</v>
      </c>
      <c r="I324" s="130">
        <f>IF(COUNTIF($I$141:$I323,$I323)=VLOOKUP($I323,$D$90:$E$120,2,0),$I323+1,$I323)</f>
        <v>19</v>
      </c>
      <c r="J324" s="131">
        <f t="shared" si="60"/>
        <v>110</v>
      </c>
      <c r="K324" s="132" t="str">
        <f t="shared" si="61"/>
        <v/>
      </c>
      <c r="L324" s="132">
        <f t="shared" si="62"/>
        <v>0.03</v>
      </c>
      <c r="M324" s="132" t="str">
        <f t="shared" si="63"/>
        <v/>
      </c>
      <c r="N324" s="132" t="str">
        <f t="shared" si="69"/>
        <v/>
      </c>
      <c r="O324" s="132" t="str">
        <f t="shared" si="64"/>
        <v/>
      </c>
      <c r="P324" s="141">
        <f>(SUM($Q$142:Q324)-SUM($H$141:H324))/SUM($H$141:H324)</f>
        <v>-0.251954158095798</v>
      </c>
      <c r="Q324" s="142">
        <f t="shared" si="78"/>
        <v>870</v>
      </c>
      <c r="R324" s="142">
        <f t="shared" si="76"/>
        <v>12830</v>
      </c>
      <c r="S324" s="133">
        <f t="shared" si="70"/>
        <v>16.8484419263456</v>
      </c>
      <c r="T324" s="134">
        <f>INT(SUM($W$141:W324)/3)+1</f>
        <v>39</v>
      </c>
      <c r="U324" s="135" t="str">
        <f t="shared" si="65"/>
        <v>60</v>
      </c>
      <c r="V324" s="67" t="s">
        <v>77</v>
      </c>
      <c r="W324" s="137">
        <f t="shared" si="71"/>
        <v>3</v>
      </c>
      <c r="X324" s="137">
        <f t="shared" si="66"/>
        <v>51320</v>
      </c>
      <c r="Y324" s="138"/>
      <c r="Z324" s="138">
        <v>2</v>
      </c>
      <c r="AA324" s="138">
        <v>3</v>
      </c>
      <c r="AB324" s="138" t="str">
        <f t="shared" si="75"/>
        <v>{10000,9000,8000}</v>
      </c>
      <c r="AC324" s="138">
        <v>1000</v>
      </c>
      <c r="AD324" s="138">
        <v>4000</v>
      </c>
      <c r="AE324" s="138">
        <f>SUM($R$141:$R324)+SUM($X$141:$X324)</f>
        <v>2045030</v>
      </c>
      <c r="AF324" s="138">
        <f>SUM($Q$142:Q324)</f>
        <v>76368</v>
      </c>
      <c r="AG324" s="137">
        <f t="shared" si="72"/>
        <v>2274134</v>
      </c>
      <c r="AH324" s="139">
        <f>SUM($S$141:S324)</f>
        <v>1480.47955785424</v>
      </c>
      <c r="AI324" s="133">
        <f t="shared" si="73"/>
        <v>8.4242209631728</v>
      </c>
      <c r="AJ324" s="15">
        <f t="shared" si="74"/>
        <v>728100</v>
      </c>
      <c r="AL324" s="15">
        <v>184</v>
      </c>
      <c r="AM324" s="15">
        <f t="shared" si="67"/>
        <v>263600</v>
      </c>
      <c r="AN324" s="15">
        <f>SUMIF([1]装备属性!$M$571:$M$870,"&lt;="&amp;AL324,[1]装备属性!$Q$571:$Q$870)</f>
        <v>192517.104787715</v>
      </c>
      <c r="AO324" s="15">
        <f t="shared" si="68"/>
        <v>1.36922898508507</v>
      </c>
    </row>
    <row r="325" ht="18" spans="1:41">
      <c r="A325" s="9" t="s">
        <v>256</v>
      </c>
      <c r="B325" s="9" t="str">
        <f t="shared" si="57"/>
        <v>[{5205001,3},{2,}]</v>
      </c>
      <c r="C325" s="51" t="str">
        <f t="shared" si="58"/>
        <v>[{5203001,880},{2,12970}]</v>
      </c>
      <c r="D325" s="140">
        <v>185</v>
      </c>
      <c r="E325" s="130">
        <f t="shared" si="59"/>
        <v>1499</v>
      </c>
      <c r="F325" s="130">
        <f t="shared" si="77"/>
        <v>595</v>
      </c>
      <c r="G325" s="130">
        <v>300</v>
      </c>
      <c r="H325" s="130">
        <f>SUMIFS(基因产出!$F$90:$F$389,基因产出!$D$90:$D$389,"&lt;="&amp;E325,基因产出!$D$90:$D$389,"&gt;"&amp;_xlfn.MAXIFS($E$141:E325,$E$141:E325,"&lt;"&amp;E325))/COUNTIF($E$141:$E$500,E325)</f>
        <v>0</v>
      </c>
      <c r="I325" s="130">
        <f>IF(COUNTIF($I$141:$I324,$I324)=VLOOKUP($I324,$D$90:$E$120,2,0),$I324+1,$I324)</f>
        <v>20</v>
      </c>
      <c r="J325" s="131">
        <f t="shared" si="60"/>
        <v>116</v>
      </c>
      <c r="K325" s="132">
        <f t="shared" si="61"/>
        <v>0.05</v>
      </c>
      <c r="L325" s="132" t="str">
        <f t="shared" si="62"/>
        <v/>
      </c>
      <c r="M325" s="132" t="str">
        <f t="shared" si="63"/>
        <v/>
      </c>
      <c r="N325" s="132" t="str">
        <f t="shared" si="69"/>
        <v/>
      </c>
      <c r="O325" s="132" t="str">
        <f t="shared" si="64"/>
        <v/>
      </c>
      <c r="P325" s="141">
        <f>(SUM($Q$142:Q325)-SUM($H$141:H325))/SUM($H$141:H325)</f>
        <v>-0.243383289254579</v>
      </c>
      <c r="Q325" s="142">
        <f t="shared" si="78"/>
        <v>875</v>
      </c>
      <c r="R325" s="142">
        <f t="shared" si="76"/>
        <v>12900</v>
      </c>
      <c r="S325" s="133">
        <f t="shared" si="70"/>
        <v>18.4</v>
      </c>
      <c r="T325" s="134">
        <f>INT(SUM($W$141:W325)/3)+1</f>
        <v>39</v>
      </c>
      <c r="U325" s="135" t="str">
        <f t="shared" si="65"/>
        <v/>
      </c>
      <c r="V325" s="67" t="s">
        <v>168</v>
      </c>
      <c r="W325" s="137" t="str">
        <f t="shared" si="71"/>
        <v/>
      </c>
      <c r="X325" s="137" t="str">
        <f t="shared" si="66"/>
        <v/>
      </c>
      <c r="Y325" s="138"/>
      <c r="Z325" s="138">
        <v>2</v>
      </c>
      <c r="AA325" s="138">
        <v>3</v>
      </c>
      <c r="AB325" s="138" t="str">
        <f t="shared" si="75"/>
        <v>{10000,9000,8000}</v>
      </c>
      <c r="AC325" s="138">
        <v>1000</v>
      </c>
      <c r="AD325" s="138">
        <v>4000</v>
      </c>
      <c r="AE325" s="138">
        <f>SUM($R$141:$R325)+SUM($X$141:$X325)</f>
        <v>2057930</v>
      </c>
      <c r="AF325" s="138">
        <f>SUM($Q$142:Q325)</f>
        <v>77243</v>
      </c>
      <c r="AG325" s="137">
        <f t="shared" si="72"/>
        <v>2289659</v>
      </c>
      <c r="AH325" s="139">
        <f>SUM($S$141:S325)</f>
        <v>1498.87955785424</v>
      </c>
      <c r="AI325" s="133">
        <f t="shared" si="73"/>
        <v>9.2</v>
      </c>
      <c r="AJ325" s="15">
        <f t="shared" si="74"/>
        <v>795000</v>
      </c>
      <c r="AL325" s="15">
        <v>185</v>
      </c>
      <c r="AM325" s="15">
        <f t="shared" si="67"/>
        <v>269710</v>
      </c>
      <c r="AN325" s="15">
        <f>SUMIF([1]装备属性!$M$571:$M$870,"&lt;="&amp;AL325,[1]装备属性!$Q$571:$Q$870)</f>
        <v>192517.104787715</v>
      </c>
      <c r="AO325" s="15">
        <f t="shared" si="68"/>
        <v>1.40096642476212</v>
      </c>
    </row>
    <row r="326" ht="18" spans="1:41">
      <c r="A326" s="9" t="s">
        <v>257</v>
      </c>
      <c r="B326" s="9" t="str">
        <f t="shared" si="57"/>
        <v>[{5205001,3},{2,}]</v>
      </c>
      <c r="C326" s="51" t="str">
        <f t="shared" si="58"/>
        <v>[{5203001,885},{2,13040}]</v>
      </c>
      <c r="D326" s="140">
        <v>186</v>
      </c>
      <c r="E326" s="130">
        <f t="shared" si="59"/>
        <v>1518</v>
      </c>
      <c r="F326" s="130">
        <f t="shared" si="77"/>
        <v>600</v>
      </c>
      <c r="G326" s="130">
        <v>300</v>
      </c>
      <c r="H326" s="130">
        <f>SUMIFS(基因产出!$F$90:$F$389,基因产出!$D$90:$D$389,"&lt;="&amp;E326,基因产出!$D$90:$D$389,"&gt;"&amp;_xlfn.MAXIFS($E$141:E326,$E$141:E326,"&lt;"&amp;E326))/COUNTIF($E$141:$E$500,E326)</f>
        <v>0</v>
      </c>
      <c r="I326" s="130">
        <f>IF(COUNTIF($I$141:$I325,$I325)=VLOOKUP($I325,$D$90:$E$120,2,0),$I325+1,$I325)</f>
        <v>20</v>
      </c>
      <c r="J326" s="131">
        <f t="shared" si="60"/>
        <v>116</v>
      </c>
      <c r="K326" s="132" t="str">
        <f t="shared" si="61"/>
        <v/>
      </c>
      <c r="L326" s="132" t="str">
        <f t="shared" si="62"/>
        <v/>
      </c>
      <c r="M326" s="132" t="str">
        <f t="shared" si="63"/>
        <v/>
      </c>
      <c r="N326" s="132">
        <f t="shared" si="69"/>
        <v>0.0075</v>
      </c>
      <c r="O326" s="132" t="str">
        <f t="shared" si="64"/>
        <v/>
      </c>
      <c r="P326" s="141">
        <f>(SUM($Q$142:Q326)-SUM($H$141:H326))/SUM($H$141:H326)</f>
        <v>-0.234763444019982</v>
      </c>
      <c r="Q326" s="142">
        <f t="shared" si="78"/>
        <v>880</v>
      </c>
      <c r="R326" s="142">
        <f t="shared" si="76"/>
        <v>12970</v>
      </c>
      <c r="S326" s="133">
        <f t="shared" si="70"/>
        <v>18.5</v>
      </c>
      <c r="T326" s="134">
        <f>INT(SUM($W$141:W326)/3)+1</f>
        <v>39</v>
      </c>
      <c r="U326" s="135" t="str">
        <f t="shared" si="65"/>
        <v/>
      </c>
      <c r="V326" s="67" t="s">
        <v>168</v>
      </c>
      <c r="W326" s="137" t="str">
        <f t="shared" si="71"/>
        <v/>
      </c>
      <c r="X326" s="137" t="str">
        <f t="shared" si="66"/>
        <v/>
      </c>
      <c r="Y326" s="138"/>
      <c r="Z326" s="138">
        <v>2</v>
      </c>
      <c r="AA326" s="138">
        <v>3</v>
      </c>
      <c r="AB326" s="138" t="str">
        <f t="shared" si="75"/>
        <v>{10000,9000,8000}</v>
      </c>
      <c r="AC326" s="138">
        <v>1000</v>
      </c>
      <c r="AD326" s="138">
        <v>4000</v>
      </c>
      <c r="AE326" s="138">
        <f>SUM($R$141:$R326)+SUM($X$141:$X326)</f>
        <v>2070900</v>
      </c>
      <c r="AF326" s="138">
        <f>SUM($Q$142:Q326)</f>
        <v>78123</v>
      </c>
      <c r="AG326" s="137">
        <f t="shared" si="72"/>
        <v>2305269</v>
      </c>
      <c r="AH326" s="139">
        <f>SUM($S$141:S326)</f>
        <v>1517.37955785424</v>
      </c>
      <c r="AI326" s="133">
        <f t="shared" si="73"/>
        <v>9.25</v>
      </c>
      <c r="AJ326" s="15">
        <f t="shared" si="74"/>
        <v>799200</v>
      </c>
      <c r="AL326" s="15">
        <v>186</v>
      </c>
      <c r="AM326" s="15">
        <f t="shared" si="67"/>
        <v>269710</v>
      </c>
      <c r="AN326" s="15">
        <f>SUMIF([1]装备属性!$M$571:$M$870,"&lt;="&amp;AL326,[1]装备属性!$Q$571:$Q$870)</f>
        <v>192517.104787715</v>
      </c>
      <c r="AO326" s="15">
        <f t="shared" si="68"/>
        <v>1.40096642476212</v>
      </c>
    </row>
    <row r="327" ht="18" spans="1:41">
      <c r="A327" s="9" t="s">
        <v>258</v>
      </c>
      <c r="B327" s="9" t="str">
        <f t="shared" si="57"/>
        <v>[{5205001,3},{2,}]</v>
      </c>
      <c r="C327" s="51" t="str">
        <f t="shared" si="58"/>
        <v>[{5203001,890},{2,13110}]</v>
      </c>
      <c r="D327" s="140">
        <v>187</v>
      </c>
      <c r="E327" s="130">
        <f t="shared" si="59"/>
        <v>1536</v>
      </c>
      <c r="F327" s="130">
        <f t="shared" si="77"/>
        <v>605</v>
      </c>
      <c r="G327" s="130">
        <v>300</v>
      </c>
      <c r="H327" s="130">
        <f>SUMIFS(基因产出!$F$90:$F$389,基因产出!$D$90:$D$389,"&lt;="&amp;E327,基因产出!$D$90:$D$389,"&gt;"&amp;_xlfn.MAXIFS($E$141:E327,$E$141:E327,"&lt;"&amp;E327))/COUNTIF($E$141:$E$500,E327)</f>
        <v>0</v>
      </c>
      <c r="I327" s="130">
        <f>IF(COUNTIF($I$141:$I326,$I326)=VLOOKUP($I326,$D$90:$E$120,2,0),$I326+1,$I326)</f>
        <v>20</v>
      </c>
      <c r="J327" s="131">
        <f t="shared" si="60"/>
        <v>116</v>
      </c>
      <c r="K327" s="132" t="str">
        <f t="shared" si="61"/>
        <v/>
      </c>
      <c r="L327" s="132" t="str">
        <f t="shared" si="62"/>
        <v/>
      </c>
      <c r="M327" s="132">
        <f t="shared" si="63"/>
        <v>0.002</v>
      </c>
      <c r="N327" s="132" t="str">
        <f t="shared" si="69"/>
        <v/>
      </c>
      <c r="O327" s="132" t="str">
        <f t="shared" si="64"/>
        <v/>
      </c>
      <c r="P327" s="141">
        <f>(SUM($Q$142:Q327)-SUM($H$141:H327))/SUM($H$141:H327)</f>
        <v>-0.226094622392007</v>
      </c>
      <c r="Q327" s="142">
        <f t="shared" si="78"/>
        <v>885</v>
      </c>
      <c r="R327" s="142">
        <f t="shared" si="76"/>
        <v>13040</v>
      </c>
      <c r="S327" s="133">
        <f t="shared" si="70"/>
        <v>18.6</v>
      </c>
      <c r="T327" s="134">
        <f>INT(SUM($W$141:W327)/3)+1</f>
        <v>39</v>
      </c>
      <c r="U327" s="135" t="str">
        <f t="shared" si="65"/>
        <v/>
      </c>
      <c r="V327" s="67" t="s">
        <v>168</v>
      </c>
      <c r="W327" s="137" t="str">
        <f t="shared" si="71"/>
        <v/>
      </c>
      <c r="X327" s="137" t="str">
        <f t="shared" si="66"/>
        <v/>
      </c>
      <c r="Y327" s="138"/>
      <c r="Z327" s="138">
        <v>2</v>
      </c>
      <c r="AA327" s="138">
        <v>3</v>
      </c>
      <c r="AB327" s="138" t="str">
        <f t="shared" si="75"/>
        <v>{10000,9000,8000}</v>
      </c>
      <c r="AC327" s="138">
        <v>1000</v>
      </c>
      <c r="AD327" s="138">
        <v>4000</v>
      </c>
      <c r="AE327" s="138">
        <f>SUM($R$141:$R327)+SUM($X$141:$X327)</f>
        <v>2083940</v>
      </c>
      <c r="AF327" s="138">
        <f>SUM($Q$142:Q327)</f>
        <v>79008</v>
      </c>
      <c r="AG327" s="137">
        <f t="shared" si="72"/>
        <v>2320964</v>
      </c>
      <c r="AH327" s="139">
        <f>SUM($S$141:S327)</f>
        <v>1535.97955785424</v>
      </c>
      <c r="AI327" s="133">
        <f t="shared" si="73"/>
        <v>9.3</v>
      </c>
      <c r="AJ327" s="15">
        <f t="shared" si="74"/>
        <v>803700</v>
      </c>
      <c r="AL327" s="15">
        <v>187</v>
      </c>
      <c r="AM327" s="15">
        <f t="shared" si="67"/>
        <v>269710</v>
      </c>
      <c r="AN327" s="15">
        <f>SUMIF([1]装备属性!$M$571:$M$870,"&lt;="&amp;AL327,[1]装备属性!$Q$571:$Q$870)</f>
        <v>192517.104787715</v>
      </c>
      <c r="AO327" s="15">
        <f t="shared" si="68"/>
        <v>1.40096642476212</v>
      </c>
    </row>
    <row r="328" ht="18" spans="1:41">
      <c r="A328" s="9" t="s">
        <v>259</v>
      </c>
      <c r="B328" s="9" t="str">
        <f t="shared" si="57"/>
        <v>[{5205001,3},{2,}]</v>
      </c>
      <c r="C328" s="51" t="str">
        <f t="shared" si="58"/>
        <v>[{5203001,895},{2,13180}]</v>
      </c>
      <c r="D328" s="140">
        <v>188</v>
      </c>
      <c r="E328" s="130">
        <f t="shared" si="59"/>
        <v>1555</v>
      </c>
      <c r="F328" s="130">
        <f t="shared" si="77"/>
        <v>610</v>
      </c>
      <c r="G328" s="130">
        <v>300</v>
      </c>
      <c r="H328" s="130">
        <f>SUMIFS(基因产出!$F$90:$F$389,基因产出!$D$90:$D$389,"&lt;="&amp;E328,基因产出!$D$90:$D$389,"&gt;"&amp;_xlfn.MAXIFS($E$141:E328,$E$141:E328,"&lt;"&amp;E328))/COUNTIF($E$141:$E$500,E328)</f>
        <v>0</v>
      </c>
      <c r="I328" s="130">
        <f>IF(COUNTIF($I$141:$I327,$I327)=VLOOKUP($I327,$D$90:$E$120,2,0),$I327+1,$I327)</f>
        <v>20</v>
      </c>
      <c r="J328" s="131">
        <f t="shared" si="60"/>
        <v>116</v>
      </c>
      <c r="K328" s="132" t="str">
        <f t="shared" si="61"/>
        <v/>
      </c>
      <c r="L328" s="132">
        <f t="shared" si="62"/>
        <v>0.03</v>
      </c>
      <c r="M328" s="132" t="str">
        <f t="shared" si="63"/>
        <v/>
      </c>
      <c r="N328" s="132" t="str">
        <f t="shared" si="69"/>
        <v/>
      </c>
      <c r="O328" s="132" t="str">
        <f t="shared" si="64"/>
        <v/>
      </c>
      <c r="P328" s="141">
        <f>(SUM($Q$142:Q328)-SUM($H$141:H328))/SUM($H$141:H328)</f>
        <v>-0.217376824370653</v>
      </c>
      <c r="Q328" s="142">
        <f t="shared" si="78"/>
        <v>890</v>
      </c>
      <c r="R328" s="142">
        <f t="shared" si="76"/>
        <v>13110</v>
      </c>
      <c r="S328" s="133">
        <f t="shared" si="70"/>
        <v>18.7</v>
      </c>
      <c r="T328" s="134">
        <f>INT(SUM($W$141:W328)/3)+1</f>
        <v>39</v>
      </c>
      <c r="U328" s="135" t="str">
        <f t="shared" si="65"/>
        <v/>
      </c>
      <c r="V328" s="67" t="s">
        <v>168</v>
      </c>
      <c r="W328" s="137" t="str">
        <f t="shared" si="71"/>
        <v/>
      </c>
      <c r="X328" s="137" t="str">
        <f t="shared" si="66"/>
        <v/>
      </c>
      <c r="Y328" s="138"/>
      <c r="Z328" s="138">
        <v>2</v>
      </c>
      <c r="AA328" s="138">
        <v>3</v>
      </c>
      <c r="AB328" s="138" t="str">
        <f t="shared" si="75"/>
        <v>{10000,9000,8000}</v>
      </c>
      <c r="AC328" s="138">
        <v>1000</v>
      </c>
      <c r="AD328" s="138">
        <v>4000</v>
      </c>
      <c r="AE328" s="138">
        <f>SUM($R$141:$R328)+SUM($X$141:$X328)</f>
        <v>2097050</v>
      </c>
      <c r="AF328" s="138">
        <f>SUM($Q$142:Q328)</f>
        <v>79898</v>
      </c>
      <c r="AG328" s="137">
        <f t="shared" si="72"/>
        <v>2336744</v>
      </c>
      <c r="AH328" s="139">
        <f>SUM($S$141:S328)</f>
        <v>1554.67955785424</v>
      </c>
      <c r="AI328" s="133">
        <f t="shared" si="73"/>
        <v>9.35</v>
      </c>
      <c r="AJ328" s="15">
        <f t="shared" si="74"/>
        <v>807900</v>
      </c>
      <c r="AL328" s="15">
        <v>188</v>
      </c>
      <c r="AM328" s="15">
        <f t="shared" si="67"/>
        <v>269710</v>
      </c>
      <c r="AN328" s="15">
        <f>SUMIF([1]装备属性!$M$571:$M$870,"&lt;="&amp;AL328,[1]装备属性!$Q$571:$Q$870)</f>
        <v>192517.104787715</v>
      </c>
      <c r="AO328" s="15">
        <f t="shared" si="68"/>
        <v>1.40096642476212</v>
      </c>
    </row>
    <row r="329" ht="18" spans="1:41">
      <c r="A329" s="9" t="s">
        <v>256</v>
      </c>
      <c r="B329" s="9" t="str">
        <f t="shared" si="57"/>
        <v>[{5205001,3},{2,}]</v>
      </c>
      <c r="C329" s="51" t="str">
        <f t="shared" si="58"/>
        <v>[{5203001,900},{2,13250}]</v>
      </c>
      <c r="D329" s="140">
        <v>189</v>
      </c>
      <c r="E329" s="130">
        <f t="shared" si="59"/>
        <v>1574</v>
      </c>
      <c r="F329" s="130">
        <f t="shared" si="77"/>
        <v>615</v>
      </c>
      <c r="G329" s="130">
        <v>300</v>
      </c>
      <c r="H329" s="130">
        <f>SUMIFS(基因产出!$F$90:$F$389,基因产出!$D$90:$D$389,"&lt;="&amp;E329,基因产出!$D$90:$D$389,"&gt;"&amp;_xlfn.MAXIFS($E$141:E329,$E$141:E329,"&lt;"&amp;E329))/COUNTIF($E$141:$E$500,E329)</f>
        <v>0</v>
      </c>
      <c r="I329" s="130">
        <f>IF(COUNTIF($I$141:$I328,$I328)=VLOOKUP($I328,$D$90:$E$120,2,0),$I328+1,$I328)</f>
        <v>20</v>
      </c>
      <c r="J329" s="131">
        <f t="shared" si="60"/>
        <v>116</v>
      </c>
      <c r="K329" s="132">
        <f t="shared" si="61"/>
        <v>0.05</v>
      </c>
      <c r="L329" s="132" t="str">
        <f t="shared" si="62"/>
        <v/>
      </c>
      <c r="M329" s="132" t="str">
        <f t="shared" si="63"/>
        <v/>
      </c>
      <c r="N329" s="132" t="str">
        <f t="shared" si="69"/>
        <v/>
      </c>
      <c r="O329" s="132" t="str">
        <f t="shared" si="64"/>
        <v/>
      </c>
      <c r="P329" s="141">
        <f>(SUM($Q$142:Q329)-SUM($H$141:H329))/SUM($H$141:H329)</f>
        <v>-0.208610049955921</v>
      </c>
      <c r="Q329" s="142">
        <f t="shared" si="78"/>
        <v>895</v>
      </c>
      <c r="R329" s="142">
        <f t="shared" si="76"/>
        <v>13180</v>
      </c>
      <c r="S329" s="133">
        <f t="shared" si="70"/>
        <v>18.8</v>
      </c>
      <c r="T329" s="134">
        <f>INT(SUM($W$141:W329)/3)+1</f>
        <v>39</v>
      </c>
      <c r="U329" s="135" t="str">
        <f t="shared" si="65"/>
        <v/>
      </c>
      <c r="V329" s="67" t="s">
        <v>168</v>
      </c>
      <c r="W329" s="137" t="str">
        <f t="shared" si="71"/>
        <v/>
      </c>
      <c r="X329" s="137" t="str">
        <f t="shared" si="66"/>
        <v/>
      </c>
      <c r="Y329" s="138"/>
      <c r="Z329" s="138">
        <v>2</v>
      </c>
      <c r="AA329" s="138">
        <v>3</v>
      </c>
      <c r="AB329" s="138" t="str">
        <f t="shared" si="75"/>
        <v>{10000,9000,8000}</v>
      </c>
      <c r="AC329" s="138">
        <v>1000</v>
      </c>
      <c r="AD329" s="138">
        <v>4000</v>
      </c>
      <c r="AE329" s="138">
        <f>SUM($R$141:$R329)+SUM($X$141:$X329)</f>
        <v>2110230</v>
      </c>
      <c r="AF329" s="138">
        <f>SUM($Q$142:Q329)</f>
        <v>80793</v>
      </c>
      <c r="AG329" s="137">
        <f t="shared" si="72"/>
        <v>2352609</v>
      </c>
      <c r="AH329" s="139">
        <f>SUM($S$141:S329)</f>
        <v>1573.47955785424</v>
      </c>
      <c r="AI329" s="133">
        <f t="shared" si="73"/>
        <v>9.4</v>
      </c>
      <c r="AJ329" s="15">
        <f t="shared" si="74"/>
        <v>812400</v>
      </c>
      <c r="AL329" s="15">
        <v>189</v>
      </c>
      <c r="AM329" s="15">
        <f t="shared" si="67"/>
        <v>269710</v>
      </c>
      <c r="AN329" s="15">
        <f>SUMIF([1]装备属性!$M$571:$M$870,"&lt;="&amp;AL329,[1]装备属性!$Q$571:$Q$870)</f>
        <v>192517.104787715</v>
      </c>
      <c r="AO329" s="15">
        <f t="shared" si="68"/>
        <v>1.40096642476212</v>
      </c>
    </row>
    <row r="330" ht="18" spans="1:41">
      <c r="A330" s="9" t="s">
        <v>257</v>
      </c>
      <c r="B330" s="9" t="str">
        <f t="shared" si="57"/>
        <v>[{5205001,3},{2,}]</v>
      </c>
      <c r="C330" s="51" t="str">
        <f t="shared" si="58"/>
        <v>[{5203001,905},{2,13320}]</v>
      </c>
      <c r="D330" s="140">
        <v>190</v>
      </c>
      <c r="E330" s="130">
        <f t="shared" si="59"/>
        <v>1593</v>
      </c>
      <c r="F330" s="130">
        <f t="shared" si="77"/>
        <v>620</v>
      </c>
      <c r="G330" s="130">
        <v>300</v>
      </c>
      <c r="H330" s="130">
        <f>SUMIFS(基因产出!$F$90:$F$389,基因产出!$D$90:$D$389,"&lt;="&amp;E330,基因产出!$D$90:$D$389,"&gt;"&amp;_xlfn.MAXIFS($E$141:E330,$E$141:E330,"&lt;"&amp;E330))/COUNTIF($E$141:$E$500,E330)</f>
        <v>0</v>
      </c>
      <c r="I330" s="130">
        <f>IF(COUNTIF($I$141:$I329,$I329)=VLOOKUP($I329,$D$90:$E$120,2,0),$I329+1,$I329)</f>
        <v>20</v>
      </c>
      <c r="J330" s="131">
        <f t="shared" si="60"/>
        <v>116</v>
      </c>
      <c r="K330" s="132" t="str">
        <f t="shared" si="61"/>
        <v/>
      </c>
      <c r="L330" s="132" t="str">
        <f t="shared" si="62"/>
        <v/>
      </c>
      <c r="M330" s="132" t="str">
        <f t="shared" si="63"/>
        <v/>
      </c>
      <c r="N330" s="132">
        <f t="shared" si="69"/>
        <v>0.0075</v>
      </c>
      <c r="O330" s="132" t="str">
        <f t="shared" si="64"/>
        <v/>
      </c>
      <c r="P330" s="141">
        <f>(SUM($Q$142:Q330)-SUM($H$141:H330))/SUM($H$141:H330)</f>
        <v>-0.199794299147811</v>
      </c>
      <c r="Q330" s="142">
        <f t="shared" si="78"/>
        <v>900</v>
      </c>
      <c r="R330" s="142">
        <f t="shared" si="76"/>
        <v>13250</v>
      </c>
      <c r="S330" s="133">
        <f t="shared" si="70"/>
        <v>18.9</v>
      </c>
      <c r="T330" s="134">
        <f>INT(SUM($W$141:W330)/3)+1</f>
        <v>39</v>
      </c>
      <c r="U330" s="135" t="str">
        <f t="shared" si="65"/>
        <v/>
      </c>
      <c r="V330" s="67" t="s">
        <v>168</v>
      </c>
      <c r="W330" s="137" t="str">
        <f t="shared" si="71"/>
        <v/>
      </c>
      <c r="X330" s="137" t="str">
        <f t="shared" si="66"/>
        <v/>
      </c>
      <c r="Y330" s="138"/>
      <c r="Z330" s="138">
        <v>2</v>
      </c>
      <c r="AA330" s="138">
        <v>3</v>
      </c>
      <c r="AB330" s="138" t="str">
        <f t="shared" si="75"/>
        <v>{10000,9000,8000}</v>
      </c>
      <c r="AC330" s="138">
        <v>1000</v>
      </c>
      <c r="AD330" s="138">
        <v>4000</v>
      </c>
      <c r="AE330" s="138">
        <f>SUM($R$141:$R330)+SUM($X$141:$X330)</f>
        <v>2123480</v>
      </c>
      <c r="AF330" s="138">
        <f>SUM($Q$142:Q330)</f>
        <v>81693</v>
      </c>
      <c r="AG330" s="137">
        <f t="shared" si="72"/>
        <v>2368559</v>
      </c>
      <c r="AH330" s="139">
        <f>SUM($S$141:S330)</f>
        <v>1592.37955785424</v>
      </c>
      <c r="AI330" s="133">
        <f t="shared" si="73"/>
        <v>9.45</v>
      </c>
      <c r="AJ330" s="15">
        <f t="shared" si="74"/>
        <v>816600</v>
      </c>
      <c r="AL330" s="15">
        <v>190</v>
      </c>
      <c r="AM330" s="15">
        <f t="shared" si="67"/>
        <v>269710</v>
      </c>
      <c r="AN330" s="15">
        <f>SUMIF([1]装备属性!$M$571:$M$870,"&lt;="&amp;AL330,[1]装备属性!$Q$571:$Q$870)</f>
        <v>192517.104787715</v>
      </c>
      <c r="AO330" s="15">
        <f t="shared" si="68"/>
        <v>1.40096642476212</v>
      </c>
    </row>
    <row r="331" ht="18" spans="1:41">
      <c r="A331" s="9" t="s">
        <v>258</v>
      </c>
      <c r="B331" s="9" t="str">
        <f t="shared" si="57"/>
        <v>[{5205001,3},{2,}]</v>
      </c>
      <c r="C331" s="51" t="str">
        <f t="shared" si="58"/>
        <v>[{5203001,910},{2,13390}]</v>
      </c>
      <c r="D331" s="140">
        <v>191</v>
      </c>
      <c r="E331" s="130">
        <f t="shared" si="59"/>
        <v>1612</v>
      </c>
      <c r="F331" s="130">
        <f t="shared" si="77"/>
        <v>625</v>
      </c>
      <c r="G331" s="130">
        <v>300</v>
      </c>
      <c r="H331" s="130">
        <f>SUMIFS(基因产出!$F$90:$F$389,基因产出!$D$90:$D$389,"&lt;="&amp;E331,基因产出!$D$90:$D$389,"&gt;"&amp;_xlfn.MAXIFS($E$141:E331,$E$141:E331,"&lt;"&amp;E331))/COUNTIF($E$141:$E$500,E331)</f>
        <v>0</v>
      </c>
      <c r="I331" s="130">
        <f>IF(COUNTIF($I$141:$I330,$I330)=VLOOKUP($I330,$D$90:$E$120,2,0),$I330+1,$I330)</f>
        <v>20</v>
      </c>
      <c r="J331" s="131">
        <f t="shared" si="60"/>
        <v>116</v>
      </c>
      <c r="K331" s="132" t="str">
        <f t="shared" si="61"/>
        <v/>
      </c>
      <c r="L331" s="132" t="str">
        <f t="shared" si="62"/>
        <v/>
      </c>
      <c r="M331" s="132">
        <f t="shared" si="63"/>
        <v>0.002</v>
      </c>
      <c r="N331" s="132" t="str">
        <f t="shared" si="69"/>
        <v/>
      </c>
      <c r="O331" s="132" t="str">
        <f t="shared" si="64"/>
        <v/>
      </c>
      <c r="P331" s="141">
        <f>(SUM($Q$142:Q331)-SUM($H$141:H331))/SUM($H$141:H331)</f>
        <v>-0.190929571946322</v>
      </c>
      <c r="Q331" s="142">
        <f t="shared" si="78"/>
        <v>905</v>
      </c>
      <c r="R331" s="142">
        <f t="shared" si="76"/>
        <v>13320</v>
      </c>
      <c r="S331" s="133">
        <f t="shared" si="70"/>
        <v>19</v>
      </c>
      <c r="T331" s="134">
        <f>INT(SUM($W$141:W331)/3)+1</f>
        <v>39</v>
      </c>
      <c r="U331" s="135" t="str">
        <f t="shared" si="65"/>
        <v/>
      </c>
      <c r="V331" s="67" t="s">
        <v>168</v>
      </c>
      <c r="W331" s="137" t="str">
        <f t="shared" si="71"/>
        <v/>
      </c>
      <c r="X331" s="137" t="str">
        <f t="shared" si="66"/>
        <v/>
      </c>
      <c r="Y331" s="138"/>
      <c r="Z331" s="138">
        <v>2</v>
      </c>
      <c r="AA331" s="138">
        <v>3</v>
      </c>
      <c r="AB331" s="138" t="str">
        <f t="shared" si="75"/>
        <v>{10000,9000,8000}</v>
      </c>
      <c r="AC331" s="138">
        <v>1000</v>
      </c>
      <c r="AD331" s="138">
        <v>4000</v>
      </c>
      <c r="AE331" s="138">
        <f>SUM($R$141:$R331)+SUM($X$141:$X331)</f>
        <v>2136800</v>
      </c>
      <c r="AF331" s="138">
        <f>SUM($Q$142:Q331)</f>
        <v>82598</v>
      </c>
      <c r="AG331" s="137">
        <f t="shared" si="72"/>
        <v>2384594</v>
      </c>
      <c r="AH331" s="139">
        <f>SUM($S$141:S331)</f>
        <v>1611.37955785424</v>
      </c>
      <c r="AI331" s="133">
        <f t="shared" si="73"/>
        <v>9.5</v>
      </c>
      <c r="AJ331" s="15">
        <f t="shared" si="74"/>
        <v>820800</v>
      </c>
      <c r="AL331" s="15">
        <v>191</v>
      </c>
      <c r="AM331" s="15">
        <f t="shared" si="67"/>
        <v>269710</v>
      </c>
      <c r="AN331" s="15">
        <f>SUMIF([1]装备属性!$M$571:$M$870,"&lt;="&amp;AL331,[1]装备属性!$Q$571:$Q$870)</f>
        <v>192517.104787715</v>
      </c>
      <c r="AO331" s="15">
        <f t="shared" si="68"/>
        <v>1.40096642476212</v>
      </c>
    </row>
    <row r="332" ht="18" spans="1:41">
      <c r="A332" s="9" t="s">
        <v>259</v>
      </c>
      <c r="B332" s="9" t="str">
        <f t="shared" si="57"/>
        <v>[{5205001,3},{2,53560}]</v>
      </c>
      <c r="C332" s="51" t="str">
        <f t="shared" si="58"/>
        <v>[{5203001,915},{2,13460}]</v>
      </c>
      <c r="D332" s="140">
        <v>192</v>
      </c>
      <c r="E332" s="130">
        <f t="shared" si="59"/>
        <v>1631</v>
      </c>
      <c r="F332" s="130">
        <f t="shared" si="77"/>
        <v>630</v>
      </c>
      <c r="G332" s="130">
        <v>300</v>
      </c>
      <c r="H332" s="130">
        <f>SUMIFS(基因产出!$F$90:$F$389,基因产出!$D$90:$D$389,"&lt;="&amp;E332,基因产出!$D$90:$D$389,"&gt;"&amp;_xlfn.MAXIFS($E$141:E332,$E$141:E332,"&lt;"&amp;E332))/COUNTIF($E$141:$E$500,E332)</f>
        <v>0</v>
      </c>
      <c r="I332" s="130">
        <f>IF(COUNTIF($I$141:$I331,$I331)=VLOOKUP($I331,$D$90:$E$120,2,0),$I331+1,$I331)</f>
        <v>20</v>
      </c>
      <c r="J332" s="131">
        <f t="shared" si="60"/>
        <v>116</v>
      </c>
      <c r="K332" s="132" t="str">
        <f t="shared" si="61"/>
        <v/>
      </c>
      <c r="L332" s="132">
        <f t="shared" si="62"/>
        <v>0.03</v>
      </c>
      <c r="M332" s="132" t="str">
        <f t="shared" si="63"/>
        <v/>
      </c>
      <c r="N332" s="132" t="str">
        <f t="shared" si="69"/>
        <v/>
      </c>
      <c r="O332" s="132" t="str">
        <f t="shared" si="64"/>
        <v/>
      </c>
      <c r="P332" s="141">
        <f>(SUM($Q$142:Q332)-SUM($H$141:H332))/SUM($H$141:H332)</f>
        <v>-0.182015868351455</v>
      </c>
      <c r="Q332" s="142">
        <f t="shared" si="78"/>
        <v>910</v>
      </c>
      <c r="R332" s="142">
        <f t="shared" si="76"/>
        <v>13390</v>
      </c>
      <c r="S332" s="133">
        <f t="shared" si="70"/>
        <v>19.1</v>
      </c>
      <c r="T332" s="134">
        <f>INT(SUM($W$141:W332)/3)+1</f>
        <v>40</v>
      </c>
      <c r="U332" s="135" t="str">
        <f t="shared" si="65"/>
        <v/>
      </c>
      <c r="V332" s="67" t="s">
        <v>91</v>
      </c>
      <c r="W332" s="137">
        <f t="shared" si="71"/>
        <v>3</v>
      </c>
      <c r="X332" s="137">
        <f t="shared" si="66"/>
        <v>53560</v>
      </c>
      <c r="Y332" s="138"/>
      <c r="Z332" s="138">
        <v>2</v>
      </c>
      <c r="AA332" s="138">
        <v>3</v>
      </c>
      <c r="AB332" s="138" t="str">
        <f t="shared" si="75"/>
        <v>{10000,9000,8000}</v>
      </c>
      <c r="AC332" s="138">
        <v>1000</v>
      </c>
      <c r="AD332" s="138">
        <v>4000</v>
      </c>
      <c r="AE332" s="138">
        <f>SUM($R$141:$R332)+SUM($X$141:$X332)</f>
        <v>2203750</v>
      </c>
      <c r="AF332" s="138">
        <f>SUM($Q$142:Q332)</f>
        <v>83508</v>
      </c>
      <c r="AG332" s="137">
        <f t="shared" si="72"/>
        <v>2454274</v>
      </c>
      <c r="AH332" s="139">
        <f>SUM($S$141:S332)</f>
        <v>1630.47955785424</v>
      </c>
      <c r="AI332" s="133">
        <f t="shared" si="73"/>
        <v>9.55</v>
      </c>
      <c r="AJ332" s="15">
        <f t="shared" si="74"/>
        <v>825300</v>
      </c>
      <c r="AL332" s="15">
        <v>192</v>
      </c>
      <c r="AM332" s="15">
        <f t="shared" si="67"/>
        <v>275890</v>
      </c>
      <c r="AN332" s="15">
        <f>SUMIF([1]装备属性!$M$571:$M$870,"&lt;="&amp;AL332,[1]装备属性!$Q$571:$Q$870)</f>
        <v>192517.104787715</v>
      </c>
      <c r="AO332" s="15">
        <f t="shared" si="68"/>
        <v>1.43306746849439</v>
      </c>
    </row>
    <row r="333" ht="18" spans="1:41">
      <c r="A333" s="9" t="s">
        <v>256</v>
      </c>
      <c r="B333" s="9" t="str">
        <f t="shared" si="57"/>
        <v>[{5205001,3},{2,}]</v>
      </c>
      <c r="C333" s="51" t="str">
        <f t="shared" si="58"/>
        <v>[{5203001,920},{2,13530}]</v>
      </c>
      <c r="D333" s="140">
        <v>193</v>
      </c>
      <c r="E333" s="130">
        <f t="shared" si="59"/>
        <v>1650</v>
      </c>
      <c r="F333" s="130">
        <f t="shared" si="77"/>
        <v>635</v>
      </c>
      <c r="G333" s="130">
        <v>300</v>
      </c>
      <c r="H333" s="130">
        <f>SUMIFS(基因产出!$F$90:$F$389,基因产出!$D$90:$D$389,"&lt;="&amp;E333,基因产出!$D$90:$D$389,"&gt;"&amp;_xlfn.MAXIFS($E$141:E333,$E$141:E333,"&lt;"&amp;E333))/COUNTIF($E$141:$E$500,E333)</f>
        <v>0</v>
      </c>
      <c r="I333" s="130">
        <f>IF(COUNTIF($I$141:$I332,$I332)=VLOOKUP($I332,$D$90:$E$120,2,0),$I332+1,$I332)</f>
        <v>20</v>
      </c>
      <c r="J333" s="131">
        <f t="shared" si="60"/>
        <v>116</v>
      </c>
      <c r="K333" s="132">
        <f t="shared" si="61"/>
        <v>0.05</v>
      </c>
      <c r="L333" s="132" t="str">
        <f t="shared" si="62"/>
        <v/>
      </c>
      <c r="M333" s="132" t="str">
        <f t="shared" si="63"/>
        <v/>
      </c>
      <c r="N333" s="132" t="str">
        <f t="shared" si="69"/>
        <v/>
      </c>
      <c r="O333" s="132" t="str">
        <f t="shared" si="64"/>
        <v/>
      </c>
      <c r="P333" s="141">
        <f>(SUM($Q$142:Q333)-SUM($H$141:H333))/SUM($H$141:H333)</f>
        <v>-0.173053188363209</v>
      </c>
      <c r="Q333" s="142">
        <f t="shared" si="78"/>
        <v>915</v>
      </c>
      <c r="R333" s="142">
        <f t="shared" si="76"/>
        <v>13460</v>
      </c>
      <c r="S333" s="133">
        <f t="shared" si="70"/>
        <v>19.2</v>
      </c>
      <c r="T333" s="134">
        <f>INT(SUM($W$141:W333)/3)+1</f>
        <v>40</v>
      </c>
      <c r="U333" s="135" t="str">
        <f t="shared" si="65"/>
        <v/>
      </c>
      <c r="V333" s="67" t="s">
        <v>168</v>
      </c>
      <c r="W333" s="137" t="str">
        <f t="shared" si="71"/>
        <v/>
      </c>
      <c r="X333" s="137" t="str">
        <f t="shared" si="66"/>
        <v/>
      </c>
      <c r="Y333" s="138"/>
      <c r="Z333" s="138">
        <v>2</v>
      </c>
      <c r="AA333" s="138">
        <v>3</v>
      </c>
      <c r="AB333" s="138" t="str">
        <f t="shared" si="75"/>
        <v>{10000,9000,8000}</v>
      </c>
      <c r="AC333" s="138">
        <v>1000</v>
      </c>
      <c r="AD333" s="138">
        <v>4000</v>
      </c>
      <c r="AE333" s="138">
        <f>SUM($R$141:$R333)+SUM($X$141:$X333)</f>
        <v>2217210</v>
      </c>
      <c r="AF333" s="138">
        <f>SUM($Q$142:Q333)</f>
        <v>84423</v>
      </c>
      <c r="AG333" s="137">
        <f t="shared" si="72"/>
        <v>2470479</v>
      </c>
      <c r="AH333" s="139">
        <f>SUM($S$141:S333)</f>
        <v>1649.67955785424</v>
      </c>
      <c r="AI333" s="133">
        <f t="shared" si="73"/>
        <v>9.6</v>
      </c>
      <c r="AJ333" s="15">
        <f t="shared" si="74"/>
        <v>829500</v>
      </c>
      <c r="AL333" s="15">
        <v>193</v>
      </c>
      <c r="AM333" s="15">
        <f t="shared" si="67"/>
        <v>275890</v>
      </c>
      <c r="AN333" s="15">
        <f>SUMIF([1]装备属性!$M$571:$M$870,"&lt;="&amp;AL333,[1]装备属性!$Q$571:$Q$870)</f>
        <v>192517.104787715</v>
      </c>
      <c r="AO333" s="15">
        <f t="shared" si="68"/>
        <v>1.43306746849439</v>
      </c>
    </row>
    <row r="334" ht="18" spans="1:41">
      <c r="A334" s="9" t="s">
        <v>257</v>
      </c>
      <c r="B334" s="9" t="str">
        <f t="shared" ref="B334:B397" si="79">"[{5205001,3},{2,"&amp;X334&amp;"}]"</f>
        <v>[{5205001,3},{2,}]</v>
      </c>
      <c r="C334" s="51" t="str">
        <f t="shared" ref="C334:C397" si="80">"[{5203001,"&amp;Q335&amp;"},{2,"&amp;R335&amp;"}]"</f>
        <v>[{5203001,925},{2,13600}]</v>
      </c>
      <c r="D334" s="140">
        <v>194</v>
      </c>
      <c r="E334" s="130">
        <f t="shared" ref="E334:E397" si="81">INT(AH334)+1</f>
        <v>1669</v>
      </c>
      <c r="F334" s="130">
        <f t="shared" si="77"/>
        <v>640</v>
      </c>
      <c r="G334" s="130">
        <v>300</v>
      </c>
      <c r="H334" s="130">
        <f>SUMIFS(基因产出!$F$90:$F$389,基因产出!$D$90:$D$389,"&lt;="&amp;E334,基因产出!$D$90:$D$389,"&gt;"&amp;_xlfn.MAXIFS($E$141:E334,$E$141:E334,"&lt;"&amp;E334))/COUNTIF($E$141:$E$500,E334)</f>
        <v>0</v>
      </c>
      <c r="I334" s="130">
        <f>IF(COUNTIF($I$141:$I333,$I333)=VLOOKUP($I333,$D$90:$E$120,2,0),$I333+1,$I333)</f>
        <v>20</v>
      </c>
      <c r="J334" s="131">
        <f t="shared" ref="J334:J397" si="82">--SUBSTITUTE(LEFT(A334,FIND("\",A334)-1),"队长攻击力+","")</f>
        <v>116</v>
      </c>
      <c r="K334" s="132" t="str">
        <f t="shared" ref="K334:K397" si="83">IFERROR(IF(FIND(K$140,$A334)&gt;0,5%,0%),"")</f>
        <v/>
      </c>
      <c r="L334" s="132" t="str">
        <f t="shared" ref="L334:L397" si="84">IFERROR(IF(FIND(L$140,$A334)&gt;0,3%,0%),"")</f>
        <v/>
      </c>
      <c r="M334" s="132" t="str">
        <f t="shared" ref="M334:M397" si="85">IFERROR(IF(FIND(M$140,$A334)&gt;0,0.2%,0%),"")</f>
        <v/>
      </c>
      <c r="N334" s="132">
        <f t="shared" si="69"/>
        <v>0.0075</v>
      </c>
      <c r="O334" s="132" t="str">
        <f t="shared" ref="O334:O397" si="86">IFERROR(IF(FIND(O$140,$A334)&gt;0,5%,0%),"")</f>
        <v/>
      </c>
      <c r="P334" s="141">
        <f>(SUM($Q$142:Q334)-SUM($H$141:H334))/SUM($H$141:H334)</f>
        <v>-0.164041531981585</v>
      </c>
      <c r="Q334" s="142">
        <f t="shared" si="78"/>
        <v>920</v>
      </c>
      <c r="R334" s="142">
        <f t="shared" si="76"/>
        <v>13530</v>
      </c>
      <c r="S334" s="133">
        <f t="shared" si="70"/>
        <v>19.3</v>
      </c>
      <c r="T334" s="134">
        <f>INT(SUM($W$141:W334)/3)+1</f>
        <v>40</v>
      </c>
      <c r="U334" s="135" t="str">
        <f t="shared" ref="U334:U397" si="87">IFERROR(IF(FIND("攻击",V334)&gt;0,SUBSTITUTE(V334,"攻击+",""),""),"")</f>
        <v/>
      </c>
      <c r="V334" s="67" t="s">
        <v>168</v>
      </c>
      <c r="W334" s="137" t="str">
        <f t="shared" si="71"/>
        <v/>
      </c>
      <c r="X334" s="137" t="str">
        <f t="shared" ref="X334:X397" si="88">IFERROR(IF(W334="","",R334*4),"")</f>
        <v/>
      </c>
      <c r="Y334" s="138"/>
      <c r="Z334" s="138">
        <v>2</v>
      </c>
      <c r="AA334" s="138">
        <v>3</v>
      </c>
      <c r="AB334" s="138" t="str">
        <f t="shared" si="75"/>
        <v>{10000,9000,8000}</v>
      </c>
      <c r="AC334" s="138">
        <v>1000</v>
      </c>
      <c r="AD334" s="138">
        <v>4000</v>
      </c>
      <c r="AE334" s="138">
        <f>SUM($R$141:$R334)+SUM($X$141:$X334)</f>
        <v>2230740</v>
      </c>
      <c r="AF334" s="138">
        <f>SUM($Q$142:Q334)</f>
        <v>85343</v>
      </c>
      <c r="AG334" s="137">
        <f t="shared" si="72"/>
        <v>2486769</v>
      </c>
      <c r="AH334" s="139">
        <f>SUM($S$141:S334)</f>
        <v>1668.97955785424</v>
      </c>
      <c r="AI334" s="133">
        <f t="shared" si="73"/>
        <v>9.65</v>
      </c>
      <c r="AJ334" s="15">
        <f t="shared" si="74"/>
        <v>834000</v>
      </c>
      <c r="AL334" s="15">
        <v>194</v>
      </c>
      <c r="AM334" s="15">
        <f t="shared" ref="AM334:AM397" si="89">SUMIF($E$141:$E$500,"&lt;="&amp;AL334,$R$141:$R$500)</f>
        <v>275890</v>
      </c>
      <c r="AN334" s="15">
        <f>SUMIF([1]装备属性!$M$571:$M$870,"&lt;="&amp;AL334,[1]装备属性!$Q$571:$Q$870)</f>
        <v>192517.104787715</v>
      </c>
      <c r="AO334" s="15">
        <f t="shared" ref="AO334:AO397" si="90">AM334/AN334</f>
        <v>1.43306746849439</v>
      </c>
    </row>
    <row r="335" ht="18" spans="1:41">
      <c r="A335" s="9" t="s">
        <v>258</v>
      </c>
      <c r="B335" s="9" t="str">
        <f t="shared" si="79"/>
        <v>[{5205001,3},{2,}]</v>
      </c>
      <c r="C335" s="51" t="str">
        <f t="shared" si="80"/>
        <v>[{5203001,930},{2,13670}]</v>
      </c>
      <c r="D335" s="140">
        <v>195</v>
      </c>
      <c r="E335" s="130">
        <f t="shared" si="81"/>
        <v>1689</v>
      </c>
      <c r="F335" s="130">
        <f t="shared" si="77"/>
        <v>645</v>
      </c>
      <c r="G335" s="130">
        <v>300</v>
      </c>
      <c r="H335" s="130">
        <f>SUMIFS(基因产出!$F$90:$F$389,基因产出!$D$90:$D$389,"&lt;="&amp;E335,基因产出!$D$90:$D$389,"&gt;"&amp;_xlfn.MAXIFS($E$141:E335,$E$141:E335,"&lt;"&amp;E335))/COUNTIF($E$141:$E$500,E335)</f>
        <v>0</v>
      </c>
      <c r="I335" s="130">
        <f>IF(COUNTIF($I$141:$I334,$I334)=VLOOKUP($I334,$D$90:$E$120,2,0),$I334+1,$I334)</f>
        <v>20</v>
      </c>
      <c r="J335" s="131">
        <f t="shared" si="82"/>
        <v>116</v>
      </c>
      <c r="K335" s="132" t="str">
        <f t="shared" si="83"/>
        <v/>
      </c>
      <c r="L335" s="132" t="str">
        <f t="shared" si="84"/>
        <v/>
      </c>
      <c r="M335" s="132">
        <f t="shared" si="85"/>
        <v>0.002</v>
      </c>
      <c r="N335" s="132" t="str">
        <f t="shared" ref="N335:N398" si="91">IFERROR(IF(FIND(N$140,$A335)&gt;0,$N$137,0%),IF(O335="","",$N$137))</f>
        <v/>
      </c>
      <c r="O335" s="132" t="str">
        <f t="shared" si="86"/>
        <v/>
      </c>
      <c r="P335" s="141">
        <f>(SUM($Q$142:Q335)-SUM($H$141:H335))/SUM($H$141:H335)</f>
        <v>-0.154980899206582</v>
      </c>
      <c r="Q335" s="142">
        <f t="shared" si="78"/>
        <v>925</v>
      </c>
      <c r="R335" s="142">
        <f t="shared" si="76"/>
        <v>13600</v>
      </c>
      <c r="S335" s="133">
        <f t="shared" ref="S335:S398" si="92">MAX(VLOOKUP(I335,$D$91:$J$120,6,0)*($D334)/(SUMIF($I$141:$I$500,$I335,$D$141:$D$500))*$E$83/24,IF(ISNUMBER(S334),S334+0.0007,0))</f>
        <v>19.4</v>
      </c>
      <c r="T335" s="134">
        <f>INT(SUM($W$141:W335)/3)+1</f>
        <v>40</v>
      </c>
      <c r="U335" s="135" t="str">
        <f t="shared" si="87"/>
        <v/>
      </c>
      <c r="V335" s="67" t="s">
        <v>168</v>
      </c>
      <c r="W335" s="137" t="str">
        <f t="shared" ref="W335:W398" si="93">IF(U335&amp;V335="","",3)</f>
        <v/>
      </c>
      <c r="X335" s="137" t="str">
        <f t="shared" si="88"/>
        <v/>
      </c>
      <c r="Y335" s="138"/>
      <c r="Z335" s="138">
        <v>2</v>
      </c>
      <c r="AA335" s="138">
        <v>3</v>
      </c>
      <c r="AB335" s="138" t="str">
        <f t="shared" si="75"/>
        <v>{10000,9000,8000}</v>
      </c>
      <c r="AC335" s="138">
        <v>1000</v>
      </c>
      <c r="AD335" s="138">
        <v>4000</v>
      </c>
      <c r="AE335" s="138">
        <f>SUM($R$141:$R335)+SUM($X$141:$X335)</f>
        <v>2244340</v>
      </c>
      <c r="AF335" s="138">
        <f>SUM($Q$142:Q335)</f>
        <v>86268</v>
      </c>
      <c r="AG335" s="137">
        <f t="shared" ref="AG335:AG398" si="94">AF335*3+AE335</f>
        <v>2503144</v>
      </c>
      <c r="AH335" s="139">
        <f>SUM($S$141:S335)</f>
        <v>1688.37955785424</v>
      </c>
      <c r="AI335" s="133">
        <f t="shared" ref="AI335:AI398" si="95">S335/2</f>
        <v>9.7</v>
      </c>
      <c r="AJ335" s="15">
        <f t="shared" ref="AJ335:AJ398" si="96">CEILING(AI335*3600*24,300)</f>
        <v>838200</v>
      </c>
      <c r="AL335" s="15">
        <v>195</v>
      </c>
      <c r="AM335" s="15">
        <f t="shared" si="89"/>
        <v>275890</v>
      </c>
      <c r="AN335" s="15">
        <f>SUMIF([1]装备属性!$M$571:$M$870,"&lt;="&amp;AL335,[1]装备属性!$Q$571:$Q$870)</f>
        <v>192517.104787715</v>
      </c>
      <c r="AO335" s="15">
        <f t="shared" si="90"/>
        <v>1.43306746849439</v>
      </c>
    </row>
    <row r="336" ht="18" spans="1:41">
      <c r="A336" s="9" t="s">
        <v>259</v>
      </c>
      <c r="B336" s="9" t="str">
        <f t="shared" si="79"/>
        <v>[{5205001,3},{2,}]</v>
      </c>
      <c r="C336" s="51" t="str">
        <f t="shared" si="80"/>
        <v>[{5203001,935},{2,13740}]</v>
      </c>
      <c r="D336" s="140">
        <v>196</v>
      </c>
      <c r="E336" s="130">
        <f t="shared" si="81"/>
        <v>1708</v>
      </c>
      <c r="F336" s="130">
        <f t="shared" si="77"/>
        <v>650</v>
      </c>
      <c r="G336" s="130">
        <v>300</v>
      </c>
      <c r="H336" s="130">
        <f>SUMIFS(基因产出!$F$90:$F$389,基因产出!$D$90:$D$389,"&lt;="&amp;E336,基因产出!$D$90:$D$389,"&gt;"&amp;_xlfn.MAXIFS($E$141:E336,$E$141:E336,"&lt;"&amp;E336))/COUNTIF($E$141:$E$500,E336)</f>
        <v>0</v>
      </c>
      <c r="I336" s="130">
        <f>IF(COUNTIF($I$141:$I335,$I335)=VLOOKUP($I335,$D$90:$E$120,2,0),$I335+1,$I335)</f>
        <v>20</v>
      </c>
      <c r="J336" s="131">
        <f t="shared" si="82"/>
        <v>116</v>
      </c>
      <c r="K336" s="132" t="str">
        <f t="shared" si="83"/>
        <v/>
      </c>
      <c r="L336" s="132">
        <f t="shared" si="84"/>
        <v>0.03</v>
      </c>
      <c r="M336" s="132" t="str">
        <f t="shared" si="85"/>
        <v/>
      </c>
      <c r="N336" s="132" t="str">
        <f t="shared" si="91"/>
        <v/>
      </c>
      <c r="O336" s="132" t="str">
        <f t="shared" si="86"/>
        <v/>
      </c>
      <c r="P336" s="141">
        <f>(SUM($Q$142:Q336)-SUM($H$141:H336))/SUM($H$141:H336)</f>
        <v>-0.145871290038202</v>
      </c>
      <c r="Q336" s="142">
        <f t="shared" si="78"/>
        <v>930</v>
      </c>
      <c r="R336" s="142">
        <f t="shared" si="76"/>
        <v>13670</v>
      </c>
      <c r="S336" s="133">
        <f t="shared" si="92"/>
        <v>19.5</v>
      </c>
      <c r="T336" s="134">
        <f>INT(SUM($W$141:W336)/3)+1</f>
        <v>40</v>
      </c>
      <c r="U336" s="135" t="str">
        <f t="shared" si="87"/>
        <v/>
      </c>
      <c r="V336" s="67" t="s">
        <v>168</v>
      </c>
      <c r="W336" s="137" t="str">
        <f t="shared" si="93"/>
        <v/>
      </c>
      <c r="X336" s="137" t="str">
        <f t="shared" si="88"/>
        <v/>
      </c>
      <c r="Y336" s="138"/>
      <c r="Z336" s="138">
        <v>2</v>
      </c>
      <c r="AA336" s="138">
        <v>3</v>
      </c>
      <c r="AB336" s="138" t="str">
        <f t="shared" si="75"/>
        <v>{10000,9000,8000}</v>
      </c>
      <c r="AC336" s="138">
        <v>1000</v>
      </c>
      <c r="AD336" s="138">
        <v>4000</v>
      </c>
      <c r="AE336" s="138">
        <f>SUM($R$141:$R336)+SUM($X$141:$X336)</f>
        <v>2258010</v>
      </c>
      <c r="AF336" s="138">
        <f>SUM($Q$142:Q336)</f>
        <v>87198</v>
      </c>
      <c r="AG336" s="137">
        <f t="shared" si="94"/>
        <v>2519604</v>
      </c>
      <c r="AH336" s="139">
        <f>SUM($S$141:S336)</f>
        <v>1707.87955785424</v>
      </c>
      <c r="AI336" s="133">
        <f t="shared" si="95"/>
        <v>9.75</v>
      </c>
      <c r="AJ336" s="15">
        <f t="shared" si="96"/>
        <v>842400</v>
      </c>
      <c r="AL336" s="15">
        <v>196</v>
      </c>
      <c r="AM336" s="15">
        <f t="shared" si="89"/>
        <v>275890</v>
      </c>
      <c r="AN336" s="15">
        <f>SUMIF([1]装备属性!$M$571:$M$870,"&lt;="&amp;AL336,[1]装备属性!$Q$571:$Q$870)</f>
        <v>192517.104787715</v>
      </c>
      <c r="AO336" s="15">
        <f t="shared" si="90"/>
        <v>1.43306746849439</v>
      </c>
    </row>
    <row r="337" ht="18" spans="1:41">
      <c r="A337" s="9" t="s">
        <v>256</v>
      </c>
      <c r="B337" s="9" t="str">
        <f t="shared" si="79"/>
        <v>[{5205001,3},{2,}]</v>
      </c>
      <c r="C337" s="51" t="str">
        <f t="shared" si="80"/>
        <v>[{5203001,940},{2,13810}]</v>
      </c>
      <c r="D337" s="140">
        <v>197</v>
      </c>
      <c r="E337" s="130">
        <f t="shared" si="81"/>
        <v>1728</v>
      </c>
      <c r="F337" s="130">
        <f t="shared" si="77"/>
        <v>655</v>
      </c>
      <c r="G337" s="130">
        <v>300</v>
      </c>
      <c r="H337" s="130">
        <f>SUMIFS(基因产出!$F$90:$F$389,基因产出!$D$90:$D$389,"&lt;="&amp;E337,基因产出!$D$90:$D$389,"&gt;"&amp;_xlfn.MAXIFS($E$141:E337,$E$141:E337,"&lt;"&amp;E337))/COUNTIF($E$141:$E$500,E337)</f>
        <v>0</v>
      </c>
      <c r="I337" s="130">
        <f>IF(COUNTIF($I$141:$I336,$I336)=VLOOKUP($I336,$D$90:$E$120,2,0),$I336+1,$I336)</f>
        <v>20</v>
      </c>
      <c r="J337" s="131">
        <f t="shared" si="82"/>
        <v>116</v>
      </c>
      <c r="K337" s="132">
        <f t="shared" si="83"/>
        <v>0.05</v>
      </c>
      <c r="L337" s="132" t="str">
        <f t="shared" si="84"/>
        <v/>
      </c>
      <c r="M337" s="132" t="str">
        <f t="shared" si="85"/>
        <v/>
      </c>
      <c r="N337" s="132" t="str">
        <f t="shared" si="91"/>
        <v/>
      </c>
      <c r="O337" s="132" t="str">
        <f t="shared" si="86"/>
        <v/>
      </c>
      <c r="P337" s="141">
        <f>(SUM($Q$142:Q337)-SUM($H$141:H337))/SUM($H$141:H337)</f>
        <v>-0.136712704476442</v>
      </c>
      <c r="Q337" s="142">
        <f t="shared" si="78"/>
        <v>935</v>
      </c>
      <c r="R337" s="142">
        <f t="shared" si="76"/>
        <v>13740</v>
      </c>
      <c r="S337" s="133">
        <f t="shared" si="92"/>
        <v>19.6</v>
      </c>
      <c r="T337" s="134">
        <f>INT(SUM($W$141:W337)/3)+1</f>
        <v>40</v>
      </c>
      <c r="U337" s="135" t="str">
        <f t="shared" si="87"/>
        <v/>
      </c>
      <c r="V337" s="67" t="s">
        <v>168</v>
      </c>
      <c r="W337" s="137" t="str">
        <f t="shared" si="93"/>
        <v/>
      </c>
      <c r="X337" s="137" t="str">
        <f t="shared" si="88"/>
        <v/>
      </c>
      <c r="Y337" s="138"/>
      <c r="Z337" s="138">
        <v>2</v>
      </c>
      <c r="AA337" s="138">
        <v>3</v>
      </c>
      <c r="AB337" s="138" t="str">
        <f t="shared" ref="AB337:AB400" si="97">"{"&amp;6000+AD337&amp;","&amp;5000+AD337&amp;","&amp;4000+AD337&amp;"}"</f>
        <v>{10000,9000,8000}</v>
      </c>
      <c r="AC337" s="138">
        <v>1000</v>
      </c>
      <c r="AD337" s="138">
        <v>4000</v>
      </c>
      <c r="AE337" s="138">
        <f>SUM($R$141:$R337)+SUM($X$141:$X337)</f>
        <v>2271750</v>
      </c>
      <c r="AF337" s="138">
        <f>SUM($Q$142:Q337)</f>
        <v>88133</v>
      </c>
      <c r="AG337" s="137">
        <f t="shared" si="94"/>
        <v>2536149</v>
      </c>
      <c r="AH337" s="139">
        <f>SUM($S$141:S337)</f>
        <v>1727.47955785424</v>
      </c>
      <c r="AI337" s="133">
        <f t="shared" si="95"/>
        <v>9.8</v>
      </c>
      <c r="AJ337" s="15">
        <f t="shared" si="96"/>
        <v>846900</v>
      </c>
      <c r="AL337" s="15">
        <v>197</v>
      </c>
      <c r="AM337" s="15">
        <f t="shared" si="89"/>
        <v>275890</v>
      </c>
      <c r="AN337" s="15">
        <f>SUMIF([1]装备属性!$M$571:$M$870,"&lt;="&amp;AL337,[1]装备属性!$Q$571:$Q$870)</f>
        <v>192517.104787715</v>
      </c>
      <c r="AO337" s="15">
        <f t="shared" si="90"/>
        <v>1.43306746849439</v>
      </c>
    </row>
    <row r="338" ht="18" spans="1:41">
      <c r="A338" s="9" t="s">
        <v>260</v>
      </c>
      <c r="B338" s="9" t="str">
        <f t="shared" si="79"/>
        <v>[{5205001,3},{2,}]</v>
      </c>
      <c r="C338" s="51" t="str">
        <f t="shared" si="80"/>
        <v>[{5203001,945},{2,13880}]</v>
      </c>
      <c r="D338" s="140">
        <v>198</v>
      </c>
      <c r="E338" s="130">
        <f t="shared" si="81"/>
        <v>1748</v>
      </c>
      <c r="F338" s="130">
        <f t="shared" si="77"/>
        <v>660</v>
      </c>
      <c r="G338" s="130">
        <v>300</v>
      </c>
      <c r="H338" s="130">
        <f>SUMIFS(基因产出!$F$90:$F$389,基因产出!$D$90:$D$389,"&lt;="&amp;E338,基因产出!$D$90:$D$389,"&gt;"&amp;_xlfn.MAXIFS($E$141:E338,$E$141:E338,"&lt;"&amp;E338))/COUNTIF($E$141:$E$500,E338)</f>
        <v>0</v>
      </c>
      <c r="I338" s="130">
        <f>IF(COUNTIF($I$141:$I337,$I337)=VLOOKUP($I337,$D$90:$E$120,2,0),$I337+1,$I337)</f>
        <v>20</v>
      </c>
      <c r="J338" s="131">
        <f t="shared" si="82"/>
        <v>116</v>
      </c>
      <c r="K338" s="132" t="str">
        <f t="shared" si="83"/>
        <v/>
      </c>
      <c r="L338" s="132" t="str">
        <f t="shared" si="84"/>
        <v/>
      </c>
      <c r="M338" s="132" t="str">
        <f t="shared" si="85"/>
        <v/>
      </c>
      <c r="N338" s="132">
        <f t="shared" si="91"/>
        <v>0.0075</v>
      </c>
      <c r="O338" s="132">
        <f t="shared" si="86"/>
        <v>0.05</v>
      </c>
      <c r="P338" s="141">
        <f>(SUM($Q$142:Q338)-SUM($H$141:H338))/SUM($H$141:H338)</f>
        <v>-0.127505142521305</v>
      </c>
      <c r="Q338" s="142">
        <f t="shared" si="78"/>
        <v>940</v>
      </c>
      <c r="R338" s="142">
        <f t="shared" si="76"/>
        <v>13810</v>
      </c>
      <c r="S338" s="133">
        <f t="shared" si="92"/>
        <v>19.7</v>
      </c>
      <c r="T338" s="134">
        <f>INT(SUM($W$141:W338)/3)+1</f>
        <v>40</v>
      </c>
      <c r="U338" s="135" t="str">
        <f t="shared" si="87"/>
        <v/>
      </c>
      <c r="V338" s="67" t="s">
        <v>168</v>
      </c>
      <c r="W338" s="137" t="str">
        <f t="shared" si="93"/>
        <v/>
      </c>
      <c r="X338" s="137" t="str">
        <f t="shared" si="88"/>
        <v/>
      </c>
      <c r="Y338" s="138"/>
      <c r="Z338" s="138">
        <v>2</v>
      </c>
      <c r="AA338" s="138">
        <v>3</v>
      </c>
      <c r="AB338" s="138" t="str">
        <f t="shared" si="97"/>
        <v>{10000,9000,8000}</v>
      </c>
      <c r="AC338" s="138">
        <v>1000</v>
      </c>
      <c r="AD338" s="138">
        <v>4000</v>
      </c>
      <c r="AE338" s="138">
        <f>SUM($R$141:$R338)+SUM($X$141:$X338)</f>
        <v>2285560</v>
      </c>
      <c r="AF338" s="138">
        <f>SUM($Q$142:Q338)</f>
        <v>89073</v>
      </c>
      <c r="AG338" s="137">
        <f t="shared" si="94"/>
        <v>2552779</v>
      </c>
      <c r="AH338" s="139">
        <f>SUM($S$141:S338)</f>
        <v>1747.17955785424</v>
      </c>
      <c r="AI338" s="133">
        <f t="shared" si="95"/>
        <v>9.85</v>
      </c>
      <c r="AJ338" s="15">
        <f t="shared" si="96"/>
        <v>851100</v>
      </c>
      <c r="AL338" s="15">
        <v>198</v>
      </c>
      <c r="AM338" s="15">
        <f t="shared" si="89"/>
        <v>275890</v>
      </c>
      <c r="AN338" s="15">
        <f>SUMIF([1]装备属性!$M$571:$M$870,"&lt;="&amp;AL338,[1]装备属性!$Q$571:$Q$870)</f>
        <v>192517.104787715</v>
      </c>
      <c r="AO338" s="15">
        <f t="shared" si="90"/>
        <v>1.43306746849439</v>
      </c>
    </row>
    <row r="339" ht="18" spans="1:41">
      <c r="A339" s="9" t="s">
        <v>258</v>
      </c>
      <c r="B339" s="9" t="str">
        <f t="shared" si="79"/>
        <v>[{5205001,3},{2,}]</v>
      </c>
      <c r="C339" s="51" t="str">
        <f t="shared" si="80"/>
        <v>[{5203001,950},{2,13950}]</v>
      </c>
      <c r="D339" s="140">
        <v>199</v>
      </c>
      <c r="E339" s="130">
        <f t="shared" si="81"/>
        <v>1767</v>
      </c>
      <c r="F339" s="130">
        <f t="shared" si="77"/>
        <v>665</v>
      </c>
      <c r="G339" s="130">
        <v>300</v>
      </c>
      <c r="H339" s="130">
        <f>SUMIFS(基因产出!$F$90:$F$389,基因产出!$D$90:$D$389,"&lt;="&amp;E339,基因产出!$D$90:$D$389,"&gt;"&amp;_xlfn.MAXIFS($E$141:E339,$E$141:E339,"&lt;"&amp;E339))/COUNTIF($E$141:$E$500,E339)</f>
        <v>0</v>
      </c>
      <c r="I339" s="130">
        <f>IF(COUNTIF($I$141:$I338,$I338)=VLOOKUP($I338,$D$90:$E$120,2,0),$I338+1,$I338)</f>
        <v>20</v>
      </c>
      <c r="J339" s="131">
        <f t="shared" si="82"/>
        <v>116</v>
      </c>
      <c r="K339" s="132" t="str">
        <f t="shared" si="83"/>
        <v/>
      </c>
      <c r="L339" s="132" t="str">
        <f t="shared" si="84"/>
        <v/>
      </c>
      <c r="M339" s="132">
        <f t="shared" si="85"/>
        <v>0.002</v>
      </c>
      <c r="N339" s="132" t="str">
        <f t="shared" si="91"/>
        <v/>
      </c>
      <c r="O339" s="132" t="str">
        <f t="shared" si="86"/>
        <v/>
      </c>
      <c r="P339" s="141">
        <f>(SUM($Q$142:Q339)-SUM($H$141:H339))/SUM($H$141:H339)</f>
        <v>-0.118248604172789</v>
      </c>
      <c r="Q339" s="142">
        <f t="shared" si="78"/>
        <v>945</v>
      </c>
      <c r="R339" s="142">
        <f t="shared" si="76"/>
        <v>13880</v>
      </c>
      <c r="S339" s="133">
        <f t="shared" si="92"/>
        <v>19.8</v>
      </c>
      <c r="T339" s="134">
        <f>INT(SUM($W$141:W339)/3)+1</f>
        <v>40</v>
      </c>
      <c r="U339" s="135" t="str">
        <f t="shared" si="87"/>
        <v/>
      </c>
      <c r="V339" s="67" t="s">
        <v>168</v>
      </c>
      <c r="W339" s="137" t="str">
        <f t="shared" si="93"/>
        <v/>
      </c>
      <c r="X339" s="137" t="str">
        <f t="shared" si="88"/>
        <v/>
      </c>
      <c r="Y339" s="138"/>
      <c r="Z339" s="138">
        <v>2</v>
      </c>
      <c r="AA339" s="138">
        <v>3</v>
      </c>
      <c r="AB339" s="138" t="str">
        <f t="shared" si="97"/>
        <v>{10000,9000,8000}</v>
      </c>
      <c r="AC339" s="138">
        <v>1000</v>
      </c>
      <c r="AD339" s="138">
        <v>4000</v>
      </c>
      <c r="AE339" s="138">
        <f>SUM($R$141:$R339)+SUM($X$141:$X339)</f>
        <v>2299440</v>
      </c>
      <c r="AF339" s="138">
        <f>SUM($Q$142:Q339)</f>
        <v>90018</v>
      </c>
      <c r="AG339" s="137">
        <f t="shared" si="94"/>
        <v>2569494</v>
      </c>
      <c r="AH339" s="139">
        <f>SUM($S$141:S339)</f>
        <v>1766.97955785424</v>
      </c>
      <c r="AI339" s="133">
        <f t="shared" si="95"/>
        <v>9.9</v>
      </c>
      <c r="AJ339" s="15">
        <f t="shared" si="96"/>
        <v>855600</v>
      </c>
      <c r="AL339" s="15">
        <v>199</v>
      </c>
      <c r="AM339" s="15">
        <f t="shared" si="89"/>
        <v>275890</v>
      </c>
      <c r="AN339" s="15">
        <f>SUMIF([1]装备属性!$M$571:$M$870,"&lt;="&amp;AL339,[1]装备属性!$Q$571:$Q$870)</f>
        <v>192517.104787715</v>
      </c>
      <c r="AO339" s="15">
        <f t="shared" si="90"/>
        <v>1.43306746849439</v>
      </c>
    </row>
    <row r="340" ht="18" spans="1:41">
      <c r="A340" s="9" t="s">
        <v>259</v>
      </c>
      <c r="B340" s="9" t="str">
        <f t="shared" si="79"/>
        <v>[{5205001,3},{2,55800}]</v>
      </c>
      <c r="C340" s="51" t="str">
        <f t="shared" si="80"/>
        <v>[{5203001,955},{2,14020}]</v>
      </c>
      <c r="D340" s="140">
        <v>200</v>
      </c>
      <c r="E340" s="130">
        <f t="shared" si="81"/>
        <v>1787</v>
      </c>
      <c r="F340" s="130">
        <f t="shared" si="77"/>
        <v>670</v>
      </c>
      <c r="G340" s="130">
        <v>300</v>
      </c>
      <c r="H340" s="130">
        <f>SUMIFS(基因产出!$F$90:$F$389,基因产出!$D$90:$D$389,"&lt;="&amp;E340,基因产出!$D$90:$D$389,"&gt;"&amp;_xlfn.MAXIFS($E$141:E340,$E$141:E340,"&lt;"&amp;E340))/COUNTIF($E$141:$E$500,E340)</f>
        <v>0</v>
      </c>
      <c r="I340" s="130">
        <f>IF(COUNTIF($I$141:$I339,$I339)=VLOOKUP($I339,$D$90:$E$120,2,0),$I339+1,$I339)</f>
        <v>20</v>
      </c>
      <c r="J340" s="131">
        <f t="shared" si="82"/>
        <v>116</v>
      </c>
      <c r="K340" s="132" t="str">
        <f t="shared" si="83"/>
        <v/>
      </c>
      <c r="L340" s="132">
        <f t="shared" si="84"/>
        <v>0.03</v>
      </c>
      <c r="M340" s="132" t="str">
        <f t="shared" si="85"/>
        <v/>
      </c>
      <c r="N340" s="132" t="str">
        <f t="shared" si="91"/>
        <v/>
      </c>
      <c r="O340" s="132" t="str">
        <f t="shared" si="86"/>
        <v/>
      </c>
      <c r="P340" s="141">
        <f>(SUM($Q$142:Q340)-SUM($H$141:H340))/SUM($H$141:H340)</f>
        <v>-0.108943089430894</v>
      </c>
      <c r="Q340" s="142">
        <f t="shared" si="78"/>
        <v>950</v>
      </c>
      <c r="R340" s="142">
        <f t="shared" si="76"/>
        <v>13950</v>
      </c>
      <c r="S340" s="133">
        <f t="shared" si="92"/>
        <v>19.9</v>
      </c>
      <c r="T340" s="134">
        <f>INT(SUM($W$141:W340)/3)+1</f>
        <v>41</v>
      </c>
      <c r="U340" s="135" t="str">
        <f t="shared" si="87"/>
        <v>60</v>
      </c>
      <c r="V340" s="67" t="s">
        <v>77</v>
      </c>
      <c r="W340" s="137">
        <f t="shared" si="93"/>
        <v>3</v>
      </c>
      <c r="X340" s="137">
        <f t="shared" si="88"/>
        <v>55800</v>
      </c>
      <c r="Y340" s="138"/>
      <c r="Z340" s="138">
        <v>2</v>
      </c>
      <c r="AA340" s="138">
        <v>3</v>
      </c>
      <c r="AB340" s="138" t="str">
        <f t="shared" si="97"/>
        <v>{10000,9000,8000}</v>
      </c>
      <c r="AC340" s="138">
        <v>1000</v>
      </c>
      <c r="AD340" s="138">
        <v>4000</v>
      </c>
      <c r="AE340" s="138">
        <f>SUM($R$141:$R340)+SUM($X$141:$X340)</f>
        <v>2369190</v>
      </c>
      <c r="AF340" s="138">
        <f>SUM($Q$142:Q340)</f>
        <v>90968</v>
      </c>
      <c r="AG340" s="137">
        <f t="shared" si="94"/>
        <v>2642094</v>
      </c>
      <c r="AH340" s="139">
        <f>SUM($S$141:S340)</f>
        <v>1786.87955785424</v>
      </c>
      <c r="AI340" s="133">
        <f t="shared" si="95"/>
        <v>9.95</v>
      </c>
      <c r="AJ340" s="15">
        <f t="shared" si="96"/>
        <v>859800</v>
      </c>
      <c r="AL340" s="15">
        <v>200</v>
      </c>
      <c r="AM340" s="15">
        <f t="shared" si="89"/>
        <v>282140</v>
      </c>
      <c r="AN340" s="15">
        <f>SUMIF([1]装备属性!$M$571:$M$870,"&lt;="&amp;AL340,[1]装备属性!$Q$571:$Q$870)</f>
        <v>192517.104787715</v>
      </c>
      <c r="AO340" s="15">
        <f t="shared" si="90"/>
        <v>1.46553211628188</v>
      </c>
    </row>
    <row r="341" ht="18" spans="1:41">
      <c r="A341" s="9" t="s">
        <v>261</v>
      </c>
      <c r="B341" s="9" t="str">
        <f t="shared" si="79"/>
        <v>[{5205001,3},{2,}]</v>
      </c>
      <c r="C341" s="51" t="str">
        <f t="shared" si="80"/>
        <v>[{5203001,960},{2,14090}]</v>
      </c>
      <c r="D341" s="140">
        <v>201</v>
      </c>
      <c r="E341" s="130">
        <f t="shared" si="81"/>
        <v>1809</v>
      </c>
      <c r="F341" s="130">
        <f t="shared" si="77"/>
        <v>675</v>
      </c>
      <c r="G341" s="130">
        <v>300</v>
      </c>
      <c r="H341" s="130">
        <f>H340</f>
        <v>0</v>
      </c>
      <c r="I341" s="130">
        <f>IF(COUNTIF($I$141:$I340,$I340)=VLOOKUP($I340,$D$90:$E$120,2,0),$I340+1,$I340)</f>
        <v>21</v>
      </c>
      <c r="J341" s="131">
        <f t="shared" si="82"/>
        <v>122</v>
      </c>
      <c r="K341" s="132">
        <f t="shared" si="83"/>
        <v>0.05</v>
      </c>
      <c r="L341" s="132" t="str">
        <f t="shared" si="84"/>
        <v/>
      </c>
      <c r="M341" s="132" t="str">
        <f t="shared" si="85"/>
        <v/>
      </c>
      <c r="N341" s="132" t="str">
        <f t="shared" si="91"/>
        <v/>
      </c>
      <c r="O341" s="132" t="str">
        <f t="shared" si="86"/>
        <v/>
      </c>
      <c r="P341" s="141">
        <f>(SUM($Q$142:Q341)-SUM($H$141:H341))/SUM($H$141:H341)</f>
        <v>-0.0995885982956215</v>
      </c>
      <c r="Q341" s="142">
        <f t="shared" si="78"/>
        <v>955</v>
      </c>
      <c r="R341" s="142">
        <f t="shared" si="76"/>
        <v>14020</v>
      </c>
      <c r="S341" s="133">
        <f t="shared" si="92"/>
        <v>21.3429256594724</v>
      </c>
      <c r="T341" s="134">
        <f>INT(SUM($W$141:W341)/3)+1</f>
        <v>41</v>
      </c>
      <c r="U341" s="135" t="str">
        <f t="shared" si="87"/>
        <v/>
      </c>
      <c r="V341" s="67" t="s">
        <v>168</v>
      </c>
      <c r="W341" s="137" t="str">
        <f t="shared" si="93"/>
        <v/>
      </c>
      <c r="X341" s="137" t="str">
        <f t="shared" si="88"/>
        <v/>
      </c>
      <c r="Y341" s="138"/>
      <c r="Z341" s="138">
        <v>2</v>
      </c>
      <c r="AA341" s="138">
        <v>3</v>
      </c>
      <c r="AB341" s="138" t="str">
        <f t="shared" si="97"/>
        <v>{10000,9000,8000}</v>
      </c>
      <c r="AC341" s="138">
        <v>1000</v>
      </c>
      <c r="AD341" s="138">
        <v>4000</v>
      </c>
      <c r="AE341" s="138">
        <f>SUM($R$141:$R341)+SUM($X$141:$X341)</f>
        <v>2383210</v>
      </c>
      <c r="AF341" s="138">
        <f>SUM($Q$142:Q341)</f>
        <v>91923</v>
      </c>
      <c r="AG341" s="137">
        <f t="shared" si="94"/>
        <v>2658979</v>
      </c>
      <c r="AH341" s="139">
        <f>SUM($S$141:S341)</f>
        <v>1808.22248351371</v>
      </c>
      <c r="AI341" s="133">
        <f t="shared" si="95"/>
        <v>10.6714628297362</v>
      </c>
      <c r="AJ341" s="15">
        <f t="shared" si="96"/>
        <v>922200</v>
      </c>
      <c r="AL341" s="15">
        <v>201</v>
      </c>
      <c r="AM341" s="15">
        <f t="shared" si="89"/>
        <v>282140</v>
      </c>
      <c r="AN341" s="15">
        <f>SUMIF([1]装备属性!$M$571:$M$870,"&lt;="&amp;AL341,[1]装备属性!$Q$571:$Q$870)</f>
        <v>192517.104787715</v>
      </c>
      <c r="AO341" s="15">
        <f t="shared" si="90"/>
        <v>1.46553211628188</v>
      </c>
    </row>
    <row r="342" ht="18" spans="1:41">
      <c r="A342" s="9" t="s">
        <v>262</v>
      </c>
      <c r="B342" s="9" t="str">
        <f t="shared" si="79"/>
        <v>[{5205001,3},{2,}]</v>
      </c>
      <c r="C342" s="51" t="str">
        <f t="shared" si="80"/>
        <v>[{5203001,965},{2,14160}]</v>
      </c>
      <c r="D342" s="140">
        <v>202</v>
      </c>
      <c r="E342" s="130">
        <f t="shared" si="81"/>
        <v>1830</v>
      </c>
      <c r="F342" s="130">
        <f t="shared" si="77"/>
        <v>680</v>
      </c>
      <c r="G342" s="130">
        <v>300</v>
      </c>
      <c r="H342" s="130">
        <f t="shared" ref="H342:H373" si="98">H341</f>
        <v>0</v>
      </c>
      <c r="I342" s="130">
        <f>IF(COUNTIF($I$141:$I341,$I341)=VLOOKUP($I341,$D$90:$E$120,2,0),$I341+1,$I341)</f>
        <v>21</v>
      </c>
      <c r="J342" s="131">
        <f t="shared" si="82"/>
        <v>122</v>
      </c>
      <c r="K342" s="132" t="str">
        <f t="shared" si="83"/>
        <v/>
      </c>
      <c r="L342" s="132" t="str">
        <f t="shared" si="84"/>
        <v/>
      </c>
      <c r="M342" s="132" t="str">
        <f t="shared" si="85"/>
        <v/>
      </c>
      <c r="N342" s="132">
        <f t="shared" si="91"/>
        <v>0.0075</v>
      </c>
      <c r="O342" s="132" t="str">
        <f t="shared" si="86"/>
        <v/>
      </c>
      <c r="P342" s="141">
        <f>(SUM($Q$142:Q342)-SUM($H$141:H342))/SUM($H$141:H342)</f>
        <v>-0.0901851307669703</v>
      </c>
      <c r="Q342" s="142">
        <f t="shared" si="78"/>
        <v>960</v>
      </c>
      <c r="R342" s="142">
        <f t="shared" si="76"/>
        <v>14090</v>
      </c>
      <c r="S342" s="133">
        <f t="shared" si="92"/>
        <v>21.4496402877698</v>
      </c>
      <c r="T342" s="134">
        <f>INT(SUM($W$141:W342)/3)+1</f>
        <v>41</v>
      </c>
      <c r="U342" s="135" t="str">
        <f t="shared" si="87"/>
        <v/>
      </c>
      <c r="V342" s="67" t="s">
        <v>168</v>
      </c>
      <c r="W342" s="137" t="str">
        <f t="shared" si="93"/>
        <v/>
      </c>
      <c r="X342" s="137" t="str">
        <f t="shared" si="88"/>
        <v/>
      </c>
      <c r="Y342" s="138"/>
      <c r="Z342" s="138">
        <v>2</v>
      </c>
      <c r="AA342" s="138">
        <v>3</v>
      </c>
      <c r="AB342" s="138" t="str">
        <f t="shared" si="97"/>
        <v>{10000,9000,8000}</v>
      </c>
      <c r="AC342" s="138">
        <v>1000</v>
      </c>
      <c r="AD342" s="138">
        <v>4000</v>
      </c>
      <c r="AE342" s="138">
        <f>SUM($R$141:$R342)+SUM($X$141:$X342)</f>
        <v>2397300</v>
      </c>
      <c r="AF342" s="138">
        <f>SUM($Q$142:Q342)</f>
        <v>92883</v>
      </c>
      <c r="AG342" s="137">
        <f t="shared" si="94"/>
        <v>2675949</v>
      </c>
      <c r="AH342" s="139">
        <f>SUM($S$141:S342)</f>
        <v>1829.67212380148</v>
      </c>
      <c r="AI342" s="133">
        <f t="shared" si="95"/>
        <v>10.7248201438849</v>
      </c>
      <c r="AJ342" s="15">
        <f t="shared" si="96"/>
        <v>926700</v>
      </c>
      <c r="AL342" s="15">
        <v>202</v>
      </c>
      <c r="AM342" s="15">
        <f t="shared" si="89"/>
        <v>282140</v>
      </c>
      <c r="AN342" s="15">
        <f>SUMIF([1]装备属性!$M$571:$M$870,"&lt;="&amp;AL342,[1]装备属性!$Q$571:$Q$870)</f>
        <v>192517.104787715</v>
      </c>
      <c r="AO342" s="15">
        <f t="shared" si="90"/>
        <v>1.46553211628188</v>
      </c>
    </row>
    <row r="343" ht="18" spans="1:41">
      <c r="A343" s="9" t="s">
        <v>263</v>
      </c>
      <c r="B343" s="9" t="str">
        <f t="shared" si="79"/>
        <v>[{5205001,3},{2,}]</v>
      </c>
      <c r="C343" s="51" t="str">
        <f t="shared" si="80"/>
        <v>[{5203001,970},{2,14230}]</v>
      </c>
      <c r="D343" s="140">
        <v>203</v>
      </c>
      <c r="E343" s="130">
        <f t="shared" si="81"/>
        <v>1852</v>
      </c>
      <c r="F343" s="130">
        <f t="shared" si="77"/>
        <v>685</v>
      </c>
      <c r="G343" s="130">
        <v>300</v>
      </c>
      <c r="H343" s="130">
        <f t="shared" si="98"/>
        <v>0</v>
      </c>
      <c r="I343" s="130">
        <f>IF(COUNTIF($I$141:$I342,$I342)=VLOOKUP($I342,$D$90:$E$120,2,0),$I342+1,$I342)</f>
        <v>21</v>
      </c>
      <c r="J343" s="131">
        <f t="shared" si="82"/>
        <v>122</v>
      </c>
      <c r="K343" s="132" t="str">
        <f t="shared" si="83"/>
        <v/>
      </c>
      <c r="L343" s="132" t="str">
        <f t="shared" si="84"/>
        <v/>
      </c>
      <c r="M343" s="132">
        <f t="shared" si="85"/>
        <v>0.002</v>
      </c>
      <c r="N343" s="132" t="str">
        <f t="shared" si="91"/>
        <v/>
      </c>
      <c r="O343" s="132" t="str">
        <f t="shared" si="86"/>
        <v/>
      </c>
      <c r="P343" s="141">
        <f>(SUM($Q$142:Q343)-SUM($H$141:H343))/SUM($H$141:H343)</f>
        <v>-0.0807326868449407</v>
      </c>
      <c r="Q343" s="142">
        <f t="shared" si="78"/>
        <v>965</v>
      </c>
      <c r="R343" s="142">
        <f t="shared" si="76"/>
        <v>14160</v>
      </c>
      <c r="S343" s="133">
        <f t="shared" si="92"/>
        <v>21.5563549160671</v>
      </c>
      <c r="T343" s="134">
        <f>INT(SUM($W$141:W343)/3)+1</f>
        <v>41</v>
      </c>
      <c r="U343" s="135" t="str">
        <f t="shared" si="87"/>
        <v/>
      </c>
      <c r="V343" s="67" t="s">
        <v>168</v>
      </c>
      <c r="W343" s="137" t="str">
        <f t="shared" si="93"/>
        <v/>
      </c>
      <c r="X343" s="137" t="str">
        <f t="shared" si="88"/>
        <v/>
      </c>
      <c r="Y343" s="138"/>
      <c r="Z343" s="138">
        <v>2</v>
      </c>
      <c r="AA343" s="138">
        <v>3</v>
      </c>
      <c r="AB343" s="138" t="str">
        <f t="shared" si="97"/>
        <v>{10000,9000,8000}</v>
      </c>
      <c r="AC343" s="138">
        <v>1000</v>
      </c>
      <c r="AD343" s="138">
        <v>4000</v>
      </c>
      <c r="AE343" s="138">
        <f>SUM($R$141:$R343)+SUM($X$141:$X343)</f>
        <v>2411460</v>
      </c>
      <c r="AF343" s="138">
        <f>SUM($Q$142:Q343)</f>
        <v>93848</v>
      </c>
      <c r="AG343" s="137">
        <f t="shared" si="94"/>
        <v>2693004</v>
      </c>
      <c r="AH343" s="139">
        <f>SUM($S$141:S343)</f>
        <v>1851.22847871755</v>
      </c>
      <c r="AI343" s="133">
        <f t="shared" si="95"/>
        <v>10.7781774580336</v>
      </c>
      <c r="AJ343" s="15">
        <f t="shared" si="96"/>
        <v>931500</v>
      </c>
      <c r="AL343" s="15">
        <v>203</v>
      </c>
      <c r="AM343" s="15">
        <f t="shared" si="89"/>
        <v>282140</v>
      </c>
      <c r="AN343" s="15">
        <f>SUMIF([1]装备属性!$M$571:$M$870,"&lt;="&amp;AL343,[1]装备属性!$Q$571:$Q$870)</f>
        <v>192517.104787715</v>
      </c>
      <c r="AO343" s="15">
        <f t="shared" si="90"/>
        <v>1.46553211628188</v>
      </c>
    </row>
    <row r="344" ht="18" spans="1:41">
      <c r="A344" s="9" t="s">
        <v>264</v>
      </c>
      <c r="B344" s="9" t="str">
        <f t="shared" si="79"/>
        <v>[{5205001,3},{2,}]</v>
      </c>
      <c r="C344" s="51" t="str">
        <f t="shared" si="80"/>
        <v>[{5203001,975},{2,14300}]</v>
      </c>
      <c r="D344" s="140">
        <v>204</v>
      </c>
      <c r="E344" s="130">
        <f t="shared" si="81"/>
        <v>1873</v>
      </c>
      <c r="F344" s="130">
        <f t="shared" si="77"/>
        <v>690</v>
      </c>
      <c r="G344" s="130">
        <v>300</v>
      </c>
      <c r="H344" s="130">
        <f t="shared" si="98"/>
        <v>0</v>
      </c>
      <c r="I344" s="130">
        <f>IF(COUNTIF($I$141:$I343,$I343)=VLOOKUP($I343,$D$90:$E$120,2,0),$I343+1,$I343)</f>
        <v>21</v>
      </c>
      <c r="J344" s="131">
        <f t="shared" si="82"/>
        <v>122</v>
      </c>
      <c r="K344" s="132" t="str">
        <f t="shared" si="83"/>
        <v/>
      </c>
      <c r="L344" s="132">
        <f t="shared" si="84"/>
        <v>0.03</v>
      </c>
      <c r="M344" s="132" t="str">
        <f t="shared" si="85"/>
        <v/>
      </c>
      <c r="N344" s="132" t="str">
        <f t="shared" si="91"/>
        <v/>
      </c>
      <c r="O344" s="132" t="str">
        <f t="shared" si="86"/>
        <v/>
      </c>
      <c r="P344" s="141">
        <f>(SUM($Q$142:Q344)-SUM($H$141:H344))/SUM($H$141:H344)</f>
        <v>-0.0712312665295328</v>
      </c>
      <c r="Q344" s="142">
        <f t="shared" si="78"/>
        <v>970</v>
      </c>
      <c r="R344" s="142">
        <f t="shared" si="76"/>
        <v>14230</v>
      </c>
      <c r="S344" s="133">
        <f t="shared" si="92"/>
        <v>21.6630695443645</v>
      </c>
      <c r="T344" s="134">
        <f>INT(SUM($W$141:W344)/3)+1</f>
        <v>41</v>
      </c>
      <c r="U344" s="135" t="str">
        <f t="shared" si="87"/>
        <v/>
      </c>
      <c r="V344" s="67" t="s">
        <v>168</v>
      </c>
      <c r="W344" s="137" t="str">
        <f t="shared" si="93"/>
        <v/>
      </c>
      <c r="X344" s="137" t="str">
        <f t="shared" si="88"/>
        <v/>
      </c>
      <c r="Y344" s="138"/>
      <c r="Z344" s="138">
        <v>2</v>
      </c>
      <c r="AA344" s="138">
        <v>3</v>
      </c>
      <c r="AB344" s="138" t="str">
        <f t="shared" si="97"/>
        <v>{10000,9000,8000}</v>
      </c>
      <c r="AC344" s="138">
        <v>1000</v>
      </c>
      <c r="AD344" s="138">
        <v>4000</v>
      </c>
      <c r="AE344" s="138">
        <f>SUM($R$141:$R344)+SUM($X$141:$X344)</f>
        <v>2425690</v>
      </c>
      <c r="AF344" s="138">
        <f>SUM($Q$142:Q344)</f>
        <v>94818</v>
      </c>
      <c r="AG344" s="137">
        <f t="shared" si="94"/>
        <v>2710144</v>
      </c>
      <c r="AH344" s="139">
        <f>SUM($S$141:S344)</f>
        <v>1872.89154826191</v>
      </c>
      <c r="AI344" s="133">
        <f t="shared" si="95"/>
        <v>10.8315347721823</v>
      </c>
      <c r="AJ344" s="15">
        <f t="shared" si="96"/>
        <v>936000</v>
      </c>
      <c r="AL344" s="15">
        <v>204</v>
      </c>
      <c r="AM344" s="15">
        <f t="shared" si="89"/>
        <v>282140</v>
      </c>
      <c r="AN344" s="15">
        <f>SUMIF([1]装备属性!$M$571:$M$870,"&lt;="&amp;AL344,[1]装备属性!$Q$571:$Q$870)</f>
        <v>192517.104787715</v>
      </c>
      <c r="AO344" s="15">
        <f t="shared" si="90"/>
        <v>1.46553211628188</v>
      </c>
    </row>
    <row r="345" ht="18" spans="1:41">
      <c r="A345" s="9" t="s">
        <v>261</v>
      </c>
      <c r="B345" s="9" t="str">
        <f t="shared" si="79"/>
        <v>[{5205001,3},{2,}]</v>
      </c>
      <c r="C345" s="51" t="str">
        <f t="shared" si="80"/>
        <v>[{5203001,980},{2,14370}]</v>
      </c>
      <c r="D345" s="140">
        <v>205</v>
      </c>
      <c r="E345" s="130">
        <f t="shared" si="81"/>
        <v>1895</v>
      </c>
      <c r="F345" s="130">
        <f t="shared" si="77"/>
        <v>695</v>
      </c>
      <c r="G345" s="130">
        <v>300</v>
      </c>
      <c r="H345" s="130">
        <f t="shared" si="98"/>
        <v>0</v>
      </c>
      <c r="I345" s="130">
        <f>IF(COUNTIF($I$141:$I344,$I344)=VLOOKUP($I344,$D$90:$E$120,2,0),$I344+1,$I344)</f>
        <v>21</v>
      </c>
      <c r="J345" s="131">
        <f t="shared" si="82"/>
        <v>122</v>
      </c>
      <c r="K345" s="132">
        <f t="shared" si="83"/>
        <v>0.05</v>
      </c>
      <c r="L345" s="132" t="str">
        <f t="shared" si="84"/>
        <v/>
      </c>
      <c r="M345" s="132" t="str">
        <f t="shared" si="85"/>
        <v/>
      </c>
      <c r="N345" s="132" t="str">
        <f t="shared" si="91"/>
        <v/>
      </c>
      <c r="O345" s="132" t="str">
        <f t="shared" si="86"/>
        <v/>
      </c>
      <c r="P345" s="141">
        <f>(SUM($Q$142:Q345)-SUM($H$141:H345))/SUM($H$141:H345)</f>
        <v>-0.0616808698207464</v>
      </c>
      <c r="Q345" s="142">
        <f t="shared" si="78"/>
        <v>975</v>
      </c>
      <c r="R345" s="142">
        <f t="shared" si="76"/>
        <v>14300</v>
      </c>
      <c r="S345" s="133">
        <f t="shared" si="92"/>
        <v>21.7697841726619</v>
      </c>
      <c r="T345" s="134">
        <f>INT(SUM($W$141:W345)/3)+1</f>
        <v>41</v>
      </c>
      <c r="U345" s="135" t="str">
        <f t="shared" si="87"/>
        <v/>
      </c>
      <c r="V345" s="67" t="s">
        <v>168</v>
      </c>
      <c r="W345" s="137" t="str">
        <f t="shared" si="93"/>
        <v/>
      </c>
      <c r="X345" s="137" t="str">
        <f t="shared" si="88"/>
        <v/>
      </c>
      <c r="Y345" s="138"/>
      <c r="Z345" s="138">
        <v>2</v>
      </c>
      <c r="AA345" s="138">
        <v>3</v>
      </c>
      <c r="AB345" s="138" t="str">
        <f t="shared" si="97"/>
        <v>{10000,9000,8000}</v>
      </c>
      <c r="AC345" s="138">
        <v>1000</v>
      </c>
      <c r="AD345" s="138">
        <v>4000</v>
      </c>
      <c r="AE345" s="138">
        <f>SUM($R$141:$R345)+SUM($X$141:$X345)</f>
        <v>2439990</v>
      </c>
      <c r="AF345" s="138">
        <f>SUM($Q$142:Q345)</f>
        <v>95793</v>
      </c>
      <c r="AG345" s="137">
        <f t="shared" si="94"/>
        <v>2727369</v>
      </c>
      <c r="AH345" s="139">
        <f>SUM($S$141:S345)</f>
        <v>1894.66133243457</v>
      </c>
      <c r="AI345" s="133">
        <f t="shared" si="95"/>
        <v>10.8848920863309</v>
      </c>
      <c r="AJ345" s="15">
        <f t="shared" si="96"/>
        <v>940500</v>
      </c>
      <c r="AL345" s="15">
        <v>205</v>
      </c>
      <c r="AM345" s="15">
        <f t="shared" si="89"/>
        <v>282140</v>
      </c>
      <c r="AN345" s="15">
        <f>SUMIF([1]装备属性!$M$571:$M$870,"&lt;="&amp;AL345,[1]装备属性!$Q$571:$Q$870)</f>
        <v>192517.104787715</v>
      </c>
      <c r="AO345" s="15">
        <f t="shared" si="90"/>
        <v>1.46553211628188</v>
      </c>
    </row>
    <row r="346" ht="18" spans="1:41">
      <c r="A346" s="9" t="s">
        <v>262</v>
      </c>
      <c r="B346" s="9" t="str">
        <f t="shared" si="79"/>
        <v>[{5205001,3},{2,}]</v>
      </c>
      <c r="C346" s="51" t="str">
        <f t="shared" si="80"/>
        <v>[{5203001,985},{2,14440}]</v>
      </c>
      <c r="D346" s="140">
        <v>206</v>
      </c>
      <c r="E346" s="130">
        <f t="shared" si="81"/>
        <v>1917</v>
      </c>
      <c r="F346" s="130">
        <f t="shared" si="77"/>
        <v>700</v>
      </c>
      <c r="G346" s="130">
        <v>300</v>
      </c>
      <c r="H346" s="130">
        <f t="shared" si="98"/>
        <v>0</v>
      </c>
      <c r="I346" s="130">
        <f>IF(COUNTIF($I$141:$I345,$I345)=VLOOKUP($I345,$D$90:$E$120,2,0),$I345+1,$I345)</f>
        <v>21</v>
      </c>
      <c r="J346" s="131">
        <f t="shared" si="82"/>
        <v>122</v>
      </c>
      <c r="K346" s="132" t="str">
        <f t="shared" si="83"/>
        <v/>
      </c>
      <c r="L346" s="132" t="str">
        <f t="shared" si="84"/>
        <v/>
      </c>
      <c r="M346" s="132" t="str">
        <f t="shared" si="85"/>
        <v/>
      </c>
      <c r="N346" s="132">
        <f t="shared" si="91"/>
        <v>0.0075</v>
      </c>
      <c r="O346" s="132" t="str">
        <f t="shared" si="86"/>
        <v/>
      </c>
      <c r="P346" s="141">
        <f>(SUM($Q$142:Q346)-SUM($H$141:H346))/SUM($H$141:H346)</f>
        <v>-0.0520814967185816</v>
      </c>
      <c r="Q346" s="142">
        <f t="shared" si="78"/>
        <v>980</v>
      </c>
      <c r="R346" s="142">
        <f t="shared" si="76"/>
        <v>14370</v>
      </c>
      <c r="S346" s="133">
        <f t="shared" si="92"/>
        <v>21.8764988009592</v>
      </c>
      <c r="T346" s="134">
        <f>INT(SUM($W$141:W346)/3)+1</f>
        <v>41</v>
      </c>
      <c r="U346" s="135" t="str">
        <f t="shared" si="87"/>
        <v/>
      </c>
      <c r="V346" s="67" t="s">
        <v>168</v>
      </c>
      <c r="W346" s="137" t="str">
        <f t="shared" si="93"/>
        <v/>
      </c>
      <c r="X346" s="137" t="str">
        <f t="shared" si="88"/>
        <v/>
      </c>
      <c r="Y346" s="138"/>
      <c r="Z346" s="138">
        <v>2</v>
      </c>
      <c r="AA346" s="138">
        <v>3</v>
      </c>
      <c r="AB346" s="138" t="str">
        <f t="shared" si="97"/>
        <v>{10000,9000,8000}</v>
      </c>
      <c r="AC346" s="138">
        <v>1000</v>
      </c>
      <c r="AD346" s="138">
        <v>4000</v>
      </c>
      <c r="AE346" s="138">
        <f>SUM($R$141:$R346)+SUM($X$141:$X346)</f>
        <v>2454360</v>
      </c>
      <c r="AF346" s="138">
        <f>SUM($Q$142:Q346)</f>
        <v>96773</v>
      </c>
      <c r="AG346" s="137">
        <f t="shared" si="94"/>
        <v>2744679</v>
      </c>
      <c r="AH346" s="139">
        <f>SUM($S$141:S346)</f>
        <v>1916.53783123553</v>
      </c>
      <c r="AI346" s="133">
        <f t="shared" si="95"/>
        <v>10.9382494004796</v>
      </c>
      <c r="AJ346" s="15">
        <f t="shared" si="96"/>
        <v>945300</v>
      </c>
      <c r="AL346" s="15">
        <v>206</v>
      </c>
      <c r="AM346" s="15">
        <f t="shared" si="89"/>
        <v>282140</v>
      </c>
      <c r="AN346" s="15">
        <f>SUMIF([1]装备属性!$M$571:$M$870,"&lt;="&amp;AL346,[1]装备属性!$Q$571:$Q$870)</f>
        <v>192517.104787715</v>
      </c>
      <c r="AO346" s="15">
        <f t="shared" si="90"/>
        <v>1.46553211628188</v>
      </c>
    </row>
    <row r="347" ht="18" spans="1:41">
      <c r="A347" s="9" t="s">
        <v>263</v>
      </c>
      <c r="B347" s="9" t="str">
        <f t="shared" si="79"/>
        <v>[{5205001,3},{2,}]</v>
      </c>
      <c r="C347" s="51" t="str">
        <f t="shared" si="80"/>
        <v>[{5203001,990},{2,14510}]</v>
      </c>
      <c r="D347" s="140">
        <v>207</v>
      </c>
      <c r="E347" s="130">
        <f t="shared" si="81"/>
        <v>1939</v>
      </c>
      <c r="F347" s="130">
        <f t="shared" si="77"/>
        <v>705</v>
      </c>
      <c r="G347" s="130">
        <v>300</v>
      </c>
      <c r="H347" s="130">
        <f t="shared" si="98"/>
        <v>0</v>
      </c>
      <c r="I347" s="130">
        <f>IF(COUNTIF($I$141:$I346,$I346)=VLOOKUP($I346,$D$90:$E$120,2,0),$I346+1,$I346)</f>
        <v>21</v>
      </c>
      <c r="J347" s="131">
        <f t="shared" si="82"/>
        <v>122</v>
      </c>
      <c r="K347" s="132" t="str">
        <f t="shared" si="83"/>
        <v/>
      </c>
      <c r="L347" s="132" t="str">
        <f t="shared" si="84"/>
        <v/>
      </c>
      <c r="M347" s="132">
        <f t="shared" si="85"/>
        <v>0.002</v>
      </c>
      <c r="N347" s="132" t="str">
        <f t="shared" si="91"/>
        <v/>
      </c>
      <c r="O347" s="132" t="str">
        <f t="shared" si="86"/>
        <v/>
      </c>
      <c r="P347" s="141">
        <f>(SUM($Q$142:Q347)-SUM($H$141:H347))/SUM($H$141:H347)</f>
        <v>-0.0424331472230385</v>
      </c>
      <c r="Q347" s="142">
        <f t="shared" si="78"/>
        <v>985</v>
      </c>
      <c r="R347" s="142">
        <f t="shared" si="76"/>
        <v>14440</v>
      </c>
      <c r="S347" s="133">
        <f t="shared" si="92"/>
        <v>21.9832134292566</v>
      </c>
      <c r="T347" s="134">
        <f>INT(SUM($W$141:W347)/3)+1</f>
        <v>41</v>
      </c>
      <c r="U347" s="135" t="str">
        <f t="shared" si="87"/>
        <v/>
      </c>
      <c r="V347" s="67" t="s">
        <v>168</v>
      </c>
      <c r="W347" s="137" t="str">
        <f t="shared" si="93"/>
        <v/>
      </c>
      <c r="X347" s="137" t="str">
        <f t="shared" si="88"/>
        <v/>
      </c>
      <c r="Y347" s="138"/>
      <c r="Z347" s="138">
        <v>2</v>
      </c>
      <c r="AA347" s="138">
        <v>3</v>
      </c>
      <c r="AB347" s="138" t="str">
        <f t="shared" si="97"/>
        <v>{10000,9000,8000}</v>
      </c>
      <c r="AC347" s="138">
        <v>1000</v>
      </c>
      <c r="AD347" s="138">
        <v>4000</v>
      </c>
      <c r="AE347" s="138">
        <f>SUM($R$141:$R347)+SUM($X$141:$X347)</f>
        <v>2468800</v>
      </c>
      <c r="AF347" s="138">
        <f>SUM($Q$142:Q347)</f>
        <v>97758</v>
      </c>
      <c r="AG347" s="137">
        <f t="shared" si="94"/>
        <v>2762074</v>
      </c>
      <c r="AH347" s="139">
        <f>SUM($S$141:S347)</f>
        <v>1938.52104466479</v>
      </c>
      <c r="AI347" s="133">
        <f t="shared" si="95"/>
        <v>10.9916067146283</v>
      </c>
      <c r="AJ347" s="15">
        <f t="shared" si="96"/>
        <v>949800</v>
      </c>
      <c r="AL347" s="15">
        <v>207</v>
      </c>
      <c r="AM347" s="15">
        <f t="shared" si="89"/>
        <v>282140</v>
      </c>
      <c r="AN347" s="15">
        <f>SUMIF([1]装备属性!$M$571:$M$870,"&lt;="&amp;AL347,[1]装备属性!$Q$571:$Q$870)</f>
        <v>192517.104787715</v>
      </c>
      <c r="AO347" s="15">
        <f t="shared" si="90"/>
        <v>1.46553211628188</v>
      </c>
    </row>
    <row r="348" ht="18" spans="1:41">
      <c r="A348" s="9" t="s">
        <v>264</v>
      </c>
      <c r="B348" s="9" t="str">
        <f t="shared" si="79"/>
        <v>[{5205001,3},{2,58040}]</v>
      </c>
      <c r="C348" s="51" t="str">
        <f t="shared" si="80"/>
        <v>[{5203001,995},{2,14580}]</v>
      </c>
      <c r="D348" s="140">
        <v>208</v>
      </c>
      <c r="E348" s="130">
        <f t="shared" si="81"/>
        <v>1961</v>
      </c>
      <c r="F348" s="130">
        <f t="shared" si="77"/>
        <v>710</v>
      </c>
      <c r="G348" s="130">
        <v>300</v>
      </c>
      <c r="H348" s="130">
        <f t="shared" si="98"/>
        <v>0</v>
      </c>
      <c r="I348" s="130">
        <f>IF(COUNTIF($I$141:$I347,$I347)=VLOOKUP($I347,$D$90:$E$120,2,0),$I347+1,$I347)</f>
        <v>21</v>
      </c>
      <c r="J348" s="131">
        <f t="shared" si="82"/>
        <v>122</v>
      </c>
      <c r="K348" s="132" t="str">
        <f t="shared" si="83"/>
        <v/>
      </c>
      <c r="L348" s="132">
        <f t="shared" si="84"/>
        <v>0.03</v>
      </c>
      <c r="M348" s="132" t="str">
        <f t="shared" si="85"/>
        <v/>
      </c>
      <c r="N348" s="132" t="str">
        <f t="shared" si="91"/>
        <v/>
      </c>
      <c r="O348" s="132" t="str">
        <f t="shared" si="86"/>
        <v/>
      </c>
      <c r="P348" s="141">
        <f>(SUM($Q$142:Q348)-SUM($H$141:H348))/SUM($H$141:H348)</f>
        <v>-0.032735821334117</v>
      </c>
      <c r="Q348" s="142">
        <f t="shared" si="78"/>
        <v>990</v>
      </c>
      <c r="R348" s="142">
        <f t="shared" si="76"/>
        <v>14510</v>
      </c>
      <c r="S348" s="133">
        <f t="shared" si="92"/>
        <v>22.089928057554</v>
      </c>
      <c r="T348" s="134">
        <f>INT(SUM($W$141:W348)/3)+1</f>
        <v>42</v>
      </c>
      <c r="U348" s="135" t="str">
        <f t="shared" si="87"/>
        <v/>
      </c>
      <c r="V348" s="67" t="s">
        <v>91</v>
      </c>
      <c r="W348" s="137">
        <f t="shared" si="93"/>
        <v>3</v>
      </c>
      <c r="X348" s="137">
        <f t="shared" si="88"/>
        <v>58040</v>
      </c>
      <c r="Y348" s="138"/>
      <c r="Z348" s="138">
        <v>2</v>
      </c>
      <c r="AA348" s="138">
        <v>3</v>
      </c>
      <c r="AB348" s="138" t="str">
        <f t="shared" si="97"/>
        <v>{10000,9000,8000}</v>
      </c>
      <c r="AC348" s="138">
        <v>1000</v>
      </c>
      <c r="AD348" s="138">
        <v>4000</v>
      </c>
      <c r="AE348" s="138">
        <f>SUM($R$141:$R348)+SUM($X$141:$X348)</f>
        <v>2541350</v>
      </c>
      <c r="AF348" s="138">
        <f>SUM($Q$142:Q348)</f>
        <v>98748</v>
      </c>
      <c r="AG348" s="137">
        <f t="shared" si="94"/>
        <v>2837594</v>
      </c>
      <c r="AH348" s="139">
        <f>SUM($S$141:S348)</f>
        <v>1960.61097272234</v>
      </c>
      <c r="AI348" s="133">
        <f t="shared" si="95"/>
        <v>11.044964028777</v>
      </c>
      <c r="AJ348" s="15">
        <f t="shared" si="96"/>
        <v>954300</v>
      </c>
      <c r="AL348" s="15">
        <v>208</v>
      </c>
      <c r="AM348" s="15">
        <f t="shared" si="89"/>
        <v>288460</v>
      </c>
      <c r="AN348" s="15">
        <f>SUMIF([1]装备属性!$M$571:$M$870,"&lt;="&amp;AL348,[1]装备属性!$Q$571:$Q$870)</f>
        <v>192517.104787715</v>
      </c>
      <c r="AO348" s="15">
        <f t="shared" si="90"/>
        <v>1.49836036812459</v>
      </c>
    </row>
    <row r="349" ht="18" spans="1:41">
      <c r="A349" s="9" t="s">
        <v>261</v>
      </c>
      <c r="B349" s="9" t="str">
        <f t="shared" si="79"/>
        <v>[{5205001,3},{2,}]</v>
      </c>
      <c r="C349" s="51" t="str">
        <f t="shared" si="80"/>
        <v>[{5203001,1000},{2,14650}]</v>
      </c>
      <c r="D349" s="140">
        <v>209</v>
      </c>
      <c r="E349" s="130">
        <f t="shared" si="81"/>
        <v>1983</v>
      </c>
      <c r="F349" s="130">
        <f t="shared" si="77"/>
        <v>715</v>
      </c>
      <c r="G349" s="130">
        <v>300</v>
      </c>
      <c r="H349" s="130">
        <f t="shared" si="98"/>
        <v>0</v>
      </c>
      <c r="I349" s="130">
        <f>IF(COUNTIF($I$141:$I348,$I348)=VLOOKUP($I348,$D$90:$E$120,2,0),$I348+1,$I348)</f>
        <v>21</v>
      </c>
      <c r="J349" s="131">
        <f t="shared" si="82"/>
        <v>122</v>
      </c>
      <c r="K349" s="132">
        <f t="shared" si="83"/>
        <v>0.05</v>
      </c>
      <c r="L349" s="132" t="str">
        <f t="shared" si="84"/>
        <v/>
      </c>
      <c r="M349" s="132" t="str">
        <f t="shared" si="85"/>
        <v/>
      </c>
      <c r="N349" s="132" t="str">
        <f t="shared" si="91"/>
        <v/>
      </c>
      <c r="O349" s="132" t="str">
        <f t="shared" si="86"/>
        <v/>
      </c>
      <c r="P349" s="141">
        <f>(SUM($Q$142:Q349)-SUM($H$141:H349))/SUM($H$141:H349)</f>
        <v>-0.022989519051817</v>
      </c>
      <c r="Q349" s="142">
        <f t="shared" si="78"/>
        <v>995</v>
      </c>
      <c r="R349" s="142">
        <f t="shared" si="76"/>
        <v>14580</v>
      </c>
      <c r="S349" s="133">
        <f t="shared" si="92"/>
        <v>22.1966426858513</v>
      </c>
      <c r="T349" s="134">
        <f>INT(SUM($W$141:W349)/3)+1</f>
        <v>42</v>
      </c>
      <c r="U349" s="135" t="str">
        <f t="shared" si="87"/>
        <v/>
      </c>
      <c r="V349" s="67" t="s">
        <v>168</v>
      </c>
      <c r="W349" s="137" t="str">
        <f t="shared" si="93"/>
        <v/>
      </c>
      <c r="X349" s="137" t="str">
        <f t="shared" si="88"/>
        <v/>
      </c>
      <c r="Y349" s="138"/>
      <c r="Z349" s="138">
        <v>2</v>
      </c>
      <c r="AA349" s="138">
        <v>3</v>
      </c>
      <c r="AB349" s="138" t="str">
        <f t="shared" si="97"/>
        <v>{10000,9000,8000}</v>
      </c>
      <c r="AC349" s="138">
        <v>1000</v>
      </c>
      <c r="AD349" s="138">
        <v>4000</v>
      </c>
      <c r="AE349" s="138">
        <f>SUM($R$141:$R349)+SUM($X$141:$X349)</f>
        <v>2555930</v>
      </c>
      <c r="AF349" s="138">
        <f>SUM($Q$142:Q349)</f>
        <v>99743</v>
      </c>
      <c r="AG349" s="137">
        <f t="shared" si="94"/>
        <v>2855159</v>
      </c>
      <c r="AH349" s="139">
        <f>SUM($S$141:S349)</f>
        <v>1982.8076154082</v>
      </c>
      <c r="AI349" s="133">
        <f t="shared" si="95"/>
        <v>11.0983213429257</v>
      </c>
      <c r="AJ349" s="15">
        <f t="shared" si="96"/>
        <v>959100</v>
      </c>
      <c r="AL349" s="15">
        <v>209</v>
      </c>
      <c r="AM349" s="15">
        <f t="shared" si="89"/>
        <v>288460</v>
      </c>
      <c r="AN349" s="15">
        <f>SUMIF([1]装备属性!$M$571:$M$870,"&lt;="&amp;AL349,[1]装备属性!$Q$571:$Q$870)</f>
        <v>192517.104787715</v>
      </c>
      <c r="AO349" s="15">
        <f t="shared" si="90"/>
        <v>1.49836036812459</v>
      </c>
    </row>
    <row r="350" ht="18" spans="1:41">
      <c r="A350" s="9" t="s">
        <v>262</v>
      </c>
      <c r="B350" s="9" t="str">
        <f t="shared" si="79"/>
        <v>[{5205001,3},{2,}]</v>
      </c>
      <c r="C350" s="51" t="str">
        <f t="shared" si="80"/>
        <v>[{5203001,1005},{2,14720}]</v>
      </c>
      <c r="D350" s="140">
        <v>210</v>
      </c>
      <c r="E350" s="130">
        <f t="shared" si="81"/>
        <v>2006</v>
      </c>
      <c r="F350" s="130">
        <f t="shared" si="77"/>
        <v>720</v>
      </c>
      <c r="G350" s="130">
        <v>300</v>
      </c>
      <c r="H350" s="130">
        <f t="shared" si="98"/>
        <v>0</v>
      </c>
      <c r="I350" s="130">
        <f>IF(COUNTIF($I$141:$I349,$I349)=VLOOKUP($I349,$D$90:$E$120,2,0),$I349+1,$I349)</f>
        <v>21</v>
      </c>
      <c r="J350" s="131">
        <f t="shared" si="82"/>
        <v>122</v>
      </c>
      <c r="K350" s="132" t="str">
        <f t="shared" si="83"/>
        <v/>
      </c>
      <c r="L350" s="132" t="str">
        <f t="shared" si="84"/>
        <v/>
      </c>
      <c r="M350" s="132" t="str">
        <f t="shared" si="85"/>
        <v/>
      </c>
      <c r="N350" s="132">
        <f t="shared" si="91"/>
        <v>0.0075</v>
      </c>
      <c r="O350" s="132" t="str">
        <f t="shared" si="86"/>
        <v/>
      </c>
      <c r="P350" s="141">
        <f>(SUM($Q$142:Q350)-SUM($H$141:H350))/SUM($H$141:H350)</f>
        <v>-0.0131942403761387</v>
      </c>
      <c r="Q350" s="142">
        <f t="shared" si="78"/>
        <v>1000</v>
      </c>
      <c r="R350" s="142">
        <f t="shared" si="76"/>
        <v>14650</v>
      </c>
      <c r="S350" s="133">
        <f t="shared" si="92"/>
        <v>22.3033573141487</v>
      </c>
      <c r="T350" s="134">
        <f>INT(SUM($W$141:W350)/3)+1</f>
        <v>42</v>
      </c>
      <c r="U350" s="135" t="str">
        <f t="shared" si="87"/>
        <v/>
      </c>
      <c r="V350" s="67" t="s">
        <v>168</v>
      </c>
      <c r="W350" s="137" t="str">
        <f t="shared" si="93"/>
        <v/>
      </c>
      <c r="X350" s="137" t="str">
        <f t="shared" si="88"/>
        <v/>
      </c>
      <c r="Y350" s="138"/>
      <c r="Z350" s="138">
        <v>2</v>
      </c>
      <c r="AA350" s="138">
        <v>3</v>
      </c>
      <c r="AB350" s="138" t="str">
        <f t="shared" si="97"/>
        <v>{10000,9000,8000}</v>
      </c>
      <c r="AC350" s="138">
        <v>1000</v>
      </c>
      <c r="AD350" s="138">
        <v>4000</v>
      </c>
      <c r="AE350" s="138">
        <f>SUM($R$141:$R350)+SUM($X$141:$X350)</f>
        <v>2570580</v>
      </c>
      <c r="AF350" s="138">
        <f>SUM($Q$142:Q350)</f>
        <v>100743</v>
      </c>
      <c r="AG350" s="137">
        <f t="shared" si="94"/>
        <v>2872809</v>
      </c>
      <c r="AH350" s="139">
        <f>SUM($S$141:S350)</f>
        <v>2005.11097272234</v>
      </c>
      <c r="AI350" s="133">
        <f t="shared" si="95"/>
        <v>11.1516786570743</v>
      </c>
      <c r="AJ350" s="15">
        <f t="shared" si="96"/>
        <v>963600</v>
      </c>
      <c r="AL350" s="15">
        <v>210</v>
      </c>
      <c r="AM350" s="15">
        <f t="shared" si="89"/>
        <v>288460</v>
      </c>
      <c r="AN350" s="15">
        <f>SUMIF([1]装备属性!$M$571:$M$870,"&lt;="&amp;AL350,[1]装备属性!$Q$571:$Q$870)</f>
        <v>192517.104787715</v>
      </c>
      <c r="AO350" s="15">
        <f t="shared" si="90"/>
        <v>1.49836036812459</v>
      </c>
    </row>
    <row r="351" ht="18" spans="1:41">
      <c r="A351" s="9" t="s">
        <v>263</v>
      </c>
      <c r="B351" s="9" t="str">
        <f t="shared" si="79"/>
        <v>[{5205001,3},{2,}]</v>
      </c>
      <c r="C351" s="51" t="str">
        <f t="shared" si="80"/>
        <v>[{5203001,1010},{2,14790}]</v>
      </c>
      <c r="D351" s="140">
        <v>211</v>
      </c>
      <c r="E351" s="130">
        <f t="shared" si="81"/>
        <v>2028</v>
      </c>
      <c r="F351" s="130">
        <f t="shared" si="77"/>
        <v>725</v>
      </c>
      <c r="G351" s="130">
        <v>300</v>
      </c>
      <c r="H351" s="130">
        <f t="shared" si="98"/>
        <v>0</v>
      </c>
      <c r="I351" s="130">
        <f>IF(COUNTIF($I$141:$I350,$I350)=VLOOKUP($I350,$D$90:$E$120,2,0),$I350+1,$I350)</f>
        <v>21</v>
      </c>
      <c r="J351" s="131">
        <f t="shared" si="82"/>
        <v>122</v>
      </c>
      <c r="K351" s="132" t="str">
        <f t="shared" si="83"/>
        <v/>
      </c>
      <c r="L351" s="132" t="str">
        <f t="shared" si="84"/>
        <v/>
      </c>
      <c r="M351" s="132">
        <f t="shared" si="85"/>
        <v>0.002</v>
      </c>
      <c r="N351" s="132" t="str">
        <f t="shared" si="91"/>
        <v/>
      </c>
      <c r="O351" s="132" t="str">
        <f t="shared" si="86"/>
        <v/>
      </c>
      <c r="P351" s="141">
        <f>(SUM($Q$142:Q351)-SUM($H$141:H351))/SUM($H$141:H351)</f>
        <v>-0.00334998530708199</v>
      </c>
      <c r="Q351" s="142">
        <f t="shared" si="78"/>
        <v>1005</v>
      </c>
      <c r="R351" s="142">
        <f t="shared" si="76"/>
        <v>14720</v>
      </c>
      <c r="S351" s="133">
        <f t="shared" si="92"/>
        <v>22.410071942446</v>
      </c>
      <c r="T351" s="134">
        <f>INT(SUM($W$141:W351)/3)+1</f>
        <v>42</v>
      </c>
      <c r="U351" s="135" t="str">
        <f t="shared" si="87"/>
        <v/>
      </c>
      <c r="V351" s="67" t="s">
        <v>168</v>
      </c>
      <c r="W351" s="137" t="str">
        <f t="shared" si="93"/>
        <v/>
      </c>
      <c r="X351" s="137" t="str">
        <f t="shared" si="88"/>
        <v/>
      </c>
      <c r="Y351" s="138"/>
      <c r="Z351" s="138">
        <v>2</v>
      </c>
      <c r="AA351" s="138">
        <v>3</v>
      </c>
      <c r="AB351" s="138" t="str">
        <f t="shared" si="97"/>
        <v>{10000,9000,8000}</v>
      </c>
      <c r="AC351" s="138">
        <v>1000</v>
      </c>
      <c r="AD351" s="138">
        <v>4000</v>
      </c>
      <c r="AE351" s="138">
        <f>SUM($R$141:$R351)+SUM($X$141:$X351)</f>
        <v>2585300</v>
      </c>
      <c r="AF351" s="138">
        <f>SUM($Q$142:Q351)</f>
        <v>101748</v>
      </c>
      <c r="AG351" s="137">
        <f t="shared" si="94"/>
        <v>2890544</v>
      </c>
      <c r="AH351" s="139">
        <f>SUM($S$141:S351)</f>
        <v>2027.52104466479</v>
      </c>
      <c r="AI351" s="133">
        <f t="shared" si="95"/>
        <v>11.205035971223</v>
      </c>
      <c r="AJ351" s="15">
        <f t="shared" si="96"/>
        <v>968400</v>
      </c>
      <c r="AL351" s="15">
        <v>211</v>
      </c>
      <c r="AM351" s="15">
        <f t="shared" si="89"/>
        <v>288460</v>
      </c>
      <c r="AN351" s="15">
        <f>SUMIF([1]装备属性!$M$571:$M$870,"&lt;="&amp;AL351,[1]装备属性!$Q$571:$Q$870)</f>
        <v>192517.104787715</v>
      </c>
      <c r="AO351" s="15">
        <f t="shared" si="90"/>
        <v>1.49836036812459</v>
      </c>
    </row>
    <row r="352" ht="18" spans="1:41">
      <c r="A352" s="9" t="s">
        <v>264</v>
      </c>
      <c r="B352" s="9" t="str">
        <f t="shared" si="79"/>
        <v>[{5205001,3},{2,}]</v>
      </c>
      <c r="C352" s="51" t="str">
        <f t="shared" si="80"/>
        <v>[{5203001,1015},{2,14860}]</v>
      </c>
      <c r="D352" s="140">
        <v>212</v>
      </c>
      <c r="E352" s="130">
        <f t="shared" si="81"/>
        <v>2051</v>
      </c>
      <c r="F352" s="130">
        <f t="shared" si="77"/>
        <v>730</v>
      </c>
      <c r="G352" s="130">
        <v>300</v>
      </c>
      <c r="H352" s="130">
        <f t="shared" si="98"/>
        <v>0</v>
      </c>
      <c r="I352" s="130">
        <f>IF(COUNTIF($I$141:$I351,$I351)=VLOOKUP($I351,$D$90:$E$120,2,0),$I351+1,$I351)</f>
        <v>21</v>
      </c>
      <c r="J352" s="131">
        <f t="shared" si="82"/>
        <v>122</v>
      </c>
      <c r="K352" s="132" t="str">
        <f t="shared" si="83"/>
        <v/>
      </c>
      <c r="L352" s="132">
        <f t="shared" si="84"/>
        <v>0.03</v>
      </c>
      <c r="M352" s="132" t="str">
        <f t="shared" si="85"/>
        <v/>
      </c>
      <c r="N352" s="132" t="str">
        <f t="shared" si="91"/>
        <v/>
      </c>
      <c r="O352" s="132" t="str">
        <f t="shared" si="86"/>
        <v/>
      </c>
      <c r="P352" s="141">
        <f>(SUM($Q$142:Q352)-SUM($H$141:H352))/SUM($H$141:H352)</f>
        <v>0.00654324615535312</v>
      </c>
      <c r="Q352" s="142">
        <f t="shared" si="78"/>
        <v>1010</v>
      </c>
      <c r="R352" s="142">
        <f t="shared" ref="R352:R415" si="99">R351+70</f>
        <v>14790</v>
      </c>
      <c r="S352" s="133">
        <f t="shared" si="92"/>
        <v>22.5167865707434</v>
      </c>
      <c r="T352" s="134">
        <f>INT(SUM($W$141:W352)/3)+1</f>
        <v>42</v>
      </c>
      <c r="U352" s="135" t="str">
        <f t="shared" si="87"/>
        <v/>
      </c>
      <c r="V352" s="67" t="s">
        <v>168</v>
      </c>
      <c r="W352" s="137" t="str">
        <f t="shared" si="93"/>
        <v/>
      </c>
      <c r="X352" s="137" t="str">
        <f t="shared" si="88"/>
        <v/>
      </c>
      <c r="Y352" s="138"/>
      <c r="Z352" s="138">
        <v>2</v>
      </c>
      <c r="AA352" s="138">
        <v>3</v>
      </c>
      <c r="AB352" s="138" t="str">
        <f t="shared" si="97"/>
        <v>{10000,9000,8000}</v>
      </c>
      <c r="AC352" s="138">
        <v>1000</v>
      </c>
      <c r="AD352" s="138">
        <v>4000</v>
      </c>
      <c r="AE352" s="138">
        <f>SUM($R$141:$R352)+SUM($X$141:$X352)</f>
        <v>2600090</v>
      </c>
      <c r="AF352" s="138">
        <f>SUM($Q$142:Q352)</f>
        <v>102758</v>
      </c>
      <c r="AG352" s="137">
        <f t="shared" si="94"/>
        <v>2908364</v>
      </c>
      <c r="AH352" s="139">
        <f>SUM($S$141:S352)</f>
        <v>2050.03783123553</v>
      </c>
      <c r="AI352" s="133">
        <f t="shared" si="95"/>
        <v>11.2583932853717</v>
      </c>
      <c r="AJ352" s="15">
        <f t="shared" si="96"/>
        <v>972900</v>
      </c>
      <c r="AL352" s="15">
        <v>212</v>
      </c>
      <c r="AM352" s="15">
        <f t="shared" si="89"/>
        <v>288460</v>
      </c>
      <c r="AN352" s="15">
        <f>SUMIF([1]装备属性!$M$571:$M$870,"&lt;="&amp;AL352,[1]装备属性!$Q$571:$Q$870)</f>
        <v>192517.104787715</v>
      </c>
      <c r="AO352" s="15">
        <f t="shared" si="90"/>
        <v>1.49836036812459</v>
      </c>
    </row>
    <row r="353" ht="18" spans="1:41">
      <c r="A353" s="9" t="s">
        <v>261</v>
      </c>
      <c r="B353" s="9" t="str">
        <f t="shared" si="79"/>
        <v>[{5205001,3},{2,}]</v>
      </c>
      <c r="C353" s="51" t="str">
        <f t="shared" si="80"/>
        <v>[{5203001,1020},{2,14930}]</v>
      </c>
      <c r="D353" s="140">
        <v>213</v>
      </c>
      <c r="E353" s="130">
        <f t="shared" si="81"/>
        <v>2073</v>
      </c>
      <c r="F353" s="130">
        <f t="shared" si="77"/>
        <v>735</v>
      </c>
      <c r="G353" s="130">
        <v>300</v>
      </c>
      <c r="H353" s="130">
        <f t="shared" si="98"/>
        <v>0</v>
      </c>
      <c r="I353" s="130">
        <f>IF(COUNTIF($I$141:$I352,$I352)=VLOOKUP($I352,$D$90:$E$120,2,0),$I352+1,$I352)</f>
        <v>21</v>
      </c>
      <c r="J353" s="131">
        <f t="shared" si="82"/>
        <v>122</v>
      </c>
      <c r="K353" s="132">
        <f t="shared" si="83"/>
        <v>0.05</v>
      </c>
      <c r="L353" s="132" t="str">
        <f t="shared" si="84"/>
        <v/>
      </c>
      <c r="M353" s="132" t="str">
        <f t="shared" si="85"/>
        <v/>
      </c>
      <c r="N353" s="132" t="str">
        <f t="shared" si="91"/>
        <v/>
      </c>
      <c r="O353" s="132" t="str">
        <f t="shared" si="86"/>
        <v/>
      </c>
      <c r="P353" s="141">
        <f>(SUM($Q$142:Q353)-SUM($H$141:H353))/SUM($H$141:H353)</f>
        <v>0.0164854540111666</v>
      </c>
      <c r="Q353" s="142">
        <f t="shared" si="78"/>
        <v>1015</v>
      </c>
      <c r="R353" s="142">
        <f t="shared" si="99"/>
        <v>14860</v>
      </c>
      <c r="S353" s="133">
        <f t="shared" si="92"/>
        <v>22.6235011990408</v>
      </c>
      <c r="T353" s="134">
        <f>INT(SUM($W$141:W353)/3)+1</f>
        <v>42</v>
      </c>
      <c r="U353" s="135" t="str">
        <f t="shared" si="87"/>
        <v/>
      </c>
      <c r="V353" s="67" t="s">
        <v>168</v>
      </c>
      <c r="W353" s="137" t="str">
        <f t="shared" si="93"/>
        <v/>
      </c>
      <c r="X353" s="137" t="str">
        <f t="shared" si="88"/>
        <v/>
      </c>
      <c r="Y353" s="138"/>
      <c r="Z353" s="138">
        <v>2</v>
      </c>
      <c r="AA353" s="138">
        <v>3</v>
      </c>
      <c r="AB353" s="138" t="str">
        <f t="shared" si="97"/>
        <v>{10000,9000,8000}</v>
      </c>
      <c r="AC353" s="138">
        <v>1000</v>
      </c>
      <c r="AD353" s="138">
        <v>4000</v>
      </c>
      <c r="AE353" s="138">
        <f>SUM($R$141:$R353)+SUM($X$141:$X353)</f>
        <v>2614950</v>
      </c>
      <c r="AF353" s="138">
        <f>SUM($Q$142:Q353)</f>
        <v>103773</v>
      </c>
      <c r="AG353" s="137">
        <f t="shared" si="94"/>
        <v>2926269</v>
      </c>
      <c r="AH353" s="139">
        <f>SUM($S$141:S353)</f>
        <v>2072.66133243457</v>
      </c>
      <c r="AI353" s="133">
        <f t="shared" si="95"/>
        <v>11.3117505995204</v>
      </c>
      <c r="AJ353" s="15">
        <f t="shared" si="96"/>
        <v>977400</v>
      </c>
      <c r="AL353" s="15">
        <v>213</v>
      </c>
      <c r="AM353" s="15">
        <f t="shared" si="89"/>
        <v>288460</v>
      </c>
      <c r="AN353" s="15">
        <f>SUMIF([1]装备属性!$M$571:$M$870,"&lt;="&amp;AL353,[1]装备属性!$Q$571:$Q$870)</f>
        <v>192517.104787715</v>
      </c>
      <c r="AO353" s="15">
        <f t="shared" si="90"/>
        <v>1.49836036812459</v>
      </c>
    </row>
    <row r="354" ht="18" spans="1:41">
      <c r="A354" s="9" t="s">
        <v>265</v>
      </c>
      <c r="B354" s="9" t="str">
        <f t="shared" si="79"/>
        <v>[{5205001,3},{2,}]</v>
      </c>
      <c r="C354" s="51" t="str">
        <f t="shared" si="80"/>
        <v>[{5203001,1025},{2,15000}]</v>
      </c>
      <c r="D354" s="140">
        <v>214</v>
      </c>
      <c r="E354" s="130">
        <f t="shared" si="81"/>
        <v>2096</v>
      </c>
      <c r="F354" s="130">
        <f t="shared" si="77"/>
        <v>740</v>
      </c>
      <c r="G354" s="130">
        <v>300</v>
      </c>
      <c r="H354" s="130">
        <f t="shared" si="98"/>
        <v>0</v>
      </c>
      <c r="I354" s="130">
        <f>IF(COUNTIF($I$141:$I353,$I353)=VLOOKUP($I353,$D$90:$E$120,2,0),$I353+1,$I353)</f>
        <v>21</v>
      </c>
      <c r="J354" s="131">
        <f t="shared" si="82"/>
        <v>128</v>
      </c>
      <c r="K354" s="132" t="str">
        <f t="shared" si="83"/>
        <v/>
      </c>
      <c r="L354" s="132" t="str">
        <f t="shared" si="84"/>
        <v/>
      </c>
      <c r="M354" s="132" t="str">
        <f t="shared" si="85"/>
        <v/>
      </c>
      <c r="N354" s="132">
        <f t="shared" si="91"/>
        <v>0.0075</v>
      </c>
      <c r="O354" s="132" t="str">
        <f t="shared" si="86"/>
        <v/>
      </c>
      <c r="P354" s="141">
        <f>(SUM($Q$142:Q354)-SUM($H$141:H354))/SUM($H$141:H354)</f>
        <v>0.0264766382603585</v>
      </c>
      <c r="Q354" s="142">
        <f t="shared" si="78"/>
        <v>1020</v>
      </c>
      <c r="R354" s="142">
        <f t="shared" si="99"/>
        <v>14930</v>
      </c>
      <c r="S354" s="133">
        <f t="shared" si="92"/>
        <v>22.7302158273381</v>
      </c>
      <c r="T354" s="134">
        <f>INT(SUM($W$141:W354)/3)+1</f>
        <v>42</v>
      </c>
      <c r="U354" s="135" t="str">
        <f t="shared" si="87"/>
        <v/>
      </c>
      <c r="V354" s="67" t="s">
        <v>168</v>
      </c>
      <c r="W354" s="137" t="str">
        <f t="shared" si="93"/>
        <v/>
      </c>
      <c r="X354" s="137" t="str">
        <f t="shared" si="88"/>
        <v/>
      </c>
      <c r="Y354" s="138"/>
      <c r="Z354" s="138">
        <v>2</v>
      </c>
      <c r="AA354" s="138">
        <v>3</v>
      </c>
      <c r="AB354" s="138" t="str">
        <f t="shared" si="97"/>
        <v>{10000,9000,8000}</v>
      </c>
      <c r="AC354" s="138">
        <v>1000</v>
      </c>
      <c r="AD354" s="138">
        <v>4000</v>
      </c>
      <c r="AE354" s="138">
        <f>SUM($R$141:$R354)+SUM($X$141:$X354)</f>
        <v>2629880</v>
      </c>
      <c r="AF354" s="138">
        <f>SUM($Q$142:Q354)</f>
        <v>104793</v>
      </c>
      <c r="AG354" s="137">
        <f t="shared" si="94"/>
        <v>2944259</v>
      </c>
      <c r="AH354" s="139">
        <f>SUM($S$141:S354)</f>
        <v>2095.39154826191</v>
      </c>
      <c r="AI354" s="133">
        <f t="shared" si="95"/>
        <v>11.3651079136691</v>
      </c>
      <c r="AJ354" s="15">
        <f t="shared" si="96"/>
        <v>982200</v>
      </c>
      <c r="AL354" s="15">
        <v>214</v>
      </c>
      <c r="AM354" s="15">
        <f t="shared" si="89"/>
        <v>288460</v>
      </c>
      <c r="AN354" s="15">
        <f>SUMIF([1]装备属性!$M$571:$M$870,"&lt;="&amp;AL354,[1]装备属性!$Q$571:$Q$870)</f>
        <v>192517.104787715</v>
      </c>
      <c r="AO354" s="15">
        <f t="shared" si="90"/>
        <v>1.49836036812459</v>
      </c>
    </row>
    <row r="355" ht="18" spans="1:41">
      <c r="A355" s="9" t="s">
        <v>263</v>
      </c>
      <c r="B355" s="9" t="str">
        <f t="shared" si="79"/>
        <v>[{5205001,3},{2,}]</v>
      </c>
      <c r="C355" s="51" t="str">
        <f t="shared" si="80"/>
        <v>[{5203001,1030},{2,15070}]</v>
      </c>
      <c r="D355" s="140">
        <v>215</v>
      </c>
      <c r="E355" s="130">
        <f t="shared" si="81"/>
        <v>2119</v>
      </c>
      <c r="F355" s="130">
        <f t="shared" si="77"/>
        <v>745</v>
      </c>
      <c r="G355" s="130">
        <v>300</v>
      </c>
      <c r="H355" s="130">
        <f t="shared" si="98"/>
        <v>0</v>
      </c>
      <c r="I355" s="130">
        <f>IF(COUNTIF($I$141:$I354,$I354)=VLOOKUP($I354,$D$90:$E$120,2,0),$I354+1,$I354)</f>
        <v>21</v>
      </c>
      <c r="J355" s="131">
        <f t="shared" si="82"/>
        <v>122</v>
      </c>
      <c r="K355" s="132" t="str">
        <f t="shared" si="83"/>
        <v/>
      </c>
      <c r="L355" s="132" t="str">
        <f t="shared" si="84"/>
        <v/>
      </c>
      <c r="M355" s="132">
        <f t="shared" si="85"/>
        <v>0.002</v>
      </c>
      <c r="N355" s="132" t="str">
        <f t="shared" si="91"/>
        <v/>
      </c>
      <c r="O355" s="132" t="str">
        <f t="shared" si="86"/>
        <v/>
      </c>
      <c r="P355" s="141">
        <f>(SUM($Q$142:Q355)-SUM($H$141:H355))/SUM($H$141:H355)</f>
        <v>0.0365167989029288</v>
      </c>
      <c r="Q355" s="142">
        <f t="shared" si="78"/>
        <v>1025</v>
      </c>
      <c r="R355" s="142">
        <f t="shared" si="99"/>
        <v>15000</v>
      </c>
      <c r="S355" s="133">
        <f t="shared" si="92"/>
        <v>22.8369304556355</v>
      </c>
      <c r="T355" s="134">
        <f>INT(SUM($W$141:W355)/3)+1</f>
        <v>42</v>
      </c>
      <c r="U355" s="135" t="str">
        <f t="shared" si="87"/>
        <v/>
      </c>
      <c r="V355" s="67" t="s">
        <v>168</v>
      </c>
      <c r="W355" s="137" t="str">
        <f t="shared" si="93"/>
        <v/>
      </c>
      <c r="X355" s="137" t="str">
        <f t="shared" si="88"/>
        <v/>
      </c>
      <c r="Y355" s="138"/>
      <c r="Z355" s="138">
        <v>2</v>
      </c>
      <c r="AA355" s="138">
        <v>3</v>
      </c>
      <c r="AB355" s="138" t="str">
        <f t="shared" si="97"/>
        <v>{10000,9000,8000}</v>
      </c>
      <c r="AC355" s="138">
        <v>1000</v>
      </c>
      <c r="AD355" s="138">
        <v>4000</v>
      </c>
      <c r="AE355" s="138">
        <f>SUM($R$141:$R355)+SUM($X$141:$X355)</f>
        <v>2644880</v>
      </c>
      <c r="AF355" s="138">
        <f>SUM($Q$142:Q355)</f>
        <v>105818</v>
      </c>
      <c r="AG355" s="137">
        <f t="shared" si="94"/>
        <v>2962334</v>
      </c>
      <c r="AH355" s="139">
        <f>SUM($S$141:S355)</f>
        <v>2118.22847871755</v>
      </c>
      <c r="AI355" s="133">
        <f t="shared" si="95"/>
        <v>11.4184652278177</v>
      </c>
      <c r="AJ355" s="15">
        <f t="shared" si="96"/>
        <v>986700</v>
      </c>
      <c r="AL355" s="15">
        <v>215</v>
      </c>
      <c r="AM355" s="15">
        <f t="shared" si="89"/>
        <v>288460</v>
      </c>
      <c r="AN355" s="15">
        <f>SUMIF([1]装备属性!$M$571:$M$870,"&lt;="&amp;AL355,[1]装备属性!$Q$571:$Q$870)</f>
        <v>192517.104787715</v>
      </c>
      <c r="AO355" s="15">
        <f t="shared" si="90"/>
        <v>1.49836036812459</v>
      </c>
    </row>
    <row r="356" ht="18" spans="1:41">
      <c r="A356" s="9" t="s">
        <v>264</v>
      </c>
      <c r="B356" s="9" t="str">
        <f t="shared" si="79"/>
        <v>[{5205001,3},{2,60280}]</v>
      </c>
      <c r="C356" s="51" t="str">
        <f t="shared" si="80"/>
        <v>[{5203001,1035},{2,15140}]</v>
      </c>
      <c r="D356" s="140">
        <v>216</v>
      </c>
      <c r="E356" s="130">
        <f t="shared" si="81"/>
        <v>2142</v>
      </c>
      <c r="F356" s="130">
        <f t="shared" si="77"/>
        <v>750</v>
      </c>
      <c r="G356" s="130">
        <v>300</v>
      </c>
      <c r="H356" s="130">
        <f t="shared" si="98"/>
        <v>0</v>
      </c>
      <c r="I356" s="130">
        <f>IF(COUNTIF($I$141:$I355,$I355)=VLOOKUP($I355,$D$90:$E$120,2,0),$I355+1,$I355)</f>
        <v>21</v>
      </c>
      <c r="J356" s="131">
        <f t="shared" si="82"/>
        <v>122</v>
      </c>
      <c r="K356" s="132" t="str">
        <f t="shared" si="83"/>
        <v/>
      </c>
      <c r="L356" s="132">
        <f t="shared" si="84"/>
        <v>0.03</v>
      </c>
      <c r="M356" s="132" t="str">
        <f t="shared" si="85"/>
        <v/>
      </c>
      <c r="N356" s="132" t="str">
        <f t="shared" si="91"/>
        <v/>
      </c>
      <c r="O356" s="132" t="str">
        <f t="shared" si="86"/>
        <v/>
      </c>
      <c r="P356" s="141">
        <f>(SUM($Q$142:Q356)-SUM($H$141:H356))/SUM($H$141:H356)</f>
        <v>0.0466059359388775</v>
      </c>
      <c r="Q356" s="142">
        <f t="shared" si="78"/>
        <v>1030</v>
      </c>
      <c r="R356" s="142">
        <f t="shared" si="99"/>
        <v>15070</v>
      </c>
      <c r="S356" s="133">
        <f t="shared" si="92"/>
        <v>22.9436450839329</v>
      </c>
      <c r="T356" s="134">
        <f>INT(SUM($W$141:W356)/3)+1</f>
        <v>43</v>
      </c>
      <c r="U356" s="135" t="str">
        <f t="shared" si="87"/>
        <v>60</v>
      </c>
      <c r="V356" s="67" t="s">
        <v>77</v>
      </c>
      <c r="W356" s="137">
        <f t="shared" si="93"/>
        <v>3</v>
      </c>
      <c r="X356" s="137">
        <f t="shared" si="88"/>
        <v>60280</v>
      </c>
      <c r="Y356" s="138"/>
      <c r="Z356" s="138">
        <v>2</v>
      </c>
      <c r="AA356" s="138">
        <v>3</v>
      </c>
      <c r="AB356" s="138" t="str">
        <f t="shared" si="97"/>
        <v>{10000,9000,8000}</v>
      </c>
      <c r="AC356" s="138">
        <v>1000</v>
      </c>
      <c r="AD356" s="138">
        <v>4000</v>
      </c>
      <c r="AE356" s="138">
        <f>SUM($R$141:$R356)+SUM($X$141:$X356)</f>
        <v>2720230</v>
      </c>
      <c r="AF356" s="138">
        <f>SUM($Q$142:Q356)</f>
        <v>106848</v>
      </c>
      <c r="AG356" s="137">
        <f t="shared" si="94"/>
        <v>3040774</v>
      </c>
      <c r="AH356" s="139">
        <f>SUM($S$141:S356)</f>
        <v>2141.17212380148</v>
      </c>
      <c r="AI356" s="133">
        <f t="shared" si="95"/>
        <v>11.4718225419664</v>
      </c>
      <c r="AJ356" s="15">
        <f t="shared" si="96"/>
        <v>991200</v>
      </c>
      <c r="AL356" s="15">
        <v>216</v>
      </c>
      <c r="AM356" s="15">
        <f t="shared" si="89"/>
        <v>294850</v>
      </c>
      <c r="AN356" s="15">
        <f>SUMIF([1]装备属性!$M$571:$M$870,"&lt;="&amp;AL356,[1]装备属性!$Q$571:$Q$870)</f>
        <v>192517.104787715</v>
      </c>
      <c r="AO356" s="15">
        <f t="shared" si="90"/>
        <v>1.53155222402251</v>
      </c>
    </row>
    <row r="357" ht="18" spans="1:41">
      <c r="A357" s="9" t="s">
        <v>266</v>
      </c>
      <c r="B357" s="9" t="str">
        <f t="shared" si="79"/>
        <v>[{5205001,3},{2,}]</v>
      </c>
      <c r="C357" s="51" t="str">
        <f t="shared" si="80"/>
        <v>[{5203001,1040},{2,15210}]</v>
      </c>
      <c r="D357" s="140">
        <v>217</v>
      </c>
      <c r="E357" s="130">
        <f t="shared" si="81"/>
        <v>2166</v>
      </c>
      <c r="F357" s="130">
        <f t="shared" si="77"/>
        <v>755</v>
      </c>
      <c r="G357" s="130">
        <v>300</v>
      </c>
      <c r="H357" s="130">
        <f t="shared" si="98"/>
        <v>0</v>
      </c>
      <c r="I357" s="130">
        <f>IF(COUNTIF($I$141:$I356,$I356)=VLOOKUP($I356,$D$90:$E$120,2,0),$I356+1,$I356)</f>
        <v>22</v>
      </c>
      <c r="J357" s="131">
        <f t="shared" si="82"/>
        <v>128</v>
      </c>
      <c r="K357" s="132">
        <f t="shared" si="83"/>
        <v>0.05</v>
      </c>
      <c r="L357" s="132" t="str">
        <f t="shared" si="84"/>
        <v/>
      </c>
      <c r="M357" s="132" t="str">
        <f t="shared" si="85"/>
        <v/>
      </c>
      <c r="N357" s="132" t="str">
        <f t="shared" si="91"/>
        <v/>
      </c>
      <c r="O357" s="132" t="str">
        <f t="shared" si="86"/>
        <v/>
      </c>
      <c r="P357" s="141">
        <f>(SUM($Q$142:Q357)-SUM($H$141:H357))/SUM($H$141:H357)</f>
        <v>0.0567440493682045</v>
      </c>
      <c r="Q357" s="142">
        <f t="shared" si="78"/>
        <v>1035</v>
      </c>
      <c r="R357" s="142">
        <f t="shared" si="99"/>
        <v>15140</v>
      </c>
      <c r="S357" s="133">
        <f t="shared" si="92"/>
        <v>24.293986636971</v>
      </c>
      <c r="T357" s="134">
        <f>INT(SUM($W$141:W357)/3)+1</f>
        <v>43</v>
      </c>
      <c r="U357" s="135" t="str">
        <f t="shared" si="87"/>
        <v/>
      </c>
      <c r="V357" s="67" t="s">
        <v>168</v>
      </c>
      <c r="W357" s="137" t="str">
        <f t="shared" si="93"/>
        <v/>
      </c>
      <c r="X357" s="137" t="str">
        <f t="shared" si="88"/>
        <v/>
      </c>
      <c r="Y357" s="138"/>
      <c r="Z357" s="138">
        <v>2</v>
      </c>
      <c r="AA357" s="138">
        <v>3</v>
      </c>
      <c r="AB357" s="138" t="str">
        <f t="shared" si="97"/>
        <v>{10000,9000,8000}</v>
      </c>
      <c r="AC357" s="138">
        <v>1000</v>
      </c>
      <c r="AD357" s="138">
        <v>4000</v>
      </c>
      <c r="AE357" s="138">
        <f>SUM($R$141:$R357)+SUM($X$141:$X357)</f>
        <v>2735370</v>
      </c>
      <c r="AF357" s="138">
        <f>SUM($Q$142:Q357)</f>
        <v>107883</v>
      </c>
      <c r="AG357" s="137">
        <f t="shared" si="94"/>
        <v>3059019</v>
      </c>
      <c r="AH357" s="139">
        <f>SUM($S$141:S357)</f>
        <v>2165.46611043845</v>
      </c>
      <c r="AI357" s="133">
        <f t="shared" si="95"/>
        <v>12.1469933184855</v>
      </c>
      <c r="AJ357" s="15">
        <f t="shared" si="96"/>
        <v>1049700</v>
      </c>
      <c r="AL357" s="15">
        <v>217</v>
      </c>
      <c r="AM357" s="15">
        <f t="shared" si="89"/>
        <v>294850</v>
      </c>
      <c r="AN357" s="15">
        <f>SUMIF([1]装备属性!$M$571:$M$870,"&lt;="&amp;AL357,[1]装备属性!$Q$571:$Q$870)</f>
        <v>192517.104787715</v>
      </c>
      <c r="AO357" s="15">
        <f t="shared" si="90"/>
        <v>1.53155222402251</v>
      </c>
    </row>
    <row r="358" ht="18" spans="1:41">
      <c r="A358" s="9" t="s">
        <v>265</v>
      </c>
      <c r="B358" s="9" t="str">
        <f t="shared" si="79"/>
        <v>[{5205001,3},{2,}]</v>
      </c>
      <c r="C358" s="51" t="str">
        <f t="shared" si="80"/>
        <v>[{5203001,1045},{2,15280}]</v>
      </c>
      <c r="D358" s="140">
        <v>218</v>
      </c>
      <c r="E358" s="130">
        <f t="shared" si="81"/>
        <v>2190</v>
      </c>
      <c r="F358" s="130">
        <f t="shared" si="77"/>
        <v>760</v>
      </c>
      <c r="G358" s="130">
        <v>300</v>
      </c>
      <c r="H358" s="130">
        <f t="shared" si="98"/>
        <v>0</v>
      </c>
      <c r="I358" s="130">
        <f>IF(COUNTIF($I$141:$I357,$I357)=VLOOKUP($I357,$D$90:$E$120,2,0),$I357+1,$I357)</f>
        <v>22</v>
      </c>
      <c r="J358" s="131">
        <f t="shared" si="82"/>
        <v>128</v>
      </c>
      <c r="K358" s="132" t="str">
        <f t="shared" si="83"/>
        <v/>
      </c>
      <c r="L358" s="132" t="str">
        <f t="shared" si="84"/>
        <v/>
      </c>
      <c r="M358" s="132" t="str">
        <f t="shared" si="85"/>
        <v/>
      </c>
      <c r="N358" s="132">
        <f t="shared" si="91"/>
        <v>0.0075</v>
      </c>
      <c r="O358" s="132" t="str">
        <f t="shared" si="86"/>
        <v/>
      </c>
      <c r="P358" s="141">
        <f>(SUM($Q$142:Q358)-SUM($H$141:H358))/SUM($H$141:H358)</f>
        <v>0.06693113919091</v>
      </c>
      <c r="Q358" s="142">
        <f t="shared" si="78"/>
        <v>1040</v>
      </c>
      <c r="R358" s="142">
        <f t="shared" si="99"/>
        <v>15210</v>
      </c>
      <c r="S358" s="133">
        <f t="shared" si="92"/>
        <v>24.4064587973274</v>
      </c>
      <c r="T358" s="134">
        <f>INT(SUM($W$141:W358)/3)+1</f>
        <v>43</v>
      </c>
      <c r="U358" s="135" t="str">
        <f t="shared" si="87"/>
        <v/>
      </c>
      <c r="V358" s="67" t="s">
        <v>168</v>
      </c>
      <c r="W358" s="137" t="str">
        <f t="shared" si="93"/>
        <v/>
      </c>
      <c r="X358" s="137" t="str">
        <f t="shared" si="88"/>
        <v/>
      </c>
      <c r="Y358" s="138"/>
      <c r="Z358" s="138">
        <v>2</v>
      </c>
      <c r="AA358" s="138">
        <v>3</v>
      </c>
      <c r="AB358" s="138" t="str">
        <f t="shared" si="97"/>
        <v>{10000,9000,8000}</v>
      </c>
      <c r="AC358" s="138">
        <v>1000</v>
      </c>
      <c r="AD358" s="138">
        <v>4000</v>
      </c>
      <c r="AE358" s="138">
        <f>SUM($R$141:$R358)+SUM($X$141:$X358)</f>
        <v>2750580</v>
      </c>
      <c r="AF358" s="138">
        <f>SUM($Q$142:Q358)</f>
        <v>108923</v>
      </c>
      <c r="AG358" s="137">
        <f t="shared" si="94"/>
        <v>3077349</v>
      </c>
      <c r="AH358" s="139">
        <f>SUM($S$141:S358)</f>
        <v>2189.87256923578</v>
      </c>
      <c r="AI358" s="133">
        <f t="shared" si="95"/>
        <v>12.2032293986637</v>
      </c>
      <c r="AJ358" s="15">
        <f t="shared" si="96"/>
        <v>1054500</v>
      </c>
      <c r="AL358" s="15">
        <v>218</v>
      </c>
      <c r="AM358" s="15">
        <f t="shared" si="89"/>
        <v>294850</v>
      </c>
      <c r="AN358" s="15">
        <f>SUMIF([1]装备属性!$M$571:$M$870,"&lt;="&amp;AL358,[1]装备属性!$Q$571:$Q$870)</f>
        <v>192517.104787715</v>
      </c>
      <c r="AO358" s="15">
        <f t="shared" si="90"/>
        <v>1.53155222402251</v>
      </c>
    </row>
    <row r="359" ht="18" spans="1:41">
      <c r="A359" s="9" t="s">
        <v>267</v>
      </c>
      <c r="B359" s="9" t="str">
        <f t="shared" si="79"/>
        <v>[{5205001,3},{2,}]</v>
      </c>
      <c r="C359" s="51" t="str">
        <f t="shared" si="80"/>
        <v>[{5203001,1050},{2,15350}]</v>
      </c>
      <c r="D359" s="140">
        <v>219</v>
      </c>
      <c r="E359" s="130">
        <f t="shared" si="81"/>
        <v>2215</v>
      </c>
      <c r="F359" s="130">
        <f t="shared" si="77"/>
        <v>765</v>
      </c>
      <c r="G359" s="130">
        <v>300</v>
      </c>
      <c r="H359" s="130">
        <f t="shared" si="98"/>
        <v>0</v>
      </c>
      <c r="I359" s="130">
        <f>IF(COUNTIF($I$141:$I358,$I358)=VLOOKUP($I358,$D$90:$E$120,2,0),$I358+1,$I358)</f>
        <v>22</v>
      </c>
      <c r="J359" s="131">
        <f t="shared" si="82"/>
        <v>128</v>
      </c>
      <c r="K359" s="132" t="str">
        <f t="shared" si="83"/>
        <v/>
      </c>
      <c r="L359" s="132" t="str">
        <f t="shared" si="84"/>
        <v/>
      </c>
      <c r="M359" s="132">
        <f t="shared" si="85"/>
        <v>0.002</v>
      </c>
      <c r="N359" s="132" t="str">
        <f t="shared" si="91"/>
        <v/>
      </c>
      <c r="O359" s="132" t="str">
        <f t="shared" si="86"/>
        <v/>
      </c>
      <c r="P359" s="141">
        <f>(SUM($Q$142:Q359)-SUM($H$141:H359))/SUM($H$141:H359)</f>
        <v>0.0771672054069938</v>
      </c>
      <c r="Q359" s="142">
        <f t="shared" si="78"/>
        <v>1045</v>
      </c>
      <c r="R359" s="142">
        <f t="shared" si="99"/>
        <v>15280</v>
      </c>
      <c r="S359" s="133">
        <f t="shared" si="92"/>
        <v>24.5189309576837</v>
      </c>
      <c r="T359" s="134">
        <f>INT(SUM($W$141:W359)/3)+1</f>
        <v>43</v>
      </c>
      <c r="U359" s="135" t="str">
        <f t="shared" si="87"/>
        <v/>
      </c>
      <c r="V359" s="67" t="s">
        <v>168</v>
      </c>
      <c r="W359" s="137" t="str">
        <f t="shared" si="93"/>
        <v/>
      </c>
      <c r="X359" s="137" t="str">
        <f t="shared" si="88"/>
        <v/>
      </c>
      <c r="Y359" s="138"/>
      <c r="Z359" s="138">
        <v>2</v>
      </c>
      <c r="AA359" s="138">
        <v>3</v>
      </c>
      <c r="AB359" s="138" t="str">
        <f t="shared" si="97"/>
        <v>{10000,9000,8000}</v>
      </c>
      <c r="AC359" s="138">
        <v>1000</v>
      </c>
      <c r="AD359" s="138">
        <v>4000</v>
      </c>
      <c r="AE359" s="138">
        <f>SUM($R$141:$R359)+SUM($X$141:$X359)</f>
        <v>2765860</v>
      </c>
      <c r="AF359" s="138">
        <f>SUM($Q$142:Q359)</f>
        <v>109968</v>
      </c>
      <c r="AG359" s="137">
        <f t="shared" si="94"/>
        <v>3095764</v>
      </c>
      <c r="AH359" s="139">
        <f>SUM($S$141:S359)</f>
        <v>2214.39150019346</v>
      </c>
      <c r="AI359" s="133">
        <f t="shared" si="95"/>
        <v>12.2594654788419</v>
      </c>
      <c r="AJ359" s="15">
        <f t="shared" si="96"/>
        <v>1059300</v>
      </c>
      <c r="AL359" s="15">
        <v>219</v>
      </c>
      <c r="AM359" s="15">
        <f t="shared" si="89"/>
        <v>294850</v>
      </c>
      <c r="AN359" s="15">
        <f>SUMIF([1]装备属性!$M$571:$M$870,"&lt;="&amp;AL359,[1]装备属性!$Q$571:$Q$870)</f>
        <v>192517.104787715</v>
      </c>
      <c r="AO359" s="15">
        <f t="shared" si="90"/>
        <v>1.53155222402251</v>
      </c>
    </row>
    <row r="360" ht="18" spans="1:41">
      <c r="A360" s="9" t="s">
        <v>268</v>
      </c>
      <c r="B360" s="9" t="str">
        <f t="shared" si="79"/>
        <v>[{5205001,3},{2,}]</v>
      </c>
      <c r="C360" s="51" t="str">
        <f t="shared" si="80"/>
        <v>[{5203001,1055},{2,15420}]</v>
      </c>
      <c r="D360" s="140">
        <v>220</v>
      </c>
      <c r="E360" s="130">
        <f t="shared" si="81"/>
        <v>2240</v>
      </c>
      <c r="F360" s="130">
        <f t="shared" si="77"/>
        <v>770</v>
      </c>
      <c r="G360" s="130">
        <v>300</v>
      </c>
      <c r="H360" s="130">
        <f t="shared" si="98"/>
        <v>0</v>
      </c>
      <c r="I360" s="130">
        <f>IF(COUNTIF($I$141:$I359,$I359)=VLOOKUP($I359,$D$90:$E$120,2,0),$I359+1,$I359)</f>
        <v>22</v>
      </c>
      <c r="J360" s="131">
        <f t="shared" si="82"/>
        <v>128</v>
      </c>
      <c r="K360" s="132" t="str">
        <f t="shared" si="83"/>
        <v/>
      </c>
      <c r="L360" s="132">
        <f t="shared" si="84"/>
        <v>0.03</v>
      </c>
      <c r="M360" s="132" t="str">
        <f t="shared" si="85"/>
        <v/>
      </c>
      <c r="N360" s="132" t="str">
        <f t="shared" si="91"/>
        <v/>
      </c>
      <c r="O360" s="132" t="str">
        <f t="shared" si="86"/>
        <v/>
      </c>
      <c r="P360" s="141">
        <f>(SUM($Q$142:Q360)-SUM($H$141:H360))/SUM($H$141:H360)</f>
        <v>0.0874522480164561</v>
      </c>
      <c r="Q360" s="142">
        <f t="shared" si="78"/>
        <v>1050</v>
      </c>
      <c r="R360" s="142">
        <f t="shared" si="99"/>
        <v>15350</v>
      </c>
      <c r="S360" s="133">
        <f t="shared" si="92"/>
        <v>24.6314031180401</v>
      </c>
      <c r="T360" s="134">
        <f>INT(SUM($W$141:W360)/3)+1</f>
        <v>43</v>
      </c>
      <c r="U360" s="135" t="str">
        <f t="shared" si="87"/>
        <v/>
      </c>
      <c r="V360" s="67" t="s">
        <v>168</v>
      </c>
      <c r="W360" s="137" t="str">
        <f t="shared" si="93"/>
        <v/>
      </c>
      <c r="X360" s="137" t="str">
        <f t="shared" si="88"/>
        <v/>
      </c>
      <c r="Y360" s="138"/>
      <c r="Z360" s="138">
        <v>2</v>
      </c>
      <c r="AA360" s="138">
        <v>3</v>
      </c>
      <c r="AB360" s="138" t="str">
        <f t="shared" si="97"/>
        <v>{10000,9000,8000}</v>
      </c>
      <c r="AC360" s="138">
        <v>1000</v>
      </c>
      <c r="AD360" s="138">
        <v>4000</v>
      </c>
      <c r="AE360" s="138">
        <f>SUM($R$141:$R360)+SUM($X$141:$X360)</f>
        <v>2781210</v>
      </c>
      <c r="AF360" s="138">
        <f>SUM($Q$142:Q360)</f>
        <v>111018</v>
      </c>
      <c r="AG360" s="137">
        <f t="shared" si="94"/>
        <v>3114264</v>
      </c>
      <c r="AH360" s="139">
        <f>SUM($S$141:S360)</f>
        <v>2239.0229033115</v>
      </c>
      <c r="AI360" s="133">
        <f t="shared" si="95"/>
        <v>12.31570155902</v>
      </c>
      <c r="AJ360" s="15">
        <f t="shared" si="96"/>
        <v>1064100</v>
      </c>
      <c r="AL360" s="15">
        <v>220</v>
      </c>
      <c r="AM360" s="15">
        <f t="shared" si="89"/>
        <v>294850</v>
      </c>
      <c r="AN360" s="15">
        <f>SUMIF([1]装备属性!$M$571:$M$870,"&lt;="&amp;AL360,[1]装备属性!$Q$571:$Q$870)</f>
        <v>192517.104787715</v>
      </c>
      <c r="AO360" s="15">
        <f t="shared" si="90"/>
        <v>1.53155222402251</v>
      </c>
    </row>
    <row r="361" ht="18" spans="1:41">
      <c r="A361" s="9" t="s">
        <v>266</v>
      </c>
      <c r="B361" s="9" t="str">
        <f t="shared" si="79"/>
        <v>[{5205001,3},{2,}]</v>
      </c>
      <c r="C361" s="51" t="str">
        <f t="shared" si="80"/>
        <v>[{5203001,1060},{2,15490}]</v>
      </c>
      <c r="D361" s="140">
        <v>221</v>
      </c>
      <c r="E361" s="130">
        <f t="shared" si="81"/>
        <v>2264</v>
      </c>
      <c r="F361" s="130">
        <f t="shared" si="77"/>
        <v>775</v>
      </c>
      <c r="G361" s="130">
        <v>300</v>
      </c>
      <c r="H361" s="130">
        <f t="shared" si="98"/>
        <v>0</v>
      </c>
      <c r="I361" s="130">
        <f>IF(COUNTIF($I$141:$I360,$I360)=VLOOKUP($I360,$D$90:$E$120,2,0),$I360+1,$I360)</f>
        <v>22</v>
      </c>
      <c r="J361" s="131">
        <f t="shared" si="82"/>
        <v>128</v>
      </c>
      <c r="K361" s="132">
        <f t="shared" si="83"/>
        <v>0.05</v>
      </c>
      <c r="L361" s="132" t="str">
        <f t="shared" si="84"/>
        <v/>
      </c>
      <c r="M361" s="132" t="str">
        <f t="shared" si="85"/>
        <v/>
      </c>
      <c r="N361" s="132" t="str">
        <f t="shared" si="91"/>
        <v/>
      </c>
      <c r="O361" s="132" t="str">
        <f t="shared" si="86"/>
        <v/>
      </c>
      <c r="P361" s="141">
        <f>(SUM($Q$142:Q361)-SUM($H$141:H361))/SUM($H$141:H361)</f>
        <v>0.0977862670192967</v>
      </c>
      <c r="Q361" s="142">
        <f t="shared" si="78"/>
        <v>1055</v>
      </c>
      <c r="R361" s="142">
        <f t="shared" si="99"/>
        <v>15420</v>
      </c>
      <c r="S361" s="133">
        <f t="shared" si="92"/>
        <v>24.7438752783964</v>
      </c>
      <c r="T361" s="134">
        <f>INT(SUM($W$141:W361)/3)+1</f>
        <v>43</v>
      </c>
      <c r="U361" s="135" t="str">
        <f t="shared" si="87"/>
        <v/>
      </c>
      <c r="V361" s="67" t="s">
        <v>168</v>
      </c>
      <c r="W361" s="137" t="str">
        <f t="shared" si="93"/>
        <v/>
      </c>
      <c r="X361" s="137" t="str">
        <f t="shared" si="88"/>
        <v/>
      </c>
      <c r="Y361" s="138"/>
      <c r="Z361" s="138">
        <v>2</v>
      </c>
      <c r="AA361" s="138">
        <v>3</v>
      </c>
      <c r="AB361" s="138" t="str">
        <f t="shared" si="97"/>
        <v>{10000,9000,8000}</v>
      </c>
      <c r="AC361" s="138">
        <v>1000</v>
      </c>
      <c r="AD361" s="138">
        <v>4000</v>
      </c>
      <c r="AE361" s="138">
        <f>SUM($R$141:$R361)+SUM($X$141:$X361)</f>
        <v>2796630</v>
      </c>
      <c r="AF361" s="138">
        <f>SUM($Q$142:Q361)</f>
        <v>112073</v>
      </c>
      <c r="AG361" s="137">
        <f t="shared" si="94"/>
        <v>3132849</v>
      </c>
      <c r="AH361" s="139">
        <f>SUM($S$141:S361)</f>
        <v>2263.7667785899</v>
      </c>
      <c r="AI361" s="133">
        <f t="shared" si="95"/>
        <v>12.3719376391982</v>
      </c>
      <c r="AJ361" s="15">
        <f t="shared" si="96"/>
        <v>1069200</v>
      </c>
      <c r="AL361" s="15">
        <v>221</v>
      </c>
      <c r="AM361" s="15">
        <f t="shared" si="89"/>
        <v>294850</v>
      </c>
      <c r="AN361" s="15">
        <f>SUMIF([1]装备属性!$M$571:$M$870,"&lt;="&amp;AL361,[1]装备属性!$Q$571:$Q$870)</f>
        <v>192517.104787715</v>
      </c>
      <c r="AO361" s="15">
        <f t="shared" si="90"/>
        <v>1.53155222402251</v>
      </c>
    </row>
    <row r="362" ht="18" spans="1:41">
      <c r="A362" s="9" t="s">
        <v>265</v>
      </c>
      <c r="B362" s="9" t="str">
        <f t="shared" si="79"/>
        <v>[{5205001,3},{2,}]</v>
      </c>
      <c r="C362" s="51" t="str">
        <f t="shared" si="80"/>
        <v>[{5203001,1065},{2,15560}]</v>
      </c>
      <c r="D362" s="140">
        <v>222</v>
      </c>
      <c r="E362" s="130">
        <f t="shared" si="81"/>
        <v>2289</v>
      </c>
      <c r="F362" s="130">
        <f t="shared" si="77"/>
        <v>780</v>
      </c>
      <c r="G362" s="130">
        <v>300</v>
      </c>
      <c r="H362" s="130">
        <f t="shared" si="98"/>
        <v>0</v>
      </c>
      <c r="I362" s="130">
        <f>IF(COUNTIF($I$141:$I361,$I361)=VLOOKUP($I361,$D$90:$E$120,2,0),$I361+1,$I361)</f>
        <v>22</v>
      </c>
      <c r="J362" s="131">
        <f t="shared" si="82"/>
        <v>128</v>
      </c>
      <c r="K362" s="132" t="str">
        <f t="shared" si="83"/>
        <v/>
      </c>
      <c r="L362" s="132" t="str">
        <f t="shared" si="84"/>
        <v/>
      </c>
      <c r="M362" s="132" t="str">
        <f t="shared" si="85"/>
        <v/>
      </c>
      <c r="N362" s="132">
        <f t="shared" si="91"/>
        <v>0.0075</v>
      </c>
      <c r="O362" s="132" t="str">
        <f t="shared" si="86"/>
        <v/>
      </c>
      <c r="P362" s="141">
        <f>(SUM($Q$142:Q362)-SUM($H$141:H362))/SUM($H$141:H362)</f>
        <v>0.108169262415516</v>
      </c>
      <c r="Q362" s="142">
        <f t="shared" si="78"/>
        <v>1060</v>
      </c>
      <c r="R362" s="142">
        <f t="shared" si="99"/>
        <v>15490</v>
      </c>
      <c r="S362" s="133">
        <f t="shared" si="92"/>
        <v>24.8563474387528</v>
      </c>
      <c r="T362" s="134">
        <f>INT(SUM($W$141:W362)/3)+1</f>
        <v>43</v>
      </c>
      <c r="U362" s="135" t="str">
        <f t="shared" si="87"/>
        <v/>
      </c>
      <c r="V362" s="67" t="s">
        <v>168</v>
      </c>
      <c r="W362" s="137" t="str">
        <f t="shared" si="93"/>
        <v/>
      </c>
      <c r="X362" s="137" t="str">
        <f t="shared" si="88"/>
        <v/>
      </c>
      <c r="Y362" s="138"/>
      <c r="Z362" s="138">
        <v>2</v>
      </c>
      <c r="AA362" s="138">
        <v>3</v>
      </c>
      <c r="AB362" s="138" t="str">
        <f t="shared" si="97"/>
        <v>{10000,9000,8000}</v>
      </c>
      <c r="AC362" s="138">
        <v>1000</v>
      </c>
      <c r="AD362" s="138">
        <v>4000</v>
      </c>
      <c r="AE362" s="138">
        <f>SUM($R$141:$R362)+SUM($X$141:$X362)</f>
        <v>2812120</v>
      </c>
      <c r="AF362" s="138">
        <f>SUM($Q$142:Q362)</f>
        <v>113133</v>
      </c>
      <c r="AG362" s="137">
        <f t="shared" si="94"/>
        <v>3151519</v>
      </c>
      <c r="AH362" s="139">
        <f>SUM($S$141:S362)</f>
        <v>2288.62312602865</v>
      </c>
      <c r="AI362" s="133">
        <f t="shared" si="95"/>
        <v>12.4281737193764</v>
      </c>
      <c r="AJ362" s="15">
        <f t="shared" si="96"/>
        <v>1074000</v>
      </c>
      <c r="AL362" s="15">
        <v>222</v>
      </c>
      <c r="AM362" s="15">
        <f t="shared" si="89"/>
        <v>294850</v>
      </c>
      <c r="AN362" s="15">
        <f>SUMIF([1]装备属性!$M$571:$M$870,"&lt;="&amp;AL362,[1]装备属性!$Q$571:$Q$870)</f>
        <v>192517.104787715</v>
      </c>
      <c r="AO362" s="15">
        <f t="shared" si="90"/>
        <v>1.53155222402251</v>
      </c>
    </row>
    <row r="363" ht="18" spans="1:41">
      <c r="A363" s="9" t="s">
        <v>267</v>
      </c>
      <c r="B363" s="9" t="str">
        <f t="shared" si="79"/>
        <v>[{5205001,3},{2,}]</v>
      </c>
      <c r="C363" s="51" t="str">
        <f t="shared" si="80"/>
        <v>[{5203001,1070},{2,15630}]</v>
      </c>
      <c r="D363" s="140">
        <v>223</v>
      </c>
      <c r="E363" s="130">
        <f t="shared" si="81"/>
        <v>2314</v>
      </c>
      <c r="F363" s="130">
        <f t="shared" si="77"/>
        <v>785</v>
      </c>
      <c r="G363" s="130">
        <v>300</v>
      </c>
      <c r="H363" s="130">
        <f t="shared" si="98"/>
        <v>0</v>
      </c>
      <c r="I363" s="130">
        <f>IF(COUNTIF($I$141:$I362,$I362)=VLOOKUP($I362,$D$90:$E$120,2,0),$I362+1,$I362)</f>
        <v>22</v>
      </c>
      <c r="J363" s="131">
        <f t="shared" si="82"/>
        <v>128</v>
      </c>
      <c r="K363" s="132" t="str">
        <f t="shared" si="83"/>
        <v/>
      </c>
      <c r="L363" s="132" t="str">
        <f t="shared" si="84"/>
        <v/>
      </c>
      <c r="M363" s="132">
        <f t="shared" si="85"/>
        <v>0.002</v>
      </c>
      <c r="N363" s="132" t="str">
        <f t="shared" si="91"/>
        <v/>
      </c>
      <c r="O363" s="132" t="str">
        <f t="shared" si="86"/>
        <v/>
      </c>
      <c r="P363" s="141">
        <f>(SUM($Q$142:Q363)-SUM($H$141:H363))/SUM($H$141:H363)</f>
        <v>0.118601234205113</v>
      </c>
      <c r="Q363" s="142">
        <f t="shared" si="78"/>
        <v>1065</v>
      </c>
      <c r="R363" s="142">
        <f t="shared" si="99"/>
        <v>15560</v>
      </c>
      <c r="S363" s="133">
        <f t="shared" si="92"/>
        <v>24.9688195991091</v>
      </c>
      <c r="T363" s="134">
        <f>INT(SUM($W$141:W363)/3)+1</f>
        <v>43</v>
      </c>
      <c r="U363" s="135" t="str">
        <f t="shared" si="87"/>
        <v/>
      </c>
      <c r="V363" s="67" t="s">
        <v>168</v>
      </c>
      <c r="W363" s="137" t="str">
        <f t="shared" si="93"/>
        <v/>
      </c>
      <c r="X363" s="137" t="str">
        <f t="shared" si="88"/>
        <v/>
      </c>
      <c r="Y363" s="138"/>
      <c r="Z363" s="138">
        <v>2</v>
      </c>
      <c r="AA363" s="138">
        <v>3</v>
      </c>
      <c r="AB363" s="138" t="str">
        <f t="shared" si="97"/>
        <v>{10000,9000,8000}</v>
      </c>
      <c r="AC363" s="138">
        <v>1000</v>
      </c>
      <c r="AD363" s="138">
        <v>4000</v>
      </c>
      <c r="AE363" s="138">
        <f>SUM($R$141:$R363)+SUM($X$141:$X363)</f>
        <v>2827680</v>
      </c>
      <c r="AF363" s="138">
        <f>SUM($Q$142:Q363)</f>
        <v>114198</v>
      </c>
      <c r="AG363" s="137">
        <f t="shared" si="94"/>
        <v>3170274</v>
      </c>
      <c r="AH363" s="139">
        <f>SUM($S$141:S363)</f>
        <v>2313.59194562776</v>
      </c>
      <c r="AI363" s="133">
        <f t="shared" si="95"/>
        <v>12.4844097995546</v>
      </c>
      <c r="AJ363" s="15">
        <f t="shared" si="96"/>
        <v>1078800</v>
      </c>
      <c r="AL363" s="15">
        <v>223</v>
      </c>
      <c r="AM363" s="15">
        <f t="shared" si="89"/>
        <v>294850</v>
      </c>
      <c r="AN363" s="15">
        <f>SUMIF([1]装备属性!$M$571:$M$870,"&lt;="&amp;AL363,[1]装备属性!$Q$571:$Q$870)</f>
        <v>192517.104787715</v>
      </c>
      <c r="AO363" s="15">
        <f t="shared" si="90"/>
        <v>1.53155222402251</v>
      </c>
    </row>
    <row r="364" ht="18" spans="1:41">
      <c r="A364" s="9" t="s">
        <v>268</v>
      </c>
      <c r="B364" s="9" t="str">
        <f t="shared" si="79"/>
        <v>[{5205001,3},{2,62520}]</v>
      </c>
      <c r="C364" s="51" t="str">
        <f t="shared" si="80"/>
        <v>[{5203001,1075},{2,15700}]</v>
      </c>
      <c r="D364" s="140">
        <v>224</v>
      </c>
      <c r="E364" s="130">
        <f t="shared" si="81"/>
        <v>2339</v>
      </c>
      <c r="F364" s="130">
        <f t="shared" si="77"/>
        <v>790</v>
      </c>
      <c r="G364" s="130">
        <v>300</v>
      </c>
      <c r="H364" s="130">
        <f t="shared" si="98"/>
        <v>0</v>
      </c>
      <c r="I364" s="130">
        <f>IF(COUNTIF($I$141:$I363,$I363)=VLOOKUP($I363,$D$90:$E$120,2,0),$I363+1,$I363)</f>
        <v>22</v>
      </c>
      <c r="J364" s="131">
        <f t="shared" si="82"/>
        <v>128</v>
      </c>
      <c r="K364" s="132" t="str">
        <f t="shared" si="83"/>
        <v/>
      </c>
      <c r="L364" s="132">
        <f t="shared" si="84"/>
        <v>0.03</v>
      </c>
      <c r="M364" s="132" t="str">
        <f t="shared" si="85"/>
        <v/>
      </c>
      <c r="N364" s="132" t="str">
        <f t="shared" si="91"/>
        <v/>
      </c>
      <c r="O364" s="132" t="str">
        <f t="shared" si="86"/>
        <v/>
      </c>
      <c r="P364" s="141">
        <f>(SUM($Q$142:Q364)-SUM($H$141:H364))/SUM($H$141:H364)</f>
        <v>0.129082182388089</v>
      </c>
      <c r="Q364" s="142">
        <f t="shared" si="78"/>
        <v>1070</v>
      </c>
      <c r="R364" s="142">
        <f t="shared" si="99"/>
        <v>15630</v>
      </c>
      <c r="S364" s="133">
        <f t="shared" si="92"/>
        <v>25.0812917594655</v>
      </c>
      <c r="T364" s="134">
        <f>INT(SUM($W$141:W364)/3)+1</f>
        <v>44</v>
      </c>
      <c r="U364" s="135" t="str">
        <f t="shared" si="87"/>
        <v/>
      </c>
      <c r="V364" s="67" t="s">
        <v>91</v>
      </c>
      <c r="W364" s="137">
        <f t="shared" si="93"/>
        <v>3</v>
      </c>
      <c r="X364" s="137">
        <f t="shared" si="88"/>
        <v>62520</v>
      </c>
      <c r="Y364" s="138"/>
      <c r="Z364" s="138">
        <v>2</v>
      </c>
      <c r="AA364" s="138">
        <v>3</v>
      </c>
      <c r="AB364" s="138" t="str">
        <f t="shared" si="97"/>
        <v>{10000,9000,8000}</v>
      </c>
      <c r="AC364" s="138">
        <v>1000</v>
      </c>
      <c r="AD364" s="138">
        <v>4000</v>
      </c>
      <c r="AE364" s="138">
        <f>SUM($R$141:$R364)+SUM($X$141:$X364)</f>
        <v>2905830</v>
      </c>
      <c r="AF364" s="138">
        <f>SUM($Q$142:Q364)</f>
        <v>115268</v>
      </c>
      <c r="AG364" s="137">
        <f t="shared" si="94"/>
        <v>3251634</v>
      </c>
      <c r="AH364" s="139">
        <f>SUM($S$141:S364)</f>
        <v>2338.67323738723</v>
      </c>
      <c r="AI364" s="133">
        <f t="shared" si="95"/>
        <v>12.5406458797327</v>
      </c>
      <c r="AJ364" s="15">
        <f t="shared" si="96"/>
        <v>1083600</v>
      </c>
      <c r="AL364" s="15">
        <v>224</v>
      </c>
      <c r="AM364" s="15">
        <f t="shared" si="89"/>
        <v>294850</v>
      </c>
      <c r="AN364" s="15">
        <f>SUMIF([1]装备属性!$M$571:$M$870,"&lt;="&amp;AL364,[1]装备属性!$Q$571:$Q$870)</f>
        <v>192517.104787715</v>
      </c>
      <c r="AO364" s="15">
        <f t="shared" si="90"/>
        <v>1.53155222402251</v>
      </c>
    </row>
    <row r="365" ht="18" spans="1:41">
      <c r="A365" s="9" t="s">
        <v>266</v>
      </c>
      <c r="B365" s="9" t="str">
        <f t="shared" si="79"/>
        <v>[{5205001,3},{2,}]</v>
      </c>
      <c r="C365" s="51" t="str">
        <f t="shared" si="80"/>
        <v>[{5203001,1080},{2,15770}]</v>
      </c>
      <c r="D365" s="140">
        <v>225</v>
      </c>
      <c r="E365" s="130">
        <f t="shared" si="81"/>
        <v>2364</v>
      </c>
      <c r="F365" s="130">
        <f t="shared" si="77"/>
        <v>795</v>
      </c>
      <c r="G365" s="130">
        <v>300</v>
      </c>
      <c r="H365" s="130">
        <f t="shared" si="98"/>
        <v>0</v>
      </c>
      <c r="I365" s="130">
        <f>IF(COUNTIF($I$141:$I364,$I364)=VLOOKUP($I364,$D$90:$E$120,2,0),$I364+1,$I364)</f>
        <v>22</v>
      </c>
      <c r="J365" s="131">
        <f t="shared" si="82"/>
        <v>128</v>
      </c>
      <c r="K365" s="132">
        <f t="shared" si="83"/>
        <v>0.05</v>
      </c>
      <c r="L365" s="132" t="str">
        <f t="shared" si="84"/>
        <v/>
      </c>
      <c r="M365" s="132" t="str">
        <f t="shared" si="85"/>
        <v/>
      </c>
      <c r="N365" s="132" t="str">
        <f t="shared" si="91"/>
        <v/>
      </c>
      <c r="O365" s="132" t="str">
        <f t="shared" si="86"/>
        <v/>
      </c>
      <c r="P365" s="141">
        <f>(SUM($Q$142:Q365)-SUM($H$141:H365))/SUM($H$141:H365)</f>
        <v>0.139612106964443</v>
      </c>
      <c r="Q365" s="142">
        <f t="shared" si="78"/>
        <v>1075</v>
      </c>
      <c r="R365" s="142">
        <f t="shared" si="99"/>
        <v>15700</v>
      </c>
      <c r="S365" s="133">
        <f t="shared" si="92"/>
        <v>25.1937639198218</v>
      </c>
      <c r="T365" s="134">
        <f>INT(SUM($W$141:W365)/3)+1</f>
        <v>44</v>
      </c>
      <c r="U365" s="135" t="str">
        <f t="shared" si="87"/>
        <v/>
      </c>
      <c r="V365" s="67" t="s">
        <v>168</v>
      </c>
      <c r="W365" s="137" t="str">
        <f t="shared" si="93"/>
        <v/>
      </c>
      <c r="X365" s="137" t="str">
        <f t="shared" si="88"/>
        <v/>
      </c>
      <c r="Y365" s="138"/>
      <c r="Z365" s="138">
        <v>2</v>
      </c>
      <c r="AA365" s="138">
        <v>3</v>
      </c>
      <c r="AB365" s="138" t="str">
        <f t="shared" si="97"/>
        <v>{10000,9000,8000}</v>
      </c>
      <c r="AC365" s="138">
        <v>1000</v>
      </c>
      <c r="AD365" s="138">
        <v>4000</v>
      </c>
      <c r="AE365" s="138">
        <f>SUM($R$141:$R365)+SUM($X$141:$X365)</f>
        <v>2921530</v>
      </c>
      <c r="AF365" s="138">
        <f>SUM($Q$142:Q365)</f>
        <v>116343</v>
      </c>
      <c r="AG365" s="137">
        <f t="shared" si="94"/>
        <v>3270559</v>
      </c>
      <c r="AH365" s="139">
        <f>SUM($S$141:S365)</f>
        <v>2363.86700130705</v>
      </c>
      <c r="AI365" s="133">
        <f t="shared" si="95"/>
        <v>12.5968819599109</v>
      </c>
      <c r="AJ365" s="15">
        <f t="shared" si="96"/>
        <v>1088400</v>
      </c>
      <c r="AL365" s="15">
        <v>225</v>
      </c>
      <c r="AM365" s="15">
        <f t="shared" si="89"/>
        <v>301310</v>
      </c>
      <c r="AN365" s="15">
        <f>SUMIF([1]装备属性!$M$571:$M$870,"&lt;="&amp;AL365,[1]装备属性!$Q$571:$Q$870)</f>
        <v>192517.104787715</v>
      </c>
      <c r="AO365" s="15">
        <f t="shared" si="90"/>
        <v>1.56510768397566</v>
      </c>
    </row>
    <row r="366" ht="18" spans="1:41">
      <c r="A366" s="9" t="s">
        <v>265</v>
      </c>
      <c r="B366" s="9" t="str">
        <f t="shared" si="79"/>
        <v>[{5205001,3},{2,}]</v>
      </c>
      <c r="C366" s="51" t="str">
        <f t="shared" si="80"/>
        <v>[{5203001,1085},{2,15840}]</v>
      </c>
      <c r="D366" s="140">
        <v>226</v>
      </c>
      <c r="E366" s="130">
        <f t="shared" si="81"/>
        <v>2390</v>
      </c>
      <c r="F366" s="130">
        <f t="shared" ref="F366:F429" si="100">F365+5</f>
        <v>800</v>
      </c>
      <c r="G366" s="130">
        <v>300</v>
      </c>
      <c r="H366" s="130">
        <f t="shared" si="98"/>
        <v>0</v>
      </c>
      <c r="I366" s="130">
        <f>IF(COUNTIF($I$141:$I365,$I365)=VLOOKUP($I365,$D$90:$E$120,2,0),$I365+1,$I365)</f>
        <v>22</v>
      </c>
      <c r="J366" s="131">
        <f t="shared" si="82"/>
        <v>128</v>
      </c>
      <c r="K366" s="132" t="str">
        <f t="shared" si="83"/>
        <v/>
      </c>
      <c r="L366" s="132" t="str">
        <f t="shared" si="84"/>
        <v/>
      </c>
      <c r="M366" s="132" t="str">
        <f t="shared" si="85"/>
        <v/>
      </c>
      <c r="N366" s="132">
        <f t="shared" si="91"/>
        <v>0.0075</v>
      </c>
      <c r="O366" s="132" t="str">
        <f t="shared" si="86"/>
        <v/>
      </c>
      <c r="P366" s="141">
        <f>(SUM($Q$142:Q366)-SUM($H$141:H366))/SUM($H$141:H366)</f>
        <v>0.150191007934176</v>
      </c>
      <c r="Q366" s="142">
        <f t="shared" si="78"/>
        <v>1080</v>
      </c>
      <c r="R366" s="142">
        <f t="shared" si="99"/>
        <v>15770</v>
      </c>
      <c r="S366" s="133">
        <f t="shared" si="92"/>
        <v>25.3062360801782</v>
      </c>
      <c r="T366" s="134">
        <f>INT(SUM($W$141:W366)/3)+1</f>
        <v>44</v>
      </c>
      <c r="U366" s="135" t="str">
        <f t="shared" si="87"/>
        <v/>
      </c>
      <c r="V366" s="67" t="s">
        <v>168</v>
      </c>
      <c r="W366" s="137" t="str">
        <f t="shared" si="93"/>
        <v/>
      </c>
      <c r="X366" s="137" t="str">
        <f t="shared" si="88"/>
        <v/>
      </c>
      <c r="Y366" s="138"/>
      <c r="Z366" s="138">
        <v>2</v>
      </c>
      <c r="AA366" s="138">
        <v>3</v>
      </c>
      <c r="AB366" s="138" t="str">
        <f t="shared" si="97"/>
        <v>{10000,9000,8000}</v>
      </c>
      <c r="AC366" s="138">
        <v>1000</v>
      </c>
      <c r="AD366" s="138">
        <v>4000</v>
      </c>
      <c r="AE366" s="138">
        <f>SUM($R$141:$R366)+SUM($X$141:$X366)</f>
        <v>2937300</v>
      </c>
      <c r="AF366" s="138">
        <f>SUM($Q$142:Q366)</f>
        <v>117423</v>
      </c>
      <c r="AG366" s="137">
        <f t="shared" si="94"/>
        <v>3289569</v>
      </c>
      <c r="AH366" s="139">
        <f>SUM($S$141:S366)</f>
        <v>2389.17323738723</v>
      </c>
      <c r="AI366" s="133">
        <f t="shared" si="95"/>
        <v>12.6531180400891</v>
      </c>
      <c r="AJ366" s="15">
        <f t="shared" si="96"/>
        <v>1093500</v>
      </c>
      <c r="AL366" s="15">
        <v>226</v>
      </c>
      <c r="AM366" s="15">
        <f t="shared" si="89"/>
        <v>301310</v>
      </c>
      <c r="AN366" s="15">
        <f>SUMIF([1]装备属性!$M$571:$M$870,"&lt;="&amp;AL366,[1]装备属性!$Q$571:$Q$870)</f>
        <v>192517.104787715</v>
      </c>
      <c r="AO366" s="15">
        <f t="shared" si="90"/>
        <v>1.56510768397566</v>
      </c>
    </row>
    <row r="367" ht="18" spans="1:41">
      <c r="A367" s="9" t="s">
        <v>267</v>
      </c>
      <c r="B367" s="9" t="str">
        <f t="shared" si="79"/>
        <v>[{5205001,3},{2,}]</v>
      </c>
      <c r="C367" s="51" t="str">
        <f t="shared" si="80"/>
        <v>[{5203001,1090},{2,15910}]</v>
      </c>
      <c r="D367" s="140">
        <v>227</v>
      </c>
      <c r="E367" s="130">
        <f t="shared" si="81"/>
        <v>2415</v>
      </c>
      <c r="F367" s="130">
        <f t="shared" si="100"/>
        <v>805</v>
      </c>
      <c r="G367" s="130">
        <v>300</v>
      </c>
      <c r="H367" s="130">
        <f t="shared" si="98"/>
        <v>0</v>
      </c>
      <c r="I367" s="130">
        <f>IF(COUNTIF($I$141:$I366,$I366)=VLOOKUP($I366,$D$90:$E$120,2,0),$I366+1,$I366)</f>
        <v>22</v>
      </c>
      <c r="J367" s="131">
        <f t="shared" si="82"/>
        <v>128</v>
      </c>
      <c r="K367" s="132" t="str">
        <f t="shared" si="83"/>
        <v/>
      </c>
      <c r="L367" s="132" t="str">
        <f t="shared" si="84"/>
        <v/>
      </c>
      <c r="M367" s="132">
        <f t="shared" si="85"/>
        <v>0.002</v>
      </c>
      <c r="N367" s="132" t="str">
        <f t="shared" si="91"/>
        <v/>
      </c>
      <c r="O367" s="132" t="str">
        <f t="shared" si="86"/>
        <v/>
      </c>
      <c r="P367" s="141">
        <f>(SUM($Q$142:Q367)-SUM($H$141:H367))/SUM($H$141:H367)</f>
        <v>0.160818885297287</v>
      </c>
      <c r="Q367" s="142">
        <f t="shared" si="78"/>
        <v>1085</v>
      </c>
      <c r="R367" s="142">
        <f t="shared" si="99"/>
        <v>15840</v>
      </c>
      <c r="S367" s="133">
        <f t="shared" si="92"/>
        <v>25.4187082405345</v>
      </c>
      <c r="T367" s="134">
        <f>INT(SUM($W$141:W367)/3)+1</f>
        <v>44</v>
      </c>
      <c r="U367" s="135" t="str">
        <f t="shared" si="87"/>
        <v/>
      </c>
      <c r="V367" s="67" t="s">
        <v>168</v>
      </c>
      <c r="W367" s="137" t="str">
        <f t="shared" si="93"/>
        <v/>
      </c>
      <c r="X367" s="137" t="str">
        <f t="shared" si="88"/>
        <v/>
      </c>
      <c r="Y367" s="138"/>
      <c r="Z367" s="138">
        <v>2</v>
      </c>
      <c r="AA367" s="138">
        <v>3</v>
      </c>
      <c r="AB367" s="138" t="str">
        <f t="shared" si="97"/>
        <v>{10000,9000,8000}</v>
      </c>
      <c r="AC367" s="138">
        <v>1000</v>
      </c>
      <c r="AD367" s="138">
        <v>4000</v>
      </c>
      <c r="AE367" s="138">
        <f>SUM($R$141:$R367)+SUM($X$141:$X367)</f>
        <v>2953140</v>
      </c>
      <c r="AF367" s="138">
        <f>SUM($Q$142:Q367)</f>
        <v>118508</v>
      </c>
      <c r="AG367" s="137">
        <f t="shared" si="94"/>
        <v>3308664</v>
      </c>
      <c r="AH367" s="139">
        <f>SUM($S$141:S367)</f>
        <v>2414.59194562776</v>
      </c>
      <c r="AI367" s="133">
        <f t="shared" si="95"/>
        <v>12.7093541202673</v>
      </c>
      <c r="AJ367" s="15">
        <f t="shared" si="96"/>
        <v>1098300</v>
      </c>
      <c r="AL367" s="15">
        <v>227</v>
      </c>
      <c r="AM367" s="15">
        <f t="shared" si="89"/>
        <v>301310</v>
      </c>
      <c r="AN367" s="15">
        <f>SUMIF([1]装备属性!$M$571:$M$870,"&lt;="&amp;AL367,[1]装备属性!$Q$571:$Q$870)</f>
        <v>192517.104787715</v>
      </c>
      <c r="AO367" s="15">
        <f t="shared" si="90"/>
        <v>1.56510768397566</v>
      </c>
    </row>
    <row r="368" ht="18" spans="1:41">
      <c r="A368" s="9" t="s">
        <v>268</v>
      </c>
      <c r="B368" s="9" t="str">
        <f t="shared" si="79"/>
        <v>[{5205001,3},{2,}]</v>
      </c>
      <c r="C368" s="51" t="str">
        <f t="shared" si="80"/>
        <v>[{5203001,1095},{2,15980}]</v>
      </c>
      <c r="D368" s="140">
        <v>228</v>
      </c>
      <c r="E368" s="130">
        <f t="shared" si="81"/>
        <v>2441</v>
      </c>
      <c r="F368" s="130">
        <f t="shared" si="100"/>
        <v>810</v>
      </c>
      <c r="G368" s="130">
        <v>300</v>
      </c>
      <c r="H368" s="130">
        <f t="shared" si="98"/>
        <v>0</v>
      </c>
      <c r="I368" s="130">
        <f>IF(COUNTIF($I$141:$I367,$I367)=VLOOKUP($I367,$D$90:$E$120,2,0),$I367+1,$I367)</f>
        <v>22</v>
      </c>
      <c r="J368" s="131">
        <f t="shared" si="82"/>
        <v>128</v>
      </c>
      <c r="K368" s="132" t="str">
        <f t="shared" si="83"/>
        <v/>
      </c>
      <c r="L368" s="132">
        <f t="shared" si="84"/>
        <v>0.03</v>
      </c>
      <c r="M368" s="132" t="str">
        <f t="shared" si="85"/>
        <v/>
      </c>
      <c r="N368" s="132" t="str">
        <f t="shared" si="91"/>
        <v/>
      </c>
      <c r="O368" s="132" t="str">
        <f t="shared" si="86"/>
        <v/>
      </c>
      <c r="P368" s="141">
        <f>(SUM($Q$142:Q368)-SUM($H$141:H368))/SUM($H$141:H368)</f>
        <v>0.171495739053776</v>
      </c>
      <c r="Q368" s="142">
        <f t="shared" si="78"/>
        <v>1090</v>
      </c>
      <c r="R368" s="142">
        <f t="shared" si="99"/>
        <v>15910</v>
      </c>
      <c r="S368" s="133">
        <f t="shared" si="92"/>
        <v>25.5311804008909</v>
      </c>
      <c r="T368" s="134">
        <f>INT(SUM($W$141:W368)/3)+1</f>
        <v>44</v>
      </c>
      <c r="U368" s="135" t="str">
        <f t="shared" si="87"/>
        <v/>
      </c>
      <c r="V368" s="67" t="s">
        <v>168</v>
      </c>
      <c r="W368" s="137" t="str">
        <f t="shared" si="93"/>
        <v/>
      </c>
      <c r="X368" s="137" t="str">
        <f t="shared" si="88"/>
        <v/>
      </c>
      <c r="Y368" s="138"/>
      <c r="Z368" s="138">
        <v>2</v>
      </c>
      <c r="AA368" s="138">
        <v>3</v>
      </c>
      <c r="AB368" s="138" t="str">
        <f t="shared" si="97"/>
        <v>{10000,9000,8000}</v>
      </c>
      <c r="AC368" s="138">
        <v>1000</v>
      </c>
      <c r="AD368" s="138">
        <v>4000</v>
      </c>
      <c r="AE368" s="138">
        <f>SUM($R$141:$R368)+SUM($X$141:$X368)</f>
        <v>2969050</v>
      </c>
      <c r="AF368" s="138">
        <f>SUM($Q$142:Q368)</f>
        <v>119598</v>
      </c>
      <c r="AG368" s="137">
        <f t="shared" si="94"/>
        <v>3327844</v>
      </c>
      <c r="AH368" s="139">
        <f>SUM($S$141:S368)</f>
        <v>2440.12312602865</v>
      </c>
      <c r="AI368" s="133">
        <f t="shared" si="95"/>
        <v>12.7655902004454</v>
      </c>
      <c r="AJ368" s="15">
        <f t="shared" si="96"/>
        <v>1103100</v>
      </c>
      <c r="AL368" s="15">
        <v>228</v>
      </c>
      <c r="AM368" s="15">
        <f t="shared" si="89"/>
        <v>301310</v>
      </c>
      <c r="AN368" s="15">
        <f>SUMIF([1]装备属性!$M$571:$M$870,"&lt;="&amp;AL368,[1]装备属性!$Q$571:$Q$870)</f>
        <v>192517.104787715</v>
      </c>
      <c r="AO368" s="15">
        <f t="shared" si="90"/>
        <v>1.56510768397566</v>
      </c>
    </row>
    <row r="369" ht="18" spans="1:41">
      <c r="A369" s="9" t="s">
        <v>266</v>
      </c>
      <c r="B369" s="9" t="str">
        <f t="shared" si="79"/>
        <v>[{5205001,3},{2,}]</v>
      </c>
      <c r="C369" s="51" t="str">
        <f t="shared" si="80"/>
        <v>[{5203001,1100},{2,16050}]</v>
      </c>
      <c r="D369" s="140">
        <v>229</v>
      </c>
      <c r="E369" s="130">
        <f t="shared" si="81"/>
        <v>2466</v>
      </c>
      <c r="F369" s="130">
        <f t="shared" si="100"/>
        <v>815</v>
      </c>
      <c r="G369" s="130">
        <v>300</v>
      </c>
      <c r="H369" s="130">
        <f t="shared" si="98"/>
        <v>0</v>
      </c>
      <c r="I369" s="130">
        <f>IF(COUNTIF($I$141:$I368,$I368)=VLOOKUP($I368,$D$90:$E$120,2,0),$I368+1,$I368)</f>
        <v>22</v>
      </c>
      <c r="J369" s="131">
        <f t="shared" si="82"/>
        <v>128</v>
      </c>
      <c r="K369" s="132">
        <f t="shared" si="83"/>
        <v>0.05</v>
      </c>
      <c r="L369" s="132" t="str">
        <f t="shared" si="84"/>
        <v/>
      </c>
      <c r="M369" s="132" t="str">
        <f t="shared" si="85"/>
        <v/>
      </c>
      <c r="N369" s="132" t="str">
        <f t="shared" si="91"/>
        <v/>
      </c>
      <c r="O369" s="132" t="str">
        <f t="shared" si="86"/>
        <v/>
      </c>
      <c r="P369" s="141">
        <f>(SUM($Q$142:Q369)-SUM($H$141:H369))/SUM($H$141:H369)</f>
        <v>0.182221569203644</v>
      </c>
      <c r="Q369" s="142">
        <f t="shared" si="78"/>
        <v>1095</v>
      </c>
      <c r="R369" s="142">
        <f t="shared" si="99"/>
        <v>15980</v>
      </c>
      <c r="S369" s="133">
        <f t="shared" si="92"/>
        <v>25.6436525612472</v>
      </c>
      <c r="T369" s="134">
        <f>INT(SUM($W$141:W369)/3)+1</f>
        <v>44</v>
      </c>
      <c r="U369" s="135" t="str">
        <f t="shared" si="87"/>
        <v/>
      </c>
      <c r="V369" s="67" t="s">
        <v>168</v>
      </c>
      <c r="W369" s="137" t="str">
        <f t="shared" si="93"/>
        <v/>
      </c>
      <c r="X369" s="137" t="str">
        <f t="shared" si="88"/>
        <v/>
      </c>
      <c r="Y369" s="138"/>
      <c r="Z369" s="138">
        <v>2</v>
      </c>
      <c r="AA369" s="138">
        <v>3</v>
      </c>
      <c r="AB369" s="138" t="str">
        <f t="shared" si="97"/>
        <v>{10000,9000,8000}</v>
      </c>
      <c r="AC369" s="138">
        <v>1000</v>
      </c>
      <c r="AD369" s="138">
        <v>4000</v>
      </c>
      <c r="AE369" s="138">
        <f>SUM($R$141:$R369)+SUM($X$141:$X369)</f>
        <v>2985030</v>
      </c>
      <c r="AF369" s="138">
        <f>SUM($Q$142:Q369)</f>
        <v>120693</v>
      </c>
      <c r="AG369" s="137">
        <f t="shared" si="94"/>
        <v>3347109</v>
      </c>
      <c r="AH369" s="139">
        <f>SUM($S$141:S369)</f>
        <v>2465.7667785899</v>
      </c>
      <c r="AI369" s="133">
        <f t="shared" si="95"/>
        <v>12.8218262806236</v>
      </c>
      <c r="AJ369" s="15">
        <f t="shared" si="96"/>
        <v>1107900</v>
      </c>
      <c r="AL369" s="15">
        <v>229</v>
      </c>
      <c r="AM369" s="15">
        <f t="shared" si="89"/>
        <v>301310</v>
      </c>
      <c r="AN369" s="15">
        <f>SUMIF([1]装备属性!$M$571:$M$870,"&lt;="&amp;AL369,[1]装备属性!$Q$571:$Q$870)</f>
        <v>192517.104787715</v>
      </c>
      <c r="AO369" s="15">
        <f t="shared" si="90"/>
        <v>1.56510768397566</v>
      </c>
    </row>
    <row r="370" ht="18" spans="1:41">
      <c r="A370" s="9" t="s">
        <v>265</v>
      </c>
      <c r="B370" s="9" t="str">
        <f t="shared" si="79"/>
        <v>[{5205001,3},{2,}]</v>
      </c>
      <c r="C370" s="51" t="str">
        <f t="shared" si="80"/>
        <v>[{5203001,1105},{2,16120}]</v>
      </c>
      <c r="D370" s="140">
        <v>230</v>
      </c>
      <c r="E370" s="130">
        <f t="shared" si="81"/>
        <v>2492</v>
      </c>
      <c r="F370" s="130">
        <f t="shared" si="100"/>
        <v>820</v>
      </c>
      <c r="G370" s="130">
        <v>300</v>
      </c>
      <c r="H370" s="130">
        <f t="shared" si="98"/>
        <v>0</v>
      </c>
      <c r="I370" s="130">
        <f>IF(COUNTIF($I$141:$I369,$I369)=VLOOKUP($I369,$D$90:$E$120,2,0),$I369+1,$I369)</f>
        <v>22</v>
      </c>
      <c r="J370" s="131">
        <f t="shared" si="82"/>
        <v>128</v>
      </c>
      <c r="K370" s="132" t="str">
        <f t="shared" si="83"/>
        <v/>
      </c>
      <c r="L370" s="132" t="str">
        <f t="shared" si="84"/>
        <v/>
      </c>
      <c r="M370" s="132" t="str">
        <f t="shared" si="85"/>
        <v/>
      </c>
      <c r="N370" s="132">
        <f t="shared" si="91"/>
        <v>0.0075</v>
      </c>
      <c r="O370" s="132" t="str">
        <f t="shared" si="86"/>
        <v/>
      </c>
      <c r="P370" s="141">
        <f>(SUM($Q$142:Q370)-SUM($H$141:H370))/SUM($H$141:H370)</f>
        <v>0.19299637574689</v>
      </c>
      <c r="Q370" s="142">
        <f t="shared" si="78"/>
        <v>1100</v>
      </c>
      <c r="R370" s="142">
        <f t="shared" si="99"/>
        <v>16050</v>
      </c>
      <c r="S370" s="133">
        <f t="shared" si="92"/>
        <v>25.7561247216036</v>
      </c>
      <c r="T370" s="134">
        <f>INT(SUM($W$141:W370)/3)+1</f>
        <v>44</v>
      </c>
      <c r="U370" s="135" t="str">
        <f t="shared" si="87"/>
        <v/>
      </c>
      <c r="V370" s="67" t="s">
        <v>168</v>
      </c>
      <c r="W370" s="137" t="str">
        <f t="shared" si="93"/>
        <v/>
      </c>
      <c r="X370" s="137" t="str">
        <f t="shared" si="88"/>
        <v/>
      </c>
      <c r="Y370" s="138"/>
      <c r="Z370" s="138">
        <v>2</v>
      </c>
      <c r="AA370" s="138">
        <v>3</v>
      </c>
      <c r="AB370" s="138" t="str">
        <f t="shared" si="97"/>
        <v>{10000,9000,8000}</v>
      </c>
      <c r="AC370" s="138">
        <v>1000</v>
      </c>
      <c r="AD370" s="138">
        <v>4000</v>
      </c>
      <c r="AE370" s="138">
        <f>SUM($R$141:$R370)+SUM($X$141:$X370)</f>
        <v>3001080</v>
      </c>
      <c r="AF370" s="138">
        <f>SUM($Q$142:Q370)</f>
        <v>121793</v>
      </c>
      <c r="AG370" s="137">
        <f t="shared" si="94"/>
        <v>3366459</v>
      </c>
      <c r="AH370" s="139">
        <f>SUM($S$141:S370)</f>
        <v>2491.5229033115</v>
      </c>
      <c r="AI370" s="133">
        <f t="shared" si="95"/>
        <v>12.8780623608018</v>
      </c>
      <c r="AJ370" s="15">
        <f t="shared" si="96"/>
        <v>1112700</v>
      </c>
      <c r="AL370" s="15">
        <v>230</v>
      </c>
      <c r="AM370" s="15">
        <f t="shared" si="89"/>
        <v>301310</v>
      </c>
      <c r="AN370" s="15">
        <f>SUMIF([1]装备属性!$M$571:$M$870,"&lt;="&amp;AL370,[1]装备属性!$Q$571:$Q$870)</f>
        <v>192517.104787715</v>
      </c>
      <c r="AO370" s="15">
        <f t="shared" si="90"/>
        <v>1.56510768397566</v>
      </c>
    </row>
    <row r="371" ht="18" spans="1:41">
      <c r="A371" s="9" t="s">
        <v>267</v>
      </c>
      <c r="B371" s="9" t="str">
        <f t="shared" si="79"/>
        <v>[{5205001,3},{2,}]</v>
      </c>
      <c r="C371" s="51" t="str">
        <f t="shared" si="80"/>
        <v>[{5203001,1110},{2,16190}]</v>
      </c>
      <c r="D371" s="140">
        <v>231</v>
      </c>
      <c r="E371" s="130">
        <f t="shared" si="81"/>
        <v>2518</v>
      </c>
      <c r="F371" s="130">
        <f t="shared" si="100"/>
        <v>825</v>
      </c>
      <c r="G371" s="130">
        <v>300</v>
      </c>
      <c r="H371" s="130">
        <f t="shared" si="98"/>
        <v>0</v>
      </c>
      <c r="I371" s="130">
        <f>IF(COUNTIF($I$141:$I370,$I370)=VLOOKUP($I370,$D$90:$E$120,2,0),$I370+1,$I370)</f>
        <v>22</v>
      </c>
      <c r="J371" s="131">
        <f t="shared" si="82"/>
        <v>128</v>
      </c>
      <c r="K371" s="132" t="str">
        <f t="shared" si="83"/>
        <v/>
      </c>
      <c r="L371" s="132" t="str">
        <f t="shared" si="84"/>
        <v/>
      </c>
      <c r="M371" s="132">
        <f t="shared" si="85"/>
        <v>0.002</v>
      </c>
      <c r="N371" s="132" t="str">
        <f t="shared" si="91"/>
        <v/>
      </c>
      <c r="O371" s="132" t="str">
        <f t="shared" si="86"/>
        <v/>
      </c>
      <c r="P371" s="141">
        <f>(SUM($Q$142:Q371)-SUM($H$141:H371))/SUM($H$141:H371)</f>
        <v>0.203820158683515</v>
      </c>
      <c r="Q371" s="142">
        <f t="shared" si="78"/>
        <v>1105</v>
      </c>
      <c r="R371" s="142">
        <f t="shared" si="99"/>
        <v>16120</v>
      </c>
      <c r="S371" s="133">
        <f t="shared" si="92"/>
        <v>25.8685968819599</v>
      </c>
      <c r="T371" s="134">
        <f>INT(SUM($W$141:W371)/3)+1</f>
        <v>44</v>
      </c>
      <c r="U371" s="135" t="str">
        <f t="shared" si="87"/>
        <v/>
      </c>
      <c r="V371" s="67" t="s">
        <v>168</v>
      </c>
      <c r="W371" s="137" t="str">
        <f t="shared" si="93"/>
        <v/>
      </c>
      <c r="X371" s="137" t="str">
        <f t="shared" si="88"/>
        <v/>
      </c>
      <c r="Y371" s="138"/>
      <c r="Z371" s="138">
        <v>2</v>
      </c>
      <c r="AA371" s="138">
        <v>3</v>
      </c>
      <c r="AB371" s="138" t="str">
        <f t="shared" si="97"/>
        <v>{10000,9000,8000}</v>
      </c>
      <c r="AC371" s="138">
        <v>1000</v>
      </c>
      <c r="AD371" s="138">
        <v>4000</v>
      </c>
      <c r="AE371" s="138">
        <f>SUM($R$141:$R371)+SUM($X$141:$X371)</f>
        <v>3017200</v>
      </c>
      <c r="AF371" s="138">
        <f>SUM($Q$142:Q371)</f>
        <v>122898</v>
      </c>
      <c r="AG371" s="137">
        <f t="shared" si="94"/>
        <v>3385894</v>
      </c>
      <c r="AH371" s="139">
        <f>SUM($S$141:S371)</f>
        <v>2517.39150019346</v>
      </c>
      <c r="AI371" s="133">
        <f t="shared" si="95"/>
        <v>12.93429844098</v>
      </c>
      <c r="AJ371" s="15">
        <f t="shared" si="96"/>
        <v>1117800</v>
      </c>
      <c r="AL371" s="15">
        <v>231</v>
      </c>
      <c r="AM371" s="15">
        <f t="shared" si="89"/>
        <v>301310</v>
      </c>
      <c r="AN371" s="15">
        <f>SUMIF([1]装备属性!$M$571:$M$870,"&lt;="&amp;AL371,[1]装备属性!$Q$571:$Q$870)</f>
        <v>192517.104787715</v>
      </c>
      <c r="AO371" s="15">
        <f t="shared" si="90"/>
        <v>1.56510768397566</v>
      </c>
    </row>
    <row r="372" ht="18" spans="1:41">
      <c r="A372" s="9" t="s">
        <v>268</v>
      </c>
      <c r="B372" s="9" t="str">
        <f t="shared" si="79"/>
        <v>[{5205001,3},{2,64760}]</v>
      </c>
      <c r="C372" s="51" t="str">
        <f t="shared" si="80"/>
        <v>[{5203001,1115},{2,16260}]</v>
      </c>
      <c r="D372" s="140">
        <v>232</v>
      </c>
      <c r="E372" s="130">
        <f t="shared" si="81"/>
        <v>2544</v>
      </c>
      <c r="F372" s="130">
        <f t="shared" si="100"/>
        <v>830</v>
      </c>
      <c r="G372" s="130">
        <v>300</v>
      </c>
      <c r="H372" s="130">
        <f t="shared" si="98"/>
        <v>0</v>
      </c>
      <c r="I372" s="130">
        <f>IF(COUNTIF($I$141:$I371,$I371)=VLOOKUP($I371,$D$90:$E$120,2,0),$I371+1,$I371)</f>
        <v>22</v>
      </c>
      <c r="J372" s="131">
        <f t="shared" si="82"/>
        <v>128</v>
      </c>
      <c r="K372" s="132" t="str">
        <f t="shared" si="83"/>
        <v/>
      </c>
      <c r="L372" s="132">
        <f t="shared" si="84"/>
        <v>0.03</v>
      </c>
      <c r="M372" s="132" t="str">
        <f t="shared" si="85"/>
        <v/>
      </c>
      <c r="N372" s="132" t="str">
        <f t="shared" si="91"/>
        <v/>
      </c>
      <c r="O372" s="132" t="str">
        <f t="shared" si="86"/>
        <v/>
      </c>
      <c r="P372" s="141">
        <f>(SUM($Q$142:Q372)-SUM($H$141:H372))/SUM($H$141:H372)</f>
        <v>0.214692918013517</v>
      </c>
      <c r="Q372" s="142">
        <f t="shared" si="78"/>
        <v>1110</v>
      </c>
      <c r="R372" s="142">
        <f t="shared" si="99"/>
        <v>16190</v>
      </c>
      <c r="S372" s="133">
        <f t="shared" si="92"/>
        <v>25.9810690423163</v>
      </c>
      <c r="T372" s="134">
        <f>INT(SUM($W$141:W372)/3)+1</f>
        <v>45</v>
      </c>
      <c r="U372" s="135" t="str">
        <f t="shared" si="87"/>
        <v>65</v>
      </c>
      <c r="V372" s="67" t="s">
        <v>99</v>
      </c>
      <c r="W372" s="137">
        <f t="shared" si="93"/>
        <v>3</v>
      </c>
      <c r="X372" s="137">
        <f t="shared" si="88"/>
        <v>64760</v>
      </c>
      <c r="Y372" s="138"/>
      <c r="Z372" s="138">
        <v>2</v>
      </c>
      <c r="AA372" s="138">
        <v>3</v>
      </c>
      <c r="AB372" s="138" t="str">
        <f t="shared" si="97"/>
        <v>{10000,9000,8000}</v>
      </c>
      <c r="AC372" s="138">
        <v>1000</v>
      </c>
      <c r="AD372" s="138">
        <v>4000</v>
      </c>
      <c r="AE372" s="138">
        <f>SUM($R$141:$R372)+SUM($X$141:$X372)</f>
        <v>3098150</v>
      </c>
      <c r="AF372" s="138">
        <f>SUM($Q$142:Q372)</f>
        <v>124008</v>
      </c>
      <c r="AG372" s="137">
        <f t="shared" si="94"/>
        <v>3470174</v>
      </c>
      <c r="AH372" s="139">
        <f>SUM($S$141:S372)</f>
        <v>2543.37256923578</v>
      </c>
      <c r="AI372" s="133">
        <f t="shared" si="95"/>
        <v>12.9905345211581</v>
      </c>
      <c r="AJ372" s="15">
        <f t="shared" si="96"/>
        <v>1122600</v>
      </c>
      <c r="AL372" s="15">
        <v>232</v>
      </c>
      <c r="AM372" s="15">
        <f t="shared" si="89"/>
        <v>301310</v>
      </c>
      <c r="AN372" s="15">
        <f>SUMIF([1]装备属性!$M$571:$M$870,"&lt;="&amp;AL372,[1]装备属性!$Q$571:$Q$870)</f>
        <v>192517.104787715</v>
      </c>
      <c r="AO372" s="15">
        <f t="shared" si="90"/>
        <v>1.56510768397566</v>
      </c>
    </row>
    <row r="373" ht="18" spans="1:41">
      <c r="A373" s="9" t="s">
        <v>269</v>
      </c>
      <c r="B373" s="9" t="str">
        <f t="shared" si="79"/>
        <v>[{5205001,3},{2,}]</v>
      </c>
      <c r="C373" s="51" t="str">
        <f t="shared" si="80"/>
        <v>[{5203001,1120},{2,16330}]</v>
      </c>
      <c r="D373" s="140">
        <v>233</v>
      </c>
      <c r="E373" s="130">
        <f t="shared" si="81"/>
        <v>2571</v>
      </c>
      <c r="F373" s="130">
        <f t="shared" si="100"/>
        <v>835</v>
      </c>
      <c r="G373" s="130">
        <v>300</v>
      </c>
      <c r="H373" s="130">
        <f t="shared" si="98"/>
        <v>0</v>
      </c>
      <c r="I373" s="130">
        <f>IF(COUNTIF($I$141:$I372,$I372)=VLOOKUP($I372,$D$90:$E$120,2,0),$I372+1,$I372)</f>
        <v>23</v>
      </c>
      <c r="J373" s="131">
        <f t="shared" si="82"/>
        <v>134</v>
      </c>
      <c r="K373" s="132">
        <f t="shared" si="83"/>
        <v>0.05</v>
      </c>
      <c r="L373" s="132" t="str">
        <f t="shared" si="84"/>
        <v/>
      </c>
      <c r="M373" s="132" t="str">
        <f t="shared" si="85"/>
        <v/>
      </c>
      <c r="N373" s="132" t="str">
        <f t="shared" si="91"/>
        <v/>
      </c>
      <c r="O373" s="132" t="str">
        <f t="shared" si="86"/>
        <v/>
      </c>
      <c r="P373" s="141">
        <f>(SUM($Q$142:Q373)-SUM($H$141:H373))/SUM($H$141:H373)</f>
        <v>0.225614653736899</v>
      </c>
      <c r="Q373" s="142">
        <f t="shared" si="78"/>
        <v>1115</v>
      </c>
      <c r="R373" s="142">
        <f t="shared" si="99"/>
        <v>16260</v>
      </c>
      <c r="S373" s="133">
        <f t="shared" si="92"/>
        <v>27.2515592515592</v>
      </c>
      <c r="T373" s="134">
        <f>INT(SUM($W$141:W373)/3)+1</f>
        <v>45</v>
      </c>
      <c r="U373" s="135" t="str">
        <f t="shared" si="87"/>
        <v/>
      </c>
      <c r="V373" s="67" t="s">
        <v>168</v>
      </c>
      <c r="W373" s="137" t="str">
        <f t="shared" si="93"/>
        <v/>
      </c>
      <c r="X373" s="137" t="str">
        <f t="shared" si="88"/>
        <v/>
      </c>
      <c r="Y373" s="138"/>
      <c r="Z373" s="138">
        <v>2</v>
      </c>
      <c r="AA373" s="138">
        <v>3</v>
      </c>
      <c r="AB373" s="138" t="str">
        <f t="shared" si="97"/>
        <v>{10000,9000,8000}</v>
      </c>
      <c r="AC373" s="138">
        <v>1000</v>
      </c>
      <c r="AD373" s="138">
        <v>4000</v>
      </c>
      <c r="AE373" s="138">
        <f>SUM($R$141:$R373)+SUM($X$141:$X373)</f>
        <v>3114410</v>
      </c>
      <c r="AF373" s="138">
        <f>SUM($Q$142:Q373)</f>
        <v>125123</v>
      </c>
      <c r="AG373" s="137">
        <f t="shared" si="94"/>
        <v>3489779</v>
      </c>
      <c r="AH373" s="139">
        <f>SUM($S$141:S373)</f>
        <v>2570.62412848734</v>
      </c>
      <c r="AI373" s="133">
        <f t="shared" si="95"/>
        <v>13.6257796257796</v>
      </c>
      <c r="AJ373" s="15">
        <f t="shared" si="96"/>
        <v>1177500</v>
      </c>
      <c r="AL373" s="15">
        <v>233</v>
      </c>
      <c r="AM373" s="15">
        <f t="shared" si="89"/>
        <v>307840</v>
      </c>
      <c r="AN373" s="15">
        <f>SUMIF([1]装备属性!$M$571:$M$870,"&lt;="&amp;AL373,[1]装备属性!$Q$571:$Q$870)</f>
        <v>192517.104787715</v>
      </c>
      <c r="AO373" s="15">
        <f t="shared" si="90"/>
        <v>1.59902674798403</v>
      </c>
    </row>
    <row r="374" ht="18" spans="1:41">
      <c r="A374" s="9" t="s">
        <v>270</v>
      </c>
      <c r="B374" s="9" t="str">
        <f t="shared" si="79"/>
        <v>[{5205001,3},{2,}]</v>
      </c>
      <c r="C374" s="51" t="str">
        <f t="shared" si="80"/>
        <v>[{5203001,1125},{2,16400}]</v>
      </c>
      <c r="D374" s="140">
        <v>234</v>
      </c>
      <c r="E374" s="130">
        <f t="shared" si="81"/>
        <v>2598</v>
      </c>
      <c r="F374" s="130">
        <f t="shared" si="100"/>
        <v>840</v>
      </c>
      <c r="G374" s="130">
        <v>300</v>
      </c>
      <c r="H374" s="130">
        <f t="shared" ref="H374:H405" si="101">H373</f>
        <v>0</v>
      </c>
      <c r="I374" s="130">
        <f>IF(COUNTIF($I$141:$I373,$I373)=VLOOKUP($I373,$D$90:$E$120,2,0),$I373+1,$I373)</f>
        <v>23</v>
      </c>
      <c r="J374" s="131">
        <f t="shared" si="82"/>
        <v>134</v>
      </c>
      <c r="K374" s="132" t="str">
        <f t="shared" si="83"/>
        <v/>
      </c>
      <c r="L374" s="132" t="str">
        <f t="shared" si="84"/>
        <v/>
      </c>
      <c r="M374" s="132" t="str">
        <f t="shared" si="85"/>
        <v/>
      </c>
      <c r="N374" s="132">
        <f t="shared" si="91"/>
        <v>0.0075</v>
      </c>
      <c r="O374" s="132" t="str">
        <f t="shared" si="86"/>
        <v/>
      </c>
      <c r="P374" s="141">
        <f>(SUM($Q$142:Q374)-SUM($H$141:H374))/SUM($H$141:H374)</f>
        <v>0.236585365853659</v>
      </c>
      <c r="Q374" s="142">
        <f t="shared" si="78"/>
        <v>1120</v>
      </c>
      <c r="R374" s="142">
        <f t="shared" si="99"/>
        <v>16330</v>
      </c>
      <c r="S374" s="133">
        <f t="shared" si="92"/>
        <v>27.3690228690229</v>
      </c>
      <c r="T374" s="134">
        <f>INT(SUM($W$141:W374)/3)+1</f>
        <v>45</v>
      </c>
      <c r="U374" s="135" t="str">
        <f t="shared" si="87"/>
        <v/>
      </c>
      <c r="V374" s="67" t="s">
        <v>168</v>
      </c>
      <c r="W374" s="137" t="str">
        <f t="shared" si="93"/>
        <v/>
      </c>
      <c r="X374" s="137" t="str">
        <f t="shared" si="88"/>
        <v/>
      </c>
      <c r="Y374" s="138"/>
      <c r="Z374" s="138">
        <v>2</v>
      </c>
      <c r="AA374" s="138">
        <v>3</v>
      </c>
      <c r="AB374" s="138" t="str">
        <f t="shared" si="97"/>
        <v>{10000,9000,8000}</v>
      </c>
      <c r="AC374" s="138">
        <v>1000</v>
      </c>
      <c r="AD374" s="138">
        <v>4000</v>
      </c>
      <c r="AE374" s="138">
        <f>SUM($R$141:$R374)+SUM($X$141:$X374)</f>
        <v>3130740</v>
      </c>
      <c r="AF374" s="138">
        <f>SUM($Q$142:Q374)</f>
        <v>126243</v>
      </c>
      <c r="AG374" s="137">
        <f t="shared" si="94"/>
        <v>3509469</v>
      </c>
      <c r="AH374" s="139">
        <f>SUM($S$141:S374)</f>
        <v>2597.99315135636</v>
      </c>
      <c r="AI374" s="133">
        <f t="shared" si="95"/>
        <v>13.6845114345114</v>
      </c>
      <c r="AJ374" s="15">
        <f t="shared" si="96"/>
        <v>1182600</v>
      </c>
      <c r="AL374" s="15">
        <v>234</v>
      </c>
      <c r="AM374" s="15">
        <f t="shared" si="89"/>
        <v>307840</v>
      </c>
      <c r="AN374" s="15">
        <f>SUMIF([1]装备属性!$M$571:$M$870,"&lt;="&amp;AL374,[1]装备属性!$Q$571:$Q$870)</f>
        <v>192517.104787715</v>
      </c>
      <c r="AO374" s="15">
        <f t="shared" si="90"/>
        <v>1.59902674798403</v>
      </c>
    </row>
    <row r="375" ht="18" spans="1:41">
      <c r="A375" s="9" t="s">
        <v>271</v>
      </c>
      <c r="B375" s="9" t="str">
        <f t="shared" si="79"/>
        <v>[{5205001,3},{2,}]</v>
      </c>
      <c r="C375" s="51" t="str">
        <f t="shared" si="80"/>
        <v>[{5203001,1130},{2,16470}]</v>
      </c>
      <c r="D375" s="140">
        <v>235</v>
      </c>
      <c r="E375" s="130">
        <f t="shared" si="81"/>
        <v>2626</v>
      </c>
      <c r="F375" s="130">
        <f t="shared" si="100"/>
        <v>845</v>
      </c>
      <c r="G375" s="130">
        <v>300</v>
      </c>
      <c r="H375" s="130">
        <f t="shared" si="101"/>
        <v>0</v>
      </c>
      <c r="I375" s="130">
        <f>IF(COUNTIF($I$141:$I374,$I374)=VLOOKUP($I374,$D$90:$E$120,2,0),$I374+1,$I374)</f>
        <v>23</v>
      </c>
      <c r="J375" s="131">
        <f t="shared" si="82"/>
        <v>134</v>
      </c>
      <c r="K375" s="132" t="str">
        <f t="shared" si="83"/>
        <v/>
      </c>
      <c r="L375" s="132" t="str">
        <f t="shared" si="84"/>
        <v/>
      </c>
      <c r="M375" s="132">
        <f t="shared" si="85"/>
        <v>0.002</v>
      </c>
      <c r="N375" s="132" t="str">
        <f t="shared" si="91"/>
        <v/>
      </c>
      <c r="O375" s="132" t="str">
        <f t="shared" si="86"/>
        <v/>
      </c>
      <c r="P375" s="141">
        <f>(SUM($Q$142:Q375)-SUM($H$141:H375))/SUM($H$141:H375)</f>
        <v>0.247605054363797</v>
      </c>
      <c r="Q375" s="142">
        <f t="shared" si="78"/>
        <v>1125</v>
      </c>
      <c r="R375" s="142">
        <f t="shared" si="99"/>
        <v>16400</v>
      </c>
      <c r="S375" s="133">
        <f t="shared" si="92"/>
        <v>27.4864864864865</v>
      </c>
      <c r="T375" s="134">
        <f>INT(SUM($W$141:W375)/3)+1</f>
        <v>45</v>
      </c>
      <c r="U375" s="135" t="str">
        <f t="shared" si="87"/>
        <v/>
      </c>
      <c r="V375" s="67" t="s">
        <v>168</v>
      </c>
      <c r="W375" s="137" t="str">
        <f t="shared" si="93"/>
        <v/>
      </c>
      <c r="X375" s="137" t="str">
        <f t="shared" si="88"/>
        <v/>
      </c>
      <c r="Y375" s="138"/>
      <c r="Z375" s="138">
        <v>2</v>
      </c>
      <c r="AA375" s="138">
        <v>3</v>
      </c>
      <c r="AB375" s="138" t="str">
        <f t="shared" si="97"/>
        <v>{10000,9000,8000}</v>
      </c>
      <c r="AC375" s="138">
        <v>1000</v>
      </c>
      <c r="AD375" s="138">
        <v>4000</v>
      </c>
      <c r="AE375" s="138">
        <f>SUM($R$141:$R375)+SUM($X$141:$X375)</f>
        <v>3147140</v>
      </c>
      <c r="AF375" s="138">
        <f>SUM($Q$142:Q375)</f>
        <v>127368</v>
      </c>
      <c r="AG375" s="137">
        <f t="shared" si="94"/>
        <v>3529244</v>
      </c>
      <c r="AH375" s="139">
        <f>SUM($S$141:S375)</f>
        <v>2625.47963784285</v>
      </c>
      <c r="AI375" s="133">
        <f t="shared" si="95"/>
        <v>13.7432432432432</v>
      </c>
      <c r="AJ375" s="15">
        <f t="shared" si="96"/>
        <v>1187700</v>
      </c>
      <c r="AL375" s="15">
        <v>235</v>
      </c>
      <c r="AM375" s="15">
        <f t="shared" si="89"/>
        <v>307840</v>
      </c>
      <c r="AN375" s="15">
        <f>SUMIF([1]装备属性!$M$571:$M$870,"&lt;="&amp;AL375,[1]装备属性!$Q$571:$Q$870)</f>
        <v>192517.104787715</v>
      </c>
      <c r="AO375" s="15">
        <f t="shared" si="90"/>
        <v>1.59902674798403</v>
      </c>
    </row>
    <row r="376" ht="18" spans="1:41">
      <c r="A376" s="9" t="s">
        <v>272</v>
      </c>
      <c r="B376" s="9" t="str">
        <f t="shared" si="79"/>
        <v>[{5205001,3},{2,}]</v>
      </c>
      <c r="C376" s="51" t="str">
        <f t="shared" si="80"/>
        <v>[{5203001,1135},{2,16540}]</v>
      </c>
      <c r="D376" s="140">
        <v>236</v>
      </c>
      <c r="E376" s="130">
        <f t="shared" si="81"/>
        <v>2654</v>
      </c>
      <c r="F376" s="130">
        <f t="shared" si="100"/>
        <v>850</v>
      </c>
      <c r="G376" s="130">
        <v>300</v>
      </c>
      <c r="H376" s="130">
        <f t="shared" si="101"/>
        <v>0</v>
      </c>
      <c r="I376" s="130">
        <f>IF(COUNTIF($I$141:$I375,$I375)=VLOOKUP($I375,$D$90:$E$120,2,0),$I375+1,$I375)</f>
        <v>23</v>
      </c>
      <c r="J376" s="131">
        <f t="shared" si="82"/>
        <v>134</v>
      </c>
      <c r="K376" s="132" t="str">
        <f t="shared" si="83"/>
        <v/>
      </c>
      <c r="L376" s="132">
        <f t="shared" si="84"/>
        <v>0.03</v>
      </c>
      <c r="M376" s="132" t="str">
        <f t="shared" si="85"/>
        <v/>
      </c>
      <c r="N376" s="132" t="str">
        <f t="shared" si="91"/>
        <v/>
      </c>
      <c r="O376" s="132" t="str">
        <f t="shared" si="86"/>
        <v/>
      </c>
      <c r="P376" s="141">
        <f>(SUM($Q$142:Q376)-SUM($H$141:H376))/SUM($H$141:H376)</f>
        <v>0.258673719267313</v>
      </c>
      <c r="Q376" s="142">
        <f t="shared" si="78"/>
        <v>1130</v>
      </c>
      <c r="R376" s="142">
        <f t="shared" si="99"/>
        <v>16470</v>
      </c>
      <c r="S376" s="133">
        <f t="shared" si="92"/>
        <v>27.6039501039501</v>
      </c>
      <c r="T376" s="134">
        <f>INT(SUM($W$141:W376)/3)+1</f>
        <v>45</v>
      </c>
      <c r="U376" s="135" t="str">
        <f t="shared" si="87"/>
        <v/>
      </c>
      <c r="V376" s="67" t="s">
        <v>168</v>
      </c>
      <c r="W376" s="137" t="str">
        <f t="shared" si="93"/>
        <v/>
      </c>
      <c r="X376" s="137" t="str">
        <f t="shared" si="88"/>
        <v/>
      </c>
      <c r="Y376" s="138"/>
      <c r="Z376" s="138">
        <v>2</v>
      </c>
      <c r="AA376" s="138">
        <v>3</v>
      </c>
      <c r="AB376" s="138" t="str">
        <f t="shared" si="97"/>
        <v>{10000,9000,8000}</v>
      </c>
      <c r="AC376" s="138">
        <v>1000</v>
      </c>
      <c r="AD376" s="138">
        <v>4000</v>
      </c>
      <c r="AE376" s="138">
        <f>SUM($R$141:$R376)+SUM($X$141:$X376)</f>
        <v>3163610</v>
      </c>
      <c r="AF376" s="138">
        <f>SUM($Q$142:Q376)</f>
        <v>128498</v>
      </c>
      <c r="AG376" s="137">
        <f t="shared" si="94"/>
        <v>3549104</v>
      </c>
      <c r="AH376" s="139">
        <f>SUM($S$141:S376)</f>
        <v>2653.0835879468</v>
      </c>
      <c r="AI376" s="133">
        <f t="shared" si="95"/>
        <v>13.8019750519751</v>
      </c>
      <c r="AJ376" s="15">
        <f t="shared" si="96"/>
        <v>1192500</v>
      </c>
      <c r="AL376" s="15">
        <v>236</v>
      </c>
      <c r="AM376" s="15">
        <f t="shared" si="89"/>
        <v>307840</v>
      </c>
      <c r="AN376" s="15">
        <f>SUMIF([1]装备属性!$M$571:$M$870,"&lt;="&amp;AL376,[1]装备属性!$Q$571:$Q$870)</f>
        <v>192517.104787715</v>
      </c>
      <c r="AO376" s="15">
        <f t="shared" si="90"/>
        <v>1.59902674798403</v>
      </c>
    </row>
    <row r="377" ht="18" spans="1:41">
      <c r="A377" s="9" t="s">
        <v>269</v>
      </c>
      <c r="B377" s="9" t="str">
        <f t="shared" si="79"/>
        <v>[{5205001,3},{2,}]</v>
      </c>
      <c r="C377" s="51" t="str">
        <f t="shared" si="80"/>
        <v>[{5203001,1140},{2,16610}]</v>
      </c>
      <c r="D377" s="140">
        <v>237</v>
      </c>
      <c r="E377" s="130">
        <f t="shared" si="81"/>
        <v>2681</v>
      </c>
      <c r="F377" s="130">
        <f t="shared" si="100"/>
        <v>855</v>
      </c>
      <c r="G377" s="130">
        <v>300</v>
      </c>
      <c r="H377" s="130">
        <f t="shared" si="101"/>
        <v>0</v>
      </c>
      <c r="I377" s="130">
        <f>IF(COUNTIF($I$141:$I376,$I376)=VLOOKUP($I376,$D$90:$E$120,2,0),$I376+1,$I376)</f>
        <v>23</v>
      </c>
      <c r="J377" s="131">
        <f t="shared" si="82"/>
        <v>134</v>
      </c>
      <c r="K377" s="132">
        <f t="shared" si="83"/>
        <v>0.05</v>
      </c>
      <c r="L377" s="132" t="str">
        <f t="shared" si="84"/>
        <v/>
      </c>
      <c r="M377" s="132" t="str">
        <f t="shared" si="85"/>
        <v/>
      </c>
      <c r="N377" s="132" t="str">
        <f t="shared" si="91"/>
        <v/>
      </c>
      <c r="O377" s="132" t="str">
        <f t="shared" si="86"/>
        <v/>
      </c>
      <c r="P377" s="141">
        <f>(SUM($Q$142:Q377)-SUM($H$141:H377))/SUM($H$141:H377)</f>
        <v>0.269791360564208</v>
      </c>
      <c r="Q377" s="142">
        <f t="shared" ref="Q377:Q440" si="102">Q376+5</f>
        <v>1135</v>
      </c>
      <c r="R377" s="142">
        <f t="shared" si="99"/>
        <v>16540</v>
      </c>
      <c r="S377" s="133">
        <f t="shared" si="92"/>
        <v>27.7214137214137</v>
      </c>
      <c r="T377" s="134">
        <f>INT(SUM($W$141:W377)/3)+1</f>
        <v>45</v>
      </c>
      <c r="U377" s="135" t="str">
        <f t="shared" si="87"/>
        <v/>
      </c>
      <c r="V377" s="67" t="s">
        <v>168</v>
      </c>
      <c r="W377" s="137" t="str">
        <f t="shared" si="93"/>
        <v/>
      </c>
      <c r="X377" s="137" t="str">
        <f t="shared" si="88"/>
        <v/>
      </c>
      <c r="Y377" s="138"/>
      <c r="Z377" s="138">
        <v>2</v>
      </c>
      <c r="AA377" s="138">
        <v>3</v>
      </c>
      <c r="AB377" s="138" t="str">
        <f t="shared" si="97"/>
        <v>{10000,9000,8000}</v>
      </c>
      <c r="AC377" s="138">
        <v>1000</v>
      </c>
      <c r="AD377" s="138">
        <v>4000</v>
      </c>
      <c r="AE377" s="138">
        <f>SUM($R$141:$R377)+SUM($X$141:$X377)</f>
        <v>3180150</v>
      </c>
      <c r="AF377" s="138">
        <f>SUM($Q$142:Q377)</f>
        <v>129633</v>
      </c>
      <c r="AG377" s="137">
        <f t="shared" si="94"/>
        <v>3569049</v>
      </c>
      <c r="AH377" s="139">
        <f>SUM($S$141:S377)</f>
        <v>2680.80500166821</v>
      </c>
      <c r="AI377" s="133">
        <f t="shared" si="95"/>
        <v>13.8607068607069</v>
      </c>
      <c r="AJ377" s="15">
        <f t="shared" si="96"/>
        <v>1197600</v>
      </c>
      <c r="AL377" s="15">
        <v>237</v>
      </c>
      <c r="AM377" s="15">
        <f t="shared" si="89"/>
        <v>307840</v>
      </c>
      <c r="AN377" s="15">
        <f>SUMIF([1]装备属性!$M$571:$M$870,"&lt;="&amp;AL377,[1]装备属性!$Q$571:$Q$870)</f>
        <v>192517.104787715</v>
      </c>
      <c r="AO377" s="15">
        <f t="shared" si="90"/>
        <v>1.59902674798403</v>
      </c>
    </row>
    <row r="378" ht="18" spans="1:41">
      <c r="A378" s="9" t="str">
        <f>SUBSTITUTE(A377,"队长伤害","队长技能冷却")</f>
        <v>队长攻击力+134\n队长技能冷却+5%</v>
      </c>
      <c r="B378" s="9" t="str">
        <f t="shared" si="79"/>
        <v>[{5205001,3},{2,}]</v>
      </c>
      <c r="C378" s="51" t="str">
        <f t="shared" si="80"/>
        <v>[{5203001,1145},{2,16680}]</v>
      </c>
      <c r="D378" s="140">
        <v>238</v>
      </c>
      <c r="E378" s="130">
        <f t="shared" si="81"/>
        <v>2709</v>
      </c>
      <c r="F378" s="130">
        <f t="shared" si="100"/>
        <v>860</v>
      </c>
      <c r="G378" s="130">
        <v>300</v>
      </c>
      <c r="H378" s="130">
        <f t="shared" si="101"/>
        <v>0</v>
      </c>
      <c r="I378" s="130">
        <f>IF(COUNTIF($I$141:$I377,$I377)=VLOOKUP($I377,$D$90:$E$120,2,0),$I377+1,$I377)</f>
        <v>23</v>
      </c>
      <c r="J378" s="131">
        <f t="shared" si="82"/>
        <v>134</v>
      </c>
      <c r="K378" s="132" t="str">
        <f t="shared" si="83"/>
        <v/>
      </c>
      <c r="L378" s="132" t="str">
        <f t="shared" si="84"/>
        <v/>
      </c>
      <c r="M378" s="132" t="str">
        <f t="shared" si="85"/>
        <v/>
      </c>
      <c r="N378" s="132">
        <f t="shared" si="91"/>
        <v>0.0075</v>
      </c>
      <c r="O378" s="132" t="str">
        <f t="shared" si="86"/>
        <v/>
      </c>
      <c r="P378" s="141">
        <f>(SUM($Q$142:Q378)-SUM($H$141:H378))/SUM($H$141:H378)</f>
        <v>0.280957978254481</v>
      </c>
      <c r="Q378" s="142">
        <f t="shared" si="102"/>
        <v>1140</v>
      </c>
      <c r="R378" s="142">
        <f t="shared" si="99"/>
        <v>16610</v>
      </c>
      <c r="S378" s="133">
        <f t="shared" si="92"/>
        <v>27.8388773388773</v>
      </c>
      <c r="T378" s="134">
        <f>INT(SUM($W$141:W378)/3)+1</f>
        <v>45</v>
      </c>
      <c r="U378" s="135" t="str">
        <f t="shared" si="87"/>
        <v/>
      </c>
      <c r="V378" s="67" t="s">
        <v>168</v>
      </c>
      <c r="W378" s="137" t="str">
        <f t="shared" si="93"/>
        <v/>
      </c>
      <c r="X378" s="137" t="str">
        <f t="shared" si="88"/>
        <v/>
      </c>
      <c r="Y378" s="138"/>
      <c r="Z378" s="138">
        <v>2</v>
      </c>
      <c r="AA378" s="138">
        <v>3</v>
      </c>
      <c r="AB378" s="138" t="str">
        <f t="shared" si="97"/>
        <v>{10000,9000,8000}</v>
      </c>
      <c r="AC378" s="138">
        <v>1000</v>
      </c>
      <c r="AD378" s="138">
        <v>4000</v>
      </c>
      <c r="AE378" s="138">
        <f>SUM($R$141:$R378)+SUM($X$141:$X378)</f>
        <v>3196760</v>
      </c>
      <c r="AF378" s="138">
        <f>SUM($Q$142:Q378)</f>
        <v>130773</v>
      </c>
      <c r="AG378" s="137">
        <f t="shared" si="94"/>
        <v>3589079</v>
      </c>
      <c r="AH378" s="139">
        <f>SUM($S$141:S378)</f>
        <v>2708.64387900709</v>
      </c>
      <c r="AI378" s="133">
        <f t="shared" si="95"/>
        <v>13.9194386694387</v>
      </c>
      <c r="AJ378" s="15">
        <f t="shared" si="96"/>
        <v>1202700</v>
      </c>
      <c r="AL378" s="15">
        <v>238</v>
      </c>
      <c r="AM378" s="15">
        <f t="shared" si="89"/>
        <v>307840</v>
      </c>
      <c r="AN378" s="15">
        <f>SUMIF([1]装备属性!$M$571:$M$870,"&lt;="&amp;AL378,[1]装备属性!$Q$571:$Q$870)</f>
        <v>192517.104787715</v>
      </c>
      <c r="AO378" s="15">
        <f t="shared" si="90"/>
        <v>1.59902674798403</v>
      </c>
    </row>
    <row r="379" ht="18" spans="1:41">
      <c r="A379" s="9" t="s">
        <v>271</v>
      </c>
      <c r="B379" s="9" t="str">
        <f t="shared" si="79"/>
        <v>[{5205001,3},{2,}]</v>
      </c>
      <c r="C379" s="51" t="str">
        <f t="shared" si="80"/>
        <v>[{5203001,1150},{2,16750}]</v>
      </c>
      <c r="D379" s="140">
        <v>239</v>
      </c>
      <c r="E379" s="130">
        <f t="shared" si="81"/>
        <v>2737</v>
      </c>
      <c r="F379" s="130">
        <f t="shared" si="100"/>
        <v>865</v>
      </c>
      <c r="G379" s="130">
        <v>300</v>
      </c>
      <c r="H379" s="130">
        <f t="shared" si="101"/>
        <v>0</v>
      </c>
      <c r="I379" s="130">
        <f>IF(COUNTIF($I$141:$I378,$I378)=VLOOKUP($I378,$D$90:$E$120,2,0),$I378+1,$I378)</f>
        <v>23</v>
      </c>
      <c r="J379" s="131">
        <f t="shared" si="82"/>
        <v>134</v>
      </c>
      <c r="K379" s="132" t="str">
        <f t="shared" si="83"/>
        <v/>
      </c>
      <c r="L379" s="132" t="str">
        <f t="shared" si="84"/>
        <v/>
      </c>
      <c r="M379" s="132">
        <f t="shared" si="85"/>
        <v>0.002</v>
      </c>
      <c r="N379" s="132" t="str">
        <f t="shared" si="91"/>
        <v/>
      </c>
      <c r="O379" s="132" t="str">
        <f t="shared" si="86"/>
        <v/>
      </c>
      <c r="P379" s="141">
        <f>(SUM($Q$142:Q379)-SUM($H$141:H379))/SUM($H$141:H379)</f>
        <v>0.292173572338133</v>
      </c>
      <c r="Q379" s="142">
        <f t="shared" si="102"/>
        <v>1145</v>
      </c>
      <c r="R379" s="142">
        <f t="shared" si="99"/>
        <v>16680</v>
      </c>
      <c r="S379" s="133">
        <f t="shared" si="92"/>
        <v>27.956340956341</v>
      </c>
      <c r="T379" s="134">
        <f>INT(SUM($W$141:W379)/3)+1</f>
        <v>45</v>
      </c>
      <c r="U379" s="135" t="str">
        <f t="shared" si="87"/>
        <v/>
      </c>
      <c r="V379" s="67" t="s">
        <v>168</v>
      </c>
      <c r="W379" s="137" t="str">
        <f t="shared" si="93"/>
        <v/>
      </c>
      <c r="X379" s="137" t="str">
        <f t="shared" si="88"/>
        <v/>
      </c>
      <c r="Y379" s="138"/>
      <c r="Z379" s="138">
        <v>2</v>
      </c>
      <c r="AA379" s="138">
        <v>3</v>
      </c>
      <c r="AB379" s="138" t="str">
        <f t="shared" si="97"/>
        <v>{10000,9000,8000}</v>
      </c>
      <c r="AC379" s="138">
        <v>1000</v>
      </c>
      <c r="AD379" s="138">
        <v>4000</v>
      </c>
      <c r="AE379" s="138">
        <f>SUM($R$141:$R379)+SUM($X$141:$X379)</f>
        <v>3213440</v>
      </c>
      <c r="AF379" s="138">
        <f>SUM($Q$142:Q379)</f>
        <v>131918</v>
      </c>
      <c r="AG379" s="137">
        <f t="shared" si="94"/>
        <v>3609194</v>
      </c>
      <c r="AH379" s="139">
        <f>SUM($S$141:S379)</f>
        <v>2736.60021996343</v>
      </c>
      <c r="AI379" s="133">
        <f t="shared" si="95"/>
        <v>13.9781704781705</v>
      </c>
      <c r="AJ379" s="15">
        <f t="shared" si="96"/>
        <v>1207800</v>
      </c>
      <c r="AL379" s="15">
        <v>239</v>
      </c>
      <c r="AM379" s="15">
        <f t="shared" si="89"/>
        <v>307840</v>
      </c>
      <c r="AN379" s="15">
        <f>SUMIF([1]装备属性!$M$571:$M$870,"&lt;="&amp;AL379,[1]装备属性!$Q$571:$Q$870)</f>
        <v>192517.104787715</v>
      </c>
      <c r="AO379" s="15">
        <f t="shared" si="90"/>
        <v>1.59902674798403</v>
      </c>
    </row>
    <row r="380" ht="18" spans="1:41">
      <c r="A380" s="9" t="s">
        <v>272</v>
      </c>
      <c r="B380" s="9" t="str">
        <f t="shared" si="79"/>
        <v>[{5205001,3},{2,67000}]</v>
      </c>
      <c r="C380" s="51" t="str">
        <f t="shared" si="80"/>
        <v>[{5203001,1155},{2,16820}]</v>
      </c>
      <c r="D380" s="140">
        <v>240</v>
      </c>
      <c r="E380" s="130">
        <f t="shared" si="81"/>
        <v>2765</v>
      </c>
      <c r="F380" s="130">
        <f t="shared" si="100"/>
        <v>870</v>
      </c>
      <c r="G380" s="130">
        <v>300</v>
      </c>
      <c r="H380" s="130">
        <f t="shared" si="101"/>
        <v>0</v>
      </c>
      <c r="I380" s="130">
        <f>IF(COUNTIF($I$141:$I379,$I379)=VLOOKUP($I379,$D$90:$E$120,2,0),$I379+1,$I379)</f>
        <v>23</v>
      </c>
      <c r="J380" s="131">
        <f t="shared" si="82"/>
        <v>134</v>
      </c>
      <c r="K380" s="132" t="str">
        <f t="shared" si="83"/>
        <v/>
      </c>
      <c r="L380" s="132">
        <f t="shared" si="84"/>
        <v>0.03</v>
      </c>
      <c r="M380" s="132" t="str">
        <f t="shared" si="85"/>
        <v/>
      </c>
      <c r="N380" s="132" t="str">
        <f t="shared" si="91"/>
        <v/>
      </c>
      <c r="O380" s="132" t="str">
        <f t="shared" si="86"/>
        <v/>
      </c>
      <c r="P380" s="141">
        <f>(SUM($Q$142:Q380)-SUM($H$141:H380))/SUM($H$141:H380)</f>
        <v>0.303438142815163</v>
      </c>
      <c r="Q380" s="142">
        <f t="shared" si="102"/>
        <v>1150</v>
      </c>
      <c r="R380" s="142">
        <f t="shared" si="99"/>
        <v>16750</v>
      </c>
      <c r="S380" s="133">
        <f t="shared" si="92"/>
        <v>28.0738045738046</v>
      </c>
      <c r="T380" s="134">
        <f>INT(SUM($W$141:W380)/3)+1</f>
        <v>46</v>
      </c>
      <c r="U380" s="135" t="str">
        <f t="shared" si="87"/>
        <v/>
      </c>
      <c r="V380" s="67" t="s">
        <v>91</v>
      </c>
      <c r="W380" s="137">
        <f t="shared" si="93"/>
        <v>3</v>
      </c>
      <c r="X380" s="137">
        <f t="shared" si="88"/>
        <v>67000</v>
      </c>
      <c r="Y380" s="138"/>
      <c r="Z380" s="138">
        <v>2</v>
      </c>
      <c r="AA380" s="138">
        <v>3</v>
      </c>
      <c r="AB380" s="138" t="str">
        <f t="shared" si="97"/>
        <v>{10000,9000,8000}</v>
      </c>
      <c r="AC380" s="138">
        <v>1000</v>
      </c>
      <c r="AD380" s="138">
        <v>4000</v>
      </c>
      <c r="AE380" s="138">
        <f>SUM($R$141:$R380)+SUM($X$141:$X380)</f>
        <v>3297190</v>
      </c>
      <c r="AF380" s="138">
        <f>SUM($Q$142:Q380)</f>
        <v>133068</v>
      </c>
      <c r="AG380" s="137">
        <f t="shared" si="94"/>
        <v>3696394</v>
      </c>
      <c r="AH380" s="139">
        <f>SUM($S$141:S380)</f>
        <v>2764.67402453724</v>
      </c>
      <c r="AI380" s="133">
        <f t="shared" si="95"/>
        <v>14.0369022869023</v>
      </c>
      <c r="AJ380" s="15">
        <f t="shared" si="96"/>
        <v>1212900</v>
      </c>
      <c r="AL380" s="15">
        <v>240</v>
      </c>
      <c r="AM380" s="15">
        <f t="shared" si="89"/>
        <v>307840</v>
      </c>
      <c r="AN380" s="15">
        <f>SUMIF([1]装备属性!$M$571:$M$870,"&lt;="&amp;AL380,[1]装备属性!$Q$571:$Q$870)</f>
        <v>192517.104787715</v>
      </c>
      <c r="AO380" s="15">
        <f t="shared" si="90"/>
        <v>1.59902674798403</v>
      </c>
    </row>
    <row r="381" ht="18" spans="1:41">
      <c r="A381" s="9" t="s">
        <v>269</v>
      </c>
      <c r="B381" s="9" t="str">
        <f t="shared" si="79"/>
        <v>[{5205001,3},{2,}]</v>
      </c>
      <c r="C381" s="51" t="str">
        <f t="shared" si="80"/>
        <v>[{5203001,1160},{2,16890}]</v>
      </c>
      <c r="D381" s="140">
        <v>241</v>
      </c>
      <c r="E381" s="130">
        <f t="shared" si="81"/>
        <v>2793</v>
      </c>
      <c r="F381" s="130">
        <f t="shared" si="100"/>
        <v>875</v>
      </c>
      <c r="G381" s="130">
        <v>300</v>
      </c>
      <c r="H381" s="130">
        <f t="shared" si="101"/>
        <v>0</v>
      </c>
      <c r="I381" s="130">
        <f>IF(COUNTIF($I$141:$I380,$I380)=VLOOKUP($I380,$D$90:$E$120,2,0),$I380+1,$I380)</f>
        <v>23</v>
      </c>
      <c r="J381" s="131">
        <f t="shared" si="82"/>
        <v>134</v>
      </c>
      <c r="K381" s="132">
        <f t="shared" si="83"/>
        <v>0.05</v>
      </c>
      <c r="L381" s="132" t="str">
        <f t="shared" si="84"/>
        <v/>
      </c>
      <c r="M381" s="132" t="str">
        <f t="shared" si="85"/>
        <v/>
      </c>
      <c r="N381" s="132" t="str">
        <f t="shared" si="91"/>
        <v/>
      </c>
      <c r="O381" s="132" t="str">
        <f t="shared" si="86"/>
        <v/>
      </c>
      <c r="P381" s="141">
        <f>(SUM($Q$142:Q381)-SUM($H$141:H381))/SUM($H$141:H381)</f>
        <v>0.314751689685572</v>
      </c>
      <c r="Q381" s="142">
        <f t="shared" si="102"/>
        <v>1155</v>
      </c>
      <c r="R381" s="142">
        <f t="shared" si="99"/>
        <v>16820</v>
      </c>
      <c r="S381" s="133">
        <f t="shared" si="92"/>
        <v>28.1912681912682</v>
      </c>
      <c r="T381" s="134">
        <f>INT(SUM($W$141:W381)/3)+1</f>
        <v>46</v>
      </c>
      <c r="U381" s="135" t="str">
        <f t="shared" si="87"/>
        <v/>
      </c>
      <c r="V381" s="67" t="s">
        <v>168</v>
      </c>
      <c r="W381" s="137" t="str">
        <f t="shared" si="93"/>
        <v/>
      </c>
      <c r="X381" s="137" t="str">
        <f t="shared" si="88"/>
        <v/>
      </c>
      <c r="Y381" s="138"/>
      <c r="Z381" s="138">
        <v>2</v>
      </c>
      <c r="AA381" s="138">
        <v>3</v>
      </c>
      <c r="AB381" s="138" t="str">
        <f t="shared" si="97"/>
        <v>{10000,9000,8000}</v>
      </c>
      <c r="AC381" s="138">
        <v>1000</v>
      </c>
      <c r="AD381" s="138">
        <v>4000</v>
      </c>
      <c r="AE381" s="138">
        <f>SUM($R$141:$R381)+SUM($X$141:$X381)</f>
        <v>3314010</v>
      </c>
      <c r="AF381" s="138">
        <f>SUM($Q$142:Q381)</f>
        <v>134223</v>
      </c>
      <c r="AG381" s="137">
        <f t="shared" si="94"/>
        <v>3716679</v>
      </c>
      <c r="AH381" s="139">
        <f>SUM($S$141:S381)</f>
        <v>2792.8652927285</v>
      </c>
      <c r="AI381" s="133">
        <f t="shared" si="95"/>
        <v>14.0956340956341</v>
      </c>
      <c r="AJ381" s="15">
        <f t="shared" si="96"/>
        <v>1218000</v>
      </c>
      <c r="AL381" s="15">
        <v>241</v>
      </c>
      <c r="AM381" s="15">
        <f t="shared" si="89"/>
        <v>314440</v>
      </c>
      <c r="AN381" s="15">
        <f>SUMIF([1]装备属性!$M$571:$M$870,"&lt;="&amp;AL381,[1]装备属性!$Q$571:$Q$870)</f>
        <v>192517.104787715</v>
      </c>
      <c r="AO381" s="15">
        <f t="shared" si="90"/>
        <v>1.63330941604761</v>
      </c>
    </row>
    <row r="382" ht="18" spans="1:41">
      <c r="A382" s="9" t="str">
        <f>SUBSTITUTE(A381,"队长伤害","队长技能冷却")</f>
        <v>队长攻击力+134\n队长技能冷却+5%</v>
      </c>
      <c r="B382" s="9" t="str">
        <f t="shared" si="79"/>
        <v>[{5205001,3},{2,}]</v>
      </c>
      <c r="C382" s="51" t="str">
        <f t="shared" si="80"/>
        <v>[{5203001,1165},{2,16960}]</v>
      </c>
      <c r="D382" s="140">
        <v>242</v>
      </c>
      <c r="E382" s="130">
        <f t="shared" si="81"/>
        <v>2822</v>
      </c>
      <c r="F382" s="130">
        <f t="shared" si="100"/>
        <v>880</v>
      </c>
      <c r="G382" s="130">
        <v>300</v>
      </c>
      <c r="H382" s="130">
        <f t="shared" si="101"/>
        <v>0</v>
      </c>
      <c r="I382" s="130">
        <f>IF(COUNTIF($I$141:$I381,$I381)=VLOOKUP($I381,$D$90:$E$120,2,0),$I381+1,$I381)</f>
        <v>23</v>
      </c>
      <c r="J382" s="131">
        <f t="shared" si="82"/>
        <v>134</v>
      </c>
      <c r="K382" s="132" t="str">
        <f t="shared" si="83"/>
        <v/>
      </c>
      <c r="L382" s="132" t="str">
        <f t="shared" si="84"/>
        <v/>
      </c>
      <c r="M382" s="132" t="str">
        <f t="shared" si="85"/>
        <v/>
      </c>
      <c r="N382" s="132">
        <f t="shared" si="91"/>
        <v>0.0075</v>
      </c>
      <c r="O382" s="132" t="str">
        <f t="shared" si="86"/>
        <v/>
      </c>
      <c r="P382" s="141">
        <f>(SUM($Q$142:Q382)-SUM($H$141:H382))/SUM($H$141:H382)</f>
        <v>0.326114212949358</v>
      </c>
      <c r="Q382" s="142">
        <f t="shared" si="102"/>
        <v>1160</v>
      </c>
      <c r="R382" s="142">
        <f t="shared" si="99"/>
        <v>16890</v>
      </c>
      <c r="S382" s="133">
        <f t="shared" si="92"/>
        <v>28.3087318087318</v>
      </c>
      <c r="T382" s="134">
        <f>INT(SUM($W$141:W382)/3)+1</f>
        <v>46</v>
      </c>
      <c r="U382" s="135" t="str">
        <f t="shared" si="87"/>
        <v/>
      </c>
      <c r="V382" s="67" t="s">
        <v>168</v>
      </c>
      <c r="W382" s="137" t="str">
        <f t="shared" si="93"/>
        <v/>
      </c>
      <c r="X382" s="137" t="str">
        <f t="shared" si="88"/>
        <v/>
      </c>
      <c r="Y382" s="138"/>
      <c r="Z382" s="138">
        <v>2</v>
      </c>
      <c r="AA382" s="138">
        <v>3</v>
      </c>
      <c r="AB382" s="138" t="str">
        <f t="shared" si="97"/>
        <v>{10000,9000,8000}</v>
      </c>
      <c r="AC382" s="138">
        <v>1000</v>
      </c>
      <c r="AD382" s="138">
        <v>4000</v>
      </c>
      <c r="AE382" s="138">
        <f>SUM($R$141:$R382)+SUM($X$141:$X382)</f>
        <v>3330900</v>
      </c>
      <c r="AF382" s="138">
        <f>SUM($Q$142:Q382)</f>
        <v>135383</v>
      </c>
      <c r="AG382" s="137">
        <f t="shared" si="94"/>
        <v>3737049</v>
      </c>
      <c r="AH382" s="139">
        <f>SUM($S$141:S382)</f>
        <v>2821.17402453724</v>
      </c>
      <c r="AI382" s="133">
        <f t="shared" si="95"/>
        <v>14.1543659043659</v>
      </c>
      <c r="AJ382" s="15">
        <f t="shared" si="96"/>
        <v>1223100</v>
      </c>
      <c r="AL382" s="15">
        <v>242</v>
      </c>
      <c r="AM382" s="15">
        <f t="shared" si="89"/>
        <v>314440</v>
      </c>
      <c r="AN382" s="15">
        <f>SUMIF([1]装备属性!$M$571:$M$870,"&lt;="&amp;AL382,[1]装备属性!$Q$571:$Q$870)</f>
        <v>192517.104787715</v>
      </c>
      <c r="AO382" s="15">
        <f t="shared" si="90"/>
        <v>1.63330941604761</v>
      </c>
    </row>
    <row r="383" ht="18" spans="1:41">
      <c r="A383" s="9" t="s">
        <v>271</v>
      </c>
      <c r="B383" s="9" t="str">
        <f t="shared" si="79"/>
        <v>[{5205001,3},{2,}]</v>
      </c>
      <c r="C383" s="51" t="str">
        <f t="shared" si="80"/>
        <v>[{5203001,1170},{2,17030}]</v>
      </c>
      <c r="D383" s="140">
        <v>243</v>
      </c>
      <c r="E383" s="130">
        <f t="shared" si="81"/>
        <v>2850</v>
      </c>
      <c r="F383" s="130">
        <f t="shared" si="100"/>
        <v>885</v>
      </c>
      <c r="G383" s="130">
        <v>300</v>
      </c>
      <c r="H383" s="130">
        <f t="shared" si="101"/>
        <v>0</v>
      </c>
      <c r="I383" s="130">
        <f>IF(COUNTIF($I$141:$I382,$I382)=VLOOKUP($I382,$D$90:$E$120,2,0),$I382+1,$I382)</f>
        <v>23</v>
      </c>
      <c r="J383" s="131">
        <f t="shared" si="82"/>
        <v>134</v>
      </c>
      <c r="K383" s="132" t="str">
        <f t="shared" si="83"/>
        <v/>
      </c>
      <c r="L383" s="132" t="str">
        <f t="shared" si="84"/>
        <v/>
      </c>
      <c r="M383" s="132">
        <f t="shared" si="85"/>
        <v>0.002</v>
      </c>
      <c r="N383" s="132" t="str">
        <f t="shared" si="91"/>
        <v/>
      </c>
      <c r="O383" s="132" t="str">
        <f t="shared" si="86"/>
        <v/>
      </c>
      <c r="P383" s="141">
        <f>(SUM($Q$142:Q383)-SUM($H$141:H383))/SUM($H$141:H383)</f>
        <v>0.337525712606524</v>
      </c>
      <c r="Q383" s="142">
        <f t="shared" si="102"/>
        <v>1165</v>
      </c>
      <c r="R383" s="142">
        <f t="shared" si="99"/>
        <v>16960</v>
      </c>
      <c r="S383" s="133">
        <f t="shared" si="92"/>
        <v>28.4261954261954</v>
      </c>
      <c r="T383" s="134">
        <f>INT(SUM($W$141:W383)/3)+1</f>
        <v>46</v>
      </c>
      <c r="U383" s="135" t="str">
        <f t="shared" si="87"/>
        <v/>
      </c>
      <c r="V383" s="67" t="s">
        <v>168</v>
      </c>
      <c r="W383" s="137" t="str">
        <f t="shared" si="93"/>
        <v/>
      </c>
      <c r="X383" s="137" t="str">
        <f t="shared" si="88"/>
        <v/>
      </c>
      <c r="Y383" s="138"/>
      <c r="Z383" s="138">
        <v>2</v>
      </c>
      <c r="AA383" s="138">
        <v>3</v>
      </c>
      <c r="AB383" s="138" t="str">
        <f t="shared" si="97"/>
        <v>{10000,9000,8000}</v>
      </c>
      <c r="AC383" s="138">
        <v>1000</v>
      </c>
      <c r="AD383" s="138">
        <v>4000</v>
      </c>
      <c r="AE383" s="138">
        <f>SUM($R$141:$R383)+SUM($X$141:$X383)</f>
        <v>3347860</v>
      </c>
      <c r="AF383" s="138">
        <f>SUM($Q$142:Q383)</f>
        <v>136548</v>
      </c>
      <c r="AG383" s="137">
        <f t="shared" si="94"/>
        <v>3757504</v>
      </c>
      <c r="AH383" s="139">
        <f>SUM($S$141:S383)</f>
        <v>2849.60021996343</v>
      </c>
      <c r="AI383" s="133">
        <f t="shared" si="95"/>
        <v>14.2130977130977</v>
      </c>
      <c r="AJ383" s="15">
        <f t="shared" si="96"/>
        <v>1228200</v>
      </c>
      <c r="AL383" s="15">
        <v>243</v>
      </c>
      <c r="AM383" s="15">
        <f t="shared" si="89"/>
        <v>314440</v>
      </c>
      <c r="AN383" s="15">
        <f>SUMIF([1]装备属性!$M$571:$M$870,"&lt;="&amp;AL383,[1]装备属性!$Q$571:$Q$870)</f>
        <v>192517.104787715</v>
      </c>
      <c r="AO383" s="15">
        <f t="shared" si="90"/>
        <v>1.63330941604761</v>
      </c>
    </row>
    <row r="384" ht="18" spans="1:41">
      <c r="A384" s="9" t="s">
        <v>272</v>
      </c>
      <c r="B384" s="9" t="str">
        <f t="shared" si="79"/>
        <v>[{5205001,3},{2,}]</v>
      </c>
      <c r="C384" s="51" t="str">
        <f t="shared" si="80"/>
        <v>[{5203001,1175},{2,17100}]</v>
      </c>
      <c r="D384" s="140">
        <v>244</v>
      </c>
      <c r="E384" s="130">
        <f t="shared" si="81"/>
        <v>2879</v>
      </c>
      <c r="F384" s="130">
        <f t="shared" si="100"/>
        <v>890</v>
      </c>
      <c r="G384" s="130">
        <v>300</v>
      </c>
      <c r="H384" s="130">
        <f t="shared" si="101"/>
        <v>0</v>
      </c>
      <c r="I384" s="130">
        <f>IF(COUNTIF($I$141:$I383,$I383)=VLOOKUP($I383,$D$90:$E$120,2,0),$I383+1,$I383)</f>
        <v>23</v>
      </c>
      <c r="J384" s="131">
        <f t="shared" si="82"/>
        <v>134</v>
      </c>
      <c r="K384" s="132" t="str">
        <f t="shared" si="83"/>
        <v/>
      </c>
      <c r="L384" s="132">
        <f t="shared" si="84"/>
        <v>0.03</v>
      </c>
      <c r="M384" s="132" t="str">
        <f t="shared" si="85"/>
        <v/>
      </c>
      <c r="N384" s="132" t="str">
        <f t="shared" si="91"/>
        <v/>
      </c>
      <c r="O384" s="132" t="str">
        <f t="shared" si="86"/>
        <v/>
      </c>
      <c r="P384" s="141">
        <f>(SUM($Q$142:Q384)-SUM($H$141:H384))/SUM($H$141:H384)</f>
        <v>0.348986188657067</v>
      </c>
      <c r="Q384" s="142">
        <f t="shared" si="102"/>
        <v>1170</v>
      </c>
      <c r="R384" s="142">
        <f t="shared" si="99"/>
        <v>17030</v>
      </c>
      <c r="S384" s="133">
        <f t="shared" si="92"/>
        <v>28.543659043659</v>
      </c>
      <c r="T384" s="134">
        <f>INT(SUM($W$141:W384)/3)+1</f>
        <v>46</v>
      </c>
      <c r="U384" s="135" t="str">
        <f t="shared" si="87"/>
        <v/>
      </c>
      <c r="V384" s="67" t="s">
        <v>168</v>
      </c>
      <c r="W384" s="137" t="str">
        <f t="shared" si="93"/>
        <v/>
      </c>
      <c r="X384" s="137" t="str">
        <f t="shared" si="88"/>
        <v/>
      </c>
      <c r="Y384" s="138"/>
      <c r="Z384" s="138">
        <v>2</v>
      </c>
      <c r="AA384" s="138">
        <v>3</v>
      </c>
      <c r="AB384" s="138" t="str">
        <f t="shared" si="97"/>
        <v>{10000,9000,8000}</v>
      </c>
      <c r="AC384" s="138">
        <v>1000</v>
      </c>
      <c r="AD384" s="138">
        <v>4000</v>
      </c>
      <c r="AE384" s="138">
        <f>SUM($R$141:$R384)+SUM($X$141:$X384)</f>
        <v>3364890</v>
      </c>
      <c r="AF384" s="138">
        <f>SUM($Q$142:Q384)</f>
        <v>137718</v>
      </c>
      <c r="AG384" s="137">
        <f t="shared" si="94"/>
        <v>3778044</v>
      </c>
      <c r="AH384" s="139">
        <f>SUM($S$141:S384)</f>
        <v>2878.14387900709</v>
      </c>
      <c r="AI384" s="133">
        <f t="shared" si="95"/>
        <v>14.2718295218295</v>
      </c>
      <c r="AJ384" s="15">
        <f t="shared" si="96"/>
        <v>1233300</v>
      </c>
      <c r="AL384" s="15">
        <v>244</v>
      </c>
      <c r="AM384" s="15">
        <f t="shared" si="89"/>
        <v>314440</v>
      </c>
      <c r="AN384" s="15">
        <f>SUMIF([1]装备属性!$M$571:$M$870,"&lt;="&amp;AL384,[1]装备属性!$Q$571:$Q$870)</f>
        <v>192517.104787715</v>
      </c>
      <c r="AO384" s="15">
        <f t="shared" si="90"/>
        <v>1.63330941604761</v>
      </c>
    </row>
    <row r="385" ht="18" spans="1:41">
      <c r="A385" s="9" t="s">
        <v>269</v>
      </c>
      <c r="B385" s="9" t="str">
        <f t="shared" si="79"/>
        <v>[{5205001,3},{2,}]</v>
      </c>
      <c r="C385" s="51" t="str">
        <f t="shared" si="80"/>
        <v>[{5203001,1180},{2,17170}]</v>
      </c>
      <c r="D385" s="140">
        <v>245</v>
      </c>
      <c r="E385" s="130">
        <f t="shared" si="81"/>
        <v>2907</v>
      </c>
      <c r="F385" s="130">
        <f t="shared" si="100"/>
        <v>895</v>
      </c>
      <c r="G385" s="130">
        <v>300</v>
      </c>
      <c r="H385" s="130">
        <f t="shared" si="101"/>
        <v>0</v>
      </c>
      <c r="I385" s="130">
        <f>IF(COUNTIF($I$141:$I384,$I384)=VLOOKUP($I384,$D$90:$E$120,2,0),$I384+1,$I384)</f>
        <v>23</v>
      </c>
      <c r="J385" s="131">
        <f t="shared" si="82"/>
        <v>134</v>
      </c>
      <c r="K385" s="132">
        <f t="shared" si="83"/>
        <v>0.05</v>
      </c>
      <c r="L385" s="132" t="str">
        <f t="shared" si="84"/>
        <v/>
      </c>
      <c r="M385" s="132" t="str">
        <f t="shared" si="85"/>
        <v/>
      </c>
      <c r="N385" s="132" t="str">
        <f t="shared" si="91"/>
        <v/>
      </c>
      <c r="O385" s="132" t="str">
        <f t="shared" si="86"/>
        <v/>
      </c>
      <c r="P385" s="141">
        <f>(SUM($Q$142:Q385)-SUM($H$141:H385))/SUM($H$141:H385)</f>
        <v>0.360495641100989</v>
      </c>
      <c r="Q385" s="142">
        <f t="shared" si="102"/>
        <v>1175</v>
      </c>
      <c r="R385" s="142">
        <f t="shared" si="99"/>
        <v>17100</v>
      </c>
      <c r="S385" s="133">
        <f t="shared" si="92"/>
        <v>28.6611226611227</v>
      </c>
      <c r="T385" s="134">
        <f>INT(SUM($W$141:W385)/3)+1</f>
        <v>46</v>
      </c>
      <c r="U385" s="135" t="str">
        <f t="shared" si="87"/>
        <v/>
      </c>
      <c r="V385" s="67" t="s">
        <v>168</v>
      </c>
      <c r="W385" s="137" t="str">
        <f t="shared" si="93"/>
        <v/>
      </c>
      <c r="X385" s="137" t="str">
        <f t="shared" si="88"/>
        <v/>
      </c>
      <c r="Y385" s="138"/>
      <c r="Z385" s="138">
        <v>2</v>
      </c>
      <c r="AA385" s="138">
        <v>3</v>
      </c>
      <c r="AB385" s="138" t="str">
        <f t="shared" si="97"/>
        <v>{10000,9000,8000}</v>
      </c>
      <c r="AC385" s="138">
        <v>1000</v>
      </c>
      <c r="AD385" s="138">
        <v>4000</v>
      </c>
      <c r="AE385" s="138">
        <f>SUM($R$141:$R385)+SUM($X$141:$X385)</f>
        <v>3381990</v>
      </c>
      <c r="AF385" s="138">
        <f>SUM($Q$142:Q385)</f>
        <v>138893</v>
      </c>
      <c r="AG385" s="137">
        <f t="shared" si="94"/>
        <v>3798669</v>
      </c>
      <c r="AH385" s="139">
        <f>SUM($S$141:S385)</f>
        <v>2906.80500166821</v>
      </c>
      <c r="AI385" s="133">
        <f t="shared" si="95"/>
        <v>14.3305613305613</v>
      </c>
      <c r="AJ385" s="15">
        <f t="shared" si="96"/>
        <v>1238400</v>
      </c>
      <c r="AL385" s="15">
        <v>245</v>
      </c>
      <c r="AM385" s="15">
        <f t="shared" si="89"/>
        <v>314440</v>
      </c>
      <c r="AN385" s="15">
        <f>SUMIF([1]装备属性!$M$571:$M$870,"&lt;="&amp;AL385,[1]装备属性!$Q$571:$Q$870)</f>
        <v>192517.104787715</v>
      </c>
      <c r="AO385" s="15">
        <f t="shared" si="90"/>
        <v>1.63330941604761</v>
      </c>
    </row>
    <row r="386" ht="18" spans="1:41">
      <c r="A386" s="9" t="str">
        <f>SUBSTITUTE(A385,"队长伤害","队长技能冷却")</f>
        <v>队长攻击力+134\n队长技能冷却+5%</v>
      </c>
      <c r="B386" s="9" t="str">
        <f t="shared" si="79"/>
        <v>[{5205001,3},{2,}]</v>
      </c>
      <c r="C386" s="51" t="str">
        <f t="shared" si="80"/>
        <v>[{5203001,1185},{2,17240}]</v>
      </c>
      <c r="D386" s="140">
        <v>246</v>
      </c>
      <c r="E386" s="130">
        <f t="shared" si="81"/>
        <v>2936</v>
      </c>
      <c r="F386" s="130">
        <f t="shared" si="100"/>
        <v>900</v>
      </c>
      <c r="G386" s="130">
        <v>300</v>
      </c>
      <c r="H386" s="130">
        <f t="shared" si="101"/>
        <v>0</v>
      </c>
      <c r="I386" s="130">
        <f>IF(COUNTIF($I$141:$I385,$I385)=VLOOKUP($I385,$D$90:$E$120,2,0),$I385+1,$I385)</f>
        <v>23</v>
      </c>
      <c r="J386" s="131">
        <f t="shared" si="82"/>
        <v>134</v>
      </c>
      <c r="K386" s="132" t="str">
        <f t="shared" si="83"/>
        <v/>
      </c>
      <c r="L386" s="132" t="str">
        <f t="shared" si="84"/>
        <v/>
      </c>
      <c r="M386" s="132" t="str">
        <f t="shared" si="85"/>
        <v/>
      </c>
      <c r="N386" s="132">
        <f t="shared" si="91"/>
        <v>0.0075</v>
      </c>
      <c r="O386" s="132" t="str">
        <f t="shared" si="86"/>
        <v/>
      </c>
      <c r="P386" s="141">
        <f>(SUM($Q$142:Q386)-SUM($H$141:H386))/SUM($H$141:H386)</f>
        <v>0.37205406993829</v>
      </c>
      <c r="Q386" s="142">
        <f t="shared" si="102"/>
        <v>1180</v>
      </c>
      <c r="R386" s="142">
        <f t="shared" si="99"/>
        <v>17170</v>
      </c>
      <c r="S386" s="133">
        <f t="shared" si="92"/>
        <v>28.7785862785863</v>
      </c>
      <c r="T386" s="134">
        <f>INT(SUM($W$141:W386)/3)+1</f>
        <v>46</v>
      </c>
      <c r="U386" s="135" t="str">
        <f t="shared" si="87"/>
        <v/>
      </c>
      <c r="V386" s="67" t="s">
        <v>168</v>
      </c>
      <c r="W386" s="137" t="str">
        <f t="shared" si="93"/>
        <v/>
      </c>
      <c r="X386" s="137" t="str">
        <f t="shared" si="88"/>
        <v/>
      </c>
      <c r="Y386" s="138"/>
      <c r="Z386" s="138">
        <v>2</v>
      </c>
      <c r="AA386" s="138">
        <v>3</v>
      </c>
      <c r="AB386" s="138" t="str">
        <f t="shared" si="97"/>
        <v>{10000,9000,8000}</v>
      </c>
      <c r="AC386" s="138">
        <v>1000</v>
      </c>
      <c r="AD386" s="138">
        <v>4000</v>
      </c>
      <c r="AE386" s="138">
        <f>SUM($R$141:$R386)+SUM($X$141:$X386)</f>
        <v>3399160</v>
      </c>
      <c r="AF386" s="138">
        <f>SUM($Q$142:Q386)</f>
        <v>140073</v>
      </c>
      <c r="AG386" s="137">
        <f t="shared" si="94"/>
        <v>3819379</v>
      </c>
      <c r="AH386" s="139">
        <f>SUM($S$141:S386)</f>
        <v>2935.5835879468</v>
      </c>
      <c r="AI386" s="133">
        <f t="shared" si="95"/>
        <v>14.3892931392931</v>
      </c>
      <c r="AJ386" s="15">
        <f t="shared" si="96"/>
        <v>1243500</v>
      </c>
      <c r="AL386" s="15">
        <v>246</v>
      </c>
      <c r="AM386" s="15">
        <f t="shared" si="89"/>
        <v>314440</v>
      </c>
      <c r="AN386" s="15">
        <f>SUMIF([1]装备属性!$M$571:$M$870,"&lt;="&amp;AL386,[1]装备属性!$Q$571:$Q$870)</f>
        <v>192517.104787715</v>
      </c>
      <c r="AO386" s="15">
        <f t="shared" si="90"/>
        <v>1.63330941604761</v>
      </c>
    </row>
    <row r="387" ht="18" spans="1:41">
      <c r="A387" s="9" t="s">
        <v>271</v>
      </c>
      <c r="B387" s="9" t="str">
        <f t="shared" si="79"/>
        <v>[{5205001,3},{2,}]</v>
      </c>
      <c r="C387" s="51" t="str">
        <f t="shared" si="80"/>
        <v>[{5203001,1190},{2,17310}]</v>
      </c>
      <c r="D387" s="140">
        <v>247</v>
      </c>
      <c r="E387" s="130">
        <f t="shared" si="81"/>
        <v>2965</v>
      </c>
      <c r="F387" s="130">
        <f t="shared" si="100"/>
        <v>905</v>
      </c>
      <c r="G387" s="130">
        <v>300</v>
      </c>
      <c r="H387" s="130">
        <f t="shared" si="101"/>
        <v>0</v>
      </c>
      <c r="I387" s="130">
        <f>IF(COUNTIF($I$141:$I386,$I386)=VLOOKUP($I386,$D$90:$E$120,2,0),$I386+1,$I386)</f>
        <v>23</v>
      </c>
      <c r="J387" s="131">
        <f t="shared" si="82"/>
        <v>134</v>
      </c>
      <c r="K387" s="132" t="str">
        <f t="shared" si="83"/>
        <v/>
      </c>
      <c r="L387" s="132" t="str">
        <f t="shared" si="84"/>
        <v/>
      </c>
      <c r="M387" s="132">
        <f t="shared" si="85"/>
        <v>0.002</v>
      </c>
      <c r="N387" s="132" t="str">
        <f t="shared" si="91"/>
        <v/>
      </c>
      <c r="O387" s="132" t="str">
        <f t="shared" si="86"/>
        <v/>
      </c>
      <c r="P387" s="141">
        <f>(SUM($Q$142:Q387)-SUM($H$141:H387))/SUM($H$141:H387)</f>
        <v>0.383661475168969</v>
      </c>
      <c r="Q387" s="142">
        <f t="shared" si="102"/>
        <v>1185</v>
      </c>
      <c r="R387" s="142">
        <f t="shared" si="99"/>
        <v>17240</v>
      </c>
      <c r="S387" s="133">
        <f t="shared" si="92"/>
        <v>28.8960498960499</v>
      </c>
      <c r="T387" s="134">
        <f>INT(SUM($W$141:W387)/3)+1</f>
        <v>46</v>
      </c>
      <c r="U387" s="135" t="str">
        <f t="shared" si="87"/>
        <v/>
      </c>
      <c r="V387" s="67" t="s">
        <v>168</v>
      </c>
      <c r="W387" s="137" t="str">
        <f t="shared" si="93"/>
        <v/>
      </c>
      <c r="X387" s="137" t="str">
        <f t="shared" si="88"/>
        <v/>
      </c>
      <c r="Y387" s="138"/>
      <c r="Z387" s="138">
        <v>2</v>
      </c>
      <c r="AA387" s="138">
        <v>3</v>
      </c>
      <c r="AB387" s="138" t="str">
        <f t="shared" si="97"/>
        <v>{10000,9000,8000}</v>
      </c>
      <c r="AC387" s="138">
        <v>1000</v>
      </c>
      <c r="AD387" s="138">
        <v>4000</v>
      </c>
      <c r="AE387" s="138">
        <f>SUM($R$141:$R387)+SUM($X$141:$X387)</f>
        <v>3416400</v>
      </c>
      <c r="AF387" s="138">
        <f>SUM($Q$142:Q387)</f>
        <v>141258</v>
      </c>
      <c r="AG387" s="137">
        <f t="shared" si="94"/>
        <v>3840174</v>
      </c>
      <c r="AH387" s="139">
        <f>SUM($S$141:S387)</f>
        <v>2964.47963784285</v>
      </c>
      <c r="AI387" s="133">
        <f t="shared" si="95"/>
        <v>14.4480249480249</v>
      </c>
      <c r="AJ387" s="15">
        <f t="shared" si="96"/>
        <v>1248600</v>
      </c>
      <c r="AL387" s="15">
        <v>247</v>
      </c>
      <c r="AM387" s="15">
        <f t="shared" si="89"/>
        <v>314440</v>
      </c>
      <c r="AN387" s="15">
        <f>SUMIF([1]装备属性!$M$571:$M$870,"&lt;="&amp;AL387,[1]装备属性!$Q$571:$Q$870)</f>
        <v>192517.104787715</v>
      </c>
      <c r="AO387" s="15">
        <f t="shared" si="90"/>
        <v>1.63330941604761</v>
      </c>
    </row>
    <row r="388" ht="18" spans="1:41">
      <c r="A388" s="9" t="s">
        <v>272</v>
      </c>
      <c r="B388" s="9" t="str">
        <f t="shared" si="79"/>
        <v>[{5205001,3},{2,69240}]</v>
      </c>
      <c r="C388" s="51" t="str">
        <f t="shared" si="80"/>
        <v>[{5203001,1195},{2,17380}]</v>
      </c>
      <c r="D388" s="140">
        <v>248</v>
      </c>
      <c r="E388" s="130">
        <f t="shared" si="81"/>
        <v>2994</v>
      </c>
      <c r="F388" s="130">
        <f t="shared" si="100"/>
        <v>910</v>
      </c>
      <c r="G388" s="130">
        <v>300</v>
      </c>
      <c r="H388" s="130">
        <f t="shared" si="101"/>
        <v>0</v>
      </c>
      <c r="I388" s="130">
        <f>IF(COUNTIF($I$141:$I387,$I387)=VLOOKUP($I387,$D$90:$E$120,2,0),$I387+1,$I387)</f>
        <v>23</v>
      </c>
      <c r="J388" s="131">
        <f t="shared" si="82"/>
        <v>134</v>
      </c>
      <c r="K388" s="132" t="str">
        <f t="shared" si="83"/>
        <v/>
      </c>
      <c r="L388" s="132">
        <f t="shared" si="84"/>
        <v>0.03</v>
      </c>
      <c r="M388" s="132" t="str">
        <f t="shared" si="85"/>
        <v/>
      </c>
      <c r="N388" s="132" t="str">
        <f t="shared" si="91"/>
        <v/>
      </c>
      <c r="O388" s="132" t="str">
        <f t="shared" si="86"/>
        <v/>
      </c>
      <c r="P388" s="141">
        <f>(SUM($Q$142:Q388)-SUM($H$141:H388))/SUM($H$141:H388)</f>
        <v>0.395317856793026</v>
      </c>
      <c r="Q388" s="142">
        <f t="shared" si="102"/>
        <v>1190</v>
      </c>
      <c r="R388" s="142">
        <f t="shared" si="99"/>
        <v>17310</v>
      </c>
      <c r="S388" s="133">
        <f t="shared" si="92"/>
        <v>29.0135135135135</v>
      </c>
      <c r="T388" s="134">
        <f>INT(SUM($W$141:W388)/3)+1</f>
        <v>47</v>
      </c>
      <c r="U388" s="135" t="str">
        <f t="shared" si="87"/>
        <v>65</v>
      </c>
      <c r="V388" s="67" t="s">
        <v>99</v>
      </c>
      <c r="W388" s="137">
        <f t="shared" si="93"/>
        <v>3</v>
      </c>
      <c r="X388" s="137">
        <f t="shared" si="88"/>
        <v>69240</v>
      </c>
      <c r="Y388" s="138"/>
      <c r="Z388" s="138">
        <v>2</v>
      </c>
      <c r="AA388" s="138">
        <v>3</v>
      </c>
      <c r="AB388" s="138" t="str">
        <f t="shared" si="97"/>
        <v>{10000,9000,8000}</v>
      </c>
      <c r="AC388" s="138">
        <v>1000</v>
      </c>
      <c r="AD388" s="138">
        <v>4000</v>
      </c>
      <c r="AE388" s="138">
        <f>SUM($R$141:$R388)+SUM($X$141:$X388)</f>
        <v>3502950</v>
      </c>
      <c r="AF388" s="138">
        <f>SUM($Q$142:Q388)</f>
        <v>142448</v>
      </c>
      <c r="AG388" s="137">
        <f t="shared" si="94"/>
        <v>3930294</v>
      </c>
      <c r="AH388" s="139">
        <f>SUM($S$141:S388)</f>
        <v>2993.49315135636</v>
      </c>
      <c r="AI388" s="133">
        <f t="shared" si="95"/>
        <v>14.5067567567568</v>
      </c>
      <c r="AJ388" s="15">
        <f t="shared" si="96"/>
        <v>1253400</v>
      </c>
      <c r="AL388" s="15">
        <v>248</v>
      </c>
      <c r="AM388" s="15">
        <f t="shared" si="89"/>
        <v>314440</v>
      </c>
      <c r="AN388" s="15">
        <f>SUMIF([1]装备属性!$M$571:$M$870,"&lt;="&amp;AL388,[1]装备属性!$Q$571:$Q$870)</f>
        <v>192517.104787715</v>
      </c>
      <c r="AO388" s="15">
        <f t="shared" si="90"/>
        <v>1.63330941604761</v>
      </c>
    </row>
    <row r="389" ht="18" spans="1:41">
      <c r="A389" s="9" t="s">
        <v>273</v>
      </c>
      <c r="B389" s="9" t="str">
        <f t="shared" si="79"/>
        <v>[{5205001,3},{2,}]</v>
      </c>
      <c r="C389" s="51" t="str">
        <f t="shared" si="80"/>
        <v>[{5203001,1200},{2,17450}]</v>
      </c>
      <c r="D389" s="140">
        <v>249</v>
      </c>
      <c r="E389" s="130">
        <f t="shared" si="81"/>
        <v>3024</v>
      </c>
      <c r="F389" s="130">
        <f t="shared" si="100"/>
        <v>915</v>
      </c>
      <c r="G389" s="130">
        <v>300</v>
      </c>
      <c r="H389" s="130">
        <f t="shared" si="101"/>
        <v>0</v>
      </c>
      <c r="I389" s="130">
        <f>IF(COUNTIF($I$141:$I388,$I388)=VLOOKUP($I388,$D$90:$E$120,2,0),$I388+1,$I388)</f>
        <v>24</v>
      </c>
      <c r="J389" s="131">
        <f t="shared" si="82"/>
        <v>140</v>
      </c>
      <c r="K389" s="132">
        <f t="shared" si="83"/>
        <v>0.05</v>
      </c>
      <c r="L389" s="132" t="str">
        <f t="shared" si="84"/>
        <v/>
      </c>
      <c r="M389" s="132" t="str">
        <f t="shared" si="85"/>
        <v/>
      </c>
      <c r="N389" s="132" t="str">
        <f t="shared" si="91"/>
        <v/>
      </c>
      <c r="O389" s="132" t="str">
        <f t="shared" si="86"/>
        <v/>
      </c>
      <c r="P389" s="141">
        <f>(SUM($Q$142:Q389)-SUM($H$141:H389))/SUM($H$141:H389)</f>
        <v>0.407023214810461</v>
      </c>
      <c r="Q389" s="142">
        <f t="shared" si="102"/>
        <v>1195</v>
      </c>
      <c r="R389" s="142">
        <f t="shared" si="99"/>
        <v>17380</v>
      </c>
      <c r="S389" s="133">
        <f t="shared" si="92"/>
        <v>30.2144249512671</v>
      </c>
      <c r="T389" s="134">
        <f>INT(SUM($W$141:W389)/3)+1</f>
        <v>47</v>
      </c>
      <c r="U389" s="135" t="str">
        <f t="shared" si="87"/>
        <v/>
      </c>
      <c r="V389" s="67" t="s">
        <v>168</v>
      </c>
      <c r="W389" s="137" t="str">
        <f t="shared" si="93"/>
        <v/>
      </c>
      <c r="X389" s="137" t="str">
        <f t="shared" si="88"/>
        <v/>
      </c>
      <c r="Y389" s="138"/>
      <c r="Z389" s="138">
        <v>2</v>
      </c>
      <c r="AA389" s="138">
        <v>3</v>
      </c>
      <c r="AB389" s="138" t="str">
        <f t="shared" si="97"/>
        <v>{10000,9000,8000}</v>
      </c>
      <c r="AC389" s="138">
        <v>1000</v>
      </c>
      <c r="AD389" s="138">
        <v>4000</v>
      </c>
      <c r="AE389" s="138">
        <f>SUM($R$141:$R389)+SUM($X$141:$X389)</f>
        <v>3520330</v>
      </c>
      <c r="AF389" s="138">
        <f>SUM($Q$142:Q389)</f>
        <v>143643</v>
      </c>
      <c r="AG389" s="137">
        <f t="shared" si="94"/>
        <v>3951259</v>
      </c>
      <c r="AH389" s="139">
        <f>SUM($S$141:S389)</f>
        <v>3023.70757630763</v>
      </c>
      <c r="AI389" s="133">
        <f t="shared" si="95"/>
        <v>15.1072124756335</v>
      </c>
      <c r="AJ389" s="15">
        <f t="shared" si="96"/>
        <v>1305300</v>
      </c>
      <c r="AL389" s="15">
        <v>249</v>
      </c>
      <c r="AM389" s="15">
        <f t="shared" si="89"/>
        <v>314440</v>
      </c>
      <c r="AN389" s="15">
        <f>SUMIF([1]装备属性!$M$571:$M$870,"&lt;="&amp;AL389,[1]装备属性!$Q$571:$Q$870)</f>
        <v>192517.104787715</v>
      </c>
      <c r="AO389" s="15">
        <f t="shared" si="90"/>
        <v>1.63330941604761</v>
      </c>
    </row>
    <row r="390" ht="18" spans="1:41">
      <c r="A390" s="9" t="s">
        <v>274</v>
      </c>
      <c r="B390" s="9" t="str">
        <f t="shared" si="79"/>
        <v>[{5205001,3},{2,}]</v>
      </c>
      <c r="C390" s="51" t="str">
        <f t="shared" si="80"/>
        <v>[{5203001,1205},{2,17520}]</v>
      </c>
      <c r="D390" s="140">
        <v>250</v>
      </c>
      <c r="E390" s="130">
        <f t="shared" si="81"/>
        <v>3055</v>
      </c>
      <c r="F390" s="130">
        <f t="shared" si="100"/>
        <v>920</v>
      </c>
      <c r="G390" s="130">
        <v>300</v>
      </c>
      <c r="H390" s="130">
        <f t="shared" si="101"/>
        <v>0</v>
      </c>
      <c r="I390" s="130">
        <f>IF(COUNTIF($I$141:$I389,$I389)=VLOOKUP($I389,$D$90:$E$120,2,0),$I389+1,$I389)</f>
        <v>24</v>
      </c>
      <c r="J390" s="131">
        <f t="shared" si="82"/>
        <v>140</v>
      </c>
      <c r="K390" s="132" t="str">
        <f t="shared" si="83"/>
        <v/>
      </c>
      <c r="L390" s="132" t="str">
        <f t="shared" si="84"/>
        <v/>
      </c>
      <c r="M390" s="132" t="str">
        <f t="shared" si="85"/>
        <v/>
      </c>
      <c r="N390" s="132">
        <f t="shared" si="91"/>
        <v>0.0075</v>
      </c>
      <c r="O390" s="132" t="str">
        <f t="shared" si="86"/>
        <v/>
      </c>
      <c r="P390" s="141">
        <f>(SUM($Q$142:Q390)-SUM($H$141:H390))/SUM($H$141:H390)</f>
        <v>0.418777549221275</v>
      </c>
      <c r="Q390" s="142">
        <f t="shared" si="102"/>
        <v>1200</v>
      </c>
      <c r="R390" s="142">
        <f t="shared" si="99"/>
        <v>17450</v>
      </c>
      <c r="S390" s="133">
        <f t="shared" si="92"/>
        <v>30.3362573099415</v>
      </c>
      <c r="T390" s="134">
        <f>INT(SUM($W$141:W390)/3)+1</f>
        <v>47</v>
      </c>
      <c r="U390" s="135" t="str">
        <f t="shared" si="87"/>
        <v/>
      </c>
      <c r="V390" s="67" t="s">
        <v>168</v>
      </c>
      <c r="W390" s="137" t="str">
        <f t="shared" si="93"/>
        <v/>
      </c>
      <c r="X390" s="137" t="str">
        <f t="shared" si="88"/>
        <v/>
      </c>
      <c r="Y390" s="138"/>
      <c r="Z390" s="138">
        <v>2</v>
      </c>
      <c r="AA390" s="138">
        <v>3</v>
      </c>
      <c r="AB390" s="138" t="str">
        <f t="shared" si="97"/>
        <v>{10000,9000,8000}</v>
      </c>
      <c r="AC390" s="138">
        <v>1000</v>
      </c>
      <c r="AD390" s="138">
        <v>4000</v>
      </c>
      <c r="AE390" s="138">
        <f>SUM($R$141:$R390)+SUM($X$141:$X390)</f>
        <v>3537780</v>
      </c>
      <c r="AF390" s="138">
        <f>SUM($Q$142:Q390)</f>
        <v>144843</v>
      </c>
      <c r="AG390" s="137">
        <f t="shared" si="94"/>
        <v>3972309</v>
      </c>
      <c r="AH390" s="139">
        <f>SUM($S$141:S390)</f>
        <v>3054.04383361757</v>
      </c>
      <c r="AI390" s="133">
        <f t="shared" si="95"/>
        <v>15.1681286549708</v>
      </c>
      <c r="AJ390" s="15">
        <f t="shared" si="96"/>
        <v>1310700</v>
      </c>
      <c r="AL390" s="15">
        <v>250</v>
      </c>
      <c r="AM390" s="15">
        <f t="shared" si="89"/>
        <v>321110</v>
      </c>
      <c r="AN390" s="15">
        <f>SUMIF([1]装备属性!$M$571:$M$870,"&lt;="&amp;AL390,[1]装备属性!$Q$571:$Q$870)</f>
        <v>192517.104787715</v>
      </c>
      <c r="AO390" s="15">
        <f t="shared" si="90"/>
        <v>1.66795568816642</v>
      </c>
    </row>
    <row r="391" ht="18" spans="1:41">
      <c r="A391" s="9" t="s">
        <v>275</v>
      </c>
      <c r="B391" s="9" t="str">
        <f t="shared" si="79"/>
        <v>[{5205001,3},{2,}]</v>
      </c>
      <c r="C391" s="51" t="str">
        <f t="shared" si="80"/>
        <v>[{5203001,1210},{2,17590}]</v>
      </c>
      <c r="D391" s="140">
        <v>251</v>
      </c>
      <c r="E391" s="130">
        <f t="shared" si="81"/>
        <v>3085</v>
      </c>
      <c r="F391" s="130">
        <f t="shared" si="100"/>
        <v>925</v>
      </c>
      <c r="G391" s="130">
        <v>300</v>
      </c>
      <c r="H391" s="130">
        <f t="shared" si="101"/>
        <v>0</v>
      </c>
      <c r="I391" s="130">
        <f>IF(COUNTIF($I$141:$I390,$I390)=VLOOKUP($I390,$D$90:$E$120,2,0),$I390+1,$I390)</f>
        <v>24</v>
      </c>
      <c r="J391" s="131">
        <f t="shared" si="82"/>
        <v>140</v>
      </c>
      <c r="K391" s="132" t="str">
        <f t="shared" si="83"/>
        <v/>
      </c>
      <c r="L391" s="132" t="str">
        <f t="shared" si="84"/>
        <v/>
      </c>
      <c r="M391" s="132">
        <f t="shared" si="85"/>
        <v>0.002</v>
      </c>
      <c r="N391" s="132" t="str">
        <f t="shared" si="91"/>
        <v/>
      </c>
      <c r="O391" s="132" t="str">
        <f t="shared" si="86"/>
        <v/>
      </c>
      <c r="P391" s="141">
        <f>(SUM($Q$142:Q391)-SUM($H$141:H391))/SUM($H$141:H391)</f>
        <v>0.430580860025468</v>
      </c>
      <c r="Q391" s="142">
        <f t="shared" si="102"/>
        <v>1205</v>
      </c>
      <c r="R391" s="142">
        <f t="shared" si="99"/>
        <v>17520</v>
      </c>
      <c r="S391" s="133">
        <f t="shared" si="92"/>
        <v>30.458089668616</v>
      </c>
      <c r="T391" s="134">
        <f>INT(SUM($W$141:W391)/3)+1</f>
        <v>47</v>
      </c>
      <c r="U391" s="135" t="str">
        <f t="shared" si="87"/>
        <v/>
      </c>
      <c r="V391" s="67" t="s">
        <v>168</v>
      </c>
      <c r="W391" s="137" t="str">
        <f t="shared" si="93"/>
        <v/>
      </c>
      <c r="X391" s="137" t="str">
        <f t="shared" si="88"/>
        <v/>
      </c>
      <c r="Y391" s="138"/>
      <c r="Z391" s="138">
        <v>2</v>
      </c>
      <c r="AA391" s="138">
        <v>3</v>
      </c>
      <c r="AB391" s="138" t="str">
        <f t="shared" si="97"/>
        <v>{10000,9000,8000}</v>
      </c>
      <c r="AC391" s="138">
        <v>1000</v>
      </c>
      <c r="AD391" s="138">
        <v>4000</v>
      </c>
      <c r="AE391" s="138">
        <f>SUM($R$141:$R391)+SUM($X$141:$X391)</f>
        <v>3555300</v>
      </c>
      <c r="AF391" s="138">
        <f>SUM($Q$142:Q391)</f>
        <v>146048</v>
      </c>
      <c r="AG391" s="137">
        <f t="shared" si="94"/>
        <v>3993444</v>
      </c>
      <c r="AH391" s="139">
        <f>SUM($S$141:S391)</f>
        <v>3084.50192328619</v>
      </c>
      <c r="AI391" s="133">
        <f t="shared" si="95"/>
        <v>15.229044834308</v>
      </c>
      <c r="AJ391" s="15">
        <f t="shared" si="96"/>
        <v>1315800</v>
      </c>
      <c r="AL391" s="15">
        <v>251</v>
      </c>
      <c r="AM391" s="15">
        <f t="shared" si="89"/>
        <v>321110</v>
      </c>
      <c r="AN391" s="15">
        <f>SUMIF([1]装备属性!$M$571:$M$870,"&lt;="&amp;AL391,[1]装备属性!$Q$571:$Q$870)</f>
        <v>192517.104787715</v>
      </c>
      <c r="AO391" s="15">
        <f t="shared" si="90"/>
        <v>1.66795568816642</v>
      </c>
    </row>
    <row r="392" ht="18" spans="1:41">
      <c r="A392" s="9" t="s">
        <v>276</v>
      </c>
      <c r="B392" s="9" t="str">
        <f t="shared" si="79"/>
        <v>[{5205001,3},{2,}]</v>
      </c>
      <c r="C392" s="51" t="str">
        <f t="shared" si="80"/>
        <v>[{5203001,1215},{2,17660}]</v>
      </c>
      <c r="D392" s="140">
        <v>252</v>
      </c>
      <c r="E392" s="130">
        <f t="shared" si="81"/>
        <v>3116</v>
      </c>
      <c r="F392" s="130">
        <f t="shared" si="100"/>
        <v>930</v>
      </c>
      <c r="G392" s="130">
        <v>300</v>
      </c>
      <c r="H392" s="130">
        <f t="shared" si="101"/>
        <v>0</v>
      </c>
      <c r="I392" s="130">
        <f>IF(COUNTIF($I$141:$I391,$I391)=VLOOKUP($I391,$D$90:$E$120,2,0),$I391+1,$I391)</f>
        <v>24</v>
      </c>
      <c r="J392" s="131">
        <f t="shared" si="82"/>
        <v>140</v>
      </c>
      <c r="K392" s="132" t="str">
        <f t="shared" si="83"/>
        <v/>
      </c>
      <c r="L392" s="132">
        <f t="shared" si="84"/>
        <v>0.03</v>
      </c>
      <c r="M392" s="132" t="str">
        <f t="shared" si="85"/>
        <v/>
      </c>
      <c r="N392" s="132" t="str">
        <f t="shared" si="91"/>
        <v/>
      </c>
      <c r="O392" s="132" t="str">
        <f t="shared" si="86"/>
        <v/>
      </c>
      <c r="P392" s="141">
        <f>(SUM($Q$142:Q392)-SUM($H$141:H392))/SUM($H$141:H392)</f>
        <v>0.442433147223039</v>
      </c>
      <c r="Q392" s="142">
        <f t="shared" si="102"/>
        <v>1210</v>
      </c>
      <c r="R392" s="142">
        <f t="shared" si="99"/>
        <v>17590</v>
      </c>
      <c r="S392" s="133">
        <f t="shared" si="92"/>
        <v>30.5799220272904</v>
      </c>
      <c r="T392" s="134">
        <f>INT(SUM($W$141:W392)/3)+1</f>
        <v>47</v>
      </c>
      <c r="U392" s="135" t="str">
        <f t="shared" si="87"/>
        <v/>
      </c>
      <c r="V392" s="67" t="s">
        <v>168</v>
      </c>
      <c r="W392" s="137" t="str">
        <f t="shared" si="93"/>
        <v/>
      </c>
      <c r="X392" s="137" t="str">
        <f t="shared" si="88"/>
        <v/>
      </c>
      <c r="Y392" s="138"/>
      <c r="Z392" s="138">
        <v>2</v>
      </c>
      <c r="AA392" s="138">
        <v>3</v>
      </c>
      <c r="AB392" s="138" t="str">
        <f t="shared" si="97"/>
        <v>{10000,9000,8000}</v>
      </c>
      <c r="AC392" s="138">
        <v>1000</v>
      </c>
      <c r="AD392" s="138">
        <v>4000</v>
      </c>
      <c r="AE392" s="138">
        <f>SUM($R$141:$R392)+SUM($X$141:$X392)</f>
        <v>3572890</v>
      </c>
      <c r="AF392" s="138">
        <f>SUM($Q$142:Q392)</f>
        <v>147258</v>
      </c>
      <c r="AG392" s="137">
        <f t="shared" si="94"/>
        <v>4014664</v>
      </c>
      <c r="AH392" s="139">
        <f>SUM($S$141:S392)</f>
        <v>3115.08184531348</v>
      </c>
      <c r="AI392" s="133">
        <f t="shared" si="95"/>
        <v>15.2899610136452</v>
      </c>
      <c r="AJ392" s="15">
        <f t="shared" si="96"/>
        <v>1321200</v>
      </c>
      <c r="AL392" s="15">
        <v>252</v>
      </c>
      <c r="AM392" s="15">
        <f t="shared" si="89"/>
        <v>321110</v>
      </c>
      <c r="AN392" s="15">
        <f>SUMIF([1]装备属性!$M$571:$M$870,"&lt;="&amp;AL392,[1]装备属性!$Q$571:$Q$870)</f>
        <v>192517.104787715</v>
      </c>
      <c r="AO392" s="15">
        <f t="shared" si="90"/>
        <v>1.66795568816642</v>
      </c>
    </row>
    <row r="393" ht="18" spans="1:41">
      <c r="A393" s="9" t="s">
        <v>273</v>
      </c>
      <c r="B393" s="9" t="str">
        <f t="shared" si="79"/>
        <v>[{5205001,3},{2,}]</v>
      </c>
      <c r="C393" s="51" t="str">
        <f t="shared" si="80"/>
        <v>[{5203001,1220},{2,17730}]</v>
      </c>
      <c r="D393" s="140">
        <v>253</v>
      </c>
      <c r="E393" s="130">
        <f t="shared" si="81"/>
        <v>3146</v>
      </c>
      <c r="F393" s="130">
        <f t="shared" si="100"/>
        <v>935</v>
      </c>
      <c r="G393" s="130">
        <v>300</v>
      </c>
      <c r="H393" s="130">
        <f t="shared" si="101"/>
        <v>0</v>
      </c>
      <c r="I393" s="130">
        <f>IF(COUNTIF($I$141:$I392,$I392)=VLOOKUP($I392,$D$90:$E$120,2,0),$I392+1,$I392)</f>
        <v>24</v>
      </c>
      <c r="J393" s="131">
        <f t="shared" si="82"/>
        <v>140</v>
      </c>
      <c r="K393" s="132">
        <f t="shared" si="83"/>
        <v>0.05</v>
      </c>
      <c r="L393" s="132" t="str">
        <f t="shared" si="84"/>
        <v/>
      </c>
      <c r="M393" s="132" t="str">
        <f t="shared" si="85"/>
        <v/>
      </c>
      <c r="N393" s="132" t="str">
        <f t="shared" si="91"/>
        <v/>
      </c>
      <c r="O393" s="132" t="str">
        <f t="shared" si="86"/>
        <v/>
      </c>
      <c r="P393" s="141">
        <f>(SUM($Q$142:Q393)-SUM($H$141:H393))/SUM($H$141:H393)</f>
        <v>0.454334410813988</v>
      </c>
      <c r="Q393" s="142">
        <f t="shared" si="102"/>
        <v>1215</v>
      </c>
      <c r="R393" s="142">
        <f t="shared" si="99"/>
        <v>17660</v>
      </c>
      <c r="S393" s="133">
        <f t="shared" si="92"/>
        <v>30.7017543859649</v>
      </c>
      <c r="T393" s="134">
        <f>INT(SUM($W$141:W393)/3)+1</f>
        <v>47</v>
      </c>
      <c r="U393" s="135" t="str">
        <f t="shared" si="87"/>
        <v/>
      </c>
      <c r="V393" s="67" t="s">
        <v>168</v>
      </c>
      <c r="W393" s="137" t="str">
        <f t="shared" si="93"/>
        <v/>
      </c>
      <c r="X393" s="137" t="str">
        <f t="shared" si="88"/>
        <v/>
      </c>
      <c r="Y393" s="138"/>
      <c r="Z393" s="138">
        <v>2</v>
      </c>
      <c r="AA393" s="138">
        <v>3</v>
      </c>
      <c r="AB393" s="138" t="str">
        <f t="shared" si="97"/>
        <v>{10000,9000,8000}</v>
      </c>
      <c r="AC393" s="138">
        <v>1000</v>
      </c>
      <c r="AD393" s="138">
        <v>4000</v>
      </c>
      <c r="AE393" s="138">
        <f>SUM($R$141:$R393)+SUM($X$141:$X393)</f>
        <v>3590550</v>
      </c>
      <c r="AF393" s="138">
        <f>SUM($Q$142:Q393)</f>
        <v>148473</v>
      </c>
      <c r="AG393" s="137">
        <f t="shared" si="94"/>
        <v>4035969</v>
      </c>
      <c r="AH393" s="139">
        <f>SUM($S$141:S393)</f>
        <v>3145.78359969944</v>
      </c>
      <c r="AI393" s="133">
        <f t="shared" si="95"/>
        <v>15.3508771929825</v>
      </c>
      <c r="AJ393" s="15">
        <f t="shared" si="96"/>
        <v>1326600</v>
      </c>
      <c r="AL393" s="15">
        <v>253</v>
      </c>
      <c r="AM393" s="15">
        <f t="shared" si="89"/>
        <v>321110</v>
      </c>
      <c r="AN393" s="15">
        <f>SUMIF([1]装备属性!$M$571:$M$870,"&lt;="&amp;AL393,[1]装备属性!$Q$571:$Q$870)</f>
        <v>192517.104787715</v>
      </c>
      <c r="AO393" s="15">
        <f t="shared" si="90"/>
        <v>1.66795568816642</v>
      </c>
    </row>
    <row r="394" ht="18" spans="1:41">
      <c r="A394" s="9" t="str">
        <f>SUBSTITUTE(A393,"队长伤害","队长技能冷却")</f>
        <v>队长攻击力+140\n队长技能冷却+5%</v>
      </c>
      <c r="B394" s="9" t="str">
        <f t="shared" si="79"/>
        <v>[{5205001,3},{2,}]</v>
      </c>
      <c r="C394" s="51" t="str">
        <f t="shared" si="80"/>
        <v>[{5203001,1225},{2,17800}]</v>
      </c>
      <c r="D394" s="140">
        <v>254</v>
      </c>
      <c r="E394" s="130">
        <f t="shared" si="81"/>
        <v>3177</v>
      </c>
      <c r="F394" s="130">
        <f t="shared" si="100"/>
        <v>940</v>
      </c>
      <c r="G394" s="130">
        <v>300</v>
      </c>
      <c r="H394" s="130">
        <f t="shared" si="101"/>
        <v>0</v>
      </c>
      <c r="I394" s="130">
        <f>IF(COUNTIF($I$141:$I393,$I393)=VLOOKUP($I393,$D$90:$E$120,2,0),$I393+1,$I393)</f>
        <v>24</v>
      </c>
      <c r="J394" s="131">
        <f t="shared" si="82"/>
        <v>140</v>
      </c>
      <c r="K394" s="132" t="str">
        <f t="shared" si="83"/>
        <v/>
      </c>
      <c r="L394" s="132" t="str">
        <f t="shared" si="84"/>
        <v/>
      </c>
      <c r="M394" s="132" t="str">
        <f t="shared" si="85"/>
        <v/>
      </c>
      <c r="N394" s="132">
        <f t="shared" si="91"/>
        <v>0.0075</v>
      </c>
      <c r="O394" s="132" t="str">
        <f t="shared" si="86"/>
        <v/>
      </c>
      <c r="P394" s="141">
        <f>(SUM($Q$142:Q394)-SUM($H$141:H394))/SUM($H$141:H394)</f>
        <v>0.466284650798315</v>
      </c>
      <c r="Q394" s="142">
        <f t="shared" si="102"/>
        <v>1220</v>
      </c>
      <c r="R394" s="142">
        <f t="shared" si="99"/>
        <v>17730</v>
      </c>
      <c r="S394" s="133">
        <f t="shared" si="92"/>
        <v>30.8235867446394</v>
      </c>
      <c r="T394" s="134">
        <f>INT(SUM($W$141:W394)/3)+1</f>
        <v>47</v>
      </c>
      <c r="U394" s="135" t="str">
        <f t="shared" si="87"/>
        <v/>
      </c>
      <c r="V394" s="67" t="s">
        <v>168</v>
      </c>
      <c r="W394" s="137" t="str">
        <f t="shared" si="93"/>
        <v/>
      </c>
      <c r="X394" s="137" t="str">
        <f t="shared" si="88"/>
        <v/>
      </c>
      <c r="Y394" s="138"/>
      <c r="Z394" s="138">
        <v>2</v>
      </c>
      <c r="AA394" s="138">
        <v>3</v>
      </c>
      <c r="AB394" s="138" t="str">
        <f t="shared" si="97"/>
        <v>{10000,9000,8000}</v>
      </c>
      <c r="AC394" s="138">
        <v>1000</v>
      </c>
      <c r="AD394" s="138">
        <v>4000</v>
      </c>
      <c r="AE394" s="138">
        <f>SUM($R$141:$R394)+SUM($X$141:$X394)</f>
        <v>3608280</v>
      </c>
      <c r="AF394" s="138">
        <f>SUM($Q$142:Q394)</f>
        <v>149693</v>
      </c>
      <c r="AG394" s="137">
        <f t="shared" si="94"/>
        <v>4057359</v>
      </c>
      <c r="AH394" s="139">
        <f>SUM($S$141:S394)</f>
        <v>3176.60718644408</v>
      </c>
      <c r="AI394" s="133">
        <f t="shared" si="95"/>
        <v>15.4117933723197</v>
      </c>
      <c r="AJ394" s="15">
        <f t="shared" si="96"/>
        <v>1331700</v>
      </c>
      <c r="AL394" s="15">
        <v>254</v>
      </c>
      <c r="AM394" s="15">
        <f t="shared" si="89"/>
        <v>321110</v>
      </c>
      <c r="AN394" s="15">
        <f>SUMIF([1]装备属性!$M$571:$M$870,"&lt;="&amp;AL394,[1]装备属性!$Q$571:$Q$870)</f>
        <v>192517.104787715</v>
      </c>
      <c r="AO394" s="15">
        <f t="shared" si="90"/>
        <v>1.66795568816642</v>
      </c>
    </row>
    <row r="395" ht="18" spans="1:41">
      <c r="A395" s="9" t="s">
        <v>275</v>
      </c>
      <c r="B395" s="9" t="str">
        <f t="shared" si="79"/>
        <v>[{5205001,3},{2,}]</v>
      </c>
      <c r="C395" s="51" t="str">
        <f t="shared" si="80"/>
        <v>[{5203001,1230},{2,17870}]</v>
      </c>
      <c r="D395" s="140">
        <v>255</v>
      </c>
      <c r="E395" s="130">
        <f t="shared" si="81"/>
        <v>3208</v>
      </c>
      <c r="F395" s="130">
        <f t="shared" si="100"/>
        <v>945</v>
      </c>
      <c r="G395" s="130">
        <v>300</v>
      </c>
      <c r="H395" s="130">
        <f t="shared" si="101"/>
        <v>0</v>
      </c>
      <c r="I395" s="130">
        <f>IF(COUNTIF($I$141:$I394,$I394)=VLOOKUP($I394,$D$90:$E$120,2,0),$I394+1,$I394)</f>
        <v>24</v>
      </c>
      <c r="J395" s="131">
        <f t="shared" si="82"/>
        <v>140</v>
      </c>
      <c r="K395" s="132" t="str">
        <f t="shared" si="83"/>
        <v/>
      </c>
      <c r="L395" s="132" t="str">
        <f t="shared" si="84"/>
        <v/>
      </c>
      <c r="M395" s="132">
        <f t="shared" si="85"/>
        <v>0.002</v>
      </c>
      <c r="N395" s="132" t="str">
        <f t="shared" si="91"/>
        <v/>
      </c>
      <c r="O395" s="132" t="str">
        <f t="shared" si="86"/>
        <v/>
      </c>
      <c r="P395" s="141">
        <f>(SUM($Q$142:Q395)-SUM($H$141:H395))/SUM($H$141:H395)</f>
        <v>0.478283867176021</v>
      </c>
      <c r="Q395" s="142">
        <f t="shared" si="102"/>
        <v>1225</v>
      </c>
      <c r="R395" s="142">
        <f t="shared" si="99"/>
        <v>17800</v>
      </c>
      <c r="S395" s="133">
        <f t="shared" si="92"/>
        <v>30.9454191033138</v>
      </c>
      <c r="T395" s="134">
        <f>INT(SUM($W$141:W395)/3)+1</f>
        <v>47</v>
      </c>
      <c r="U395" s="135" t="str">
        <f t="shared" si="87"/>
        <v/>
      </c>
      <c r="V395" s="67" t="s">
        <v>168</v>
      </c>
      <c r="W395" s="137" t="str">
        <f t="shared" si="93"/>
        <v/>
      </c>
      <c r="X395" s="137" t="str">
        <f t="shared" si="88"/>
        <v/>
      </c>
      <c r="Y395" s="138"/>
      <c r="Z395" s="138">
        <v>2</v>
      </c>
      <c r="AA395" s="138">
        <v>3</v>
      </c>
      <c r="AB395" s="138" t="str">
        <f t="shared" si="97"/>
        <v>{10000,9000,8000}</v>
      </c>
      <c r="AC395" s="138">
        <v>1000</v>
      </c>
      <c r="AD395" s="138">
        <v>4000</v>
      </c>
      <c r="AE395" s="138">
        <f>SUM($R$141:$R395)+SUM($X$141:$X395)</f>
        <v>3626080</v>
      </c>
      <c r="AF395" s="138">
        <f>SUM($Q$142:Q395)</f>
        <v>150918</v>
      </c>
      <c r="AG395" s="137">
        <f t="shared" si="94"/>
        <v>4078834</v>
      </c>
      <c r="AH395" s="139">
        <f>SUM($S$141:S395)</f>
        <v>3207.5526055474</v>
      </c>
      <c r="AI395" s="133">
        <f t="shared" si="95"/>
        <v>15.4727095516569</v>
      </c>
      <c r="AJ395" s="15">
        <f t="shared" si="96"/>
        <v>1337100</v>
      </c>
      <c r="AL395" s="15">
        <v>255</v>
      </c>
      <c r="AM395" s="15">
        <f t="shared" si="89"/>
        <v>321110</v>
      </c>
      <c r="AN395" s="15">
        <f>SUMIF([1]装备属性!$M$571:$M$870,"&lt;="&amp;AL395,[1]装备属性!$Q$571:$Q$870)</f>
        <v>192517.104787715</v>
      </c>
      <c r="AO395" s="15">
        <f t="shared" si="90"/>
        <v>1.66795568816642</v>
      </c>
    </row>
    <row r="396" ht="18" spans="1:41">
      <c r="A396" s="9" t="s">
        <v>276</v>
      </c>
      <c r="B396" s="9" t="str">
        <f t="shared" si="79"/>
        <v>[{5205001,3},{2,71480}]</v>
      </c>
      <c r="C396" s="51" t="str">
        <f t="shared" si="80"/>
        <v>[{5203001,1235},{2,17940}]</v>
      </c>
      <c r="D396" s="140">
        <v>256</v>
      </c>
      <c r="E396" s="130">
        <f t="shared" si="81"/>
        <v>3239</v>
      </c>
      <c r="F396" s="130">
        <f t="shared" si="100"/>
        <v>950</v>
      </c>
      <c r="G396" s="130">
        <v>300</v>
      </c>
      <c r="H396" s="130">
        <f t="shared" si="101"/>
        <v>0</v>
      </c>
      <c r="I396" s="130">
        <f>IF(COUNTIF($I$141:$I395,$I395)=VLOOKUP($I395,$D$90:$E$120,2,0),$I395+1,$I395)</f>
        <v>24</v>
      </c>
      <c r="J396" s="131">
        <f t="shared" si="82"/>
        <v>140</v>
      </c>
      <c r="K396" s="132" t="str">
        <f t="shared" si="83"/>
        <v/>
      </c>
      <c r="L396" s="132">
        <f t="shared" si="84"/>
        <v>0.03</v>
      </c>
      <c r="M396" s="132" t="str">
        <f t="shared" si="85"/>
        <v/>
      </c>
      <c r="N396" s="132" t="str">
        <f t="shared" si="91"/>
        <v/>
      </c>
      <c r="O396" s="132" t="str">
        <f t="shared" si="86"/>
        <v/>
      </c>
      <c r="P396" s="141">
        <f>(SUM($Q$142:Q396)-SUM($H$141:H396))/SUM($H$141:H396)</f>
        <v>0.490332059947105</v>
      </c>
      <c r="Q396" s="142">
        <f t="shared" si="102"/>
        <v>1230</v>
      </c>
      <c r="R396" s="142">
        <f t="shared" si="99"/>
        <v>17870</v>
      </c>
      <c r="S396" s="133">
        <f t="shared" si="92"/>
        <v>31.0672514619883</v>
      </c>
      <c r="T396" s="134">
        <f>INT(SUM($W$141:W396)/3)+1</f>
        <v>48</v>
      </c>
      <c r="U396" s="135" t="str">
        <f t="shared" si="87"/>
        <v/>
      </c>
      <c r="V396" s="67" t="s">
        <v>91</v>
      </c>
      <c r="W396" s="137">
        <f t="shared" si="93"/>
        <v>3</v>
      </c>
      <c r="X396" s="137">
        <f t="shared" si="88"/>
        <v>71480</v>
      </c>
      <c r="Y396" s="138"/>
      <c r="Z396" s="138">
        <v>2</v>
      </c>
      <c r="AA396" s="138">
        <v>3</v>
      </c>
      <c r="AB396" s="138" t="str">
        <f t="shared" si="97"/>
        <v>{10000,9000,8000}</v>
      </c>
      <c r="AC396" s="138">
        <v>1000</v>
      </c>
      <c r="AD396" s="138">
        <v>4000</v>
      </c>
      <c r="AE396" s="138">
        <f>SUM($R$141:$R396)+SUM($X$141:$X396)</f>
        <v>3715430</v>
      </c>
      <c r="AF396" s="138">
        <f>SUM($Q$142:Q396)</f>
        <v>152148</v>
      </c>
      <c r="AG396" s="137">
        <f t="shared" si="94"/>
        <v>4171874</v>
      </c>
      <c r="AH396" s="139">
        <f>SUM($S$141:S396)</f>
        <v>3238.61985700938</v>
      </c>
      <c r="AI396" s="133">
        <f t="shared" si="95"/>
        <v>15.5336257309942</v>
      </c>
      <c r="AJ396" s="15">
        <f t="shared" si="96"/>
        <v>1342200</v>
      </c>
      <c r="AL396" s="15">
        <v>256</v>
      </c>
      <c r="AM396" s="15">
        <f t="shared" si="89"/>
        <v>321110</v>
      </c>
      <c r="AN396" s="15">
        <f>SUMIF([1]装备属性!$M$571:$M$870,"&lt;="&amp;AL396,[1]装备属性!$Q$571:$Q$870)</f>
        <v>192517.104787715</v>
      </c>
      <c r="AO396" s="15">
        <f t="shared" si="90"/>
        <v>1.66795568816642</v>
      </c>
    </row>
    <row r="397" ht="18" spans="1:41">
      <c r="A397" s="9" t="s">
        <v>273</v>
      </c>
      <c r="B397" s="9" t="str">
        <f t="shared" si="79"/>
        <v>[{5205001,3},{2,}]</v>
      </c>
      <c r="C397" s="51" t="str">
        <f t="shared" si="80"/>
        <v>[{5203001,1240},{2,18010}]</v>
      </c>
      <c r="D397" s="140">
        <v>257</v>
      </c>
      <c r="E397" s="130">
        <f t="shared" si="81"/>
        <v>3270</v>
      </c>
      <c r="F397" s="130">
        <f t="shared" si="100"/>
        <v>955</v>
      </c>
      <c r="G397" s="130">
        <v>300</v>
      </c>
      <c r="H397" s="130">
        <f t="shared" si="101"/>
        <v>0</v>
      </c>
      <c r="I397" s="130">
        <f>IF(COUNTIF($I$141:$I396,$I396)=VLOOKUP($I396,$D$90:$E$120,2,0),$I396+1,$I396)</f>
        <v>24</v>
      </c>
      <c r="J397" s="131">
        <f t="shared" si="82"/>
        <v>140</v>
      </c>
      <c r="K397" s="132">
        <f t="shared" si="83"/>
        <v>0.05</v>
      </c>
      <c r="L397" s="132" t="str">
        <f t="shared" si="84"/>
        <v/>
      </c>
      <c r="M397" s="132" t="str">
        <f t="shared" si="85"/>
        <v/>
      </c>
      <c r="N397" s="132" t="str">
        <f t="shared" si="91"/>
        <v/>
      </c>
      <c r="O397" s="132" t="str">
        <f t="shared" si="86"/>
        <v/>
      </c>
      <c r="P397" s="141">
        <f>(SUM($Q$142:Q397)-SUM($H$141:H397))/SUM($H$141:H397)</f>
        <v>0.502429229111568</v>
      </c>
      <c r="Q397" s="142">
        <f t="shared" si="102"/>
        <v>1235</v>
      </c>
      <c r="R397" s="142">
        <f t="shared" si="99"/>
        <v>17940</v>
      </c>
      <c r="S397" s="133">
        <f t="shared" si="92"/>
        <v>31.1890838206628</v>
      </c>
      <c r="T397" s="134">
        <f>INT(SUM($W$141:W397)/3)+1</f>
        <v>48</v>
      </c>
      <c r="U397" s="135" t="str">
        <f t="shared" si="87"/>
        <v/>
      </c>
      <c r="V397" s="67" t="s">
        <v>168</v>
      </c>
      <c r="W397" s="137" t="str">
        <f t="shared" si="93"/>
        <v/>
      </c>
      <c r="X397" s="137" t="str">
        <f t="shared" si="88"/>
        <v/>
      </c>
      <c r="Y397" s="138"/>
      <c r="Z397" s="138">
        <v>2</v>
      </c>
      <c r="AA397" s="138">
        <v>3</v>
      </c>
      <c r="AB397" s="138" t="str">
        <f t="shared" si="97"/>
        <v>{10000,9000,8000}</v>
      </c>
      <c r="AC397" s="138">
        <v>1000</v>
      </c>
      <c r="AD397" s="138">
        <v>4000</v>
      </c>
      <c r="AE397" s="138">
        <f>SUM($R$141:$R397)+SUM($X$141:$X397)</f>
        <v>3733370</v>
      </c>
      <c r="AF397" s="138">
        <f>SUM($Q$142:Q397)</f>
        <v>153383</v>
      </c>
      <c r="AG397" s="137">
        <f t="shared" si="94"/>
        <v>4193519</v>
      </c>
      <c r="AH397" s="139">
        <f>SUM($S$141:S397)</f>
        <v>3269.80894083005</v>
      </c>
      <c r="AI397" s="133">
        <f t="shared" si="95"/>
        <v>15.5945419103314</v>
      </c>
      <c r="AJ397" s="15">
        <f t="shared" si="96"/>
        <v>1347600</v>
      </c>
      <c r="AL397" s="15">
        <v>257</v>
      </c>
      <c r="AM397" s="15">
        <f t="shared" si="89"/>
        <v>321110</v>
      </c>
      <c r="AN397" s="15">
        <f>SUMIF([1]装备属性!$M$571:$M$870,"&lt;="&amp;AL397,[1]装备属性!$Q$571:$Q$870)</f>
        <v>192517.104787715</v>
      </c>
      <c r="AO397" s="15">
        <f t="shared" si="90"/>
        <v>1.66795568816642</v>
      </c>
    </row>
    <row r="398" ht="18" spans="1:41">
      <c r="A398" s="9" t="s">
        <v>274</v>
      </c>
      <c r="B398" s="9" t="str">
        <f t="shared" ref="B398:B461" si="103">"[{5205001,3},{2,"&amp;X398&amp;"}]"</f>
        <v>[{5205001,3},{2,}]</v>
      </c>
      <c r="C398" s="51" t="str">
        <f t="shared" ref="C398:C461" si="104">"[{5203001,"&amp;Q399&amp;"},{2,"&amp;R399&amp;"}]"</f>
        <v>[{5203001,1245},{2,18080}]</v>
      </c>
      <c r="D398" s="140">
        <v>258</v>
      </c>
      <c r="E398" s="130">
        <f t="shared" ref="E398:E461" si="105">INT(AH398)+1</f>
        <v>3302</v>
      </c>
      <c r="F398" s="130">
        <f t="shared" si="100"/>
        <v>960</v>
      </c>
      <c r="G398" s="130">
        <v>300</v>
      </c>
      <c r="H398" s="130">
        <f t="shared" si="101"/>
        <v>0</v>
      </c>
      <c r="I398" s="130">
        <f>IF(COUNTIF($I$141:$I397,$I397)=VLOOKUP($I397,$D$90:$E$120,2,0),$I397+1,$I397)</f>
        <v>24</v>
      </c>
      <c r="J398" s="131">
        <f t="shared" ref="J398:J461" si="106">--SUBSTITUTE(LEFT(A398,FIND("\",A398)-1),"队长攻击力+","")</f>
        <v>140</v>
      </c>
      <c r="K398" s="132" t="str">
        <f t="shared" ref="K398:K461" si="107">IFERROR(IF(FIND(K$140,$A398)&gt;0,5%,0%),"")</f>
        <v/>
      </c>
      <c r="L398" s="132" t="str">
        <f t="shared" ref="L398:L461" si="108">IFERROR(IF(FIND(L$140,$A398)&gt;0,3%,0%),"")</f>
        <v/>
      </c>
      <c r="M398" s="132" t="str">
        <f t="shared" ref="M398:M461" si="109">IFERROR(IF(FIND(M$140,$A398)&gt;0,0.2%,0%),"")</f>
        <v/>
      </c>
      <c r="N398" s="132">
        <f t="shared" si="91"/>
        <v>0.0075</v>
      </c>
      <c r="O398" s="132" t="str">
        <f t="shared" ref="O398:O461" si="110">IFERROR(IF(FIND(O$140,$A398)&gt;0,5%,0%),"")</f>
        <v/>
      </c>
      <c r="P398" s="141">
        <f>(SUM($Q$142:Q398)-SUM($H$141:H398))/SUM($H$141:H398)</f>
        <v>0.514575374669409</v>
      </c>
      <c r="Q398" s="142">
        <f t="shared" si="102"/>
        <v>1240</v>
      </c>
      <c r="R398" s="142">
        <f t="shared" si="99"/>
        <v>18010</v>
      </c>
      <c r="S398" s="133">
        <f t="shared" si="92"/>
        <v>31.3109161793372</v>
      </c>
      <c r="T398" s="134">
        <f>INT(SUM($W$141:W398)/3)+1</f>
        <v>48</v>
      </c>
      <c r="U398" s="135" t="str">
        <f t="shared" ref="U398:U461" si="111">IFERROR(IF(FIND("攻击",V398)&gt;0,SUBSTITUTE(V398,"攻击+",""),""),"")</f>
        <v/>
      </c>
      <c r="V398" s="67" t="s">
        <v>168</v>
      </c>
      <c r="W398" s="137" t="str">
        <f t="shared" si="93"/>
        <v/>
      </c>
      <c r="X398" s="137" t="str">
        <f t="shared" ref="X398:X461" si="112">IFERROR(IF(W398="","",R398*4),"")</f>
        <v/>
      </c>
      <c r="Y398" s="138"/>
      <c r="Z398" s="138">
        <v>2</v>
      </c>
      <c r="AA398" s="138">
        <v>3</v>
      </c>
      <c r="AB398" s="138" t="str">
        <f t="shared" si="97"/>
        <v>{10000,9000,8000}</v>
      </c>
      <c r="AC398" s="138">
        <v>1000</v>
      </c>
      <c r="AD398" s="138">
        <v>4000</v>
      </c>
      <c r="AE398" s="138">
        <f>SUM($R$141:$R398)+SUM($X$141:$X398)</f>
        <v>3751380</v>
      </c>
      <c r="AF398" s="138">
        <f>SUM($Q$142:Q398)</f>
        <v>154623</v>
      </c>
      <c r="AG398" s="137">
        <f t="shared" si="94"/>
        <v>4215249</v>
      </c>
      <c r="AH398" s="139">
        <f>SUM($S$141:S398)</f>
        <v>3301.11985700938</v>
      </c>
      <c r="AI398" s="133">
        <f t="shared" si="95"/>
        <v>15.6554580896686</v>
      </c>
      <c r="AJ398" s="15">
        <f t="shared" si="96"/>
        <v>1352700</v>
      </c>
      <c r="AL398" s="15">
        <v>258</v>
      </c>
      <c r="AM398" s="15">
        <f t="shared" ref="AM398:AM440" si="113">SUMIF($E$141:$E$500,"&lt;="&amp;AL398,$R$141:$R$500)</f>
        <v>321110</v>
      </c>
      <c r="AN398" s="15">
        <f>SUMIF([1]装备属性!$M$571:$M$870,"&lt;="&amp;AL398,[1]装备属性!$Q$571:$Q$870)</f>
        <v>192517.104787715</v>
      </c>
      <c r="AO398" s="15">
        <f t="shared" ref="AO398:AO440" si="114">AM398/AN398</f>
        <v>1.66795568816642</v>
      </c>
    </row>
    <row r="399" ht="18" spans="1:41">
      <c r="A399" s="9" t="s">
        <v>275</v>
      </c>
      <c r="B399" s="9" t="str">
        <f t="shared" si="103"/>
        <v>[{5205001,3},{2,}]</v>
      </c>
      <c r="C399" s="51" t="str">
        <f t="shared" si="104"/>
        <v>[{5203001,1250},{2,18150}]</v>
      </c>
      <c r="D399" s="140">
        <v>259</v>
      </c>
      <c r="E399" s="130">
        <f t="shared" si="105"/>
        <v>3333</v>
      </c>
      <c r="F399" s="130">
        <f t="shared" si="100"/>
        <v>965</v>
      </c>
      <c r="G399" s="130">
        <v>300</v>
      </c>
      <c r="H399" s="130">
        <f t="shared" si="101"/>
        <v>0</v>
      </c>
      <c r="I399" s="130">
        <f>IF(COUNTIF($I$141:$I398,$I398)=VLOOKUP($I398,$D$90:$E$120,2,0),$I398+1,$I398)</f>
        <v>24</v>
      </c>
      <c r="J399" s="131">
        <f t="shared" si="106"/>
        <v>140</v>
      </c>
      <c r="K399" s="132" t="str">
        <f t="shared" si="107"/>
        <v/>
      </c>
      <c r="L399" s="132" t="str">
        <f t="shared" si="108"/>
        <v/>
      </c>
      <c r="M399" s="132">
        <f t="shared" si="109"/>
        <v>0.002</v>
      </c>
      <c r="N399" s="132" t="str">
        <f t="shared" ref="N399:N462" si="115">IFERROR(IF(FIND(N$140,$A399)&gt;0,$N$137,0%),IF(O399="","",$N$137))</f>
        <v/>
      </c>
      <c r="O399" s="132" t="str">
        <f t="shared" si="110"/>
        <v/>
      </c>
      <c r="P399" s="141">
        <f>(SUM($Q$142:Q399)-SUM($H$141:H399))/SUM($H$141:H399)</f>
        <v>0.526770496620629</v>
      </c>
      <c r="Q399" s="142">
        <f t="shared" si="102"/>
        <v>1245</v>
      </c>
      <c r="R399" s="142">
        <f t="shared" si="99"/>
        <v>18080</v>
      </c>
      <c r="S399" s="133">
        <f t="shared" ref="S399:S462" si="116">MAX(VLOOKUP(I399,$D$91:$J$120,6,0)*($D398)/(SUMIF($I$141:$I$500,$I399,$D$141:$D$500))*$E$83/24,IF(ISNUMBER(S398),S398+0.0007,0))</f>
        <v>31.4327485380117</v>
      </c>
      <c r="T399" s="134">
        <f>INT(SUM($W$141:W399)/3)+1</f>
        <v>48</v>
      </c>
      <c r="U399" s="135" t="str">
        <f t="shared" si="111"/>
        <v/>
      </c>
      <c r="V399" s="67" t="s">
        <v>168</v>
      </c>
      <c r="W399" s="137" t="str">
        <f t="shared" ref="W399:W462" si="117">IF(U399&amp;V399="","",3)</f>
        <v/>
      </c>
      <c r="X399" s="137" t="str">
        <f t="shared" si="112"/>
        <v/>
      </c>
      <c r="Y399" s="138"/>
      <c r="Z399" s="138">
        <v>2</v>
      </c>
      <c r="AA399" s="138">
        <v>3</v>
      </c>
      <c r="AB399" s="138" t="str">
        <f t="shared" si="97"/>
        <v>{10000,9000,8000}</v>
      </c>
      <c r="AC399" s="138">
        <v>1000</v>
      </c>
      <c r="AD399" s="138">
        <v>4000</v>
      </c>
      <c r="AE399" s="138">
        <f>SUM($R$141:$R399)+SUM($X$141:$X399)</f>
        <v>3769460</v>
      </c>
      <c r="AF399" s="138">
        <f>SUM($Q$142:Q399)</f>
        <v>155868</v>
      </c>
      <c r="AG399" s="137">
        <f t="shared" ref="AG399:AG462" si="118">AF399*3+AE399</f>
        <v>4237064</v>
      </c>
      <c r="AH399" s="139">
        <f>SUM($S$141:S399)</f>
        <v>3332.5526055474</v>
      </c>
      <c r="AI399" s="133">
        <f t="shared" ref="AI399:AI462" si="119">S399/2</f>
        <v>15.7163742690058</v>
      </c>
      <c r="AJ399" s="15">
        <f t="shared" ref="AJ399:AJ462" si="120">CEILING(AI399*3600*24,300)</f>
        <v>1358100</v>
      </c>
      <c r="AL399" s="15">
        <v>259</v>
      </c>
      <c r="AM399" s="15">
        <f t="shared" si="113"/>
        <v>327850</v>
      </c>
      <c r="AN399" s="15">
        <f>SUMIF([1]装备属性!$M$571:$M$870,"&lt;="&amp;AL399,[1]装备属性!$Q$571:$Q$870)</f>
        <v>192517.104787715</v>
      </c>
      <c r="AO399" s="15">
        <f t="shared" si="114"/>
        <v>1.70296556434045</v>
      </c>
    </row>
    <row r="400" ht="18" spans="1:41">
      <c r="A400" s="9" t="s">
        <v>276</v>
      </c>
      <c r="B400" s="9" t="str">
        <f t="shared" si="103"/>
        <v>[{5205001,3},{2,}]</v>
      </c>
      <c r="C400" s="51" t="str">
        <f t="shared" si="104"/>
        <v>[{5203001,1255},{2,18220}]</v>
      </c>
      <c r="D400" s="140">
        <v>260</v>
      </c>
      <c r="E400" s="130">
        <f t="shared" si="105"/>
        <v>3365</v>
      </c>
      <c r="F400" s="130">
        <f t="shared" si="100"/>
        <v>970</v>
      </c>
      <c r="G400" s="130">
        <v>300</v>
      </c>
      <c r="H400" s="130">
        <f t="shared" si="101"/>
        <v>0</v>
      </c>
      <c r="I400" s="130">
        <f>IF(COUNTIF($I$141:$I399,$I399)=VLOOKUP($I399,$D$90:$E$120,2,0),$I399+1,$I399)</f>
        <v>24</v>
      </c>
      <c r="J400" s="131">
        <f t="shared" si="106"/>
        <v>140</v>
      </c>
      <c r="K400" s="132" t="str">
        <f t="shared" si="107"/>
        <v/>
      </c>
      <c r="L400" s="132">
        <f t="shared" si="108"/>
        <v>0.03</v>
      </c>
      <c r="M400" s="132" t="str">
        <f t="shared" si="109"/>
        <v/>
      </c>
      <c r="N400" s="132" t="str">
        <f t="shared" si="115"/>
        <v/>
      </c>
      <c r="O400" s="132" t="str">
        <f t="shared" si="110"/>
        <v/>
      </c>
      <c r="P400" s="141">
        <f>(SUM($Q$142:Q400)-SUM($H$141:H400))/SUM($H$141:H400)</f>
        <v>0.539014594965227</v>
      </c>
      <c r="Q400" s="142">
        <f t="shared" si="102"/>
        <v>1250</v>
      </c>
      <c r="R400" s="142">
        <f t="shared" si="99"/>
        <v>18150</v>
      </c>
      <c r="S400" s="133">
        <f t="shared" si="116"/>
        <v>31.5545808966862</v>
      </c>
      <c r="T400" s="134">
        <f>INT(SUM($W$141:W400)/3)+1</f>
        <v>48</v>
      </c>
      <c r="U400" s="135" t="str">
        <f t="shared" si="111"/>
        <v/>
      </c>
      <c r="V400" s="67" t="s">
        <v>168</v>
      </c>
      <c r="W400" s="137" t="str">
        <f t="shared" si="117"/>
        <v/>
      </c>
      <c r="X400" s="137" t="str">
        <f t="shared" si="112"/>
        <v/>
      </c>
      <c r="Y400" s="138"/>
      <c r="Z400" s="138">
        <v>2</v>
      </c>
      <c r="AA400" s="138">
        <v>3</v>
      </c>
      <c r="AB400" s="138" t="str">
        <f t="shared" si="97"/>
        <v>{10000,9000,8000}</v>
      </c>
      <c r="AC400" s="138">
        <v>1000</v>
      </c>
      <c r="AD400" s="138">
        <v>4000</v>
      </c>
      <c r="AE400" s="138">
        <f>SUM($R$141:$R400)+SUM($X$141:$X400)</f>
        <v>3787610</v>
      </c>
      <c r="AF400" s="138">
        <f>SUM($Q$142:Q400)</f>
        <v>157118</v>
      </c>
      <c r="AG400" s="137">
        <f t="shared" si="118"/>
        <v>4258964</v>
      </c>
      <c r="AH400" s="139">
        <f>SUM($S$141:S400)</f>
        <v>3364.10718644408</v>
      </c>
      <c r="AI400" s="133">
        <f t="shared" si="119"/>
        <v>15.7772904483431</v>
      </c>
      <c r="AJ400" s="15">
        <f t="shared" si="120"/>
        <v>1363200</v>
      </c>
      <c r="AL400" s="15">
        <v>260</v>
      </c>
      <c r="AM400" s="15">
        <f t="shared" si="113"/>
        <v>327850</v>
      </c>
      <c r="AN400" s="15">
        <f>SUMIF([1]装备属性!$M$571:$M$870,"&lt;="&amp;AL400,[1]装备属性!$Q$571:$Q$870)</f>
        <v>192517.104787715</v>
      </c>
      <c r="AO400" s="15">
        <f t="shared" si="114"/>
        <v>1.70296556434045</v>
      </c>
    </row>
    <row r="401" ht="18" spans="1:41">
      <c r="A401" s="9" t="s">
        <v>273</v>
      </c>
      <c r="B401" s="9" t="str">
        <f t="shared" si="103"/>
        <v>[{5205001,3},{2,}]</v>
      </c>
      <c r="C401" s="51" t="str">
        <f t="shared" si="104"/>
        <v>[{5203001,1260},{2,18290}]</v>
      </c>
      <c r="D401" s="140">
        <v>261</v>
      </c>
      <c r="E401" s="130">
        <f t="shared" si="105"/>
        <v>3396</v>
      </c>
      <c r="F401" s="130">
        <f t="shared" si="100"/>
        <v>975</v>
      </c>
      <c r="G401" s="130">
        <v>300</v>
      </c>
      <c r="H401" s="130">
        <f t="shared" si="101"/>
        <v>0</v>
      </c>
      <c r="I401" s="130">
        <f>IF(COUNTIF($I$141:$I400,$I400)=VLOOKUP($I400,$D$90:$E$120,2,0),$I400+1,$I400)</f>
        <v>24</v>
      </c>
      <c r="J401" s="131">
        <f t="shared" si="106"/>
        <v>140</v>
      </c>
      <c r="K401" s="132">
        <f t="shared" si="107"/>
        <v>0.05</v>
      </c>
      <c r="L401" s="132" t="str">
        <f t="shared" si="108"/>
        <v/>
      </c>
      <c r="M401" s="132" t="str">
        <f t="shared" si="109"/>
        <v/>
      </c>
      <c r="N401" s="132" t="str">
        <f t="shared" si="115"/>
        <v/>
      </c>
      <c r="O401" s="132" t="str">
        <f t="shared" si="110"/>
        <v/>
      </c>
      <c r="P401" s="141">
        <f>(SUM($Q$142:Q401)-SUM($H$141:H401))/SUM($H$141:H401)</f>
        <v>0.551307669703203</v>
      </c>
      <c r="Q401" s="142">
        <f t="shared" si="102"/>
        <v>1255</v>
      </c>
      <c r="R401" s="142">
        <f t="shared" si="99"/>
        <v>18220</v>
      </c>
      <c r="S401" s="133">
        <f t="shared" si="116"/>
        <v>31.6764132553606</v>
      </c>
      <c r="T401" s="134">
        <f>INT(SUM($W$141:W401)/3)+1</f>
        <v>48</v>
      </c>
      <c r="U401" s="135" t="str">
        <f t="shared" si="111"/>
        <v/>
      </c>
      <c r="V401" s="67" t="s">
        <v>168</v>
      </c>
      <c r="W401" s="137" t="str">
        <f t="shared" si="117"/>
        <v/>
      </c>
      <c r="X401" s="137" t="str">
        <f t="shared" si="112"/>
        <v/>
      </c>
      <c r="Y401" s="138"/>
      <c r="Z401" s="138">
        <v>2</v>
      </c>
      <c r="AA401" s="138">
        <v>3</v>
      </c>
      <c r="AB401" s="138" t="str">
        <f t="shared" ref="AB401:AB464" si="121">"{"&amp;6000+AD401&amp;","&amp;5000+AD401&amp;","&amp;4000+AD401&amp;"}"</f>
        <v>{10000,9000,8000}</v>
      </c>
      <c r="AC401" s="138">
        <v>1000</v>
      </c>
      <c r="AD401" s="138">
        <v>4000</v>
      </c>
      <c r="AE401" s="138">
        <f>SUM($R$141:$R401)+SUM($X$141:$X401)</f>
        <v>3805830</v>
      </c>
      <c r="AF401" s="138">
        <f>SUM($Q$142:Q401)</f>
        <v>158373</v>
      </c>
      <c r="AG401" s="137">
        <f t="shared" si="118"/>
        <v>4280949</v>
      </c>
      <c r="AH401" s="139">
        <f>SUM($S$141:S401)</f>
        <v>3395.78359969944</v>
      </c>
      <c r="AI401" s="133">
        <f t="shared" si="119"/>
        <v>15.8382066276803</v>
      </c>
      <c r="AJ401" s="15">
        <f t="shared" si="120"/>
        <v>1368600</v>
      </c>
      <c r="AL401" s="15">
        <v>261</v>
      </c>
      <c r="AM401" s="15">
        <f t="shared" si="113"/>
        <v>327850</v>
      </c>
      <c r="AN401" s="15">
        <f>SUMIF([1]装备属性!$M$571:$M$870,"&lt;="&amp;AL401,[1]装备属性!$Q$571:$Q$870)</f>
        <v>192517.104787715</v>
      </c>
      <c r="AO401" s="15">
        <f t="shared" si="114"/>
        <v>1.70296556434045</v>
      </c>
    </row>
    <row r="402" ht="18" spans="1:41">
      <c r="A402" s="9" t="str">
        <f>SUBSTITUTE(A401,"队长伤害","队长技能冷却")</f>
        <v>队长攻击力+140\n队长技能冷却+5%</v>
      </c>
      <c r="B402" s="9" t="str">
        <f t="shared" si="103"/>
        <v>[{5205001,3},{2,}]</v>
      </c>
      <c r="C402" s="51" t="str">
        <f t="shared" si="104"/>
        <v>[{5203001,1265},{2,18360}]</v>
      </c>
      <c r="D402" s="140">
        <v>262</v>
      </c>
      <c r="E402" s="130">
        <f t="shared" si="105"/>
        <v>3428</v>
      </c>
      <c r="F402" s="130">
        <f t="shared" si="100"/>
        <v>980</v>
      </c>
      <c r="G402" s="130">
        <v>300</v>
      </c>
      <c r="H402" s="130">
        <f t="shared" si="101"/>
        <v>0</v>
      </c>
      <c r="I402" s="130">
        <f>IF(COUNTIF($I$141:$I401,$I401)=VLOOKUP($I401,$D$90:$E$120,2,0),$I401+1,$I401)</f>
        <v>24</v>
      </c>
      <c r="J402" s="131">
        <f t="shared" si="106"/>
        <v>140</v>
      </c>
      <c r="K402" s="132" t="str">
        <f t="shared" si="107"/>
        <v/>
      </c>
      <c r="L402" s="132" t="str">
        <f t="shared" si="108"/>
        <v/>
      </c>
      <c r="M402" s="132" t="str">
        <f t="shared" si="109"/>
        <v/>
      </c>
      <c r="N402" s="132">
        <f t="shared" si="115"/>
        <v>0.0075</v>
      </c>
      <c r="O402" s="132" t="str">
        <f t="shared" si="110"/>
        <v/>
      </c>
      <c r="P402" s="141">
        <f>(SUM($Q$142:Q402)-SUM($H$141:H402))/SUM($H$141:H402)</f>
        <v>0.563649720834558</v>
      </c>
      <c r="Q402" s="142">
        <f t="shared" si="102"/>
        <v>1260</v>
      </c>
      <c r="R402" s="142">
        <f t="shared" si="99"/>
        <v>18290</v>
      </c>
      <c r="S402" s="133">
        <f t="shared" si="116"/>
        <v>31.7982456140351</v>
      </c>
      <c r="T402" s="134">
        <f>INT(SUM($W$141:W402)/3)+1</f>
        <v>48</v>
      </c>
      <c r="U402" s="135" t="str">
        <f t="shared" si="111"/>
        <v/>
      </c>
      <c r="V402" s="67" t="s">
        <v>168</v>
      </c>
      <c r="W402" s="137" t="str">
        <f t="shared" si="117"/>
        <v/>
      </c>
      <c r="X402" s="137" t="str">
        <f t="shared" si="112"/>
        <v/>
      </c>
      <c r="Y402" s="138"/>
      <c r="Z402" s="138">
        <v>2</v>
      </c>
      <c r="AA402" s="138">
        <v>3</v>
      </c>
      <c r="AB402" s="138" t="str">
        <f t="shared" si="121"/>
        <v>{10000,9000,8000}</v>
      </c>
      <c r="AC402" s="138">
        <v>1000</v>
      </c>
      <c r="AD402" s="138">
        <v>4000</v>
      </c>
      <c r="AE402" s="138">
        <f>SUM($R$141:$R402)+SUM($X$141:$X402)</f>
        <v>3824120</v>
      </c>
      <c r="AF402" s="138">
        <f>SUM($Q$142:Q402)</f>
        <v>159633</v>
      </c>
      <c r="AG402" s="137">
        <f t="shared" si="118"/>
        <v>4303019</v>
      </c>
      <c r="AH402" s="139">
        <f>SUM($S$141:S402)</f>
        <v>3427.58184531348</v>
      </c>
      <c r="AI402" s="133">
        <f t="shared" si="119"/>
        <v>15.8991228070175</v>
      </c>
      <c r="AJ402" s="15">
        <f t="shared" si="120"/>
        <v>1373700</v>
      </c>
      <c r="AL402" s="15">
        <v>262</v>
      </c>
      <c r="AM402" s="15">
        <f t="shared" si="113"/>
        <v>327850</v>
      </c>
      <c r="AN402" s="15">
        <f>SUMIF([1]装备属性!$M$571:$M$870,"&lt;="&amp;AL402,[1]装备属性!$Q$571:$Q$870)</f>
        <v>192517.104787715</v>
      </c>
      <c r="AO402" s="15">
        <f t="shared" si="114"/>
        <v>1.70296556434045</v>
      </c>
    </row>
    <row r="403" ht="18" spans="1:41">
      <c r="A403" s="9" t="s">
        <v>275</v>
      </c>
      <c r="B403" s="9" t="str">
        <f t="shared" si="103"/>
        <v>[{5205001,3},{2,}]</v>
      </c>
      <c r="C403" s="51" t="str">
        <f t="shared" si="104"/>
        <v>[{5203001,1270},{2,18430}]</v>
      </c>
      <c r="D403" s="140">
        <v>263</v>
      </c>
      <c r="E403" s="130">
        <f t="shared" si="105"/>
        <v>3460</v>
      </c>
      <c r="F403" s="130">
        <f t="shared" si="100"/>
        <v>985</v>
      </c>
      <c r="G403" s="130">
        <v>300</v>
      </c>
      <c r="H403" s="130">
        <f t="shared" si="101"/>
        <v>0</v>
      </c>
      <c r="I403" s="130">
        <f>IF(COUNTIF($I$141:$I402,$I402)=VLOOKUP($I402,$D$90:$E$120,2,0),$I402+1,$I402)</f>
        <v>24</v>
      </c>
      <c r="J403" s="131">
        <f t="shared" si="106"/>
        <v>140</v>
      </c>
      <c r="K403" s="132" t="str">
        <f t="shared" si="107"/>
        <v/>
      </c>
      <c r="L403" s="132" t="str">
        <f t="shared" si="108"/>
        <v/>
      </c>
      <c r="M403" s="132">
        <f t="shared" si="109"/>
        <v>0.002</v>
      </c>
      <c r="N403" s="132" t="str">
        <f t="shared" si="115"/>
        <v/>
      </c>
      <c r="O403" s="132" t="str">
        <f t="shared" si="110"/>
        <v/>
      </c>
      <c r="P403" s="141">
        <f>(SUM($Q$142:Q403)-SUM($H$141:H403))/SUM($H$141:H403)</f>
        <v>0.576040748359291</v>
      </c>
      <c r="Q403" s="142">
        <f t="shared" si="102"/>
        <v>1265</v>
      </c>
      <c r="R403" s="142">
        <f t="shared" si="99"/>
        <v>18360</v>
      </c>
      <c r="S403" s="133">
        <f t="shared" si="116"/>
        <v>31.9200779727096</v>
      </c>
      <c r="T403" s="134">
        <f>INT(SUM($W$141:W403)/3)+1</f>
        <v>48</v>
      </c>
      <c r="U403" s="135" t="str">
        <f t="shared" si="111"/>
        <v/>
      </c>
      <c r="V403" s="67" t="s">
        <v>168</v>
      </c>
      <c r="W403" s="137" t="str">
        <f t="shared" si="117"/>
        <v/>
      </c>
      <c r="X403" s="137" t="str">
        <f t="shared" si="112"/>
        <v/>
      </c>
      <c r="Y403" s="138"/>
      <c r="Z403" s="138">
        <v>2</v>
      </c>
      <c r="AA403" s="138">
        <v>3</v>
      </c>
      <c r="AB403" s="138" t="str">
        <f t="shared" si="121"/>
        <v>{10000,9000,8000}</v>
      </c>
      <c r="AC403" s="138">
        <v>1000</v>
      </c>
      <c r="AD403" s="138">
        <v>4000</v>
      </c>
      <c r="AE403" s="138">
        <f>SUM($R$141:$R403)+SUM($X$141:$X403)</f>
        <v>3842480</v>
      </c>
      <c r="AF403" s="138">
        <f>SUM($Q$142:Q403)</f>
        <v>160898</v>
      </c>
      <c r="AG403" s="137">
        <f t="shared" si="118"/>
        <v>4325174</v>
      </c>
      <c r="AH403" s="139">
        <f>SUM($S$141:S403)</f>
        <v>3459.50192328619</v>
      </c>
      <c r="AI403" s="133">
        <f t="shared" si="119"/>
        <v>15.9600389863548</v>
      </c>
      <c r="AJ403" s="15">
        <f t="shared" si="120"/>
        <v>1379100</v>
      </c>
      <c r="AL403" s="15">
        <v>263</v>
      </c>
      <c r="AM403" s="15">
        <f t="shared" si="113"/>
        <v>327850</v>
      </c>
      <c r="AN403" s="15">
        <f>SUMIF([1]装备属性!$M$571:$M$870,"&lt;="&amp;AL403,[1]装备属性!$Q$571:$Q$870)</f>
        <v>192517.104787715</v>
      </c>
      <c r="AO403" s="15">
        <f t="shared" si="114"/>
        <v>1.70296556434045</v>
      </c>
    </row>
    <row r="404" ht="18" spans="1:41">
      <c r="A404" s="9" t="s">
        <v>276</v>
      </c>
      <c r="B404" s="9" t="str">
        <f t="shared" si="103"/>
        <v>[{5205001,3},{2,73720}]</v>
      </c>
      <c r="C404" s="51" t="str">
        <f t="shared" si="104"/>
        <v>[{5203001,1275},{2,18500}]</v>
      </c>
      <c r="D404" s="140">
        <v>264</v>
      </c>
      <c r="E404" s="130">
        <f t="shared" si="105"/>
        <v>3492</v>
      </c>
      <c r="F404" s="130">
        <f t="shared" si="100"/>
        <v>990</v>
      </c>
      <c r="G404" s="130">
        <v>300</v>
      </c>
      <c r="H404" s="130">
        <f t="shared" si="101"/>
        <v>0</v>
      </c>
      <c r="I404" s="130">
        <f>IF(COUNTIF($I$141:$I403,$I403)=VLOOKUP($I403,$D$90:$E$120,2,0),$I403+1,$I403)</f>
        <v>24</v>
      </c>
      <c r="J404" s="131">
        <f t="shared" si="106"/>
        <v>140</v>
      </c>
      <c r="K404" s="132" t="str">
        <f t="shared" si="107"/>
        <v/>
      </c>
      <c r="L404" s="132">
        <f t="shared" si="108"/>
        <v>0.03</v>
      </c>
      <c r="M404" s="132" t="str">
        <f t="shared" si="109"/>
        <v/>
      </c>
      <c r="N404" s="132" t="str">
        <f t="shared" si="115"/>
        <v/>
      </c>
      <c r="O404" s="132" t="str">
        <f t="shared" si="110"/>
        <v/>
      </c>
      <c r="P404" s="141">
        <f>(SUM($Q$142:Q404)-SUM($H$141:H404))/SUM($H$141:H404)</f>
        <v>0.588480752277402</v>
      </c>
      <c r="Q404" s="142">
        <f t="shared" si="102"/>
        <v>1270</v>
      </c>
      <c r="R404" s="142">
        <f t="shared" si="99"/>
        <v>18430</v>
      </c>
      <c r="S404" s="133">
        <f t="shared" si="116"/>
        <v>32.041910331384</v>
      </c>
      <c r="T404" s="134">
        <f>INT(SUM($W$141:W404)/3)+1</f>
        <v>49</v>
      </c>
      <c r="U404" s="135" t="str">
        <f t="shared" si="111"/>
        <v>65</v>
      </c>
      <c r="V404" s="67" t="s">
        <v>99</v>
      </c>
      <c r="W404" s="137">
        <f t="shared" si="117"/>
        <v>3</v>
      </c>
      <c r="X404" s="137">
        <f t="shared" si="112"/>
        <v>73720</v>
      </c>
      <c r="Y404" s="138"/>
      <c r="Z404" s="138">
        <v>2</v>
      </c>
      <c r="AA404" s="138">
        <v>3</v>
      </c>
      <c r="AB404" s="138" t="str">
        <f t="shared" si="121"/>
        <v>{10000,9000,8000}</v>
      </c>
      <c r="AC404" s="138">
        <v>1000</v>
      </c>
      <c r="AD404" s="138">
        <v>4000</v>
      </c>
      <c r="AE404" s="138">
        <f>SUM($R$141:$R404)+SUM($X$141:$X404)</f>
        <v>3934630</v>
      </c>
      <c r="AF404" s="138">
        <f>SUM($Q$142:Q404)</f>
        <v>162168</v>
      </c>
      <c r="AG404" s="137">
        <f t="shared" si="118"/>
        <v>4421134</v>
      </c>
      <c r="AH404" s="139">
        <f>SUM($S$141:S404)</f>
        <v>3491.54383361757</v>
      </c>
      <c r="AI404" s="133">
        <f t="shared" si="119"/>
        <v>16.020955165692</v>
      </c>
      <c r="AJ404" s="15">
        <f t="shared" si="120"/>
        <v>1384500</v>
      </c>
      <c r="AL404" s="15">
        <v>264</v>
      </c>
      <c r="AM404" s="15">
        <f t="shared" si="113"/>
        <v>327850</v>
      </c>
      <c r="AN404" s="15">
        <f>SUMIF([1]装备属性!$M$571:$M$870,"&lt;="&amp;AL404,[1]装备属性!$Q$571:$Q$870)</f>
        <v>192517.104787715</v>
      </c>
      <c r="AO404" s="15">
        <f t="shared" si="114"/>
        <v>1.70296556434045</v>
      </c>
    </row>
    <row r="405" ht="18" spans="1:41">
      <c r="A405" s="9" t="s">
        <v>277</v>
      </c>
      <c r="B405" s="9" t="str">
        <f t="shared" si="103"/>
        <v>[{5205001,3},{2,}]</v>
      </c>
      <c r="C405" s="51" t="str">
        <f t="shared" si="104"/>
        <v>[{5203001,1280},{2,18570}]</v>
      </c>
      <c r="D405" s="140">
        <v>265</v>
      </c>
      <c r="E405" s="130">
        <f t="shared" si="105"/>
        <v>3525</v>
      </c>
      <c r="F405" s="130">
        <f t="shared" si="100"/>
        <v>995</v>
      </c>
      <c r="G405" s="130">
        <v>300</v>
      </c>
      <c r="H405" s="130">
        <f t="shared" si="101"/>
        <v>0</v>
      </c>
      <c r="I405" s="130">
        <f>IF(COUNTIF($I$141:$I404,$I404)=VLOOKUP($I404,$D$90:$E$120,2,0),$I404+1,$I404)</f>
        <v>25</v>
      </c>
      <c r="J405" s="131">
        <f t="shared" si="106"/>
        <v>146</v>
      </c>
      <c r="K405" s="132">
        <f t="shared" si="107"/>
        <v>0.05</v>
      </c>
      <c r="L405" s="132" t="str">
        <f t="shared" si="108"/>
        <v/>
      </c>
      <c r="M405" s="132" t="str">
        <f t="shared" si="109"/>
        <v/>
      </c>
      <c r="N405" s="132" t="str">
        <f t="shared" si="115"/>
        <v/>
      </c>
      <c r="O405" s="132" t="str">
        <f t="shared" si="110"/>
        <v/>
      </c>
      <c r="P405" s="141">
        <f>(SUM($Q$142:Q405)-SUM($H$141:H405))/SUM($H$141:H405)</f>
        <v>0.600969732588892</v>
      </c>
      <c r="Q405" s="142">
        <f t="shared" si="102"/>
        <v>1275</v>
      </c>
      <c r="R405" s="142">
        <f t="shared" si="99"/>
        <v>18500</v>
      </c>
      <c r="S405" s="133">
        <f t="shared" si="116"/>
        <v>33.1816513761468</v>
      </c>
      <c r="T405" s="134">
        <f>INT(SUM($W$141:W405)/3)+1</f>
        <v>49</v>
      </c>
      <c r="U405" s="135" t="str">
        <f t="shared" si="111"/>
        <v/>
      </c>
      <c r="V405" s="67" t="s">
        <v>168</v>
      </c>
      <c r="W405" s="137" t="str">
        <f t="shared" si="117"/>
        <v/>
      </c>
      <c r="X405" s="137" t="str">
        <f t="shared" si="112"/>
        <v/>
      </c>
      <c r="Y405" s="138"/>
      <c r="Z405" s="138">
        <v>2</v>
      </c>
      <c r="AA405" s="138">
        <v>3</v>
      </c>
      <c r="AB405" s="138" t="str">
        <f t="shared" si="121"/>
        <v>{10000,9000,8000}</v>
      </c>
      <c r="AC405" s="138">
        <v>1000</v>
      </c>
      <c r="AD405" s="138">
        <v>4000</v>
      </c>
      <c r="AE405" s="138">
        <f>SUM($R$141:$R405)+SUM($X$141:$X405)</f>
        <v>3953130</v>
      </c>
      <c r="AF405" s="138">
        <f>SUM($Q$142:Q405)</f>
        <v>163443</v>
      </c>
      <c r="AG405" s="137">
        <f t="shared" si="118"/>
        <v>4443459</v>
      </c>
      <c r="AH405" s="139">
        <f>SUM($S$141:S405)</f>
        <v>3524.72548499372</v>
      </c>
      <c r="AI405" s="133">
        <f t="shared" si="119"/>
        <v>16.5908256880734</v>
      </c>
      <c r="AJ405" s="15">
        <f t="shared" si="120"/>
        <v>1433700</v>
      </c>
      <c r="AL405" s="15">
        <v>265</v>
      </c>
      <c r="AM405" s="15">
        <f t="shared" si="113"/>
        <v>327850</v>
      </c>
      <c r="AN405" s="15">
        <f>SUMIF([1]装备属性!$M$571:$M$870,"&lt;="&amp;AL405,[1]装备属性!$Q$571:$Q$870)</f>
        <v>192517.104787715</v>
      </c>
      <c r="AO405" s="15">
        <f t="shared" si="114"/>
        <v>1.70296556434045</v>
      </c>
    </row>
    <row r="406" ht="18" spans="1:41">
      <c r="A406" s="9" t="str">
        <f>SUBSTITUTE(A405,"队长伤害","队长技能冷却")</f>
        <v>队长攻击力+146\n队长技能冷却+5%</v>
      </c>
      <c r="B406" s="9" t="str">
        <f t="shared" si="103"/>
        <v>[{5205001,3},{2,}]</v>
      </c>
      <c r="C406" s="51" t="str">
        <f t="shared" si="104"/>
        <v>[{5203001,1285},{2,18640}]</v>
      </c>
      <c r="D406" s="140">
        <v>266</v>
      </c>
      <c r="E406" s="130">
        <f t="shared" si="105"/>
        <v>3559</v>
      </c>
      <c r="F406" s="130">
        <f t="shared" si="100"/>
        <v>1000</v>
      </c>
      <c r="G406" s="130">
        <v>300</v>
      </c>
      <c r="H406" s="130">
        <f t="shared" ref="H406:H437" si="122">H405</f>
        <v>0</v>
      </c>
      <c r="I406" s="130">
        <f>IF(COUNTIF($I$141:$I405,$I405)=VLOOKUP($I405,$D$90:$E$120,2,0),$I405+1,$I405)</f>
        <v>25</v>
      </c>
      <c r="J406" s="131">
        <f t="shared" si="106"/>
        <v>146</v>
      </c>
      <c r="K406" s="132" t="str">
        <f t="shared" si="107"/>
        <v/>
      </c>
      <c r="L406" s="132" t="str">
        <f t="shared" si="108"/>
        <v/>
      </c>
      <c r="M406" s="132" t="str">
        <f t="shared" si="109"/>
        <v/>
      </c>
      <c r="N406" s="132">
        <f t="shared" si="115"/>
        <v>0.0075</v>
      </c>
      <c r="O406" s="132" t="str">
        <f t="shared" si="110"/>
        <v/>
      </c>
      <c r="P406" s="141">
        <f>(SUM($Q$142:Q406)-SUM($H$141:H406))/SUM($H$141:H406)</f>
        <v>0.61350768929376</v>
      </c>
      <c r="Q406" s="142">
        <f t="shared" si="102"/>
        <v>1280</v>
      </c>
      <c r="R406" s="142">
        <f t="shared" si="99"/>
        <v>18570</v>
      </c>
      <c r="S406" s="133">
        <f t="shared" si="116"/>
        <v>33.3073394495413</v>
      </c>
      <c r="T406" s="134">
        <f>INT(SUM($W$141:W406)/3)+1</f>
        <v>49</v>
      </c>
      <c r="U406" s="135" t="str">
        <f t="shared" si="111"/>
        <v/>
      </c>
      <c r="V406" s="67" t="s">
        <v>168</v>
      </c>
      <c r="W406" s="137" t="str">
        <f t="shared" si="117"/>
        <v/>
      </c>
      <c r="X406" s="137" t="str">
        <f t="shared" si="112"/>
        <v/>
      </c>
      <c r="Y406" s="138"/>
      <c r="Z406" s="138">
        <v>2</v>
      </c>
      <c r="AA406" s="138">
        <v>3</v>
      </c>
      <c r="AB406" s="138" t="str">
        <f t="shared" si="121"/>
        <v>{10000,9000,8000}</v>
      </c>
      <c r="AC406" s="138">
        <v>1000</v>
      </c>
      <c r="AD406" s="138">
        <v>4000</v>
      </c>
      <c r="AE406" s="138">
        <f>SUM($R$141:$R406)+SUM($X$141:$X406)</f>
        <v>3971700</v>
      </c>
      <c r="AF406" s="138">
        <f>SUM($Q$142:Q406)</f>
        <v>164723</v>
      </c>
      <c r="AG406" s="137">
        <f t="shared" si="118"/>
        <v>4465869</v>
      </c>
      <c r="AH406" s="139">
        <f>SUM($S$141:S406)</f>
        <v>3558.03282444326</v>
      </c>
      <c r="AI406" s="133">
        <f t="shared" si="119"/>
        <v>16.6536697247706</v>
      </c>
      <c r="AJ406" s="15">
        <f t="shared" si="120"/>
        <v>1439100</v>
      </c>
      <c r="AL406" s="15">
        <v>266</v>
      </c>
      <c r="AM406" s="15">
        <f t="shared" si="113"/>
        <v>327850</v>
      </c>
      <c r="AN406" s="15">
        <f>SUMIF([1]装备属性!$M$571:$M$870,"&lt;="&amp;AL406,[1]装备属性!$Q$571:$Q$870)</f>
        <v>192517.104787715</v>
      </c>
      <c r="AO406" s="15">
        <f t="shared" si="114"/>
        <v>1.70296556434045</v>
      </c>
    </row>
    <row r="407" ht="18" spans="1:41">
      <c r="A407" s="9" t="s">
        <v>278</v>
      </c>
      <c r="B407" s="9" t="str">
        <f t="shared" si="103"/>
        <v>[{5205001,3},{2,}]</v>
      </c>
      <c r="C407" s="51" t="str">
        <f t="shared" si="104"/>
        <v>[{5203001,1290},{2,18710}]</v>
      </c>
      <c r="D407" s="140">
        <v>267</v>
      </c>
      <c r="E407" s="130">
        <f t="shared" si="105"/>
        <v>3592</v>
      </c>
      <c r="F407" s="130">
        <f t="shared" si="100"/>
        <v>1005</v>
      </c>
      <c r="G407" s="130">
        <v>300</v>
      </c>
      <c r="H407" s="130">
        <f t="shared" si="122"/>
        <v>0</v>
      </c>
      <c r="I407" s="130">
        <f>IF(COUNTIF($I$141:$I406,$I406)=VLOOKUP($I406,$D$90:$E$120,2,0),$I406+1,$I406)</f>
        <v>25</v>
      </c>
      <c r="J407" s="131">
        <f t="shared" si="106"/>
        <v>146</v>
      </c>
      <c r="K407" s="132" t="str">
        <f t="shared" si="107"/>
        <v/>
      </c>
      <c r="L407" s="132" t="str">
        <f t="shared" si="108"/>
        <v/>
      </c>
      <c r="M407" s="132">
        <f t="shared" si="109"/>
        <v>0.002</v>
      </c>
      <c r="N407" s="132" t="str">
        <f t="shared" si="115"/>
        <v/>
      </c>
      <c r="O407" s="132" t="str">
        <f t="shared" si="110"/>
        <v/>
      </c>
      <c r="P407" s="141">
        <f>(SUM($Q$142:Q407)-SUM($H$141:H407))/SUM($H$141:H407)</f>
        <v>0.626094622392007</v>
      </c>
      <c r="Q407" s="142">
        <f t="shared" si="102"/>
        <v>1285</v>
      </c>
      <c r="R407" s="142">
        <f t="shared" si="99"/>
        <v>18640</v>
      </c>
      <c r="S407" s="133">
        <f t="shared" si="116"/>
        <v>33.4330275229358</v>
      </c>
      <c r="T407" s="134">
        <f>INT(SUM($W$141:W407)/3)+1</f>
        <v>49</v>
      </c>
      <c r="U407" s="135" t="str">
        <f t="shared" si="111"/>
        <v/>
      </c>
      <c r="V407" s="67" t="s">
        <v>168</v>
      </c>
      <c r="W407" s="137" t="str">
        <f t="shared" si="117"/>
        <v/>
      </c>
      <c r="X407" s="137" t="str">
        <f t="shared" si="112"/>
        <v/>
      </c>
      <c r="Y407" s="138"/>
      <c r="Z407" s="138">
        <v>2</v>
      </c>
      <c r="AA407" s="138">
        <v>3</v>
      </c>
      <c r="AB407" s="138" t="str">
        <f t="shared" si="121"/>
        <v>{10000,9000,8000}</v>
      </c>
      <c r="AC407" s="138">
        <v>1000</v>
      </c>
      <c r="AD407" s="138">
        <v>4000</v>
      </c>
      <c r="AE407" s="138">
        <f>SUM($R$141:$R407)+SUM($X$141:$X407)</f>
        <v>3990340</v>
      </c>
      <c r="AF407" s="138">
        <f>SUM($Q$142:Q407)</f>
        <v>166008</v>
      </c>
      <c r="AG407" s="137">
        <f t="shared" si="118"/>
        <v>4488364</v>
      </c>
      <c r="AH407" s="139">
        <f>SUM($S$141:S407)</f>
        <v>3591.46585196619</v>
      </c>
      <c r="AI407" s="133">
        <f t="shared" si="119"/>
        <v>16.7165137614679</v>
      </c>
      <c r="AJ407" s="15">
        <f t="shared" si="120"/>
        <v>1444500</v>
      </c>
      <c r="AL407" s="15">
        <v>267</v>
      </c>
      <c r="AM407" s="15">
        <f t="shared" si="113"/>
        <v>327850</v>
      </c>
      <c r="AN407" s="15">
        <f>SUMIF([1]装备属性!$M$571:$M$870,"&lt;="&amp;AL407,[1]装备属性!$Q$571:$Q$870)</f>
        <v>192517.104787715</v>
      </c>
      <c r="AO407" s="15">
        <f t="shared" si="114"/>
        <v>1.70296556434045</v>
      </c>
    </row>
    <row r="408" ht="18" spans="1:41">
      <c r="A408" s="9" t="s">
        <v>279</v>
      </c>
      <c r="B408" s="9" t="str">
        <f t="shared" si="103"/>
        <v>[{5205001,3},{2,}]</v>
      </c>
      <c r="C408" s="51" t="str">
        <f t="shared" si="104"/>
        <v>[{5203001,1295},{2,18780}]</v>
      </c>
      <c r="D408" s="140">
        <v>268</v>
      </c>
      <c r="E408" s="130">
        <f t="shared" si="105"/>
        <v>3626</v>
      </c>
      <c r="F408" s="130">
        <f t="shared" si="100"/>
        <v>1010</v>
      </c>
      <c r="G408" s="130">
        <v>300</v>
      </c>
      <c r="H408" s="130">
        <f t="shared" si="122"/>
        <v>0</v>
      </c>
      <c r="I408" s="130">
        <f>IF(COUNTIF($I$141:$I407,$I407)=VLOOKUP($I407,$D$90:$E$120,2,0),$I407+1,$I407)</f>
        <v>25</v>
      </c>
      <c r="J408" s="131">
        <f t="shared" si="106"/>
        <v>146</v>
      </c>
      <c r="K408" s="132" t="str">
        <f t="shared" si="107"/>
        <v/>
      </c>
      <c r="L408" s="132">
        <f t="shared" si="108"/>
        <v>0.03</v>
      </c>
      <c r="M408" s="132" t="str">
        <f t="shared" si="109"/>
        <v/>
      </c>
      <c r="N408" s="132" t="str">
        <f t="shared" si="115"/>
        <v/>
      </c>
      <c r="O408" s="132" t="str">
        <f t="shared" si="110"/>
        <v/>
      </c>
      <c r="P408" s="141">
        <f>(SUM($Q$142:Q408)-SUM($H$141:H408))/SUM($H$141:H408)</f>
        <v>0.638730531883632</v>
      </c>
      <c r="Q408" s="142">
        <f t="shared" si="102"/>
        <v>1290</v>
      </c>
      <c r="R408" s="142">
        <f t="shared" si="99"/>
        <v>18710</v>
      </c>
      <c r="S408" s="133">
        <f t="shared" si="116"/>
        <v>33.5587155963303</v>
      </c>
      <c r="T408" s="134">
        <f>INT(SUM($W$141:W408)/3)+1</f>
        <v>49</v>
      </c>
      <c r="U408" s="135" t="str">
        <f t="shared" si="111"/>
        <v/>
      </c>
      <c r="V408" s="67" t="s">
        <v>168</v>
      </c>
      <c r="W408" s="137" t="str">
        <f t="shared" si="117"/>
        <v/>
      </c>
      <c r="X408" s="137" t="str">
        <f t="shared" si="112"/>
        <v/>
      </c>
      <c r="Y408" s="138"/>
      <c r="Z408" s="138">
        <v>2</v>
      </c>
      <c r="AA408" s="138">
        <v>3</v>
      </c>
      <c r="AB408" s="138" t="str">
        <f t="shared" si="121"/>
        <v>{10000,9000,8000}</v>
      </c>
      <c r="AC408" s="138">
        <v>1000</v>
      </c>
      <c r="AD408" s="138">
        <v>4000</v>
      </c>
      <c r="AE408" s="138">
        <f>SUM($R$141:$R408)+SUM($X$141:$X408)</f>
        <v>4009050</v>
      </c>
      <c r="AF408" s="138">
        <f>SUM($Q$142:Q408)</f>
        <v>167298</v>
      </c>
      <c r="AG408" s="137">
        <f t="shared" si="118"/>
        <v>4510944</v>
      </c>
      <c r="AH408" s="139">
        <f>SUM($S$141:S408)</f>
        <v>3625.02456756253</v>
      </c>
      <c r="AI408" s="133">
        <f t="shared" si="119"/>
        <v>16.7793577981651</v>
      </c>
      <c r="AJ408" s="15">
        <f t="shared" si="120"/>
        <v>1449900</v>
      </c>
      <c r="AL408" s="15">
        <v>268</v>
      </c>
      <c r="AM408" s="15">
        <f t="shared" si="113"/>
        <v>327850</v>
      </c>
      <c r="AN408" s="15">
        <f>SUMIF([1]装备属性!$M$571:$M$870,"&lt;="&amp;AL408,[1]装备属性!$Q$571:$Q$870)</f>
        <v>192517.104787715</v>
      </c>
      <c r="AO408" s="15">
        <f t="shared" si="114"/>
        <v>1.70296556434045</v>
      </c>
    </row>
    <row r="409" ht="18" spans="1:41">
      <c r="A409" s="9" t="s">
        <v>277</v>
      </c>
      <c r="B409" s="9" t="str">
        <f t="shared" si="103"/>
        <v>[{5205001,3},{2,}]</v>
      </c>
      <c r="C409" s="51" t="str">
        <f t="shared" si="104"/>
        <v>[{5203001,1300},{2,18850}]</v>
      </c>
      <c r="D409" s="140">
        <v>269</v>
      </c>
      <c r="E409" s="130">
        <f t="shared" si="105"/>
        <v>3659</v>
      </c>
      <c r="F409" s="130">
        <f t="shared" si="100"/>
        <v>1015</v>
      </c>
      <c r="G409" s="130">
        <v>300</v>
      </c>
      <c r="H409" s="130">
        <f t="shared" si="122"/>
        <v>0</v>
      </c>
      <c r="I409" s="130">
        <f>IF(COUNTIF($I$141:$I408,$I408)=VLOOKUP($I408,$D$90:$E$120,2,0),$I408+1,$I408)</f>
        <v>25</v>
      </c>
      <c r="J409" s="131">
        <f t="shared" si="106"/>
        <v>146</v>
      </c>
      <c r="K409" s="132">
        <f t="shared" si="107"/>
        <v>0.05</v>
      </c>
      <c r="L409" s="132" t="str">
        <f t="shared" si="108"/>
        <v/>
      </c>
      <c r="M409" s="132" t="str">
        <f t="shared" si="109"/>
        <v/>
      </c>
      <c r="N409" s="132" t="str">
        <f t="shared" si="115"/>
        <v/>
      </c>
      <c r="O409" s="132" t="str">
        <f t="shared" si="110"/>
        <v/>
      </c>
      <c r="P409" s="141">
        <f>(SUM($Q$142:Q409)-SUM($H$141:H409))/SUM($H$141:H409)</f>
        <v>0.651415417768636</v>
      </c>
      <c r="Q409" s="142">
        <f t="shared" si="102"/>
        <v>1295</v>
      </c>
      <c r="R409" s="142">
        <f t="shared" si="99"/>
        <v>18780</v>
      </c>
      <c r="S409" s="133">
        <f t="shared" si="116"/>
        <v>33.6844036697248</v>
      </c>
      <c r="T409" s="134">
        <f>INT(SUM($W$141:W409)/3)+1</f>
        <v>49</v>
      </c>
      <c r="U409" s="135" t="str">
        <f t="shared" si="111"/>
        <v/>
      </c>
      <c r="V409" s="67" t="s">
        <v>168</v>
      </c>
      <c r="W409" s="137" t="str">
        <f t="shared" si="117"/>
        <v/>
      </c>
      <c r="X409" s="137" t="str">
        <f t="shared" si="112"/>
        <v/>
      </c>
      <c r="Y409" s="138"/>
      <c r="Z409" s="138">
        <v>2</v>
      </c>
      <c r="AA409" s="138">
        <v>3</v>
      </c>
      <c r="AB409" s="138" t="str">
        <f t="shared" si="121"/>
        <v>{10000,9000,8000}</v>
      </c>
      <c r="AC409" s="138">
        <v>1000</v>
      </c>
      <c r="AD409" s="138">
        <v>4000</v>
      </c>
      <c r="AE409" s="138">
        <f>SUM($R$141:$R409)+SUM($X$141:$X409)</f>
        <v>4027830</v>
      </c>
      <c r="AF409" s="138">
        <f>SUM($Q$142:Q409)</f>
        <v>168593</v>
      </c>
      <c r="AG409" s="137">
        <f t="shared" si="118"/>
        <v>4533609</v>
      </c>
      <c r="AH409" s="139">
        <f>SUM($S$141:S409)</f>
        <v>3658.70897123225</v>
      </c>
      <c r="AI409" s="133">
        <f t="shared" si="119"/>
        <v>16.8422018348624</v>
      </c>
      <c r="AJ409" s="15">
        <f t="shared" si="120"/>
        <v>1455300</v>
      </c>
      <c r="AL409" s="15">
        <v>269</v>
      </c>
      <c r="AM409" s="15">
        <f t="shared" si="113"/>
        <v>334660</v>
      </c>
      <c r="AN409" s="15">
        <f>SUMIF([1]装备属性!$M$571:$M$870,"&lt;="&amp;AL409,[1]装备属性!$Q$571:$Q$870)</f>
        <v>192517.104787715</v>
      </c>
      <c r="AO409" s="15">
        <f t="shared" si="114"/>
        <v>1.73833904456969</v>
      </c>
    </row>
    <row r="410" ht="18" spans="1:41">
      <c r="A410" s="9" t="str">
        <f>SUBSTITUTE(A409,"队长伤害","队长技能冷却")</f>
        <v>队长攻击力+146\n队长技能冷却+5%</v>
      </c>
      <c r="B410" s="9" t="str">
        <f t="shared" si="103"/>
        <v>[{5205001,3},{2,}]</v>
      </c>
      <c r="C410" s="51" t="str">
        <f t="shared" si="104"/>
        <v>[{5203001,1305},{2,18920}]</v>
      </c>
      <c r="D410" s="140">
        <v>270</v>
      </c>
      <c r="E410" s="130">
        <f t="shared" si="105"/>
        <v>3693</v>
      </c>
      <c r="F410" s="130">
        <f t="shared" si="100"/>
        <v>1020</v>
      </c>
      <c r="G410" s="130">
        <v>300</v>
      </c>
      <c r="H410" s="130">
        <f t="shared" si="122"/>
        <v>0</v>
      </c>
      <c r="I410" s="130">
        <f>IF(COUNTIF($I$141:$I409,$I409)=VLOOKUP($I409,$D$90:$E$120,2,0),$I409+1,$I409)</f>
        <v>25</v>
      </c>
      <c r="J410" s="131">
        <f t="shared" si="106"/>
        <v>146</v>
      </c>
      <c r="K410" s="132" t="str">
        <f t="shared" si="107"/>
        <v/>
      </c>
      <c r="L410" s="132" t="str">
        <f t="shared" si="108"/>
        <v/>
      </c>
      <c r="M410" s="132" t="str">
        <f t="shared" si="109"/>
        <v/>
      </c>
      <c r="N410" s="132">
        <f t="shared" si="115"/>
        <v>0.0075</v>
      </c>
      <c r="O410" s="132" t="str">
        <f t="shared" si="110"/>
        <v/>
      </c>
      <c r="P410" s="141">
        <f>(SUM($Q$142:Q410)-SUM($H$141:H410))/SUM($H$141:H410)</f>
        <v>0.664149280047017</v>
      </c>
      <c r="Q410" s="142">
        <f t="shared" si="102"/>
        <v>1300</v>
      </c>
      <c r="R410" s="142">
        <f t="shared" si="99"/>
        <v>18850</v>
      </c>
      <c r="S410" s="133">
        <f t="shared" si="116"/>
        <v>33.8100917431193</v>
      </c>
      <c r="T410" s="134">
        <f>INT(SUM($W$141:W410)/3)+1</f>
        <v>49</v>
      </c>
      <c r="U410" s="135" t="str">
        <f t="shared" si="111"/>
        <v/>
      </c>
      <c r="V410" s="67" t="s">
        <v>168</v>
      </c>
      <c r="W410" s="137" t="str">
        <f t="shared" si="117"/>
        <v/>
      </c>
      <c r="X410" s="137" t="str">
        <f t="shared" si="112"/>
        <v/>
      </c>
      <c r="Y410" s="138"/>
      <c r="Z410" s="138">
        <v>2</v>
      </c>
      <c r="AA410" s="138">
        <v>3</v>
      </c>
      <c r="AB410" s="138" t="str">
        <f t="shared" si="121"/>
        <v>{10000,9000,8000}</v>
      </c>
      <c r="AC410" s="138">
        <v>1000</v>
      </c>
      <c r="AD410" s="138">
        <v>4000</v>
      </c>
      <c r="AE410" s="138">
        <f>SUM($R$141:$R410)+SUM($X$141:$X410)</f>
        <v>4046680</v>
      </c>
      <c r="AF410" s="138">
        <f>SUM($Q$142:Q410)</f>
        <v>169893</v>
      </c>
      <c r="AG410" s="137">
        <f t="shared" si="118"/>
        <v>4556359</v>
      </c>
      <c r="AH410" s="139">
        <f>SUM($S$141:S410)</f>
        <v>3692.51906297537</v>
      </c>
      <c r="AI410" s="133">
        <f t="shared" si="119"/>
        <v>16.9050458715596</v>
      </c>
      <c r="AJ410" s="15">
        <f t="shared" si="120"/>
        <v>1460700</v>
      </c>
      <c r="AL410" s="15">
        <v>270</v>
      </c>
      <c r="AM410" s="15">
        <f t="shared" si="113"/>
        <v>334660</v>
      </c>
      <c r="AN410" s="15">
        <f>SUMIF([1]装备属性!$M$571:$M$870,"&lt;="&amp;AL410,[1]装备属性!$Q$571:$Q$870)</f>
        <v>192517.104787715</v>
      </c>
      <c r="AO410" s="15">
        <f t="shared" si="114"/>
        <v>1.73833904456969</v>
      </c>
    </row>
    <row r="411" ht="18" spans="1:41">
      <c r="A411" s="9" t="s">
        <v>278</v>
      </c>
      <c r="B411" s="9" t="str">
        <f t="shared" si="103"/>
        <v>[{5205001,3},{2,}]</v>
      </c>
      <c r="C411" s="51" t="str">
        <f t="shared" si="104"/>
        <v>[{5203001,1310},{2,18990}]</v>
      </c>
      <c r="D411" s="140">
        <v>271</v>
      </c>
      <c r="E411" s="130">
        <f t="shared" si="105"/>
        <v>3727</v>
      </c>
      <c r="F411" s="130">
        <f t="shared" si="100"/>
        <v>1025</v>
      </c>
      <c r="G411" s="130">
        <v>300</v>
      </c>
      <c r="H411" s="130">
        <f t="shared" si="122"/>
        <v>0</v>
      </c>
      <c r="I411" s="130">
        <f>IF(COUNTIF($I$141:$I410,$I410)=VLOOKUP($I410,$D$90:$E$120,2,0),$I410+1,$I410)</f>
        <v>25</v>
      </c>
      <c r="J411" s="131">
        <f t="shared" si="106"/>
        <v>146</v>
      </c>
      <c r="K411" s="132" t="str">
        <f t="shared" si="107"/>
        <v/>
      </c>
      <c r="L411" s="132" t="str">
        <f t="shared" si="108"/>
        <v/>
      </c>
      <c r="M411" s="132">
        <f t="shared" si="109"/>
        <v>0.002</v>
      </c>
      <c r="N411" s="132" t="str">
        <f t="shared" si="115"/>
        <v/>
      </c>
      <c r="O411" s="132" t="str">
        <f t="shared" si="110"/>
        <v/>
      </c>
      <c r="P411" s="141">
        <f>(SUM($Q$142:Q411)-SUM($H$141:H411))/SUM($H$141:H411)</f>
        <v>0.676932118718778</v>
      </c>
      <c r="Q411" s="142">
        <f t="shared" si="102"/>
        <v>1305</v>
      </c>
      <c r="R411" s="142">
        <f t="shared" si="99"/>
        <v>18920</v>
      </c>
      <c r="S411" s="133">
        <f t="shared" si="116"/>
        <v>33.9357798165138</v>
      </c>
      <c r="T411" s="134">
        <f>INT(SUM($W$141:W411)/3)+1</f>
        <v>49</v>
      </c>
      <c r="U411" s="135" t="str">
        <f t="shared" si="111"/>
        <v/>
      </c>
      <c r="V411" s="67" t="s">
        <v>168</v>
      </c>
      <c r="W411" s="137" t="str">
        <f t="shared" si="117"/>
        <v/>
      </c>
      <c r="X411" s="137" t="str">
        <f t="shared" si="112"/>
        <v/>
      </c>
      <c r="Y411" s="138"/>
      <c r="Z411" s="138">
        <v>2</v>
      </c>
      <c r="AA411" s="138">
        <v>3</v>
      </c>
      <c r="AB411" s="138" t="str">
        <f t="shared" si="121"/>
        <v>{10000,9000,8000}</v>
      </c>
      <c r="AC411" s="138">
        <v>1000</v>
      </c>
      <c r="AD411" s="138">
        <v>4000</v>
      </c>
      <c r="AE411" s="138">
        <f>SUM($R$141:$R411)+SUM($X$141:$X411)</f>
        <v>4065600</v>
      </c>
      <c r="AF411" s="138">
        <f>SUM($Q$142:Q411)</f>
        <v>171198</v>
      </c>
      <c r="AG411" s="137">
        <f t="shared" si="118"/>
        <v>4579194</v>
      </c>
      <c r="AH411" s="139">
        <f>SUM($S$141:S411)</f>
        <v>3726.45484279188</v>
      </c>
      <c r="AI411" s="133">
        <f t="shared" si="119"/>
        <v>16.9678899082569</v>
      </c>
      <c r="AJ411" s="15">
        <f t="shared" si="120"/>
        <v>1466100</v>
      </c>
      <c r="AL411" s="15">
        <v>271</v>
      </c>
      <c r="AM411" s="15">
        <f t="shared" si="113"/>
        <v>334660</v>
      </c>
      <c r="AN411" s="15">
        <f>SUMIF([1]装备属性!$M$571:$M$870,"&lt;="&amp;AL411,[1]装备属性!$Q$571:$Q$870)</f>
        <v>192517.104787715</v>
      </c>
      <c r="AO411" s="15">
        <f t="shared" si="114"/>
        <v>1.73833904456969</v>
      </c>
    </row>
    <row r="412" ht="18" spans="1:41">
      <c r="A412" s="9" t="s">
        <v>279</v>
      </c>
      <c r="B412" s="9" t="str">
        <f t="shared" si="103"/>
        <v>[{5205001,3},{2,75960}]</v>
      </c>
      <c r="C412" s="51" t="str">
        <f t="shared" si="104"/>
        <v>[{5203001,1315},{2,19060}]</v>
      </c>
      <c r="D412" s="140">
        <v>272</v>
      </c>
      <c r="E412" s="130">
        <f t="shared" si="105"/>
        <v>3761</v>
      </c>
      <c r="F412" s="130">
        <f t="shared" si="100"/>
        <v>1030</v>
      </c>
      <c r="G412" s="130">
        <v>300</v>
      </c>
      <c r="H412" s="130">
        <f t="shared" si="122"/>
        <v>0</v>
      </c>
      <c r="I412" s="130">
        <f>IF(COUNTIF($I$141:$I411,$I411)=VLOOKUP($I411,$D$90:$E$120,2,0),$I411+1,$I411)</f>
        <v>25</v>
      </c>
      <c r="J412" s="131">
        <f t="shared" si="106"/>
        <v>146</v>
      </c>
      <c r="K412" s="132" t="str">
        <f t="shared" si="107"/>
        <v/>
      </c>
      <c r="L412" s="132">
        <f t="shared" si="108"/>
        <v>0.03</v>
      </c>
      <c r="M412" s="132" t="str">
        <f t="shared" si="109"/>
        <v/>
      </c>
      <c r="N412" s="132" t="str">
        <f t="shared" si="115"/>
        <v/>
      </c>
      <c r="O412" s="132" t="str">
        <f t="shared" si="110"/>
        <v/>
      </c>
      <c r="P412" s="141">
        <f>(SUM($Q$142:Q412)-SUM($H$141:H412))/SUM($H$141:H412)</f>
        <v>0.689763933783916</v>
      </c>
      <c r="Q412" s="142">
        <f t="shared" si="102"/>
        <v>1310</v>
      </c>
      <c r="R412" s="142">
        <f t="shared" si="99"/>
        <v>18990</v>
      </c>
      <c r="S412" s="133">
        <f t="shared" si="116"/>
        <v>34.0614678899083</v>
      </c>
      <c r="T412" s="134">
        <f>INT(SUM($W$141:W412)/3)+1</f>
        <v>50</v>
      </c>
      <c r="U412" s="135" t="str">
        <f t="shared" si="111"/>
        <v/>
      </c>
      <c r="V412" s="67" t="s">
        <v>91</v>
      </c>
      <c r="W412" s="137">
        <f t="shared" si="117"/>
        <v>3</v>
      </c>
      <c r="X412" s="137">
        <f t="shared" si="112"/>
        <v>75960</v>
      </c>
      <c r="Y412" s="138"/>
      <c r="Z412" s="138">
        <v>2</v>
      </c>
      <c r="AA412" s="138">
        <v>3</v>
      </c>
      <c r="AB412" s="138" t="str">
        <f t="shared" si="121"/>
        <v>{10000,9000,8000}</v>
      </c>
      <c r="AC412" s="138">
        <v>1000</v>
      </c>
      <c r="AD412" s="138">
        <v>4000</v>
      </c>
      <c r="AE412" s="138">
        <f>SUM($R$141:$R412)+SUM($X$141:$X412)</f>
        <v>4160550</v>
      </c>
      <c r="AF412" s="138">
        <f>SUM($Q$142:Q412)</f>
        <v>172508</v>
      </c>
      <c r="AG412" s="137">
        <f t="shared" si="118"/>
        <v>4678074</v>
      </c>
      <c r="AH412" s="139">
        <f>SUM($S$141:S412)</f>
        <v>3760.51631068179</v>
      </c>
      <c r="AI412" s="133">
        <f t="shared" si="119"/>
        <v>17.0307339449541</v>
      </c>
      <c r="AJ412" s="15">
        <f t="shared" si="120"/>
        <v>1471500</v>
      </c>
      <c r="AL412" s="15">
        <v>272</v>
      </c>
      <c r="AM412" s="15">
        <f t="shared" si="113"/>
        <v>334660</v>
      </c>
      <c r="AN412" s="15">
        <f>SUMIF([1]装备属性!$M$571:$M$870,"&lt;="&amp;AL412,[1]装备属性!$Q$571:$Q$870)</f>
        <v>192517.104787715</v>
      </c>
      <c r="AO412" s="15">
        <f t="shared" si="114"/>
        <v>1.73833904456969</v>
      </c>
    </row>
    <row r="413" ht="18" spans="1:41">
      <c r="A413" s="9" t="s">
        <v>277</v>
      </c>
      <c r="B413" s="9" t="str">
        <f t="shared" si="103"/>
        <v>[{5205001,3},{2,}]</v>
      </c>
      <c r="C413" s="51" t="str">
        <f t="shared" si="104"/>
        <v>[{5203001,1320},{2,19130}]</v>
      </c>
      <c r="D413" s="140">
        <v>273</v>
      </c>
      <c r="E413" s="130">
        <f t="shared" si="105"/>
        <v>3795</v>
      </c>
      <c r="F413" s="130">
        <f t="shared" si="100"/>
        <v>1035</v>
      </c>
      <c r="G413" s="130">
        <v>300</v>
      </c>
      <c r="H413" s="130">
        <f t="shared" si="122"/>
        <v>0</v>
      </c>
      <c r="I413" s="130">
        <f>IF(COUNTIF($I$141:$I412,$I412)=VLOOKUP($I412,$D$90:$E$120,2,0),$I412+1,$I412)</f>
        <v>25</v>
      </c>
      <c r="J413" s="131">
        <f t="shared" si="106"/>
        <v>146</v>
      </c>
      <c r="K413" s="132">
        <f t="shared" si="107"/>
        <v>0.05</v>
      </c>
      <c r="L413" s="132" t="str">
        <f t="shared" si="108"/>
        <v/>
      </c>
      <c r="M413" s="132" t="str">
        <f t="shared" si="109"/>
        <v/>
      </c>
      <c r="N413" s="132" t="str">
        <f t="shared" si="115"/>
        <v/>
      </c>
      <c r="O413" s="132" t="str">
        <f t="shared" si="110"/>
        <v/>
      </c>
      <c r="P413" s="141">
        <f>(SUM($Q$142:Q413)-SUM($H$141:H413))/SUM($H$141:H413)</f>
        <v>0.702644725242433</v>
      </c>
      <c r="Q413" s="142">
        <f t="shared" si="102"/>
        <v>1315</v>
      </c>
      <c r="R413" s="142">
        <f t="shared" si="99"/>
        <v>19060</v>
      </c>
      <c r="S413" s="133">
        <f t="shared" si="116"/>
        <v>34.1871559633028</v>
      </c>
      <c r="T413" s="134">
        <f>INT(SUM($W$141:W413)/3)+1</f>
        <v>50</v>
      </c>
      <c r="U413" s="135" t="str">
        <f t="shared" si="111"/>
        <v/>
      </c>
      <c r="V413" s="67" t="s">
        <v>168</v>
      </c>
      <c r="W413" s="137" t="str">
        <f t="shared" si="117"/>
        <v/>
      </c>
      <c r="X413" s="137" t="str">
        <f t="shared" si="112"/>
        <v/>
      </c>
      <c r="Y413" s="138"/>
      <c r="Z413" s="138">
        <v>2</v>
      </c>
      <c r="AA413" s="138">
        <v>3</v>
      </c>
      <c r="AB413" s="138" t="str">
        <f t="shared" si="121"/>
        <v>{10000,9000,8000}</v>
      </c>
      <c r="AC413" s="138">
        <v>1000</v>
      </c>
      <c r="AD413" s="138">
        <v>4000</v>
      </c>
      <c r="AE413" s="138">
        <f>SUM($R$141:$R413)+SUM($X$141:$X413)</f>
        <v>4179610</v>
      </c>
      <c r="AF413" s="138">
        <f>SUM($Q$142:Q413)</f>
        <v>173823</v>
      </c>
      <c r="AG413" s="137">
        <f t="shared" si="118"/>
        <v>4701079</v>
      </c>
      <c r="AH413" s="139">
        <f>SUM($S$141:S413)</f>
        <v>3794.70346664509</v>
      </c>
      <c r="AI413" s="133">
        <f t="shared" si="119"/>
        <v>17.0935779816514</v>
      </c>
      <c r="AJ413" s="15">
        <f t="shared" si="120"/>
        <v>1476900</v>
      </c>
      <c r="AL413" s="15">
        <v>273</v>
      </c>
      <c r="AM413" s="15">
        <f t="shared" si="113"/>
        <v>334660</v>
      </c>
      <c r="AN413" s="15">
        <f>SUMIF([1]装备属性!$M$571:$M$870,"&lt;="&amp;AL413,[1]装备属性!$Q$571:$Q$870)</f>
        <v>192517.104787715</v>
      </c>
      <c r="AO413" s="15">
        <f t="shared" si="114"/>
        <v>1.73833904456969</v>
      </c>
    </row>
    <row r="414" ht="18" spans="1:41">
      <c r="A414" s="9" t="str">
        <f>SUBSTITUTE(A413,"队长伤害","队长技能冷却")</f>
        <v>队长攻击力+146\n队长技能冷却+5%</v>
      </c>
      <c r="B414" s="9" t="str">
        <f t="shared" si="103"/>
        <v>[{5205001,3},{2,}]</v>
      </c>
      <c r="C414" s="51" t="str">
        <f t="shared" si="104"/>
        <v>[{5203001,1325},{2,19200}]</v>
      </c>
      <c r="D414" s="140">
        <v>274</v>
      </c>
      <c r="E414" s="130">
        <f t="shared" si="105"/>
        <v>3830</v>
      </c>
      <c r="F414" s="130">
        <f t="shared" si="100"/>
        <v>1040</v>
      </c>
      <c r="G414" s="130">
        <v>300</v>
      </c>
      <c r="H414" s="130">
        <f t="shared" si="122"/>
        <v>0</v>
      </c>
      <c r="I414" s="130">
        <f>IF(COUNTIF($I$141:$I413,$I413)=VLOOKUP($I413,$D$90:$E$120,2,0),$I413+1,$I413)</f>
        <v>25</v>
      </c>
      <c r="J414" s="131">
        <f t="shared" si="106"/>
        <v>146</v>
      </c>
      <c r="K414" s="132" t="str">
        <f t="shared" si="107"/>
        <v/>
      </c>
      <c r="L414" s="132" t="str">
        <f t="shared" si="108"/>
        <v/>
      </c>
      <c r="M414" s="132" t="str">
        <f t="shared" si="109"/>
        <v/>
      </c>
      <c r="N414" s="132">
        <f t="shared" si="115"/>
        <v>0.0075</v>
      </c>
      <c r="O414" s="132" t="str">
        <f t="shared" si="110"/>
        <v/>
      </c>
      <c r="P414" s="141">
        <f>(SUM($Q$142:Q414)-SUM($H$141:H414))/SUM($H$141:H414)</f>
        <v>0.715574493094329</v>
      </c>
      <c r="Q414" s="142">
        <f t="shared" si="102"/>
        <v>1320</v>
      </c>
      <c r="R414" s="142">
        <f t="shared" si="99"/>
        <v>19130</v>
      </c>
      <c r="S414" s="133">
        <f t="shared" si="116"/>
        <v>34.3128440366972</v>
      </c>
      <c r="T414" s="134">
        <f>INT(SUM($W$141:W414)/3)+1</f>
        <v>50</v>
      </c>
      <c r="U414" s="135" t="str">
        <f t="shared" si="111"/>
        <v/>
      </c>
      <c r="V414" s="67" t="s">
        <v>168</v>
      </c>
      <c r="W414" s="137" t="str">
        <f t="shared" si="117"/>
        <v/>
      </c>
      <c r="X414" s="137" t="str">
        <f t="shared" si="112"/>
        <v/>
      </c>
      <c r="Y414" s="138"/>
      <c r="Z414" s="138">
        <v>2</v>
      </c>
      <c r="AA414" s="138">
        <v>3</v>
      </c>
      <c r="AB414" s="138" t="str">
        <f t="shared" si="121"/>
        <v>{10000,9000,8000}</v>
      </c>
      <c r="AC414" s="138">
        <v>1000</v>
      </c>
      <c r="AD414" s="138">
        <v>4000</v>
      </c>
      <c r="AE414" s="138">
        <f>SUM($R$141:$R414)+SUM($X$141:$X414)</f>
        <v>4198740</v>
      </c>
      <c r="AF414" s="138">
        <f>SUM($Q$142:Q414)</f>
        <v>175143</v>
      </c>
      <c r="AG414" s="137">
        <f t="shared" si="118"/>
        <v>4724169</v>
      </c>
      <c r="AH414" s="139">
        <f>SUM($S$141:S414)</f>
        <v>3829.01631068179</v>
      </c>
      <c r="AI414" s="133">
        <f t="shared" si="119"/>
        <v>17.1564220183486</v>
      </c>
      <c r="AJ414" s="15">
        <f t="shared" si="120"/>
        <v>1482600</v>
      </c>
      <c r="AL414" s="15">
        <v>274</v>
      </c>
      <c r="AM414" s="15">
        <f t="shared" si="113"/>
        <v>334660</v>
      </c>
      <c r="AN414" s="15">
        <f>SUMIF([1]装备属性!$M$571:$M$870,"&lt;="&amp;AL414,[1]装备属性!$Q$571:$Q$870)</f>
        <v>192517.104787715</v>
      </c>
      <c r="AO414" s="15">
        <f t="shared" si="114"/>
        <v>1.73833904456969</v>
      </c>
    </row>
    <row r="415" ht="18" spans="1:41">
      <c r="A415" s="9" t="s">
        <v>278</v>
      </c>
      <c r="B415" s="9" t="str">
        <f t="shared" si="103"/>
        <v>[{5205001,3},{2,}]</v>
      </c>
      <c r="C415" s="51" t="str">
        <f t="shared" si="104"/>
        <v>[{5203001,1330},{2,19270}]</v>
      </c>
      <c r="D415" s="140">
        <v>275</v>
      </c>
      <c r="E415" s="130">
        <f t="shared" si="105"/>
        <v>3864</v>
      </c>
      <c r="F415" s="130">
        <f t="shared" si="100"/>
        <v>1045</v>
      </c>
      <c r="G415" s="130">
        <v>300</v>
      </c>
      <c r="H415" s="130">
        <f t="shared" si="122"/>
        <v>0</v>
      </c>
      <c r="I415" s="130">
        <f>IF(COUNTIF($I$141:$I414,$I414)=VLOOKUP($I414,$D$90:$E$120,2,0),$I414+1,$I414)</f>
        <v>25</v>
      </c>
      <c r="J415" s="131">
        <f t="shared" si="106"/>
        <v>146</v>
      </c>
      <c r="K415" s="132" t="str">
        <f t="shared" si="107"/>
        <v/>
      </c>
      <c r="L415" s="132" t="str">
        <f t="shared" si="108"/>
        <v/>
      </c>
      <c r="M415" s="132">
        <f t="shared" si="109"/>
        <v>0.002</v>
      </c>
      <c r="N415" s="132" t="str">
        <f t="shared" si="115"/>
        <v/>
      </c>
      <c r="O415" s="132" t="str">
        <f t="shared" si="110"/>
        <v/>
      </c>
      <c r="P415" s="141">
        <f>(SUM($Q$142:Q415)-SUM($H$141:H415))/SUM($H$141:H415)</f>
        <v>0.728553237339602</v>
      </c>
      <c r="Q415" s="142">
        <f t="shared" si="102"/>
        <v>1325</v>
      </c>
      <c r="R415" s="142">
        <f t="shared" si="99"/>
        <v>19200</v>
      </c>
      <c r="S415" s="133">
        <f t="shared" si="116"/>
        <v>34.4385321100917</v>
      </c>
      <c r="T415" s="134">
        <f>INT(SUM($W$141:W415)/3)+1</f>
        <v>50</v>
      </c>
      <c r="U415" s="135" t="str">
        <f t="shared" si="111"/>
        <v/>
      </c>
      <c r="V415" s="67" t="s">
        <v>168</v>
      </c>
      <c r="W415" s="137" t="str">
        <f t="shared" si="117"/>
        <v/>
      </c>
      <c r="X415" s="137" t="str">
        <f t="shared" si="112"/>
        <v/>
      </c>
      <c r="Y415" s="138"/>
      <c r="Z415" s="138">
        <v>2</v>
      </c>
      <c r="AA415" s="138">
        <v>3</v>
      </c>
      <c r="AB415" s="138" t="str">
        <f t="shared" si="121"/>
        <v>{10000,9000,8000}</v>
      </c>
      <c r="AC415" s="138">
        <v>1000</v>
      </c>
      <c r="AD415" s="138">
        <v>4000</v>
      </c>
      <c r="AE415" s="138">
        <f>SUM($R$141:$R415)+SUM($X$141:$X415)</f>
        <v>4217940</v>
      </c>
      <c r="AF415" s="138">
        <f>SUM($Q$142:Q415)</f>
        <v>176468</v>
      </c>
      <c r="AG415" s="137">
        <f t="shared" si="118"/>
        <v>4747344</v>
      </c>
      <c r="AH415" s="139">
        <f>SUM($S$141:S415)</f>
        <v>3863.45484279188</v>
      </c>
      <c r="AI415" s="133">
        <f t="shared" si="119"/>
        <v>17.2192660550459</v>
      </c>
      <c r="AJ415" s="15">
        <f t="shared" si="120"/>
        <v>1488000</v>
      </c>
      <c r="AL415" s="15">
        <v>275</v>
      </c>
      <c r="AM415" s="15">
        <f t="shared" si="113"/>
        <v>334660</v>
      </c>
      <c r="AN415" s="15">
        <f>SUMIF([1]装备属性!$M$571:$M$870,"&lt;="&amp;AL415,[1]装备属性!$Q$571:$Q$870)</f>
        <v>192517.104787715</v>
      </c>
      <c r="AO415" s="15">
        <f t="shared" si="114"/>
        <v>1.73833904456969</v>
      </c>
    </row>
    <row r="416" ht="18" spans="1:41">
      <c r="A416" s="9" t="s">
        <v>279</v>
      </c>
      <c r="B416" s="9" t="str">
        <f t="shared" si="103"/>
        <v>[{5205001,3},{2,}]</v>
      </c>
      <c r="C416" s="51" t="str">
        <f t="shared" si="104"/>
        <v>[{5203001,1335},{2,19340}]</v>
      </c>
      <c r="D416" s="140">
        <v>276</v>
      </c>
      <c r="E416" s="130">
        <f t="shared" si="105"/>
        <v>3899</v>
      </c>
      <c r="F416" s="130">
        <f t="shared" si="100"/>
        <v>1050</v>
      </c>
      <c r="G416" s="130">
        <v>300</v>
      </c>
      <c r="H416" s="130">
        <f t="shared" si="122"/>
        <v>0</v>
      </c>
      <c r="I416" s="130">
        <f>IF(COUNTIF($I$141:$I415,$I415)=VLOOKUP($I415,$D$90:$E$120,2,0),$I415+1,$I415)</f>
        <v>25</v>
      </c>
      <c r="J416" s="131">
        <f t="shared" si="106"/>
        <v>146</v>
      </c>
      <c r="K416" s="132" t="str">
        <f t="shared" si="107"/>
        <v/>
      </c>
      <c r="L416" s="132">
        <f t="shared" si="108"/>
        <v>0.03</v>
      </c>
      <c r="M416" s="132" t="str">
        <f t="shared" si="109"/>
        <v/>
      </c>
      <c r="N416" s="132" t="str">
        <f t="shared" si="115"/>
        <v/>
      </c>
      <c r="O416" s="132" t="str">
        <f t="shared" si="110"/>
        <v/>
      </c>
      <c r="P416" s="141">
        <f>(SUM($Q$142:Q416)-SUM($H$141:H416))/SUM($H$141:H416)</f>
        <v>0.741580957978255</v>
      </c>
      <c r="Q416" s="142">
        <f t="shared" si="102"/>
        <v>1330</v>
      </c>
      <c r="R416" s="142">
        <f t="shared" ref="R416:R479" si="123">R415+70</f>
        <v>19270</v>
      </c>
      <c r="S416" s="133">
        <f t="shared" si="116"/>
        <v>34.5642201834862</v>
      </c>
      <c r="T416" s="134">
        <f>INT(SUM($W$141:W416)/3)+1</f>
        <v>50</v>
      </c>
      <c r="U416" s="135" t="str">
        <f t="shared" si="111"/>
        <v/>
      </c>
      <c r="V416" s="67" t="s">
        <v>168</v>
      </c>
      <c r="W416" s="137" t="str">
        <f t="shared" si="117"/>
        <v/>
      </c>
      <c r="X416" s="137" t="str">
        <f t="shared" si="112"/>
        <v/>
      </c>
      <c r="Y416" s="138"/>
      <c r="Z416" s="138">
        <v>2</v>
      </c>
      <c r="AA416" s="138">
        <v>3</v>
      </c>
      <c r="AB416" s="138" t="str">
        <f t="shared" si="121"/>
        <v>{10000,9000,8000}</v>
      </c>
      <c r="AC416" s="138">
        <v>1000</v>
      </c>
      <c r="AD416" s="138">
        <v>4000</v>
      </c>
      <c r="AE416" s="138">
        <f>SUM($R$141:$R416)+SUM($X$141:$X416)</f>
        <v>4237210</v>
      </c>
      <c r="AF416" s="138">
        <f>SUM($Q$142:Q416)</f>
        <v>177798</v>
      </c>
      <c r="AG416" s="137">
        <f t="shared" si="118"/>
        <v>4770604</v>
      </c>
      <c r="AH416" s="139">
        <f>SUM($S$141:S416)</f>
        <v>3898.01906297537</v>
      </c>
      <c r="AI416" s="133">
        <f t="shared" si="119"/>
        <v>17.2821100917431</v>
      </c>
      <c r="AJ416" s="15">
        <f t="shared" si="120"/>
        <v>1493400</v>
      </c>
      <c r="AL416" s="15">
        <v>276</v>
      </c>
      <c r="AM416" s="15">
        <f t="shared" si="113"/>
        <v>334660</v>
      </c>
      <c r="AN416" s="15">
        <f>SUMIF([1]装备属性!$M$571:$M$870,"&lt;="&amp;AL416,[1]装备属性!$Q$571:$Q$870)</f>
        <v>192517.104787715</v>
      </c>
      <c r="AO416" s="15">
        <f t="shared" si="114"/>
        <v>1.73833904456969</v>
      </c>
    </row>
    <row r="417" ht="18" spans="1:41">
      <c r="A417" s="9" t="s">
        <v>277</v>
      </c>
      <c r="B417" s="9" t="str">
        <f t="shared" si="103"/>
        <v>[{5205001,3},{2,}]</v>
      </c>
      <c r="C417" s="51" t="str">
        <f t="shared" si="104"/>
        <v>[{5203001,1340},{2,19410}]</v>
      </c>
      <c r="D417" s="140">
        <v>277</v>
      </c>
      <c r="E417" s="130">
        <f t="shared" si="105"/>
        <v>3933</v>
      </c>
      <c r="F417" s="130">
        <f t="shared" si="100"/>
        <v>1055</v>
      </c>
      <c r="G417" s="130">
        <v>300</v>
      </c>
      <c r="H417" s="130">
        <f t="shared" si="122"/>
        <v>0</v>
      </c>
      <c r="I417" s="130">
        <f>IF(COUNTIF($I$141:$I416,$I416)=VLOOKUP($I416,$D$90:$E$120,2,0),$I416+1,$I416)</f>
        <v>25</v>
      </c>
      <c r="J417" s="131">
        <f t="shared" si="106"/>
        <v>146</v>
      </c>
      <c r="K417" s="132">
        <f t="shared" si="107"/>
        <v>0.05</v>
      </c>
      <c r="L417" s="132" t="str">
        <f t="shared" si="108"/>
        <v/>
      </c>
      <c r="M417" s="132" t="str">
        <f t="shared" si="109"/>
        <v/>
      </c>
      <c r="N417" s="132" t="str">
        <f t="shared" si="115"/>
        <v/>
      </c>
      <c r="O417" s="132" t="str">
        <f t="shared" si="110"/>
        <v/>
      </c>
      <c r="P417" s="141">
        <f>(SUM($Q$142:Q417)-SUM($H$141:H417))/SUM($H$141:H417)</f>
        <v>0.754657655010285</v>
      </c>
      <c r="Q417" s="142">
        <f t="shared" si="102"/>
        <v>1335</v>
      </c>
      <c r="R417" s="142">
        <f t="shared" si="123"/>
        <v>19340</v>
      </c>
      <c r="S417" s="133">
        <f t="shared" si="116"/>
        <v>34.6899082568807</v>
      </c>
      <c r="T417" s="134">
        <f>INT(SUM($W$141:W417)/3)+1</f>
        <v>50</v>
      </c>
      <c r="U417" s="135" t="str">
        <f t="shared" si="111"/>
        <v/>
      </c>
      <c r="V417" s="67" t="s">
        <v>168</v>
      </c>
      <c r="W417" s="137" t="str">
        <f t="shared" si="117"/>
        <v/>
      </c>
      <c r="X417" s="137" t="str">
        <f t="shared" si="112"/>
        <v/>
      </c>
      <c r="Y417" s="138"/>
      <c r="Z417" s="138">
        <v>2</v>
      </c>
      <c r="AA417" s="138">
        <v>3</v>
      </c>
      <c r="AB417" s="138" t="str">
        <f t="shared" si="121"/>
        <v>{10000,9000,8000}</v>
      </c>
      <c r="AC417" s="138">
        <v>1000</v>
      </c>
      <c r="AD417" s="138">
        <v>4000</v>
      </c>
      <c r="AE417" s="138">
        <f>SUM($R$141:$R417)+SUM($X$141:$X417)</f>
        <v>4256550</v>
      </c>
      <c r="AF417" s="138">
        <f>SUM($Q$142:Q417)</f>
        <v>179133</v>
      </c>
      <c r="AG417" s="137">
        <f t="shared" si="118"/>
        <v>4793949</v>
      </c>
      <c r="AH417" s="139">
        <f>SUM($S$141:S417)</f>
        <v>3932.70897123225</v>
      </c>
      <c r="AI417" s="133">
        <f t="shared" si="119"/>
        <v>17.3449541284404</v>
      </c>
      <c r="AJ417" s="15">
        <f t="shared" si="120"/>
        <v>1498800</v>
      </c>
      <c r="AL417" s="15">
        <v>277</v>
      </c>
      <c r="AM417" s="15">
        <f t="shared" si="113"/>
        <v>334660</v>
      </c>
      <c r="AN417" s="15">
        <f>SUMIF([1]装备属性!$M$571:$M$870,"&lt;="&amp;AL417,[1]装备属性!$Q$571:$Q$870)</f>
        <v>192517.104787715</v>
      </c>
      <c r="AO417" s="15">
        <f t="shared" si="114"/>
        <v>1.73833904456969</v>
      </c>
    </row>
    <row r="418" ht="18" spans="1:41">
      <c r="A418" s="9" t="str">
        <f>SUBSTITUTE(A417,"队长伤害","队长技能冷却")</f>
        <v>队长攻击力+146\n队长技能冷却+5%</v>
      </c>
      <c r="B418" s="9" t="str">
        <f t="shared" si="103"/>
        <v>[{5205001,3},{2,}]</v>
      </c>
      <c r="C418" s="51" t="str">
        <f t="shared" si="104"/>
        <v>[{5203001,1345},{2,19480}]</v>
      </c>
      <c r="D418" s="140">
        <v>278</v>
      </c>
      <c r="E418" s="130">
        <f t="shared" si="105"/>
        <v>3968</v>
      </c>
      <c r="F418" s="130">
        <f t="shared" si="100"/>
        <v>1060</v>
      </c>
      <c r="G418" s="130">
        <v>300</v>
      </c>
      <c r="H418" s="130">
        <f t="shared" si="122"/>
        <v>0</v>
      </c>
      <c r="I418" s="130">
        <f>IF(COUNTIF($I$141:$I417,$I417)=VLOOKUP($I417,$D$90:$E$120,2,0),$I417+1,$I417)</f>
        <v>25</v>
      </c>
      <c r="J418" s="131">
        <f t="shared" si="106"/>
        <v>146</v>
      </c>
      <c r="K418" s="132" t="str">
        <f t="shared" si="107"/>
        <v/>
      </c>
      <c r="L418" s="132" t="str">
        <f t="shared" si="108"/>
        <v/>
      </c>
      <c r="M418" s="132" t="str">
        <f t="shared" si="109"/>
        <v/>
      </c>
      <c r="N418" s="132">
        <f t="shared" si="115"/>
        <v>0.0075</v>
      </c>
      <c r="O418" s="132" t="str">
        <f t="shared" si="110"/>
        <v/>
      </c>
      <c r="P418" s="141">
        <f>(SUM($Q$142:Q418)-SUM($H$141:H418))/SUM($H$141:H418)</f>
        <v>0.767783328435694</v>
      </c>
      <c r="Q418" s="142">
        <f t="shared" si="102"/>
        <v>1340</v>
      </c>
      <c r="R418" s="142">
        <f t="shared" si="123"/>
        <v>19410</v>
      </c>
      <c r="S418" s="133">
        <f t="shared" si="116"/>
        <v>34.8155963302752</v>
      </c>
      <c r="T418" s="134">
        <f>INT(SUM($W$141:W418)/3)+1</f>
        <v>50</v>
      </c>
      <c r="U418" s="135" t="str">
        <f t="shared" si="111"/>
        <v/>
      </c>
      <c r="V418" s="67" t="s">
        <v>168</v>
      </c>
      <c r="W418" s="137" t="str">
        <f t="shared" si="117"/>
        <v/>
      </c>
      <c r="X418" s="137" t="str">
        <f t="shared" si="112"/>
        <v/>
      </c>
      <c r="Y418" s="138"/>
      <c r="Z418" s="138">
        <v>2</v>
      </c>
      <c r="AA418" s="138">
        <v>3</v>
      </c>
      <c r="AB418" s="138" t="str">
        <f t="shared" si="121"/>
        <v>{10000,9000,8000}</v>
      </c>
      <c r="AC418" s="138">
        <v>1000</v>
      </c>
      <c r="AD418" s="138">
        <v>4000</v>
      </c>
      <c r="AE418" s="138">
        <f>SUM($R$141:$R418)+SUM($X$141:$X418)</f>
        <v>4275960</v>
      </c>
      <c r="AF418" s="138">
        <f>SUM($Q$142:Q418)</f>
        <v>180473</v>
      </c>
      <c r="AG418" s="137">
        <f t="shared" si="118"/>
        <v>4817379</v>
      </c>
      <c r="AH418" s="139">
        <f>SUM($S$141:S418)</f>
        <v>3967.52456756253</v>
      </c>
      <c r="AI418" s="133">
        <f t="shared" si="119"/>
        <v>17.4077981651376</v>
      </c>
      <c r="AJ418" s="15">
        <f t="shared" si="120"/>
        <v>1504200</v>
      </c>
      <c r="AL418" s="15">
        <v>278</v>
      </c>
      <c r="AM418" s="15">
        <f t="shared" si="113"/>
        <v>334660</v>
      </c>
      <c r="AN418" s="15">
        <f>SUMIF([1]装备属性!$M$571:$M$870,"&lt;="&amp;AL418,[1]装备属性!$Q$571:$Q$870)</f>
        <v>192517.104787715</v>
      </c>
      <c r="AO418" s="15">
        <f t="shared" si="114"/>
        <v>1.73833904456969</v>
      </c>
    </row>
    <row r="419" ht="18" spans="1:41">
      <c r="A419" s="9" t="s">
        <v>278</v>
      </c>
      <c r="B419" s="9" t="str">
        <f t="shared" si="103"/>
        <v>[{5205001,3},{2,}]</v>
      </c>
      <c r="C419" s="51" t="str">
        <f t="shared" si="104"/>
        <v>[{5203001,1350},{2,19550}]</v>
      </c>
      <c r="D419" s="140">
        <v>279</v>
      </c>
      <c r="E419" s="130">
        <f t="shared" si="105"/>
        <v>4003</v>
      </c>
      <c r="F419" s="130">
        <f t="shared" si="100"/>
        <v>1065</v>
      </c>
      <c r="G419" s="130">
        <v>300</v>
      </c>
      <c r="H419" s="130">
        <f t="shared" si="122"/>
        <v>0</v>
      </c>
      <c r="I419" s="130">
        <f>IF(COUNTIF($I$141:$I418,$I418)=VLOOKUP($I418,$D$90:$E$120,2,0),$I418+1,$I418)</f>
        <v>25</v>
      </c>
      <c r="J419" s="131">
        <f t="shared" si="106"/>
        <v>146</v>
      </c>
      <c r="K419" s="132" t="str">
        <f t="shared" si="107"/>
        <v/>
      </c>
      <c r="L419" s="132" t="str">
        <f t="shared" si="108"/>
        <v/>
      </c>
      <c r="M419" s="132">
        <f t="shared" si="109"/>
        <v>0.002</v>
      </c>
      <c r="N419" s="132" t="str">
        <f t="shared" si="115"/>
        <v/>
      </c>
      <c r="O419" s="132" t="str">
        <f t="shared" si="110"/>
        <v/>
      </c>
      <c r="P419" s="141">
        <f>(SUM($Q$142:Q419)-SUM($H$141:H419))/SUM($H$141:H419)</f>
        <v>0.780957978254481</v>
      </c>
      <c r="Q419" s="142">
        <f t="shared" si="102"/>
        <v>1345</v>
      </c>
      <c r="R419" s="142">
        <f t="shared" si="123"/>
        <v>19480</v>
      </c>
      <c r="S419" s="133">
        <f t="shared" si="116"/>
        <v>34.9412844036697</v>
      </c>
      <c r="T419" s="134">
        <f>INT(SUM($W$141:W419)/3)+1</f>
        <v>50</v>
      </c>
      <c r="U419" s="135" t="str">
        <f t="shared" si="111"/>
        <v/>
      </c>
      <c r="V419" s="67" t="s">
        <v>168</v>
      </c>
      <c r="W419" s="137" t="str">
        <f t="shared" si="117"/>
        <v/>
      </c>
      <c r="X419" s="137" t="str">
        <f t="shared" si="112"/>
        <v/>
      </c>
      <c r="Y419" s="138"/>
      <c r="Z419" s="138">
        <v>2</v>
      </c>
      <c r="AA419" s="138">
        <v>3</v>
      </c>
      <c r="AB419" s="138" t="str">
        <f t="shared" si="121"/>
        <v>{10000,9000,8000}</v>
      </c>
      <c r="AC419" s="138">
        <v>1000</v>
      </c>
      <c r="AD419" s="138">
        <v>4000</v>
      </c>
      <c r="AE419" s="138">
        <f>SUM($R$141:$R419)+SUM($X$141:$X419)</f>
        <v>4295440</v>
      </c>
      <c r="AF419" s="138">
        <f>SUM($Q$142:Q419)</f>
        <v>181818</v>
      </c>
      <c r="AG419" s="137">
        <f t="shared" si="118"/>
        <v>4840894</v>
      </c>
      <c r="AH419" s="139">
        <f>SUM($S$141:S419)</f>
        <v>4002.46585196619</v>
      </c>
      <c r="AI419" s="133">
        <f t="shared" si="119"/>
        <v>17.4706422018349</v>
      </c>
      <c r="AJ419" s="15">
        <f t="shared" si="120"/>
        <v>1509600</v>
      </c>
      <c r="AL419" s="15">
        <v>279</v>
      </c>
      <c r="AM419" s="15">
        <f t="shared" si="113"/>
        <v>341540</v>
      </c>
      <c r="AN419" s="15">
        <f>SUMIF([1]装备属性!$M$571:$M$870,"&lt;="&amp;AL419,[1]装备属性!$Q$571:$Q$870)</f>
        <v>192517.104787715</v>
      </c>
      <c r="AO419" s="15">
        <f t="shared" si="114"/>
        <v>1.77407612885416</v>
      </c>
    </row>
    <row r="420" ht="18" spans="1:41">
      <c r="A420" s="9" t="s">
        <v>279</v>
      </c>
      <c r="B420" s="9" t="str">
        <f t="shared" si="103"/>
        <v>[{5205001,3},{2,78200}]</v>
      </c>
      <c r="C420" s="51" t="str">
        <f t="shared" si="104"/>
        <v>[{5203001,1355},{2,19620}]</v>
      </c>
      <c r="D420" s="140">
        <v>280</v>
      </c>
      <c r="E420" s="130">
        <f t="shared" si="105"/>
        <v>4038</v>
      </c>
      <c r="F420" s="130">
        <f t="shared" si="100"/>
        <v>1070</v>
      </c>
      <c r="G420" s="130">
        <v>300</v>
      </c>
      <c r="H420" s="130">
        <f t="shared" si="122"/>
        <v>0</v>
      </c>
      <c r="I420" s="130">
        <f>IF(COUNTIF($I$141:$I419,$I419)=VLOOKUP($I419,$D$90:$E$120,2,0),$I419+1,$I419)</f>
        <v>25</v>
      </c>
      <c r="J420" s="131">
        <f t="shared" si="106"/>
        <v>146</v>
      </c>
      <c r="K420" s="132" t="str">
        <f t="shared" si="107"/>
        <v/>
      </c>
      <c r="L420" s="132">
        <f t="shared" si="108"/>
        <v>0.03</v>
      </c>
      <c r="M420" s="132" t="str">
        <f t="shared" si="109"/>
        <v/>
      </c>
      <c r="N420" s="132" t="str">
        <f t="shared" si="115"/>
        <v/>
      </c>
      <c r="O420" s="132" t="str">
        <f t="shared" si="110"/>
        <v/>
      </c>
      <c r="P420" s="141">
        <f>(SUM($Q$142:Q420)-SUM($H$141:H420))/SUM($H$141:H420)</f>
        <v>0.794181604466647</v>
      </c>
      <c r="Q420" s="142">
        <f t="shared" si="102"/>
        <v>1350</v>
      </c>
      <c r="R420" s="142">
        <f t="shared" si="123"/>
        <v>19550</v>
      </c>
      <c r="S420" s="133">
        <f t="shared" si="116"/>
        <v>35.0669724770642</v>
      </c>
      <c r="T420" s="134">
        <f>INT(SUM($W$141:W420)/3)+1</f>
        <v>51</v>
      </c>
      <c r="U420" s="135" t="str">
        <f t="shared" si="111"/>
        <v>65</v>
      </c>
      <c r="V420" s="67" t="s">
        <v>99</v>
      </c>
      <c r="W420" s="137">
        <f t="shared" si="117"/>
        <v>3</v>
      </c>
      <c r="X420" s="137">
        <f t="shared" si="112"/>
        <v>78200</v>
      </c>
      <c r="Y420" s="138"/>
      <c r="Z420" s="138">
        <v>2</v>
      </c>
      <c r="AA420" s="138">
        <v>3</v>
      </c>
      <c r="AB420" s="138" t="str">
        <f t="shared" si="121"/>
        <v>{10000,9000,8000}</v>
      </c>
      <c r="AC420" s="138">
        <v>1000</v>
      </c>
      <c r="AD420" s="138">
        <v>4000</v>
      </c>
      <c r="AE420" s="138">
        <f>SUM($R$141:$R420)+SUM($X$141:$X420)</f>
        <v>4393190</v>
      </c>
      <c r="AF420" s="138">
        <f>SUM($Q$142:Q420)</f>
        <v>183168</v>
      </c>
      <c r="AG420" s="137">
        <f t="shared" si="118"/>
        <v>4942694</v>
      </c>
      <c r="AH420" s="139">
        <f>SUM($S$141:S420)</f>
        <v>4037.53282444326</v>
      </c>
      <c r="AI420" s="133">
        <f t="shared" si="119"/>
        <v>17.5334862385321</v>
      </c>
      <c r="AJ420" s="15">
        <f t="shared" si="120"/>
        <v>1515000</v>
      </c>
      <c r="AL420" s="15">
        <v>280</v>
      </c>
      <c r="AM420" s="15">
        <f t="shared" si="113"/>
        <v>341540</v>
      </c>
      <c r="AN420" s="15">
        <f>SUMIF([1]装备属性!$M$571:$M$870,"&lt;="&amp;AL420,[1]装备属性!$Q$571:$Q$870)</f>
        <v>192517.104787715</v>
      </c>
      <c r="AO420" s="15">
        <f t="shared" si="114"/>
        <v>1.77407612885416</v>
      </c>
    </row>
    <row r="421" ht="18" spans="1:41">
      <c r="A421" s="9" t="s">
        <v>280</v>
      </c>
      <c r="B421" s="9" t="str">
        <f t="shared" si="103"/>
        <v>[{5205001,3},{2,}]</v>
      </c>
      <c r="C421" s="51" t="str">
        <f t="shared" si="104"/>
        <v>[{5203001,1360},{2,19690}]</v>
      </c>
      <c r="D421" s="140">
        <v>281</v>
      </c>
      <c r="E421" s="130">
        <f t="shared" si="105"/>
        <v>4074</v>
      </c>
      <c r="F421" s="130">
        <f t="shared" si="100"/>
        <v>1075</v>
      </c>
      <c r="G421" s="130">
        <v>300</v>
      </c>
      <c r="H421" s="130">
        <f t="shared" si="122"/>
        <v>0</v>
      </c>
      <c r="I421" s="130">
        <f>IF(COUNTIF($I$141:$I420,$I420)=VLOOKUP($I420,$D$90:$E$120,2,0),$I420+1,$I420)</f>
        <v>26</v>
      </c>
      <c r="J421" s="131">
        <f t="shared" si="106"/>
        <v>152</v>
      </c>
      <c r="K421" s="132">
        <f t="shared" si="107"/>
        <v>0.05</v>
      </c>
      <c r="L421" s="132" t="str">
        <f t="shared" si="108"/>
        <v/>
      </c>
      <c r="M421" s="132" t="str">
        <f t="shared" si="109"/>
        <v/>
      </c>
      <c r="N421" s="132" t="str">
        <f t="shared" si="115"/>
        <v/>
      </c>
      <c r="O421" s="132" t="str">
        <f t="shared" si="110"/>
        <v/>
      </c>
      <c r="P421" s="141">
        <f>(SUM($Q$142:Q421)-SUM($H$141:H421))/SUM($H$141:H421)</f>
        <v>0.807454207072191</v>
      </c>
      <c r="Q421" s="142">
        <f t="shared" si="102"/>
        <v>1355</v>
      </c>
      <c r="R421" s="142">
        <f t="shared" si="123"/>
        <v>19620</v>
      </c>
      <c r="S421" s="133">
        <f t="shared" si="116"/>
        <v>36.1525129982669</v>
      </c>
      <c r="T421" s="134">
        <f>INT(SUM($W$141:W421)/3)+1</f>
        <v>51</v>
      </c>
      <c r="U421" s="135" t="str">
        <f t="shared" si="111"/>
        <v/>
      </c>
      <c r="V421" s="67" t="s">
        <v>168</v>
      </c>
      <c r="W421" s="137" t="str">
        <f t="shared" si="117"/>
        <v/>
      </c>
      <c r="X421" s="137" t="str">
        <f t="shared" si="112"/>
        <v/>
      </c>
      <c r="Y421" s="138"/>
      <c r="Z421" s="138">
        <v>2</v>
      </c>
      <c r="AA421" s="138">
        <v>3</v>
      </c>
      <c r="AB421" s="138" t="str">
        <f t="shared" si="121"/>
        <v>{10000,9000,8000}</v>
      </c>
      <c r="AC421" s="138">
        <v>1000</v>
      </c>
      <c r="AD421" s="138">
        <v>4000</v>
      </c>
      <c r="AE421" s="138">
        <f>SUM($R$141:$R421)+SUM($X$141:$X421)</f>
        <v>4412810</v>
      </c>
      <c r="AF421" s="138">
        <f>SUM($Q$142:Q421)</f>
        <v>184523</v>
      </c>
      <c r="AG421" s="137">
        <f t="shared" si="118"/>
        <v>4966379</v>
      </c>
      <c r="AH421" s="139">
        <f>SUM($S$141:S421)</f>
        <v>4073.68533744153</v>
      </c>
      <c r="AI421" s="133">
        <f t="shared" si="119"/>
        <v>18.0762564991335</v>
      </c>
      <c r="AJ421" s="15">
        <f t="shared" si="120"/>
        <v>1561800</v>
      </c>
      <c r="AL421" s="15">
        <v>281</v>
      </c>
      <c r="AM421" s="15">
        <f t="shared" si="113"/>
        <v>341540</v>
      </c>
      <c r="AN421" s="15">
        <f>SUMIF([1]装备属性!$M$571:$M$870,"&lt;="&amp;AL421,[1]装备属性!$Q$571:$Q$870)</f>
        <v>192517.104787715</v>
      </c>
      <c r="AO421" s="15">
        <f t="shared" si="114"/>
        <v>1.77407612885416</v>
      </c>
    </row>
    <row r="422" ht="18" spans="1:41">
      <c r="A422" s="9" t="str">
        <f>SUBSTITUTE(A421,"队长伤害","队长技能冷却")</f>
        <v>队长攻击力+152\n队长技能冷却+5%</v>
      </c>
      <c r="B422" s="9" t="str">
        <f t="shared" si="103"/>
        <v>[{5205001,3},{2,}]</v>
      </c>
      <c r="C422" s="51" t="str">
        <f t="shared" si="104"/>
        <v>[{5203001,1365},{2,19760}]</v>
      </c>
      <c r="D422" s="140">
        <v>282</v>
      </c>
      <c r="E422" s="130">
        <f t="shared" si="105"/>
        <v>4110</v>
      </c>
      <c r="F422" s="130">
        <f t="shared" si="100"/>
        <v>1080</v>
      </c>
      <c r="G422" s="130">
        <v>300</v>
      </c>
      <c r="H422" s="130">
        <f t="shared" si="122"/>
        <v>0</v>
      </c>
      <c r="I422" s="130">
        <f>IF(COUNTIF($I$141:$I421,$I421)=VLOOKUP($I421,$D$90:$E$120,2,0),$I421+1,$I421)</f>
        <v>26</v>
      </c>
      <c r="J422" s="131">
        <f t="shared" si="106"/>
        <v>152</v>
      </c>
      <c r="K422" s="132" t="str">
        <f t="shared" si="107"/>
        <v/>
      </c>
      <c r="L422" s="132" t="str">
        <f t="shared" si="108"/>
        <v/>
      </c>
      <c r="M422" s="132" t="str">
        <f t="shared" si="109"/>
        <v/>
      </c>
      <c r="N422" s="132">
        <f t="shared" si="115"/>
        <v>0.0075</v>
      </c>
      <c r="O422" s="132" t="str">
        <f t="shared" si="110"/>
        <v/>
      </c>
      <c r="P422" s="141">
        <f>(SUM($Q$142:Q422)-SUM($H$141:H422))/SUM($H$141:H422)</f>
        <v>0.820775786071114</v>
      </c>
      <c r="Q422" s="142">
        <f t="shared" si="102"/>
        <v>1360</v>
      </c>
      <c r="R422" s="142">
        <f t="shared" si="123"/>
        <v>19690</v>
      </c>
      <c r="S422" s="133">
        <f t="shared" si="116"/>
        <v>36.2816291161178</v>
      </c>
      <c r="T422" s="134">
        <f>INT(SUM($W$141:W422)/3)+1</f>
        <v>51</v>
      </c>
      <c r="U422" s="135" t="str">
        <f t="shared" si="111"/>
        <v/>
      </c>
      <c r="V422" s="67" t="s">
        <v>168</v>
      </c>
      <c r="W422" s="137" t="str">
        <f t="shared" si="117"/>
        <v/>
      </c>
      <c r="X422" s="137" t="str">
        <f t="shared" si="112"/>
        <v/>
      </c>
      <c r="Y422" s="138"/>
      <c r="Z422" s="138">
        <v>2</v>
      </c>
      <c r="AA422" s="138">
        <v>3</v>
      </c>
      <c r="AB422" s="138" t="str">
        <f t="shared" si="121"/>
        <v>{10000,9000,8000}</v>
      </c>
      <c r="AC422" s="138">
        <v>1000</v>
      </c>
      <c r="AD422" s="138">
        <v>4000</v>
      </c>
      <c r="AE422" s="138">
        <f>SUM($R$141:$R422)+SUM($X$141:$X422)</f>
        <v>4432500</v>
      </c>
      <c r="AF422" s="138">
        <f>SUM($Q$142:Q422)</f>
        <v>185883</v>
      </c>
      <c r="AG422" s="137">
        <f t="shared" si="118"/>
        <v>4990149</v>
      </c>
      <c r="AH422" s="139">
        <f>SUM($S$141:S422)</f>
        <v>4109.96696655764</v>
      </c>
      <c r="AI422" s="133">
        <f t="shared" si="119"/>
        <v>18.1408145580589</v>
      </c>
      <c r="AJ422" s="15">
        <f t="shared" si="120"/>
        <v>1567500</v>
      </c>
      <c r="AL422" s="15">
        <v>282</v>
      </c>
      <c r="AM422" s="15">
        <f t="shared" si="113"/>
        <v>341540</v>
      </c>
      <c r="AN422" s="15">
        <f>SUMIF([1]装备属性!$M$571:$M$870,"&lt;="&amp;AL422,[1]装备属性!$Q$571:$Q$870)</f>
        <v>192517.104787715</v>
      </c>
      <c r="AO422" s="15">
        <f t="shared" si="114"/>
        <v>1.77407612885416</v>
      </c>
    </row>
    <row r="423" ht="18" spans="1:41">
      <c r="A423" s="9" t="s">
        <v>281</v>
      </c>
      <c r="B423" s="9" t="str">
        <f t="shared" si="103"/>
        <v>[{5205001,3},{2,}]</v>
      </c>
      <c r="C423" s="51" t="str">
        <f t="shared" si="104"/>
        <v>[{5203001,1370},{2,19830}]</v>
      </c>
      <c r="D423" s="140">
        <v>283</v>
      </c>
      <c r="E423" s="130">
        <f t="shared" si="105"/>
        <v>4147</v>
      </c>
      <c r="F423" s="130">
        <f t="shared" si="100"/>
        <v>1085</v>
      </c>
      <c r="G423" s="130">
        <v>300</v>
      </c>
      <c r="H423" s="130">
        <f t="shared" si="122"/>
        <v>0</v>
      </c>
      <c r="I423" s="130">
        <f>IF(COUNTIF($I$141:$I422,$I422)=VLOOKUP($I422,$D$90:$E$120,2,0),$I422+1,$I422)</f>
        <v>26</v>
      </c>
      <c r="J423" s="131">
        <f t="shared" si="106"/>
        <v>152</v>
      </c>
      <c r="K423" s="132" t="str">
        <f t="shared" si="107"/>
        <v/>
      </c>
      <c r="L423" s="132" t="str">
        <f t="shared" si="108"/>
        <v/>
      </c>
      <c r="M423" s="132">
        <f t="shared" si="109"/>
        <v>0.002</v>
      </c>
      <c r="N423" s="132" t="str">
        <f t="shared" si="115"/>
        <v/>
      </c>
      <c r="O423" s="132" t="str">
        <f t="shared" si="110"/>
        <v/>
      </c>
      <c r="P423" s="141">
        <f>(SUM($Q$142:Q423)-SUM($H$141:H423))/SUM($H$141:H423)</f>
        <v>0.834146341463415</v>
      </c>
      <c r="Q423" s="142">
        <f t="shared" si="102"/>
        <v>1365</v>
      </c>
      <c r="R423" s="142">
        <f t="shared" si="123"/>
        <v>19760</v>
      </c>
      <c r="S423" s="133">
        <f t="shared" si="116"/>
        <v>36.4107452339688</v>
      </c>
      <c r="T423" s="134">
        <f>INT(SUM($W$141:W423)/3)+1</f>
        <v>51</v>
      </c>
      <c r="U423" s="135" t="str">
        <f t="shared" si="111"/>
        <v/>
      </c>
      <c r="V423" s="67" t="s">
        <v>168</v>
      </c>
      <c r="W423" s="137" t="str">
        <f t="shared" si="117"/>
        <v/>
      </c>
      <c r="X423" s="137" t="str">
        <f t="shared" si="112"/>
        <v/>
      </c>
      <c r="Y423" s="138"/>
      <c r="Z423" s="138">
        <v>2</v>
      </c>
      <c r="AA423" s="138">
        <v>3</v>
      </c>
      <c r="AB423" s="138" t="str">
        <f t="shared" si="121"/>
        <v>{10000,9000,8000}</v>
      </c>
      <c r="AC423" s="138">
        <v>1000</v>
      </c>
      <c r="AD423" s="138">
        <v>4000</v>
      </c>
      <c r="AE423" s="138">
        <f>SUM($R$141:$R423)+SUM($X$141:$X423)</f>
        <v>4452260</v>
      </c>
      <c r="AF423" s="138">
        <f>SUM($Q$142:Q423)</f>
        <v>187248</v>
      </c>
      <c r="AG423" s="137">
        <f t="shared" si="118"/>
        <v>5014004</v>
      </c>
      <c r="AH423" s="139">
        <f>SUM($S$141:S423)</f>
        <v>4146.37771179161</v>
      </c>
      <c r="AI423" s="133">
        <f t="shared" si="119"/>
        <v>18.2053726169844</v>
      </c>
      <c r="AJ423" s="15">
        <f t="shared" si="120"/>
        <v>1573200</v>
      </c>
      <c r="AL423" s="15">
        <v>283</v>
      </c>
      <c r="AM423" s="15">
        <f t="shared" si="113"/>
        <v>341540</v>
      </c>
      <c r="AN423" s="15">
        <f>SUMIF([1]装备属性!$M$571:$M$870,"&lt;="&amp;AL423,[1]装备属性!$Q$571:$Q$870)</f>
        <v>192517.104787715</v>
      </c>
      <c r="AO423" s="15">
        <f t="shared" si="114"/>
        <v>1.77407612885416</v>
      </c>
    </row>
    <row r="424" ht="18" spans="1:41">
      <c r="A424" s="9" t="s">
        <v>282</v>
      </c>
      <c r="B424" s="9" t="str">
        <f t="shared" si="103"/>
        <v>[{5205001,3},{2,}]</v>
      </c>
      <c r="C424" s="51" t="str">
        <f t="shared" si="104"/>
        <v>[{5203001,1375},{2,19900}]</v>
      </c>
      <c r="D424" s="140">
        <v>284</v>
      </c>
      <c r="E424" s="130">
        <f t="shared" si="105"/>
        <v>4183</v>
      </c>
      <c r="F424" s="130">
        <f t="shared" si="100"/>
        <v>1090</v>
      </c>
      <c r="G424" s="130">
        <v>300</v>
      </c>
      <c r="H424" s="130">
        <f t="shared" si="122"/>
        <v>0</v>
      </c>
      <c r="I424" s="130">
        <f>IF(COUNTIF($I$141:$I423,$I423)=VLOOKUP($I423,$D$90:$E$120,2,0),$I423+1,$I423)</f>
        <v>26</v>
      </c>
      <c r="J424" s="131">
        <f t="shared" si="106"/>
        <v>152</v>
      </c>
      <c r="K424" s="132" t="str">
        <f t="shared" si="107"/>
        <v/>
      </c>
      <c r="L424" s="132">
        <f t="shared" si="108"/>
        <v>0.03</v>
      </c>
      <c r="M424" s="132" t="str">
        <f t="shared" si="109"/>
        <v/>
      </c>
      <c r="N424" s="132" t="str">
        <f t="shared" si="115"/>
        <v/>
      </c>
      <c r="O424" s="132" t="str">
        <f t="shared" si="110"/>
        <v/>
      </c>
      <c r="P424" s="141">
        <f>(SUM($Q$142:Q424)-SUM($H$141:H424))/SUM($H$141:H424)</f>
        <v>0.847565873249094</v>
      </c>
      <c r="Q424" s="142">
        <f t="shared" si="102"/>
        <v>1370</v>
      </c>
      <c r="R424" s="142">
        <f t="shared" si="123"/>
        <v>19830</v>
      </c>
      <c r="S424" s="133">
        <f t="shared" si="116"/>
        <v>36.5398613518198</v>
      </c>
      <c r="T424" s="134">
        <f>INT(SUM($W$141:W424)/3)+1</f>
        <v>51</v>
      </c>
      <c r="U424" s="135" t="str">
        <f t="shared" si="111"/>
        <v/>
      </c>
      <c r="V424" s="67" t="s">
        <v>168</v>
      </c>
      <c r="W424" s="137" t="str">
        <f t="shared" si="117"/>
        <v/>
      </c>
      <c r="X424" s="137" t="str">
        <f t="shared" si="112"/>
        <v/>
      </c>
      <c r="Y424" s="138"/>
      <c r="Z424" s="138">
        <v>2</v>
      </c>
      <c r="AA424" s="138">
        <v>3</v>
      </c>
      <c r="AB424" s="138" t="str">
        <f t="shared" si="121"/>
        <v>{10000,9000,8000}</v>
      </c>
      <c r="AC424" s="138">
        <v>1000</v>
      </c>
      <c r="AD424" s="138">
        <v>4000</v>
      </c>
      <c r="AE424" s="138">
        <f>SUM($R$141:$R424)+SUM($X$141:$X424)</f>
        <v>4472090</v>
      </c>
      <c r="AF424" s="138">
        <f>SUM($Q$142:Q424)</f>
        <v>188618</v>
      </c>
      <c r="AG424" s="137">
        <f t="shared" si="118"/>
        <v>5037944</v>
      </c>
      <c r="AH424" s="139">
        <f>SUM($S$141:S424)</f>
        <v>4182.91757314343</v>
      </c>
      <c r="AI424" s="133">
        <f t="shared" si="119"/>
        <v>18.2699306759099</v>
      </c>
      <c r="AJ424" s="15">
        <f t="shared" si="120"/>
        <v>1578600</v>
      </c>
      <c r="AL424" s="15">
        <v>284</v>
      </c>
      <c r="AM424" s="15">
        <f t="shared" si="113"/>
        <v>341540</v>
      </c>
      <c r="AN424" s="15">
        <f>SUMIF([1]装备属性!$M$571:$M$870,"&lt;="&amp;AL424,[1]装备属性!$Q$571:$Q$870)</f>
        <v>192517.104787715</v>
      </c>
      <c r="AO424" s="15">
        <f t="shared" si="114"/>
        <v>1.77407612885416</v>
      </c>
    </row>
    <row r="425" ht="18" spans="1:41">
      <c r="A425" s="9" t="s">
        <v>280</v>
      </c>
      <c r="B425" s="9" t="str">
        <f t="shared" si="103"/>
        <v>[{5205001,3},{2,}]</v>
      </c>
      <c r="C425" s="51" t="str">
        <f t="shared" si="104"/>
        <v>[{5203001,1380},{2,19970}]</v>
      </c>
      <c r="D425" s="140">
        <v>285</v>
      </c>
      <c r="E425" s="130">
        <f t="shared" si="105"/>
        <v>4220</v>
      </c>
      <c r="F425" s="130">
        <f t="shared" si="100"/>
        <v>1095</v>
      </c>
      <c r="G425" s="130">
        <v>300</v>
      </c>
      <c r="H425" s="130">
        <f t="shared" si="122"/>
        <v>0</v>
      </c>
      <c r="I425" s="130">
        <f>IF(COUNTIF($I$141:$I424,$I424)=VLOOKUP($I424,$D$90:$E$120,2,0),$I424+1,$I424)</f>
        <v>26</v>
      </c>
      <c r="J425" s="131">
        <f t="shared" si="106"/>
        <v>152</v>
      </c>
      <c r="K425" s="132">
        <f t="shared" si="107"/>
        <v>0.05</v>
      </c>
      <c r="L425" s="132" t="str">
        <f t="shared" si="108"/>
        <v/>
      </c>
      <c r="M425" s="132" t="str">
        <f t="shared" si="109"/>
        <v/>
      </c>
      <c r="N425" s="132" t="str">
        <f t="shared" si="115"/>
        <v/>
      </c>
      <c r="O425" s="132" t="str">
        <f t="shared" si="110"/>
        <v/>
      </c>
      <c r="P425" s="141">
        <f>(SUM($Q$142:Q425)-SUM($H$141:H425))/SUM($H$141:H425)</f>
        <v>0.861034381428152</v>
      </c>
      <c r="Q425" s="142">
        <f t="shared" si="102"/>
        <v>1375</v>
      </c>
      <c r="R425" s="142">
        <f t="shared" si="123"/>
        <v>19900</v>
      </c>
      <c r="S425" s="133">
        <f t="shared" si="116"/>
        <v>36.6689774696707</v>
      </c>
      <c r="T425" s="134">
        <f>INT(SUM($W$141:W425)/3)+1</f>
        <v>51</v>
      </c>
      <c r="U425" s="135" t="str">
        <f t="shared" si="111"/>
        <v/>
      </c>
      <c r="V425" s="67" t="s">
        <v>168</v>
      </c>
      <c r="W425" s="137" t="str">
        <f t="shared" si="117"/>
        <v/>
      </c>
      <c r="X425" s="137" t="str">
        <f t="shared" si="112"/>
        <v/>
      </c>
      <c r="Y425" s="138"/>
      <c r="Z425" s="138">
        <v>2</v>
      </c>
      <c r="AA425" s="138">
        <v>3</v>
      </c>
      <c r="AB425" s="138" t="str">
        <f t="shared" si="121"/>
        <v>{10000,9000,8000}</v>
      </c>
      <c r="AC425" s="138">
        <v>1000</v>
      </c>
      <c r="AD425" s="138">
        <v>4000</v>
      </c>
      <c r="AE425" s="138">
        <f>SUM($R$141:$R425)+SUM($X$141:$X425)</f>
        <v>4491990</v>
      </c>
      <c r="AF425" s="138">
        <f>SUM($Q$142:Q425)</f>
        <v>189993</v>
      </c>
      <c r="AG425" s="137">
        <f t="shared" si="118"/>
        <v>5061969</v>
      </c>
      <c r="AH425" s="139">
        <f>SUM($S$141:S425)</f>
        <v>4219.5865506131</v>
      </c>
      <c r="AI425" s="133">
        <f t="shared" si="119"/>
        <v>18.3344887348354</v>
      </c>
      <c r="AJ425" s="15">
        <f t="shared" si="120"/>
        <v>1584300</v>
      </c>
      <c r="AL425" s="15">
        <v>285</v>
      </c>
      <c r="AM425" s="15">
        <f t="shared" si="113"/>
        <v>341540</v>
      </c>
      <c r="AN425" s="15">
        <f>SUMIF([1]装备属性!$M$571:$M$870,"&lt;="&amp;AL425,[1]装备属性!$Q$571:$Q$870)</f>
        <v>192517.104787715</v>
      </c>
      <c r="AO425" s="15">
        <f t="shared" si="114"/>
        <v>1.77407612885416</v>
      </c>
    </row>
    <row r="426" ht="18" spans="1:41">
      <c r="A426" s="9" t="str">
        <f>SUBSTITUTE(A425,"队长伤害","队长技能冷却")</f>
        <v>队长攻击力+152\n队长技能冷却+5%</v>
      </c>
      <c r="B426" s="9" t="str">
        <f t="shared" si="103"/>
        <v>[{5205001,3},{2,}]</v>
      </c>
      <c r="C426" s="51" t="str">
        <f t="shared" si="104"/>
        <v>[{5203001,1385},{2,20040}]</v>
      </c>
      <c r="D426" s="140">
        <v>286</v>
      </c>
      <c r="E426" s="130">
        <f t="shared" si="105"/>
        <v>4257</v>
      </c>
      <c r="F426" s="130">
        <f t="shared" si="100"/>
        <v>1100</v>
      </c>
      <c r="G426" s="130">
        <v>300</v>
      </c>
      <c r="H426" s="130">
        <f t="shared" si="122"/>
        <v>0</v>
      </c>
      <c r="I426" s="130">
        <f>IF(COUNTIF($I$141:$I425,$I425)=VLOOKUP($I425,$D$90:$E$120,2,0),$I425+1,$I425)</f>
        <v>26</v>
      </c>
      <c r="J426" s="131">
        <f t="shared" si="106"/>
        <v>152</v>
      </c>
      <c r="K426" s="132" t="str">
        <f t="shared" si="107"/>
        <v/>
      </c>
      <c r="L426" s="132" t="str">
        <f t="shared" si="108"/>
        <v/>
      </c>
      <c r="M426" s="132" t="str">
        <f t="shared" si="109"/>
        <v/>
      </c>
      <c r="N426" s="132">
        <f t="shared" si="115"/>
        <v>0.0075</v>
      </c>
      <c r="O426" s="132" t="str">
        <f t="shared" si="110"/>
        <v/>
      </c>
      <c r="P426" s="141">
        <f>(SUM($Q$142:Q426)-SUM($H$141:H426))/SUM($H$141:H426)</f>
        <v>0.874551866000588</v>
      </c>
      <c r="Q426" s="142">
        <f t="shared" si="102"/>
        <v>1380</v>
      </c>
      <c r="R426" s="142">
        <f t="shared" si="123"/>
        <v>19970</v>
      </c>
      <c r="S426" s="133">
        <f t="shared" si="116"/>
        <v>36.7980935875217</v>
      </c>
      <c r="T426" s="134">
        <f>INT(SUM($W$141:W426)/3)+1</f>
        <v>51</v>
      </c>
      <c r="U426" s="135" t="str">
        <f t="shared" si="111"/>
        <v/>
      </c>
      <c r="V426" s="67" t="s">
        <v>168</v>
      </c>
      <c r="W426" s="137" t="str">
        <f t="shared" si="117"/>
        <v/>
      </c>
      <c r="X426" s="137" t="str">
        <f t="shared" si="112"/>
        <v/>
      </c>
      <c r="Y426" s="138"/>
      <c r="Z426" s="138">
        <v>2</v>
      </c>
      <c r="AA426" s="138">
        <v>3</v>
      </c>
      <c r="AB426" s="138" t="str">
        <f t="shared" si="121"/>
        <v>{10000,9000,8000}</v>
      </c>
      <c r="AC426" s="138">
        <v>1000</v>
      </c>
      <c r="AD426" s="138">
        <v>4000</v>
      </c>
      <c r="AE426" s="138">
        <f>SUM($R$141:$R426)+SUM($X$141:$X426)</f>
        <v>4511960</v>
      </c>
      <c r="AF426" s="138">
        <f>SUM($Q$142:Q426)</f>
        <v>191373</v>
      </c>
      <c r="AG426" s="137">
        <f t="shared" si="118"/>
        <v>5086079</v>
      </c>
      <c r="AH426" s="139">
        <f>SUM($S$141:S426)</f>
        <v>4256.38464420063</v>
      </c>
      <c r="AI426" s="133">
        <f t="shared" si="119"/>
        <v>18.3990467937608</v>
      </c>
      <c r="AJ426" s="15">
        <f t="shared" si="120"/>
        <v>1589700</v>
      </c>
      <c r="AL426" s="15">
        <v>286</v>
      </c>
      <c r="AM426" s="15">
        <f t="shared" si="113"/>
        <v>341540</v>
      </c>
      <c r="AN426" s="15">
        <f>SUMIF([1]装备属性!$M$571:$M$870,"&lt;="&amp;AL426,[1]装备属性!$Q$571:$Q$870)</f>
        <v>192517.104787715</v>
      </c>
      <c r="AO426" s="15">
        <f t="shared" si="114"/>
        <v>1.77407612885416</v>
      </c>
    </row>
    <row r="427" ht="18" spans="1:41">
      <c r="A427" s="9" t="s">
        <v>281</v>
      </c>
      <c r="B427" s="9" t="str">
        <f t="shared" si="103"/>
        <v>[{5205001,3},{2,}]</v>
      </c>
      <c r="C427" s="51" t="str">
        <f t="shared" si="104"/>
        <v>[{5203001,1390},{2,20110}]</v>
      </c>
      <c r="D427" s="140">
        <v>287</v>
      </c>
      <c r="E427" s="130">
        <f t="shared" si="105"/>
        <v>4294</v>
      </c>
      <c r="F427" s="130">
        <f t="shared" si="100"/>
        <v>1105</v>
      </c>
      <c r="G427" s="130">
        <v>300</v>
      </c>
      <c r="H427" s="130">
        <f t="shared" si="122"/>
        <v>0</v>
      </c>
      <c r="I427" s="130">
        <f>IF(COUNTIF($I$141:$I426,$I426)=VLOOKUP($I426,$D$90:$E$120,2,0),$I426+1,$I426)</f>
        <v>26</v>
      </c>
      <c r="J427" s="131">
        <f t="shared" si="106"/>
        <v>152</v>
      </c>
      <c r="K427" s="132" t="str">
        <f t="shared" si="107"/>
        <v/>
      </c>
      <c r="L427" s="132" t="str">
        <f t="shared" si="108"/>
        <v/>
      </c>
      <c r="M427" s="132">
        <f t="shared" si="109"/>
        <v>0.002</v>
      </c>
      <c r="N427" s="132" t="str">
        <f t="shared" si="115"/>
        <v/>
      </c>
      <c r="O427" s="132" t="str">
        <f t="shared" si="110"/>
        <v/>
      </c>
      <c r="P427" s="141">
        <f>(SUM($Q$142:Q427)-SUM($H$141:H427))/SUM($H$141:H427)</f>
        <v>0.888118326966402</v>
      </c>
      <c r="Q427" s="142">
        <f t="shared" si="102"/>
        <v>1385</v>
      </c>
      <c r="R427" s="142">
        <f t="shared" si="123"/>
        <v>20040</v>
      </c>
      <c r="S427" s="133">
        <f t="shared" si="116"/>
        <v>36.9272097053726</v>
      </c>
      <c r="T427" s="134">
        <f>INT(SUM($W$141:W427)/3)+1</f>
        <v>51</v>
      </c>
      <c r="U427" s="135" t="str">
        <f t="shared" si="111"/>
        <v/>
      </c>
      <c r="V427" s="67" t="s">
        <v>168</v>
      </c>
      <c r="W427" s="137" t="str">
        <f t="shared" si="117"/>
        <v/>
      </c>
      <c r="X427" s="137" t="str">
        <f t="shared" si="112"/>
        <v/>
      </c>
      <c r="Y427" s="138"/>
      <c r="Z427" s="138">
        <v>2</v>
      </c>
      <c r="AA427" s="138">
        <v>3</v>
      </c>
      <c r="AB427" s="138" t="str">
        <f t="shared" si="121"/>
        <v>{10000,9000,8000}</v>
      </c>
      <c r="AC427" s="138">
        <v>1000</v>
      </c>
      <c r="AD427" s="138">
        <v>4000</v>
      </c>
      <c r="AE427" s="138">
        <f>SUM($R$141:$R427)+SUM($X$141:$X427)</f>
        <v>4532000</v>
      </c>
      <c r="AF427" s="138">
        <f>SUM($Q$142:Q427)</f>
        <v>192758</v>
      </c>
      <c r="AG427" s="137">
        <f t="shared" si="118"/>
        <v>5110274</v>
      </c>
      <c r="AH427" s="139">
        <f>SUM($S$141:S427)</f>
        <v>4293.311853906</v>
      </c>
      <c r="AI427" s="133">
        <f t="shared" si="119"/>
        <v>18.4636048526863</v>
      </c>
      <c r="AJ427" s="15">
        <f t="shared" si="120"/>
        <v>1595400</v>
      </c>
      <c r="AL427" s="15">
        <v>287</v>
      </c>
      <c r="AM427" s="15">
        <f t="shared" si="113"/>
        <v>341540</v>
      </c>
      <c r="AN427" s="15">
        <f>SUMIF([1]装备属性!$M$571:$M$870,"&lt;="&amp;AL427,[1]装备属性!$Q$571:$Q$870)</f>
        <v>192517.104787715</v>
      </c>
      <c r="AO427" s="15">
        <f t="shared" si="114"/>
        <v>1.77407612885416</v>
      </c>
    </row>
    <row r="428" ht="18" spans="1:41">
      <c r="A428" s="9" t="s">
        <v>282</v>
      </c>
      <c r="B428" s="9" t="str">
        <f t="shared" si="103"/>
        <v>[{5205001,3},{2,80440}]</v>
      </c>
      <c r="C428" s="51" t="str">
        <f t="shared" si="104"/>
        <v>[{5203001,1395},{2,20180}]</v>
      </c>
      <c r="D428" s="140">
        <v>288</v>
      </c>
      <c r="E428" s="130">
        <f t="shared" si="105"/>
        <v>4331</v>
      </c>
      <c r="F428" s="130">
        <f t="shared" si="100"/>
        <v>1110</v>
      </c>
      <c r="G428" s="130">
        <v>300</v>
      </c>
      <c r="H428" s="130">
        <f t="shared" si="122"/>
        <v>0</v>
      </c>
      <c r="I428" s="130">
        <f>IF(COUNTIF($I$141:$I427,$I427)=VLOOKUP($I427,$D$90:$E$120,2,0),$I427+1,$I427)</f>
        <v>26</v>
      </c>
      <c r="J428" s="131">
        <f t="shared" si="106"/>
        <v>152</v>
      </c>
      <c r="K428" s="132" t="str">
        <f t="shared" si="107"/>
        <v/>
      </c>
      <c r="L428" s="132">
        <f t="shared" si="108"/>
        <v>0.03</v>
      </c>
      <c r="M428" s="132" t="str">
        <f t="shared" si="109"/>
        <v/>
      </c>
      <c r="N428" s="132" t="str">
        <f t="shared" si="115"/>
        <v/>
      </c>
      <c r="O428" s="132" t="str">
        <f t="shared" si="110"/>
        <v/>
      </c>
      <c r="P428" s="141">
        <f>(SUM($Q$142:Q428)-SUM($H$141:H428))/SUM($H$141:H428)</f>
        <v>0.901733764325595</v>
      </c>
      <c r="Q428" s="142">
        <f t="shared" si="102"/>
        <v>1390</v>
      </c>
      <c r="R428" s="142">
        <f t="shared" si="123"/>
        <v>20110</v>
      </c>
      <c r="S428" s="133">
        <f t="shared" si="116"/>
        <v>37.0563258232236</v>
      </c>
      <c r="T428" s="134">
        <f>INT(SUM($W$141:W428)/3)+1</f>
        <v>52</v>
      </c>
      <c r="U428" s="135" t="str">
        <f t="shared" si="111"/>
        <v/>
      </c>
      <c r="V428" s="67" t="s">
        <v>91</v>
      </c>
      <c r="W428" s="137">
        <f t="shared" si="117"/>
        <v>3</v>
      </c>
      <c r="X428" s="137">
        <f t="shared" si="112"/>
        <v>80440</v>
      </c>
      <c r="Y428" s="138"/>
      <c r="Z428" s="138">
        <v>2</v>
      </c>
      <c r="AA428" s="138">
        <v>3</v>
      </c>
      <c r="AB428" s="138" t="str">
        <f t="shared" si="121"/>
        <v>{10000,9000,8000}</v>
      </c>
      <c r="AC428" s="138">
        <v>1000</v>
      </c>
      <c r="AD428" s="138">
        <v>4000</v>
      </c>
      <c r="AE428" s="138">
        <f>SUM($R$141:$R428)+SUM($X$141:$X428)</f>
        <v>4632550</v>
      </c>
      <c r="AF428" s="138">
        <f>SUM($Q$142:Q428)</f>
        <v>194148</v>
      </c>
      <c r="AG428" s="137">
        <f t="shared" si="118"/>
        <v>5214994</v>
      </c>
      <c r="AH428" s="139">
        <f>SUM($S$141:S428)</f>
        <v>4330.36817972922</v>
      </c>
      <c r="AI428" s="133">
        <f t="shared" si="119"/>
        <v>18.5281629116118</v>
      </c>
      <c r="AJ428" s="15">
        <f t="shared" si="120"/>
        <v>1601100</v>
      </c>
      <c r="AL428" s="15">
        <v>288</v>
      </c>
      <c r="AM428" s="15">
        <f t="shared" si="113"/>
        <v>341540</v>
      </c>
      <c r="AN428" s="15">
        <f>SUMIF([1]装备属性!$M$571:$M$870,"&lt;="&amp;AL428,[1]装备属性!$Q$571:$Q$870)</f>
        <v>192517.104787715</v>
      </c>
      <c r="AO428" s="15">
        <f t="shared" si="114"/>
        <v>1.77407612885416</v>
      </c>
    </row>
    <row r="429" ht="18" spans="1:41">
      <c r="A429" s="9" t="s">
        <v>280</v>
      </c>
      <c r="B429" s="9" t="str">
        <f t="shared" si="103"/>
        <v>[{5205001,3},{2,}]</v>
      </c>
      <c r="C429" s="51" t="str">
        <f t="shared" si="104"/>
        <v>[{5203001,1400},{2,20250}]</v>
      </c>
      <c r="D429" s="140">
        <v>289</v>
      </c>
      <c r="E429" s="130">
        <f t="shared" si="105"/>
        <v>4368</v>
      </c>
      <c r="F429" s="130">
        <f t="shared" si="100"/>
        <v>1115</v>
      </c>
      <c r="G429" s="130">
        <v>300</v>
      </c>
      <c r="H429" s="130">
        <f t="shared" si="122"/>
        <v>0</v>
      </c>
      <c r="I429" s="130">
        <f>IF(COUNTIF($I$141:$I428,$I428)=VLOOKUP($I428,$D$90:$E$120,2,0),$I428+1,$I428)</f>
        <v>26</v>
      </c>
      <c r="J429" s="131">
        <f t="shared" si="106"/>
        <v>152</v>
      </c>
      <c r="K429" s="132">
        <f t="shared" si="107"/>
        <v>0.05</v>
      </c>
      <c r="L429" s="132" t="str">
        <f t="shared" si="108"/>
        <v/>
      </c>
      <c r="M429" s="132" t="str">
        <f t="shared" si="109"/>
        <v/>
      </c>
      <c r="N429" s="132" t="str">
        <f t="shared" si="115"/>
        <v/>
      </c>
      <c r="O429" s="132" t="str">
        <f t="shared" si="110"/>
        <v/>
      </c>
      <c r="P429" s="141">
        <f>(SUM($Q$142:Q429)-SUM($H$141:H429))/SUM($H$141:H429)</f>
        <v>0.915398178078166</v>
      </c>
      <c r="Q429" s="142">
        <f t="shared" si="102"/>
        <v>1395</v>
      </c>
      <c r="R429" s="142">
        <f t="shared" si="123"/>
        <v>20180</v>
      </c>
      <c r="S429" s="133">
        <f t="shared" si="116"/>
        <v>37.1854419410745</v>
      </c>
      <c r="T429" s="134">
        <f>INT(SUM($W$141:W429)/3)+1</f>
        <v>52</v>
      </c>
      <c r="U429" s="135" t="str">
        <f t="shared" si="111"/>
        <v/>
      </c>
      <c r="V429" s="67" t="s">
        <v>168</v>
      </c>
      <c r="W429" s="137" t="str">
        <f t="shared" si="117"/>
        <v/>
      </c>
      <c r="X429" s="137" t="str">
        <f t="shared" si="112"/>
        <v/>
      </c>
      <c r="Y429" s="138"/>
      <c r="Z429" s="138">
        <v>2</v>
      </c>
      <c r="AA429" s="138">
        <v>3</v>
      </c>
      <c r="AB429" s="138" t="str">
        <f t="shared" si="121"/>
        <v>{10000,9000,8000}</v>
      </c>
      <c r="AC429" s="138">
        <v>1000</v>
      </c>
      <c r="AD429" s="138">
        <v>4000</v>
      </c>
      <c r="AE429" s="138">
        <f>SUM($R$141:$R429)+SUM($X$141:$X429)</f>
        <v>4652730</v>
      </c>
      <c r="AF429" s="138">
        <f>SUM($Q$142:Q429)</f>
        <v>195543</v>
      </c>
      <c r="AG429" s="137">
        <f t="shared" si="118"/>
        <v>5239359</v>
      </c>
      <c r="AH429" s="139">
        <f>SUM($S$141:S429)</f>
        <v>4367.5536216703</v>
      </c>
      <c r="AI429" s="133">
        <f t="shared" si="119"/>
        <v>18.5927209705373</v>
      </c>
      <c r="AJ429" s="15">
        <f t="shared" si="120"/>
        <v>1606500</v>
      </c>
      <c r="AL429" s="15">
        <v>289</v>
      </c>
      <c r="AM429" s="15">
        <f t="shared" si="113"/>
        <v>348490</v>
      </c>
      <c r="AN429" s="15">
        <f>SUMIF([1]装备属性!$M$571:$M$870,"&lt;="&amp;AL429,[1]装备属性!$Q$571:$Q$870)</f>
        <v>192517.104787715</v>
      </c>
      <c r="AO429" s="15">
        <f t="shared" si="114"/>
        <v>1.81017681719385</v>
      </c>
    </row>
    <row r="430" ht="18" spans="1:41">
      <c r="A430" s="9" t="str">
        <f>SUBSTITUTE(A429,"队长伤害","队长技能冷却")</f>
        <v>队长攻击力+152\n队长技能冷却+5%</v>
      </c>
      <c r="B430" s="9" t="str">
        <f t="shared" si="103"/>
        <v>[{5205001,3},{2,}]</v>
      </c>
      <c r="C430" s="51" t="str">
        <f t="shared" si="104"/>
        <v>[{5203001,1405},{2,20320}]</v>
      </c>
      <c r="D430" s="140">
        <v>290</v>
      </c>
      <c r="E430" s="130">
        <f t="shared" si="105"/>
        <v>4405</v>
      </c>
      <c r="F430" s="130">
        <f t="shared" ref="F430:F493" si="124">F429+5</f>
        <v>1120</v>
      </c>
      <c r="G430" s="130">
        <v>300</v>
      </c>
      <c r="H430" s="130">
        <f t="shared" si="122"/>
        <v>0</v>
      </c>
      <c r="I430" s="130">
        <f>IF(COUNTIF($I$141:$I429,$I429)=VLOOKUP($I429,$D$90:$E$120,2,0),$I429+1,$I429)</f>
        <v>26</v>
      </c>
      <c r="J430" s="131">
        <f t="shared" si="106"/>
        <v>152</v>
      </c>
      <c r="K430" s="132" t="str">
        <f t="shared" si="107"/>
        <v/>
      </c>
      <c r="L430" s="132" t="str">
        <f t="shared" si="108"/>
        <v/>
      </c>
      <c r="M430" s="132" t="str">
        <f t="shared" si="109"/>
        <v/>
      </c>
      <c r="N430" s="132">
        <f t="shared" si="115"/>
        <v>0.0075</v>
      </c>
      <c r="O430" s="132" t="str">
        <f t="shared" si="110"/>
        <v/>
      </c>
      <c r="P430" s="141">
        <f>(SUM($Q$142:Q430)-SUM($H$141:H430))/SUM($H$141:H430)</f>
        <v>0.929111568224116</v>
      </c>
      <c r="Q430" s="142">
        <f t="shared" si="102"/>
        <v>1400</v>
      </c>
      <c r="R430" s="142">
        <f t="shared" si="123"/>
        <v>20250</v>
      </c>
      <c r="S430" s="133">
        <f t="shared" si="116"/>
        <v>37.3145580589255</v>
      </c>
      <c r="T430" s="134">
        <f>INT(SUM($W$141:W430)/3)+1</f>
        <v>52</v>
      </c>
      <c r="U430" s="135" t="str">
        <f t="shared" si="111"/>
        <v/>
      </c>
      <c r="V430" s="67" t="s">
        <v>168</v>
      </c>
      <c r="W430" s="137" t="str">
        <f t="shared" si="117"/>
        <v/>
      </c>
      <c r="X430" s="137" t="str">
        <f t="shared" si="112"/>
        <v/>
      </c>
      <c r="Y430" s="138"/>
      <c r="Z430" s="138">
        <v>2</v>
      </c>
      <c r="AA430" s="138">
        <v>3</v>
      </c>
      <c r="AB430" s="138" t="str">
        <f t="shared" si="121"/>
        <v>{10000,9000,8000}</v>
      </c>
      <c r="AC430" s="138">
        <v>1000</v>
      </c>
      <c r="AD430" s="138">
        <v>4000</v>
      </c>
      <c r="AE430" s="138">
        <f>SUM($R$141:$R430)+SUM($X$141:$X430)</f>
        <v>4672980</v>
      </c>
      <c r="AF430" s="138">
        <f>SUM($Q$142:Q430)</f>
        <v>196943</v>
      </c>
      <c r="AG430" s="137">
        <f t="shared" si="118"/>
        <v>5263809</v>
      </c>
      <c r="AH430" s="139">
        <f>SUM($S$141:S430)</f>
        <v>4404.86817972922</v>
      </c>
      <c r="AI430" s="133">
        <f t="shared" si="119"/>
        <v>18.6572790294627</v>
      </c>
      <c r="AJ430" s="15">
        <f t="shared" si="120"/>
        <v>1612200</v>
      </c>
      <c r="AL430" s="15">
        <v>290</v>
      </c>
      <c r="AM430" s="15">
        <f t="shared" si="113"/>
        <v>348490</v>
      </c>
      <c r="AN430" s="15">
        <f>SUMIF([1]装备属性!$M$571:$M$870,"&lt;="&amp;AL430,[1]装备属性!$Q$571:$Q$870)</f>
        <v>192517.104787715</v>
      </c>
      <c r="AO430" s="15">
        <f t="shared" si="114"/>
        <v>1.81017681719385</v>
      </c>
    </row>
    <row r="431" ht="18" spans="1:41">
      <c r="A431" s="9" t="s">
        <v>281</v>
      </c>
      <c r="B431" s="9" t="str">
        <f t="shared" si="103"/>
        <v>[{5205001,3},{2,}]</v>
      </c>
      <c r="C431" s="51" t="str">
        <f t="shared" si="104"/>
        <v>[{5203001,1410},{2,20390}]</v>
      </c>
      <c r="D431" s="140">
        <v>291</v>
      </c>
      <c r="E431" s="130">
        <f t="shared" si="105"/>
        <v>4443</v>
      </c>
      <c r="F431" s="130">
        <f t="shared" si="124"/>
        <v>1125</v>
      </c>
      <c r="G431" s="130">
        <v>300</v>
      </c>
      <c r="H431" s="130">
        <f t="shared" si="122"/>
        <v>0</v>
      </c>
      <c r="I431" s="130">
        <f>IF(COUNTIF($I$141:$I430,$I430)=VLOOKUP($I430,$D$90:$E$120,2,0),$I430+1,$I430)</f>
        <v>26</v>
      </c>
      <c r="J431" s="131">
        <f t="shared" si="106"/>
        <v>152</v>
      </c>
      <c r="K431" s="132" t="str">
        <f t="shared" si="107"/>
        <v/>
      </c>
      <c r="L431" s="132" t="str">
        <f t="shared" si="108"/>
        <v/>
      </c>
      <c r="M431" s="132">
        <f t="shared" si="109"/>
        <v>0.002</v>
      </c>
      <c r="N431" s="132" t="str">
        <f t="shared" si="115"/>
        <v/>
      </c>
      <c r="O431" s="132" t="str">
        <f t="shared" si="110"/>
        <v/>
      </c>
      <c r="P431" s="141">
        <f>(SUM($Q$142:Q431)-SUM($H$141:H431))/SUM($H$141:H431)</f>
        <v>0.942873934763444</v>
      </c>
      <c r="Q431" s="142">
        <f t="shared" si="102"/>
        <v>1405</v>
      </c>
      <c r="R431" s="142">
        <f t="shared" si="123"/>
        <v>20320</v>
      </c>
      <c r="S431" s="133">
        <f t="shared" si="116"/>
        <v>37.4436741767764</v>
      </c>
      <c r="T431" s="134">
        <f>INT(SUM($W$141:W431)/3)+1</f>
        <v>52</v>
      </c>
      <c r="U431" s="135" t="str">
        <f t="shared" si="111"/>
        <v/>
      </c>
      <c r="V431" s="67" t="s">
        <v>168</v>
      </c>
      <c r="W431" s="137" t="str">
        <f t="shared" si="117"/>
        <v/>
      </c>
      <c r="X431" s="137" t="str">
        <f t="shared" si="112"/>
        <v/>
      </c>
      <c r="Y431" s="138"/>
      <c r="Z431" s="138">
        <v>2</v>
      </c>
      <c r="AA431" s="138">
        <v>3</v>
      </c>
      <c r="AB431" s="138" t="str">
        <f t="shared" si="121"/>
        <v>{10000,9000,8000}</v>
      </c>
      <c r="AC431" s="138">
        <v>1000</v>
      </c>
      <c r="AD431" s="138">
        <v>4000</v>
      </c>
      <c r="AE431" s="138">
        <f>SUM($R$141:$R431)+SUM($X$141:$X431)</f>
        <v>4693300</v>
      </c>
      <c r="AF431" s="138">
        <f>SUM($Q$142:Q431)</f>
        <v>198348</v>
      </c>
      <c r="AG431" s="137">
        <f t="shared" si="118"/>
        <v>5288344</v>
      </c>
      <c r="AH431" s="139">
        <f>SUM($S$141:S431)</f>
        <v>4442.311853906</v>
      </c>
      <c r="AI431" s="133">
        <f t="shared" si="119"/>
        <v>18.7218370883882</v>
      </c>
      <c r="AJ431" s="15">
        <f t="shared" si="120"/>
        <v>1617600</v>
      </c>
      <c r="AL431" s="15">
        <v>291</v>
      </c>
      <c r="AM431" s="15">
        <f t="shared" si="113"/>
        <v>348490</v>
      </c>
      <c r="AN431" s="15">
        <f>SUMIF([1]装备属性!$M$571:$M$870,"&lt;="&amp;AL431,[1]装备属性!$Q$571:$Q$870)</f>
        <v>192517.104787715</v>
      </c>
      <c r="AO431" s="15">
        <f t="shared" si="114"/>
        <v>1.81017681719385</v>
      </c>
    </row>
    <row r="432" ht="18" spans="1:41">
      <c r="A432" s="9" t="s">
        <v>282</v>
      </c>
      <c r="B432" s="9" t="str">
        <f t="shared" si="103"/>
        <v>[{5205001,3},{2,}]</v>
      </c>
      <c r="C432" s="51" t="str">
        <f t="shared" si="104"/>
        <v>[{5203001,1415},{2,20460}]</v>
      </c>
      <c r="D432" s="140">
        <v>292</v>
      </c>
      <c r="E432" s="130">
        <f t="shared" si="105"/>
        <v>4480</v>
      </c>
      <c r="F432" s="130">
        <f t="shared" si="124"/>
        <v>1130</v>
      </c>
      <c r="G432" s="130">
        <v>300</v>
      </c>
      <c r="H432" s="130">
        <f t="shared" si="122"/>
        <v>0</v>
      </c>
      <c r="I432" s="130">
        <f>IF(COUNTIF($I$141:$I431,$I431)=VLOOKUP($I431,$D$90:$E$120,2,0),$I431+1,$I431)</f>
        <v>26</v>
      </c>
      <c r="J432" s="131">
        <f t="shared" si="106"/>
        <v>152</v>
      </c>
      <c r="K432" s="132" t="str">
        <f t="shared" si="107"/>
        <v/>
      </c>
      <c r="L432" s="132">
        <f t="shared" si="108"/>
        <v>0.03</v>
      </c>
      <c r="M432" s="132" t="str">
        <f t="shared" si="109"/>
        <v/>
      </c>
      <c r="N432" s="132" t="str">
        <f t="shared" si="115"/>
        <v/>
      </c>
      <c r="O432" s="132" t="str">
        <f t="shared" si="110"/>
        <v/>
      </c>
      <c r="P432" s="141">
        <f>(SUM($Q$142:Q432)-SUM($H$141:H432))/SUM($H$141:H432)</f>
        <v>0.95668527769615</v>
      </c>
      <c r="Q432" s="142">
        <f t="shared" si="102"/>
        <v>1410</v>
      </c>
      <c r="R432" s="142">
        <f t="shared" si="123"/>
        <v>20390</v>
      </c>
      <c r="S432" s="133">
        <f t="shared" si="116"/>
        <v>37.5727902946274</v>
      </c>
      <c r="T432" s="134">
        <f>INT(SUM($W$141:W432)/3)+1</f>
        <v>52</v>
      </c>
      <c r="U432" s="135" t="str">
        <f t="shared" si="111"/>
        <v/>
      </c>
      <c r="V432" s="67" t="s">
        <v>168</v>
      </c>
      <c r="W432" s="137" t="str">
        <f t="shared" si="117"/>
        <v/>
      </c>
      <c r="X432" s="137" t="str">
        <f t="shared" si="112"/>
        <v/>
      </c>
      <c r="Y432" s="138"/>
      <c r="Z432" s="138">
        <v>2</v>
      </c>
      <c r="AA432" s="138">
        <v>3</v>
      </c>
      <c r="AB432" s="138" t="str">
        <f t="shared" si="121"/>
        <v>{10000,9000,8000}</v>
      </c>
      <c r="AC432" s="138">
        <v>1000</v>
      </c>
      <c r="AD432" s="138">
        <v>4000</v>
      </c>
      <c r="AE432" s="138">
        <f>SUM($R$141:$R432)+SUM($X$141:$X432)</f>
        <v>4713690</v>
      </c>
      <c r="AF432" s="138">
        <f>SUM($Q$142:Q432)</f>
        <v>199758</v>
      </c>
      <c r="AG432" s="137">
        <f t="shared" si="118"/>
        <v>5312964</v>
      </c>
      <c r="AH432" s="139">
        <f>SUM($S$141:S432)</f>
        <v>4479.88464420063</v>
      </c>
      <c r="AI432" s="133">
        <f t="shared" si="119"/>
        <v>18.7863951473137</v>
      </c>
      <c r="AJ432" s="15">
        <f t="shared" si="120"/>
        <v>1623300</v>
      </c>
      <c r="AL432" s="15">
        <v>292</v>
      </c>
      <c r="AM432" s="15">
        <f t="shared" si="113"/>
        <v>348490</v>
      </c>
      <c r="AN432" s="15">
        <f>SUMIF([1]装备属性!$M$571:$M$870,"&lt;="&amp;AL432,[1]装备属性!$Q$571:$Q$870)</f>
        <v>192517.104787715</v>
      </c>
      <c r="AO432" s="15">
        <f t="shared" si="114"/>
        <v>1.81017681719385</v>
      </c>
    </row>
    <row r="433" ht="18" spans="1:41">
      <c r="A433" s="9" t="s">
        <v>280</v>
      </c>
      <c r="B433" s="9" t="str">
        <f t="shared" si="103"/>
        <v>[{5205001,3},{2,}]</v>
      </c>
      <c r="C433" s="51" t="str">
        <f t="shared" si="104"/>
        <v>[{5203001,1420},{2,20530}]</v>
      </c>
      <c r="D433" s="140">
        <v>293</v>
      </c>
      <c r="E433" s="130">
        <f t="shared" si="105"/>
        <v>4518</v>
      </c>
      <c r="F433" s="130">
        <f t="shared" si="124"/>
        <v>1135</v>
      </c>
      <c r="G433" s="130">
        <v>300</v>
      </c>
      <c r="H433" s="130">
        <f t="shared" si="122"/>
        <v>0</v>
      </c>
      <c r="I433" s="130">
        <f>IF(COUNTIF($I$141:$I432,$I432)=VLOOKUP($I432,$D$90:$E$120,2,0),$I432+1,$I432)</f>
        <v>26</v>
      </c>
      <c r="J433" s="131">
        <f t="shared" si="106"/>
        <v>152</v>
      </c>
      <c r="K433" s="132">
        <f t="shared" si="107"/>
        <v>0.05</v>
      </c>
      <c r="L433" s="132" t="str">
        <f t="shared" si="108"/>
        <v/>
      </c>
      <c r="M433" s="132" t="str">
        <f t="shared" si="109"/>
        <v/>
      </c>
      <c r="N433" s="132" t="str">
        <f t="shared" si="115"/>
        <v/>
      </c>
      <c r="O433" s="132" t="str">
        <f t="shared" si="110"/>
        <v/>
      </c>
      <c r="P433" s="141">
        <f>(SUM($Q$142:Q433)-SUM($H$141:H433))/SUM($H$141:H433)</f>
        <v>0.970545597022235</v>
      </c>
      <c r="Q433" s="142">
        <f t="shared" si="102"/>
        <v>1415</v>
      </c>
      <c r="R433" s="142">
        <f t="shared" si="123"/>
        <v>20460</v>
      </c>
      <c r="S433" s="133">
        <f t="shared" si="116"/>
        <v>37.7019064124783</v>
      </c>
      <c r="T433" s="134">
        <f>INT(SUM($W$141:W433)/3)+1</f>
        <v>52</v>
      </c>
      <c r="U433" s="135" t="str">
        <f t="shared" si="111"/>
        <v/>
      </c>
      <c r="V433" s="67" t="s">
        <v>168</v>
      </c>
      <c r="W433" s="137" t="str">
        <f t="shared" si="117"/>
        <v/>
      </c>
      <c r="X433" s="137" t="str">
        <f t="shared" si="112"/>
        <v/>
      </c>
      <c r="Y433" s="138"/>
      <c r="Z433" s="138">
        <v>2</v>
      </c>
      <c r="AA433" s="138">
        <v>3</v>
      </c>
      <c r="AB433" s="138" t="str">
        <f t="shared" si="121"/>
        <v>{10000,9000,8000}</v>
      </c>
      <c r="AC433" s="138">
        <v>1000</v>
      </c>
      <c r="AD433" s="138">
        <v>4000</v>
      </c>
      <c r="AE433" s="138">
        <f>SUM($R$141:$R433)+SUM($X$141:$X433)</f>
        <v>4734150</v>
      </c>
      <c r="AF433" s="138">
        <f>SUM($Q$142:Q433)</f>
        <v>201173</v>
      </c>
      <c r="AG433" s="137">
        <f t="shared" si="118"/>
        <v>5337669</v>
      </c>
      <c r="AH433" s="139">
        <f>SUM($S$141:S433)</f>
        <v>4517.5865506131</v>
      </c>
      <c r="AI433" s="133">
        <f t="shared" si="119"/>
        <v>18.8509532062392</v>
      </c>
      <c r="AJ433" s="15">
        <f t="shared" si="120"/>
        <v>1629000</v>
      </c>
      <c r="AL433" s="15">
        <v>293</v>
      </c>
      <c r="AM433" s="15">
        <f t="shared" si="113"/>
        <v>348490</v>
      </c>
      <c r="AN433" s="15">
        <f>SUMIF([1]装备属性!$M$571:$M$870,"&lt;="&amp;AL433,[1]装备属性!$Q$571:$Q$870)</f>
        <v>192517.104787715</v>
      </c>
      <c r="AO433" s="15">
        <f t="shared" si="114"/>
        <v>1.81017681719385</v>
      </c>
    </row>
    <row r="434" ht="18" spans="1:41">
      <c r="A434" s="9" t="str">
        <f>SUBSTITUTE(A433,"队长伤害","队长技能冷却")</f>
        <v>队长攻击力+152\n队长技能冷却+5%</v>
      </c>
      <c r="B434" s="9" t="str">
        <f t="shared" si="103"/>
        <v>[{5205001,3},{2,}]</v>
      </c>
      <c r="C434" s="51" t="str">
        <f t="shared" si="104"/>
        <v>[{5203001,1425},{2,20600}]</v>
      </c>
      <c r="D434" s="140">
        <v>294</v>
      </c>
      <c r="E434" s="130">
        <f t="shared" si="105"/>
        <v>4556</v>
      </c>
      <c r="F434" s="130">
        <f t="shared" si="124"/>
        <v>1140</v>
      </c>
      <c r="G434" s="130">
        <v>300</v>
      </c>
      <c r="H434" s="130">
        <f t="shared" si="122"/>
        <v>0</v>
      </c>
      <c r="I434" s="130">
        <f>IF(COUNTIF($I$141:$I433,$I433)=VLOOKUP($I433,$D$90:$E$120,2,0),$I433+1,$I433)</f>
        <v>26</v>
      </c>
      <c r="J434" s="131">
        <f t="shared" si="106"/>
        <v>152</v>
      </c>
      <c r="K434" s="132" t="str">
        <f t="shared" si="107"/>
        <v/>
      </c>
      <c r="L434" s="132" t="str">
        <f t="shared" si="108"/>
        <v/>
      </c>
      <c r="M434" s="132" t="str">
        <f t="shared" si="109"/>
        <v/>
      </c>
      <c r="N434" s="132">
        <f t="shared" si="115"/>
        <v>0.0075</v>
      </c>
      <c r="O434" s="132" t="str">
        <f t="shared" si="110"/>
        <v/>
      </c>
      <c r="P434" s="141">
        <f>(SUM($Q$142:Q434)-SUM($H$141:H434))/SUM($H$141:H434)</f>
        <v>0.984454892741699</v>
      </c>
      <c r="Q434" s="142">
        <f t="shared" si="102"/>
        <v>1420</v>
      </c>
      <c r="R434" s="142">
        <f t="shared" si="123"/>
        <v>20530</v>
      </c>
      <c r="S434" s="133">
        <f t="shared" si="116"/>
        <v>37.8310225303293</v>
      </c>
      <c r="T434" s="134">
        <f>INT(SUM($W$141:W434)/3)+1</f>
        <v>52</v>
      </c>
      <c r="U434" s="135" t="str">
        <f t="shared" si="111"/>
        <v/>
      </c>
      <c r="V434" s="67" t="s">
        <v>168</v>
      </c>
      <c r="W434" s="137" t="str">
        <f t="shared" si="117"/>
        <v/>
      </c>
      <c r="X434" s="137" t="str">
        <f t="shared" si="112"/>
        <v/>
      </c>
      <c r="Y434" s="138"/>
      <c r="Z434" s="138">
        <v>2</v>
      </c>
      <c r="AA434" s="138">
        <v>3</v>
      </c>
      <c r="AB434" s="138" t="str">
        <f t="shared" si="121"/>
        <v>{10000,9000,8000}</v>
      </c>
      <c r="AC434" s="138">
        <v>1000</v>
      </c>
      <c r="AD434" s="138">
        <v>4000</v>
      </c>
      <c r="AE434" s="138">
        <f>SUM($R$141:$R434)+SUM($X$141:$X434)</f>
        <v>4754680</v>
      </c>
      <c r="AF434" s="138">
        <f>SUM($Q$142:Q434)</f>
        <v>202593</v>
      </c>
      <c r="AG434" s="137">
        <f t="shared" si="118"/>
        <v>5362459</v>
      </c>
      <c r="AH434" s="139">
        <f>SUM($S$141:S434)</f>
        <v>4555.41757314343</v>
      </c>
      <c r="AI434" s="133">
        <f t="shared" si="119"/>
        <v>18.9155112651646</v>
      </c>
      <c r="AJ434" s="15">
        <f t="shared" si="120"/>
        <v>1634400</v>
      </c>
      <c r="AL434" s="15">
        <v>294</v>
      </c>
      <c r="AM434" s="15">
        <f t="shared" si="113"/>
        <v>348490</v>
      </c>
      <c r="AN434" s="15">
        <f>SUMIF([1]装备属性!$M$571:$M$870,"&lt;="&amp;AL434,[1]装备属性!$Q$571:$Q$870)</f>
        <v>192517.104787715</v>
      </c>
      <c r="AO434" s="15">
        <f t="shared" si="114"/>
        <v>1.81017681719385</v>
      </c>
    </row>
    <row r="435" ht="18" spans="1:41">
      <c r="A435" s="9" t="s">
        <v>281</v>
      </c>
      <c r="B435" s="9" t="str">
        <f t="shared" si="103"/>
        <v>[{5205001,3},{2,}]</v>
      </c>
      <c r="C435" s="51" t="str">
        <f t="shared" si="104"/>
        <v>[{5203001,1430},{2,20670}]</v>
      </c>
      <c r="D435" s="140">
        <v>295</v>
      </c>
      <c r="E435" s="130">
        <f t="shared" si="105"/>
        <v>4594</v>
      </c>
      <c r="F435" s="130">
        <f t="shared" si="124"/>
        <v>1145</v>
      </c>
      <c r="G435" s="130">
        <v>300</v>
      </c>
      <c r="H435" s="130">
        <f t="shared" si="122"/>
        <v>0</v>
      </c>
      <c r="I435" s="130">
        <f>IF(COUNTIF($I$141:$I434,$I434)=VLOOKUP($I434,$D$90:$E$120,2,0),$I434+1,$I434)</f>
        <v>26</v>
      </c>
      <c r="J435" s="131">
        <f t="shared" si="106"/>
        <v>152</v>
      </c>
      <c r="K435" s="132" t="str">
        <f t="shared" si="107"/>
        <v/>
      </c>
      <c r="L435" s="132" t="str">
        <f t="shared" si="108"/>
        <v/>
      </c>
      <c r="M435" s="132">
        <f t="shared" si="109"/>
        <v>0.002</v>
      </c>
      <c r="N435" s="132" t="str">
        <f t="shared" si="115"/>
        <v/>
      </c>
      <c r="O435" s="132" t="str">
        <f t="shared" si="110"/>
        <v/>
      </c>
      <c r="P435" s="141">
        <f>(SUM($Q$142:Q435)-SUM($H$141:H435))/SUM($H$141:H435)</f>
        <v>0.99841316485454</v>
      </c>
      <c r="Q435" s="142">
        <f t="shared" si="102"/>
        <v>1425</v>
      </c>
      <c r="R435" s="142">
        <f t="shared" si="123"/>
        <v>20600</v>
      </c>
      <c r="S435" s="133">
        <f t="shared" si="116"/>
        <v>37.9601386481802</v>
      </c>
      <c r="T435" s="134">
        <f>INT(SUM($W$141:W435)/3)+1</f>
        <v>52</v>
      </c>
      <c r="U435" s="135" t="str">
        <f t="shared" si="111"/>
        <v/>
      </c>
      <c r="V435" s="67" t="s">
        <v>168</v>
      </c>
      <c r="W435" s="137" t="str">
        <f t="shared" si="117"/>
        <v/>
      </c>
      <c r="X435" s="137" t="str">
        <f t="shared" si="112"/>
        <v/>
      </c>
      <c r="Y435" s="138"/>
      <c r="Z435" s="138">
        <v>2</v>
      </c>
      <c r="AA435" s="138">
        <v>3</v>
      </c>
      <c r="AB435" s="138" t="str">
        <f t="shared" si="121"/>
        <v>{10000,9000,8000}</v>
      </c>
      <c r="AC435" s="138">
        <v>1000</v>
      </c>
      <c r="AD435" s="138">
        <v>4000</v>
      </c>
      <c r="AE435" s="138">
        <f>SUM($R$141:$R435)+SUM($X$141:$X435)</f>
        <v>4775280</v>
      </c>
      <c r="AF435" s="138">
        <f>SUM($Q$142:Q435)</f>
        <v>204018</v>
      </c>
      <c r="AG435" s="137">
        <f t="shared" si="118"/>
        <v>5387334</v>
      </c>
      <c r="AH435" s="139">
        <f>SUM($S$141:S435)</f>
        <v>4593.37771179161</v>
      </c>
      <c r="AI435" s="133">
        <f t="shared" si="119"/>
        <v>18.9800693240901</v>
      </c>
      <c r="AJ435" s="15">
        <f t="shared" si="120"/>
        <v>1640100</v>
      </c>
      <c r="AL435" s="15">
        <v>295</v>
      </c>
      <c r="AM435" s="15">
        <f t="shared" si="113"/>
        <v>348490</v>
      </c>
      <c r="AN435" s="15">
        <f>SUMIF([1]装备属性!$M$571:$M$870,"&lt;="&amp;AL435,[1]装备属性!$Q$571:$Q$870)</f>
        <v>192517.104787715</v>
      </c>
      <c r="AO435" s="15">
        <f t="shared" si="114"/>
        <v>1.81017681719385</v>
      </c>
    </row>
    <row r="436" ht="18" spans="1:41">
      <c r="A436" s="9" t="s">
        <v>282</v>
      </c>
      <c r="B436" s="9" t="str">
        <f t="shared" si="103"/>
        <v>[{5205001,3},{2,82680}]</v>
      </c>
      <c r="C436" s="51" t="str">
        <f t="shared" si="104"/>
        <v>[{5203001,1435},{2,20740}]</v>
      </c>
      <c r="D436" s="140">
        <v>296</v>
      </c>
      <c r="E436" s="130">
        <f t="shared" si="105"/>
        <v>4632</v>
      </c>
      <c r="F436" s="130">
        <f t="shared" si="124"/>
        <v>1150</v>
      </c>
      <c r="G436" s="130">
        <v>300</v>
      </c>
      <c r="H436" s="130">
        <f t="shared" si="122"/>
        <v>0</v>
      </c>
      <c r="I436" s="130">
        <f>IF(COUNTIF($I$141:$I435,$I435)=VLOOKUP($I435,$D$90:$E$120,2,0),$I435+1,$I435)</f>
        <v>26</v>
      </c>
      <c r="J436" s="131">
        <f t="shared" si="106"/>
        <v>152</v>
      </c>
      <c r="K436" s="132" t="str">
        <f t="shared" si="107"/>
        <v/>
      </c>
      <c r="L436" s="132">
        <f t="shared" si="108"/>
        <v>0.03</v>
      </c>
      <c r="M436" s="132" t="str">
        <f t="shared" si="109"/>
        <v/>
      </c>
      <c r="N436" s="132" t="str">
        <f t="shared" si="115"/>
        <v/>
      </c>
      <c r="O436" s="132" t="str">
        <f t="shared" si="110"/>
        <v/>
      </c>
      <c r="P436" s="141">
        <f>(SUM($Q$142:Q436)-SUM($H$141:H436))/SUM($H$141:H436)</f>
        <v>1.01242041336076</v>
      </c>
      <c r="Q436" s="142">
        <f t="shared" si="102"/>
        <v>1430</v>
      </c>
      <c r="R436" s="142">
        <f t="shared" si="123"/>
        <v>20670</v>
      </c>
      <c r="S436" s="133">
        <f t="shared" si="116"/>
        <v>38.0892547660312</v>
      </c>
      <c r="T436" s="134">
        <f>INT(SUM($W$141:W436)/3)+1</f>
        <v>53</v>
      </c>
      <c r="U436" s="135" t="str">
        <f t="shared" si="111"/>
        <v>70</v>
      </c>
      <c r="V436" s="67" t="s">
        <v>84</v>
      </c>
      <c r="W436" s="137">
        <f t="shared" si="117"/>
        <v>3</v>
      </c>
      <c r="X436" s="137">
        <f t="shared" si="112"/>
        <v>82680</v>
      </c>
      <c r="Y436" s="138"/>
      <c r="Z436" s="138">
        <v>2</v>
      </c>
      <c r="AA436" s="138">
        <v>3</v>
      </c>
      <c r="AB436" s="138" t="str">
        <f t="shared" si="121"/>
        <v>{10000,9000,8000}</v>
      </c>
      <c r="AC436" s="138">
        <v>1000</v>
      </c>
      <c r="AD436" s="138">
        <v>4000</v>
      </c>
      <c r="AE436" s="138">
        <f>SUM($R$141:$R436)+SUM($X$141:$X436)</f>
        <v>4878630</v>
      </c>
      <c r="AF436" s="138">
        <f>SUM($Q$142:Q436)</f>
        <v>205448</v>
      </c>
      <c r="AG436" s="137">
        <f t="shared" si="118"/>
        <v>5494974</v>
      </c>
      <c r="AH436" s="139">
        <f>SUM($S$141:S436)</f>
        <v>4631.46696655764</v>
      </c>
      <c r="AI436" s="133">
        <f t="shared" si="119"/>
        <v>19.0446273830156</v>
      </c>
      <c r="AJ436" s="15">
        <f t="shared" si="120"/>
        <v>1645500</v>
      </c>
      <c r="AL436" s="15">
        <v>296</v>
      </c>
      <c r="AM436" s="15">
        <f t="shared" si="113"/>
        <v>348490</v>
      </c>
      <c r="AN436" s="15">
        <f>SUMIF([1]装备属性!$M$571:$M$870,"&lt;="&amp;AL436,[1]装备属性!$Q$571:$Q$870)</f>
        <v>192517.104787715</v>
      </c>
      <c r="AO436" s="15">
        <f t="shared" si="114"/>
        <v>1.81017681719385</v>
      </c>
    </row>
    <row r="437" ht="18" spans="1:41">
      <c r="A437" s="9" t="s">
        <v>283</v>
      </c>
      <c r="B437" s="9" t="str">
        <f t="shared" si="103"/>
        <v>[{5205001,3},{2,}]</v>
      </c>
      <c r="C437" s="51" t="str">
        <f t="shared" si="104"/>
        <v>[{5203001,1440},{2,20810}]</v>
      </c>
      <c r="D437" s="140">
        <v>297</v>
      </c>
      <c r="E437" s="130">
        <f t="shared" si="105"/>
        <v>4671</v>
      </c>
      <c r="F437" s="130">
        <f t="shared" si="124"/>
        <v>1155</v>
      </c>
      <c r="G437" s="130">
        <v>300</v>
      </c>
      <c r="H437" s="130">
        <f t="shared" si="122"/>
        <v>0</v>
      </c>
      <c r="I437" s="130">
        <f>IF(COUNTIF($I$141:$I436,$I436)=VLOOKUP($I436,$D$90:$E$120,2,0),$I436+1,$I436)</f>
        <v>27</v>
      </c>
      <c r="J437" s="131">
        <f t="shared" si="106"/>
        <v>158</v>
      </c>
      <c r="K437" s="132">
        <f t="shared" si="107"/>
        <v>0.05</v>
      </c>
      <c r="L437" s="132" t="str">
        <f t="shared" si="108"/>
        <v/>
      </c>
      <c r="M437" s="132" t="str">
        <f t="shared" si="109"/>
        <v/>
      </c>
      <c r="N437" s="132" t="str">
        <f t="shared" si="115"/>
        <v/>
      </c>
      <c r="O437" s="132" t="str">
        <f t="shared" si="110"/>
        <v/>
      </c>
      <c r="P437" s="141">
        <f>(SUM($Q$142:Q437)-SUM($H$141:H437))/SUM($H$141:H437)</f>
        <v>1.02647663826036</v>
      </c>
      <c r="Q437" s="142">
        <f t="shared" si="102"/>
        <v>1435</v>
      </c>
      <c r="R437" s="142">
        <f t="shared" si="123"/>
        <v>20740</v>
      </c>
      <c r="S437" s="133">
        <f t="shared" si="116"/>
        <v>39.1264367816092</v>
      </c>
      <c r="T437" s="134">
        <f>INT(SUM($W$141:W437)/3)+1</f>
        <v>53</v>
      </c>
      <c r="U437" s="135" t="str">
        <f t="shared" si="111"/>
        <v/>
      </c>
      <c r="V437" s="67" t="s">
        <v>168</v>
      </c>
      <c r="W437" s="137" t="str">
        <f t="shared" si="117"/>
        <v/>
      </c>
      <c r="X437" s="137" t="str">
        <f t="shared" si="112"/>
        <v/>
      </c>
      <c r="Y437" s="138"/>
      <c r="Z437" s="138">
        <v>2</v>
      </c>
      <c r="AA437" s="138">
        <v>3</v>
      </c>
      <c r="AB437" s="138" t="str">
        <f t="shared" si="121"/>
        <v>{10000,9000,8000}</v>
      </c>
      <c r="AC437" s="138">
        <v>1000</v>
      </c>
      <c r="AD437" s="138">
        <v>4000</v>
      </c>
      <c r="AE437" s="138">
        <f>SUM($R$141:$R437)+SUM($X$141:$X437)</f>
        <v>4899370</v>
      </c>
      <c r="AF437" s="138">
        <f>SUM($Q$142:Q437)</f>
        <v>206883</v>
      </c>
      <c r="AG437" s="137">
        <f t="shared" si="118"/>
        <v>5520019</v>
      </c>
      <c r="AH437" s="139">
        <f>SUM($S$141:S437)</f>
        <v>4670.59340333925</v>
      </c>
      <c r="AI437" s="133">
        <f t="shared" si="119"/>
        <v>19.5632183908046</v>
      </c>
      <c r="AJ437" s="15">
        <f t="shared" si="120"/>
        <v>1690500</v>
      </c>
      <c r="AL437" s="15">
        <v>297</v>
      </c>
      <c r="AM437" s="15">
        <f t="shared" si="113"/>
        <v>348490</v>
      </c>
      <c r="AN437" s="15">
        <f>SUMIF([1]装备属性!$M$571:$M$870,"&lt;="&amp;AL437,[1]装备属性!$Q$571:$Q$870)</f>
        <v>192517.104787715</v>
      </c>
      <c r="AO437" s="15">
        <f t="shared" si="114"/>
        <v>1.81017681719385</v>
      </c>
    </row>
    <row r="438" ht="18" spans="1:41">
      <c r="A438" s="9" t="str">
        <f>SUBSTITUTE(A437,"队长伤害","队长技能冷却")</f>
        <v>队长攻击力+158\n队长技能冷却+5%</v>
      </c>
      <c r="B438" s="9" t="str">
        <f t="shared" si="103"/>
        <v>[{5205001,3},{2,}]</v>
      </c>
      <c r="C438" s="51" t="str">
        <f t="shared" si="104"/>
        <v>[{5203001,1445},{2,20880}]</v>
      </c>
      <c r="D438" s="140">
        <v>298</v>
      </c>
      <c r="E438" s="130">
        <f t="shared" si="105"/>
        <v>4710</v>
      </c>
      <c r="F438" s="130">
        <f t="shared" si="124"/>
        <v>1160</v>
      </c>
      <c r="G438" s="130">
        <v>300</v>
      </c>
      <c r="H438" s="130">
        <f t="shared" ref="H438:H469" si="125">H437</f>
        <v>0</v>
      </c>
      <c r="I438" s="130">
        <f>IF(COUNTIF($I$141:$I437,$I437)=VLOOKUP($I437,$D$90:$E$120,2,0),$I437+1,$I437)</f>
        <v>27</v>
      </c>
      <c r="J438" s="131">
        <f t="shared" si="106"/>
        <v>158</v>
      </c>
      <c r="K438" s="132" t="str">
        <f t="shared" si="107"/>
        <v/>
      </c>
      <c r="L438" s="132" t="str">
        <f t="shared" si="108"/>
        <v/>
      </c>
      <c r="M438" s="132" t="str">
        <f t="shared" si="109"/>
        <v/>
      </c>
      <c r="N438" s="132">
        <f t="shared" si="115"/>
        <v>0.0075</v>
      </c>
      <c r="O438" s="132" t="str">
        <f t="shared" si="110"/>
        <v/>
      </c>
      <c r="P438" s="141">
        <f>(SUM($Q$142:Q438)-SUM($H$141:H438))/SUM($H$141:H438)</f>
        <v>1.04058183955334</v>
      </c>
      <c r="Q438" s="142">
        <f t="shared" si="102"/>
        <v>1440</v>
      </c>
      <c r="R438" s="142">
        <f t="shared" si="123"/>
        <v>20810</v>
      </c>
      <c r="S438" s="133">
        <f t="shared" si="116"/>
        <v>39.2586206896552</v>
      </c>
      <c r="T438" s="134">
        <f>INT(SUM($W$141:W438)/3)+1</f>
        <v>53</v>
      </c>
      <c r="U438" s="135" t="str">
        <f t="shared" si="111"/>
        <v/>
      </c>
      <c r="V438" s="67" t="s">
        <v>168</v>
      </c>
      <c r="W438" s="137" t="str">
        <f t="shared" si="117"/>
        <v/>
      </c>
      <c r="X438" s="137" t="str">
        <f t="shared" si="112"/>
        <v/>
      </c>
      <c r="Y438" s="138"/>
      <c r="Z438" s="138">
        <v>2</v>
      </c>
      <c r="AA438" s="138">
        <v>3</v>
      </c>
      <c r="AB438" s="138" t="str">
        <f t="shared" si="121"/>
        <v>{10000,9000,8000}</v>
      </c>
      <c r="AC438" s="138">
        <v>1000</v>
      </c>
      <c r="AD438" s="138">
        <v>4000</v>
      </c>
      <c r="AE438" s="138">
        <f>SUM($R$141:$R438)+SUM($X$141:$X438)</f>
        <v>4920180</v>
      </c>
      <c r="AF438" s="138">
        <f>SUM($Q$142:Q438)</f>
        <v>208323</v>
      </c>
      <c r="AG438" s="137">
        <f t="shared" si="118"/>
        <v>5545149</v>
      </c>
      <c r="AH438" s="139">
        <f>SUM($S$141:S438)</f>
        <v>4709.85202402891</v>
      </c>
      <c r="AI438" s="133">
        <f t="shared" si="119"/>
        <v>19.6293103448276</v>
      </c>
      <c r="AJ438" s="15">
        <f t="shared" si="120"/>
        <v>1696200</v>
      </c>
      <c r="AL438" s="15">
        <v>298</v>
      </c>
      <c r="AM438" s="15">
        <f t="shared" si="113"/>
        <v>348490</v>
      </c>
      <c r="AN438" s="15">
        <f>SUMIF([1]装备属性!$M$571:$M$870,"&lt;="&amp;AL438,[1]装备属性!$Q$571:$Q$870)</f>
        <v>192517.104787715</v>
      </c>
      <c r="AO438" s="15">
        <f t="shared" si="114"/>
        <v>1.81017681719385</v>
      </c>
    </row>
    <row r="439" ht="18" spans="1:41">
      <c r="A439" s="9" t="s">
        <v>284</v>
      </c>
      <c r="B439" s="9" t="str">
        <f t="shared" si="103"/>
        <v>[{5205001,3},{2,}]</v>
      </c>
      <c r="C439" s="51" t="str">
        <f t="shared" si="104"/>
        <v>[{5203001,1450},{2,20950}]</v>
      </c>
      <c r="D439" s="140">
        <v>299</v>
      </c>
      <c r="E439" s="130">
        <f t="shared" si="105"/>
        <v>4750</v>
      </c>
      <c r="F439" s="130">
        <f t="shared" si="124"/>
        <v>1165</v>
      </c>
      <c r="G439" s="130">
        <v>300</v>
      </c>
      <c r="H439" s="130">
        <f t="shared" si="125"/>
        <v>0</v>
      </c>
      <c r="I439" s="130">
        <f>IF(COUNTIF($I$141:$I438,$I438)=VLOOKUP($I438,$D$90:$E$120,2,0),$I438+1,$I438)</f>
        <v>27</v>
      </c>
      <c r="J439" s="131">
        <f t="shared" si="106"/>
        <v>158</v>
      </c>
      <c r="K439" s="132" t="str">
        <f t="shared" si="107"/>
        <v/>
      </c>
      <c r="L439" s="132" t="str">
        <f t="shared" si="108"/>
        <v/>
      </c>
      <c r="M439" s="132">
        <f t="shared" si="109"/>
        <v>0.002</v>
      </c>
      <c r="N439" s="132" t="str">
        <f t="shared" si="115"/>
        <v/>
      </c>
      <c r="O439" s="132" t="str">
        <f t="shared" si="110"/>
        <v/>
      </c>
      <c r="P439" s="141">
        <f>(SUM($Q$142:Q439)-SUM($H$141:H439))/SUM($H$141:H439)</f>
        <v>1.05473601723969</v>
      </c>
      <c r="Q439" s="142">
        <f t="shared" si="102"/>
        <v>1445</v>
      </c>
      <c r="R439" s="142">
        <f t="shared" si="123"/>
        <v>20880</v>
      </c>
      <c r="S439" s="133">
        <f t="shared" si="116"/>
        <v>39.3908045977011</v>
      </c>
      <c r="T439" s="134">
        <f>INT(SUM($W$141:W439)/3)+1</f>
        <v>53</v>
      </c>
      <c r="U439" s="135" t="str">
        <f t="shared" si="111"/>
        <v/>
      </c>
      <c r="V439" s="67" t="s">
        <v>168</v>
      </c>
      <c r="W439" s="137" t="str">
        <f t="shared" si="117"/>
        <v/>
      </c>
      <c r="X439" s="137" t="str">
        <f t="shared" si="112"/>
        <v/>
      </c>
      <c r="Y439" s="138"/>
      <c r="Z439" s="138">
        <v>2</v>
      </c>
      <c r="AA439" s="138">
        <v>3</v>
      </c>
      <c r="AB439" s="138" t="str">
        <f t="shared" si="121"/>
        <v>{10000,9000,8000}</v>
      </c>
      <c r="AC439" s="138">
        <v>1000</v>
      </c>
      <c r="AD439" s="138">
        <v>4000</v>
      </c>
      <c r="AE439" s="138">
        <f>SUM($R$141:$R439)+SUM($X$141:$X439)</f>
        <v>4941060</v>
      </c>
      <c r="AF439" s="138">
        <f>SUM($Q$142:Q439)</f>
        <v>209768</v>
      </c>
      <c r="AG439" s="137">
        <f t="shared" si="118"/>
        <v>5570364</v>
      </c>
      <c r="AH439" s="139">
        <f>SUM($S$141:S439)</f>
        <v>4749.24282862661</v>
      </c>
      <c r="AI439" s="133">
        <f t="shared" si="119"/>
        <v>19.6954022988506</v>
      </c>
      <c r="AJ439" s="15">
        <f t="shared" si="120"/>
        <v>1701900</v>
      </c>
      <c r="AL439" s="15">
        <v>299</v>
      </c>
      <c r="AM439" s="15">
        <f t="shared" si="113"/>
        <v>355510</v>
      </c>
      <c r="AN439" s="15">
        <f>SUMIF([1]装备属性!$M$571:$M$870,"&lt;="&amp;AL439,[1]装备属性!$Q$571:$Q$870)</f>
        <v>192517.104787715</v>
      </c>
      <c r="AO439" s="15">
        <f t="shared" si="114"/>
        <v>1.84664110958875</v>
      </c>
    </row>
    <row r="440" ht="18" spans="1:41">
      <c r="A440" s="9" t="s">
        <v>285</v>
      </c>
      <c r="B440" s="9" t="str">
        <f t="shared" si="103"/>
        <v>[{5205001,3},{2,}]</v>
      </c>
      <c r="C440" s="51" t="str">
        <f t="shared" si="104"/>
        <v>[{5203001,1455},{2,21020}]</v>
      </c>
      <c r="D440" s="140">
        <v>300</v>
      </c>
      <c r="E440" s="130">
        <f t="shared" si="105"/>
        <v>4789</v>
      </c>
      <c r="F440" s="130">
        <f t="shared" si="124"/>
        <v>1170</v>
      </c>
      <c r="G440" s="130">
        <v>300</v>
      </c>
      <c r="H440" s="130">
        <f t="shared" si="125"/>
        <v>0</v>
      </c>
      <c r="I440" s="130">
        <f>IF(COUNTIF($I$141:$I439,$I439)=VLOOKUP($I439,$D$90:$E$120,2,0),$I439+1,$I439)</f>
        <v>27</v>
      </c>
      <c r="J440" s="131">
        <f t="shared" si="106"/>
        <v>158</v>
      </c>
      <c r="K440" s="132" t="str">
        <f t="shared" si="107"/>
        <v/>
      </c>
      <c r="L440" s="132">
        <f t="shared" si="108"/>
        <v>0.03</v>
      </c>
      <c r="M440" s="132" t="str">
        <f t="shared" si="109"/>
        <v/>
      </c>
      <c r="N440" s="132" t="str">
        <f t="shared" si="115"/>
        <v/>
      </c>
      <c r="O440" s="132" t="str">
        <f t="shared" si="110"/>
        <v/>
      </c>
      <c r="P440" s="141">
        <f>(SUM($Q$142:Q440)-SUM($H$141:H440))/SUM($H$141:H440)</f>
        <v>1.06893917131942</v>
      </c>
      <c r="Q440" s="142">
        <f t="shared" si="102"/>
        <v>1450</v>
      </c>
      <c r="R440" s="142">
        <f t="shared" si="123"/>
        <v>20950</v>
      </c>
      <c r="S440" s="133">
        <f t="shared" si="116"/>
        <v>39.5229885057471</v>
      </c>
      <c r="T440" s="134">
        <f>INT(SUM($W$141:W440)/3)+1</f>
        <v>53</v>
      </c>
      <c r="U440" s="135" t="str">
        <f t="shared" si="111"/>
        <v/>
      </c>
      <c r="V440" s="67" t="s">
        <v>168</v>
      </c>
      <c r="W440" s="137" t="str">
        <f t="shared" si="117"/>
        <v/>
      </c>
      <c r="X440" s="137" t="str">
        <f t="shared" si="112"/>
        <v/>
      </c>
      <c r="Y440" s="138"/>
      <c r="Z440" s="138">
        <v>2</v>
      </c>
      <c r="AA440" s="138">
        <v>3</v>
      </c>
      <c r="AB440" s="138" t="str">
        <f t="shared" si="121"/>
        <v>{10000,9000,8000}</v>
      </c>
      <c r="AC440" s="138">
        <v>1000</v>
      </c>
      <c r="AD440" s="138">
        <v>4000</v>
      </c>
      <c r="AE440" s="138">
        <f>SUM($R$141:$R440)+SUM($X$141:$X440)</f>
        <v>4962010</v>
      </c>
      <c r="AF440" s="138">
        <f>SUM($Q$142:Q440)</f>
        <v>211218</v>
      </c>
      <c r="AG440" s="137">
        <f t="shared" si="118"/>
        <v>5595664</v>
      </c>
      <c r="AH440" s="139">
        <f>SUM($S$141:S440)</f>
        <v>4788.76581713236</v>
      </c>
      <c r="AI440" s="133">
        <f t="shared" si="119"/>
        <v>19.7614942528736</v>
      </c>
      <c r="AJ440" s="15">
        <f t="shared" si="120"/>
        <v>1707600</v>
      </c>
      <c r="AL440" s="15">
        <v>300</v>
      </c>
      <c r="AM440" s="15">
        <f t="shared" si="113"/>
        <v>355510</v>
      </c>
      <c r="AN440" s="15">
        <f>SUMIF([1]装备属性!$M$571:$M$870,"&lt;="&amp;AL440,[1]装备属性!$Q$571:$Q$870)</f>
        <v>192517.104787715</v>
      </c>
      <c r="AO440" s="15">
        <f t="shared" si="114"/>
        <v>1.84664110958875</v>
      </c>
    </row>
    <row r="441" ht="18" spans="1:41">
      <c r="A441" s="9" t="s">
        <v>283</v>
      </c>
      <c r="B441" s="9" t="str">
        <f t="shared" si="103"/>
        <v>[{5205001,3},{2,}]</v>
      </c>
      <c r="C441" s="51" t="str">
        <f t="shared" si="104"/>
        <v>[{5203001,1460},{2,21090}]</v>
      </c>
      <c r="D441" s="140">
        <v>301</v>
      </c>
      <c r="E441" s="130">
        <f t="shared" si="105"/>
        <v>4829</v>
      </c>
      <c r="F441" s="130">
        <f t="shared" si="124"/>
        <v>1175</v>
      </c>
      <c r="G441" s="130">
        <v>300</v>
      </c>
      <c r="H441" s="130">
        <f t="shared" si="125"/>
        <v>0</v>
      </c>
      <c r="I441" s="130">
        <f>IF(COUNTIF($I$141:$I440,$I440)=VLOOKUP($I440,$D$90:$E$120,2,0),$I440+1,$I440)</f>
        <v>27</v>
      </c>
      <c r="J441" s="131">
        <f t="shared" si="106"/>
        <v>158</v>
      </c>
      <c r="K441" s="132">
        <f t="shared" si="107"/>
        <v>0.05</v>
      </c>
      <c r="L441" s="132" t="str">
        <f t="shared" si="108"/>
        <v/>
      </c>
      <c r="M441" s="132" t="str">
        <f t="shared" si="109"/>
        <v/>
      </c>
      <c r="N441" s="132" t="str">
        <f t="shared" si="115"/>
        <v/>
      </c>
      <c r="O441" s="132" t="str">
        <f t="shared" si="110"/>
        <v/>
      </c>
      <c r="P441" s="141">
        <f>(SUM($Q$142:Q441)-SUM($H$141:H441))/SUM($H$141:H441)</f>
        <v>1.08319130179254</v>
      </c>
      <c r="Q441" s="142">
        <f t="shared" ref="Q441:Q500" si="126">Q440+5</f>
        <v>1455</v>
      </c>
      <c r="R441" s="142">
        <f t="shared" si="123"/>
        <v>21020</v>
      </c>
      <c r="S441" s="133">
        <f t="shared" si="116"/>
        <v>39.6551724137931</v>
      </c>
      <c r="T441" s="134">
        <f>INT(SUM($W$141:W441)/3)+1</f>
        <v>53</v>
      </c>
      <c r="U441" s="135" t="str">
        <f t="shared" si="111"/>
        <v/>
      </c>
      <c r="V441" s="67" t="s">
        <v>168</v>
      </c>
      <c r="W441" s="137" t="str">
        <f t="shared" si="117"/>
        <v/>
      </c>
      <c r="X441" s="137" t="str">
        <f t="shared" si="112"/>
        <v/>
      </c>
      <c r="Y441" s="138"/>
      <c r="Z441" s="138">
        <v>2</v>
      </c>
      <c r="AA441" s="138">
        <v>3</v>
      </c>
      <c r="AB441" s="138" t="str">
        <f t="shared" si="121"/>
        <v>{10000,9000,8000}</v>
      </c>
      <c r="AC441" s="138">
        <v>1000</v>
      </c>
      <c r="AD441" s="138">
        <v>4000</v>
      </c>
      <c r="AE441" s="138">
        <f>SUM($R$141:$R441)+SUM($X$141:$X441)</f>
        <v>4983030</v>
      </c>
      <c r="AF441" s="138">
        <f>SUM($Q$142:Q441)</f>
        <v>212673</v>
      </c>
      <c r="AG441" s="137">
        <f t="shared" si="118"/>
        <v>5621049</v>
      </c>
      <c r="AH441" s="139">
        <f>SUM($S$141:S441)</f>
        <v>4828.42098954615</v>
      </c>
      <c r="AI441" s="133">
        <f t="shared" si="119"/>
        <v>19.8275862068966</v>
      </c>
      <c r="AJ441" s="15">
        <f t="shared" si="120"/>
        <v>1713300</v>
      </c>
    </row>
    <row r="442" ht="18" spans="1:41">
      <c r="A442" s="9" t="str">
        <f>SUBSTITUTE(A441,"队长伤害","队长技能冷却")</f>
        <v>队长攻击力+158\n队长技能冷却+5%</v>
      </c>
      <c r="B442" s="9" t="str">
        <f t="shared" si="103"/>
        <v>[{5205001,3},{2,}]</v>
      </c>
      <c r="C442" s="51" t="str">
        <f t="shared" si="104"/>
        <v>[{5203001,1465},{2,21160}]</v>
      </c>
      <c r="D442" s="140">
        <v>302</v>
      </c>
      <c r="E442" s="130">
        <f t="shared" si="105"/>
        <v>4869</v>
      </c>
      <c r="F442" s="130">
        <f t="shared" si="124"/>
        <v>1180</v>
      </c>
      <c r="G442" s="130">
        <v>300</v>
      </c>
      <c r="H442" s="130">
        <f t="shared" si="125"/>
        <v>0</v>
      </c>
      <c r="I442" s="130">
        <f>IF(COUNTIF($I$141:$I441,$I441)=VLOOKUP($I441,$D$90:$E$120,2,0),$I441+1,$I441)</f>
        <v>27</v>
      </c>
      <c r="J442" s="131">
        <f t="shared" si="106"/>
        <v>158</v>
      </c>
      <c r="K442" s="132" t="str">
        <f t="shared" si="107"/>
        <v/>
      </c>
      <c r="L442" s="132" t="str">
        <f t="shared" si="108"/>
        <v/>
      </c>
      <c r="M442" s="132" t="str">
        <f t="shared" si="109"/>
        <v/>
      </c>
      <c r="N442" s="132">
        <f t="shared" si="115"/>
        <v>0.0075</v>
      </c>
      <c r="O442" s="132" t="str">
        <f t="shared" si="110"/>
        <v/>
      </c>
      <c r="P442" s="141">
        <f>(SUM($Q$142:Q442)-SUM($H$141:H442))/SUM($H$141:H442)</f>
        <v>1.09749240865903</v>
      </c>
      <c r="Q442" s="142">
        <f t="shared" si="126"/>
        <v>1460</v>
      </c>
      <c r="R442" s="142">
        <f t="shared" si="123"/>
        <v>21090</v>
      </c>
      <c r="S442" s="133">
        <f t="shared" si="116"/>
        <v>39.7873563218391</v>
      </c>
      <c r="T442" s="134">
        <f>INT(SUM($W$141:W442)/3)+1</f>
        <v>53</v>
      </c>
      <c r="U442" s="135" t="str">
        <f t="shared" si="111"/>
        <v/>
      </c>
      <c r="V442" s="67" t="s">
        <v>168</v>
      </c>
      <c r="W442" s="137" t="str">
        <f t="shared" si="117"/>
        <v/>
      </c>
      <c r="X442" s="137" t="str">
        <f t="shared" si="112"/>
        <v/>
      </c>
      <c r="Y442" s="138"/>
      <c r="Z442" s="138">
        <v>2</v>
      </c>
      <c r="AA442" s="138">
        <v>3</v>
      </c>
      <c r="AB442" s="138" t="str">
        <f t="shared" si="121"/>
        <v>{10000,9000,8000}</v>
      </c>
      <c r="AC442" s="138">
        <v>1000</v>
      </c>
      <c r="AD442" s="138">
        <v>4000</v>
      </c>
      <c r="AE442" s="138">
        <f>SUM($R$141:$R442)+SUM($X$141:$X442)</f>
        <v>5004120</v>
      </c>
      <c r="AF442" s="138">
        <f>SUM($Q$142:Q442)</f>
        <v>214133</v>
      </c>
      <c r="AG442" s="137">
        <f t="shared" si="118"/>
        <v>5646519</v>
      </c>
      <c r="AH442" s="139">
        <f>SUM($S$141:S442)</f>
        <v>4868.20834586799</v>
      </c>
      <c r="AI442" s="133">
        <f t="shared" si="119"/>
        <v>19.8936781609195</v>
      </c>
      <c r="AJ442" s="15">
        <f t="shared" si="120"/>
        <v>1719000</v>
      </c>
    </row>
    <row r="443" ht="18" spans="1:41">
      <c r="A443" s="9" t="s">
        <v>284</v>
      </c>
      <c r="B443" s="9" t="str">
        <f t="shared" si="103"/>
        <v>[{5205001,3},{2,}]</v>
      </c>
      <c r="C443" s="51" t="str">
        <f t="shared" si="104"/>
        <v>[{5203001,1470},{2,21230}]</v>
      </c>
      <c r="D443" s="140">
        <v>303</v>
      </c>
      <c r="E443" s="130">
        <f t="shared" si="105"/>
        <v>4909</v>
      </c>
      <c r="F443" s="130">
        <f t="shared" si="124"/>
        <v>1185</v>
      </c>
      <c r="G443" s="130">
        <v>300</v>
      </c>
      <c r="H443" s="130">
        <f t="shared" si="125"/>
        <v>0</v>
      </c>
      <c r="I443" s="130">
        <f>IF(COUNTIF($I$141:$I442,$I442)=VLOOKUP($I442,$D$90:$E$120,2,0),$I442+1,$I442)</f>
        <v>27</v>
      </c>
      <c r="J443" s="131">
        <f t="shared" si="106"/>
        <v>158</v>
      </c>
      <c r="K443" s="132" t="str">
        <f t="shared" si="107"/>
        <v/>
      </c>
      <c r="L443" s="132" t="str">
        <f t="shared" si="108"/>
        <v/>
      </c>
      <c r="M443" s="132">
        <f t="shared" si="109"/>
        <v>0.002</v>
      </c>
      <c r="N443" s="132" t="str">
        <f t="shared" si="115"/>
        <v/>
      </c>
      <c r="O443" s="132" t="str">
        <f t="shared" si="110"/>
        <v/>
      </c>
      <c r="P443" s="141">
        <f>(SUM($Q$142:Q443)-SUM($H$141:H443))/SUM($H$141:H443)</f>
        <v>1.1118424919189</v>
      </c>
      <c r="Q443" s="142">
        <f t="shared" si="126"/>
        <v>1465</v>
      </c>
      <c r="R443" s="142">
        <f t="shared" si="123"/>
        <v>21160</v>
      </c>
      <c r="S443" s="133">
        <f t="shared" si="116"/>
        <v>39.9195402298851</v>
      </c>
      <c r="T443" s="134">
        <f>INT(SUM($W$141:W443)/3)+1</f>
        <v>53</v>
      </c>
      <c r="U443" s="135" t="str">
        <f t="shared" si="111"/>
        <v/>
      </c>
      <c r="V443" s="67" t="s">
        <v>168</v>
      </c>
      <c r="W443" s="137" t="str">
        <f t="shared" si="117"/>
        <v/>
      </c>
      <c r="X443" s="137" t="str">
        <f t="shared" si="112"/>
        <v/>
      </c>
      <c r="Y443" s="138"/>
      <c r="Z443" s="138">
        <v>2</v>
      </c>
      <c r="AA443" s="138">
        <v>3</v>
      </c>
      <c r="AB443" s="138" t="str">
        <f t="shared" si="121"/>
        <v>{10000,9000,8000}</v>
      </c>
      <c r="AC443" s="138">
        <v>1000</v>
      </c>
      <c r="AD443" s="138">
        <v>4000</v>
      </c>
      <c r="AE443" s="138">
        <f>SUM($R$141:$R443)+SUM($X$141:$X443)</f>
        <v>5025280</v>
      </c>
      <c r="AF443" s="138">
        <f>SUM($Q$142:Q443)</f>
        <v>215598</v>
      </c>
      <c r="AG443" s="137">
        <f t="shared" si="118"/>
        <v>5672074</v>
      </c>
      <c r="AH443" s="139">
        <f>SUM($S$141:S443)</f>
        <v>4908.12788609787</v>
      </c>
      <c r="AI443" s="133">
        <f t="shared" si="119"/>
        <v>19.9597701149425</v>
      </c>
      <c r="AJ443" s="15">
        <f t="shared" si="120"/>
        <v>1724700</v>
      </c>
    </row>
    <row r="444" ht="18" spans="1:41">
      <c r="A444" s="9" t="s">
        <v>285</v>
      </c>
      <c r="B444" s="9" t="str">
        <f t="shared" si="103"/>
        <v>[{5205001,3},{2,84920}]</v>
      </c>
      <c r="C444" s="51" t="str">
        <f t="shared" si="104"/>
        <v>[{5203001,1475},{2,21300}]</v>
      </c>
      <c r="D444" s="140">
        <v>304</v>
      </c>
      <c r="E444" s="130">
        <f t="shared" si="105"/>
        <v>4949</v>
      </c>
      <c r="F444" s="130">
        <f t="shared" si="124"/>
        <v>1190</v>
      </c>
      <c r="G444" s="130">
        <v>300</v>
      </c>
      <c r="H444" s="130">
        <f t="shared" si="125"/>
        <v>0</v>
      </c>
      <c r="I444" s="130">
        <f>IF(COUNTIF($I$141:$I443,$I443)=VLOOKUP($I443,$D$90:$E$120,2,0),$I443+1,$I443)</f>
        <v>27</v>
      </c>
      <c r="J444" s="131">
        <f t="shared" si="106"/>
        <v>158</v>
      </c>
      <c r="K444" s="132" t="str">
        <f t="shared" si="107"/>
        <v/>
      </c>
      <c r="L444" s="132">
        <f t="shared" si="108"/>
        <v>0.03</v>
      </c>
      <c r="M444" s="132" t="str">
        <f t="shared" si="109"/>
        <v/>
      </c>
      <c r="N444" s="132" t="str">
        <f t="shared" si="115"/>
        <v/>
      </c>
      <c r="O444" s="132" t="str">
        <f t="shared" si="110"/>
        <v/>
      </c>
      <c r="P444" s="141">
        <f>(SUM($Q$142:Q444)-SUM($H$141:H444))/SUM($H$141:H444)</f>
        <v>1.12624155157214</v>
      </c>
      <c r="Q444" s="142">
        <f t="shared" si="126"/>
        <v>1470</v>
      </c>
      <c r="R444" s="142">
        <f t="shared" si="123"/>
        <v>21230</v>
      </c>
      <c r="S444" s="133">
        <f t="shared" si="116"/>
        <v>40.051724137931</v>
      </c>
      <c r="T444" s="134">
        <f>INT(SUM($W$141:W444)/3)+1</f>
        <v>54</v>
      </c>
      <c r="U444" s="135" t="str">
        <f t="shared" si="111"/>
        <v/>
      </c>
      <c r="V444" s="67" t="s">
        <v>91</v>
      </c>
      <c r="W444" s="137">
        <f t="shared" si="117"/>
        <v>3</v>
      </c>
      <c r="X444" s="137">
        <f t="shared" si="112"/>
        <v>84920</v>
      </c>
      <c r="Y444" s="138"/>
      <c r="Z444" s="138">
        <v>2</v>
      </c>
      <c r="AA444" s="138">
        <v>3</v>
      </c>
      <c r="AB444" s="138" t="str">
        <f t="shared" si="121"/>
        <v>{10000,9000,8000}</v>
      </c>
      <c r="AC444" s="138">
        <v>1000</v>
      </c>
      <c r="AD444" s="138">
        <v>4000</v>
      </c>
      <c r="AE444" s="138">
        <f>SUM($R$141:$R444)+SUM($X$141:$X444)</f>
        <v>5131430</v>
      </c>
      <c r="AF444" s="138">
        <f>SUM($Q$142:Q444)</f>
        <v>217068</v>
      </c>
      <c r="AG444" s="137">
        <f t="shared" si="118"/>
        <v>5782634</v>
      </c>
      <c r="AH444" s="139">
        <f>SUM($S$141:S444)</f>
        <v>4948.1796102358</v>
      </c>
      <c r="AI444" s="133">
        <f t="shared" si="119"/>
        <v>20.0258620689655</v>
      </c>
      <c r="AJ444" s="15">
        <f t="shared" si="120"/>
        <v>1730400</v>
      </c>
    </row>
    <row r="445" ht="18" spans="1:41">
      <c r="A445" s="9" t="s">
        <v>283</v>
      </c>
      <c r="B445" s="9" t="str">
        <f t="shared" si="103"/>
        <v>[{5205001,3},{2,}]</v>
      </c>
      <c r="C445" s="51" t="str">
        <f t="shared" si="104"/>
        <v>[{5203001,1480},{2,21370}]</v>
      </c>
      <c r="D445" s="140">
        <v>305</v>
      </c>
      <c r="E445" s="130">
        <f t="shared" si="105"/>
        <v>4989</v>
      </c>
      <c r="F445" s="130">
        <f t="shared" si="124"/>
        <v>1195</v>
      </c>
      <c r="G445" s="130">
        <v>300</v>
      </c>
      <c r="H445" s="130">
        <f t="shared" si="125"/>
        <v>0</v>
      </c>
      <c r="I445" s="130">
        <f>IF(COUNTIF($I$141:$I444,$I444)=VLOOKUP($I444,$D$90:$E$120,2,0),$I444+1,$I444)</f>
        <v>27</v>
      </c>
      <c r="J445" s="131">
        <f t="shared" si="106"/>
        <v>158</v>
      </c>
      <c r="K445" s="132">
        <f t="shared" si="107"/>
        <v>0.05</v>
      </c>
      <c r="L445" s="132" t="str">
        <f t="shared" si="108"/>
        <v/>
      </c>
      <c r="M445" s="132" t="str">
        <f t="shared" si="109"/>
        <v/>
      </c>
      <c r="N445" s="132" t="str">
        <f t="shared" si="115"/>
        <v/>
      </c>
      <c r="O445" s="132" t="str">
        <f t="shared" si="110"/>
        <v/>
      </c>
      <c r="P445" s="141">
        <f>(SUM($Q$142:Q445)-SUM($H$141:H445))/SUM($H$141:H445)</f>
        <v>1.14068958761877</v>
      </c>
      <c r="Q445" s="142">
        <f t="shared" si="126"/>
        <v>1475</v>
      </c>
      <c r="R445" s="142">
        <f t="shared" si="123"/>
        <v>21300</v>
      </c>
      <c r="S445" s="133">
        <f t="shared" si="116"/>
        <v>40.183908045977</v>
      </c>
      <c r="T445" s="134">
        <f>INT(SUM($W$141:W445)/3)+1</f>
        <v>54</v>
      </c>
      <c r="U445" s="135" t="str">
        <f t="shared" si="111"/>
        <v/>
      </c>
      <c r="V445" s="67" t="s">
        <v>168</v>
      </c>
      <c r="W445" s="137" t="str">
        <f t="shared" si="117"/>
        <v/>
      </c>
      <c r="X445" s="137" t="str">
        <f t="shared" si="112"/>
        <v/>
      </c>
      <c r="Y445" s="138"/>
      <c r="Z445" s="138">
        <v>2</v>
      </c>
      <c r="AA445" s="138">
        <v>3</v>
      </c>
      <c r="AB445" s="138" t="str">
        <f t="shared" si="121"/>
        <v>{10000,9000,8000}</v>
      </c>
      <c r="AC445" s="138">
        <v>1000</v>
      </c>
      <c r="AD445" s="138">
        <v>4000</v>
      </c>
      <c r="AE445" s="138">
        <f>SUM($R$141:$R445)+SUM($X$141:$X445)</f>
        <v>5152730</v>
      </c>
      <c r="AF445" s="138">
        <f>SUM($Q$142:Q445)</f>
        <v>218543</v>
      </c>
      <c r="AG445" s="137">
        <f t="shared" si="118"/>
        <v>5808359</v>
      </c>
      <c r="AH445" s="139">
        <f>SUM($S$141:S445)</f>
        <v>4988.36351828178</v>
      </c>
      <c r="AI445" s="133">
        <f t="shared" si="119"/>
        <v>20.0919540229885</v>
      </c>
      <c r="AJ445" s="15">
        <f t="shared" si="120"/>
        <v>1736100</v>
      </c>
    </row>
    <row r="446" ht="18" spans="1:41">
      <c r="A446" s="9" t="str">
        <f>SUBSTITUTE(A445,"队长伤害","队长技能冷却")</f>
        <v>队长攻击力+158\n队长技能冷却+5%</v>
      </c>
      <c r="B446" s="9" t="str">
        <f t="shared" si="103"/>
        <v>[{5205001,3},{2,}]</v>
      </c>
      <c r="C446" s="51" t="str">
        <f t="shared" si="104"/>
        <v>[{5203001,1485},{2,21440}]</v>
      </c>
      <c r="D446" s="140">
        <v>306</v>
      </c>
      <c r="E446" s="130">
        <f t="shared" si="105"/>
        <v>5029</v>
      </c>
      <c r="F446" s="130">
        <f t="shared" si="124"/>
        <v>1200</v>
      </c>
      <c r="G446" s="130">
        <v>300</v>
      </c>
      <c r="H446" s="130">
        <f t="shared" si="125"/>
        <v>0</v>
      </c>
      <c r="I446" s="130">
        <f>IF(COUNTIF($I$141:$I445,$I445)=VLOOKUP($I445,$D$90:$E$120,2,0),$I445+1,$I445)</f>
        <v>27</v>
      </c>
      <c r="J446" s="131">
        <f t="shared" si="106"/>
        <v>158</v>
      </c>
      <c r="K446" s="132" t="str">
        <f t="shared" si="107"/>
        <v/>
      </c>
      <c r="L446" s="132" t="str">
        <f t="shared" si="108"/>
        <v/>
      </c>
      <c r="M446" s="132" t="str">
        <f t="shared" si="109"/>
        <v/>
      </c>
      <c r="N446" s="132">
        <f t="shared" si="115"/>
        <v>0.0075</v>
      </c>
      <c r="O446" s="132" t="str">
        <f t="shared" si="110"/>
        <v/>
      </c>
      <c r="P446" s="141">
        <f>(SUM($Q$142:Q446)-SUM($H$141:H446))/SUM($H$141:H446)</f>
        <v>1.15518660005877</v>
      </c>
      <c r="Q446" s="142">
        <f t="shared" si="126"/>
        <v>1480</v>
      </c>
      <c r="R446" s="142">
        <f t="shared" si="123"/>
        <v>21370</v>
      </c>
      <c r="S446" s="133">
        <f t="shared" si="116"/>
        <v>40.316091954023</v>
      </c>
      <c r="T446" s="134">
        <f>INT(SUM($W$141:W446)/3)+1</f>
        <v>54</v>
      </c>
      <c r="U446" s="135" t="str">
        <f t="shared" si="111"/>
        <v/>
      </c>
      <c r="V446" s="67" t="s">
        <v>168</v>
      </c>
      <c r="W446" s="137" t="str">
        <f t="shared" si="117"/>
        <v/>
      </c>
      <c r="X446" s="137" t="str">
        <f t="shared" si="112"/>
        <v/>
      </c>
      <c r="Y446" s="138"/>
      <c r="Z446" s="138">
        <v>2</v>
      </c>
      <c r="AA446" s="138">
        <v>3</v>
      </c>
      <c r="AB446" s="138" t="str">
        <f t="shared" si="121"/>
        <v>{10000,9000,8000}</v>
      </c>
      <c r="AC446" s="138">
        <v>1000</v>
      </c>
      <c r="AD446" s="138">
        <v>4000</v>
      </c>
      <c r="AE446" s="138">
        <f>SUM($R$141:$R446)+SUM($X$141:$X446)</f>
        <v>5174100</v>
      </c>
      <c r="AF446" s="138">
        <f>SUM($Q$142:Q446)</f>
        <v>220023</v>
      </c>
      <c r="AG446" s="137">
        <f t="shared" si="118"/>
        <v>5834169</v>
      </c>
      <c r="AH446" s="139">
        <f>SUM($S$141:S446)</f>
        <v>5028.6796102358</v>
      </c>
      <c r="AI446" s="133">
        <f t="shared" si="119"/>
        <v>20.1580459770115</v>
      </c>
      <c r="AJ446" s="15">
        <f t="shared" si="120"/>
        <v>1741800</v>
      </c>
    </row>
    <row r="447" ht="18" spans="1:41">
      <c r="A447" s="9" t="s">
        <v>284</v>
      </c>
      <c r="B447" s="9" t="str">
        <f t="shared" si="103"/>
        <v>[{5205001,3},{2,}]</v>
      </c>
      <c r="C447" s="51" t="str">
        <f t="shared" si="104"/>
        <v>[{5203001,1490},{2,21510}]</v>
      </c>
      <c r="D447" s="140">
        <v>307</v>
      </c>
      <c r="E447" s="130">
        <f t="shared" si="105"/>
        <v>5070</v>
      </c>
      <c r="F447" s="130">
        <f t="shared" si="124"/>
        <v>1205</v>
      </c>
      <c r="G447" s="130">
        <v>300</v>
      </c>
      <c r="H447" s="130">
        <f t="shared" si="125"/>
        <v>0</v>
      </c>
      <c r="I447" s="130">
        <f>IF(COUNTIF($I$141:$I446,$I446)=VLOOKUP($I446,$D$90:$E$120,2,0),$I446+1,$I446)</f>
        <v>27</v>
      </c>
      <c r="J447" s="131">
        <f t="shared" si="106"/>
        <v>158</v>
      </c>
      <c r="K447" s="132" t="str">
        <f t="shared" si="107"/>
        <v/>
      </c>
      <c r="L447" s="132" t="str">
        <f t="shared" si="108"/>
        <v/>
      </c>
      <c r="M447" s="132">
        <f t="shared" si="109"/>
        <v>0.002</v>
      </c>
      <c r="N447" s="132" t="str">
        <f t="shared" si="115"/>
        <v/>
      </c>
      <c r="O447" s="132" t="str">
        <f t="shared" si="110"/>
        <v/>
      </c>
      <c r="P447" s="141">
        <f>(SUM($Q$142:Q447)-SUM($H$141:H447))/SUM($H$141:H447)</f>
        <v>1.16973258889215</v>
      </c>
      <c r="Q447" s="142">
        <f t="shared" si="126"/>
        <v>1485</v>
      </c>
      <c r="R447" s="142">
        <f t="shared" si="123"/>
        <v>21440</v>
      </c>
      <c r="S447" s="133">
        <f t="shared" si="116"/>
        <v>40.448275862069</v>
      </c>
      <c r="T447" s="134">
        <f>INT(SUM($W$141:W447)/3)+1</f>
        <v>54</v>
      </c>
      <c r="U447" s="135" t="str">
        <f t="shared" si="111"/>
        <v/>
      </c>
      <c r="V447" s="67" t="s">
        <v>168</v>
      </c>
      <c r="W447" s="137" t="str">
        <f t="shared" si="117"/>
        <v/>
      </c>
      <c r="X447" s="137" t="str">
        <f t="shared" si="112"/>
        <v/>
      </c>
      <c r="Y447" s="138"/>
      <c r="Z447" s="138">
        <v>2</v>
      </c>
      <c r="AA447" s="138">
        <v>3</v>
      </c>
      <c r="AB447" s="138" t="str">
        <f t="shared" si="121"/>
        <v>{10000,9000,8000}</v>
      </c>
      <c r="AC447" s="138">
        <v>1000</v>
      </c>
      <c r="AD447" s="138">
        <v>4000</v>
      </c>
      <c r="AE447" s="138">
        <f>SUM($R$141:$R447)+SUM($X$141:$X447)</f>
        <v>5195540</v>
      </c>
      <c r="AF447" s="138">
        <f>SUM($Q$142:Q447)</f>
        <v>221508</v>
      </c>
      <c r="AG447" s="137">
        <f t="shared" si="118"/>
        <v>5860064</v>
      </c>
      <c r="AH447" s="139">
        <f>SUM($S$141:S447)</f>
        <v>5069.12788609787</v>
      </c>
      <c r="AI447" s="133">
        <f t="shared" si="119"/>
        <v>20.2241379310345</v>
      </c>
      <c r="AJ447" s="15">
        <f t="shared" si="120"/>
        <v>1747500</v>
      </c>
    </row>
    <row r="448" ht="18" spans="1:41">
      <c r="A448" s="9" t="s">
        <v>285</v>
      </c>
      <c r="B448" s="9" t="str">
        <f t="shared" si="103"/>
        <v>[{5205001,3},{2,}]</v>
      </c>
      <c r="C448" s="51" t="str">
        <f t="shared" si="104"/>
        <v>[{5203001,1495},{2,21580}]</v>
      </c>
      <c r="D448" s="140">
        <v>308</v>
      </c>
      <c r="E448" s="130">
        <f t="shared" si="105"/>
        <v>5110</v>
      </c>
      <c r="F448" s="130">
        <f t="shared" si="124"/>
        <v>1210</v>
      </c>
      <c r="G448" s="130">
        <v>300</v>
      </c>
      <c r="H448" s="130">
        <f t="shared" si="125"/>
        <v>0</v>
      </c>
      <c r="I448" s="130">
        <f>IF(COUNTIF($I$141:$I447,$I447)=VLOOKUP($I447,$D$90:$E$120,2,0),$I447+1,$I447)</f>
        <v>27</v>
      </c>
      <c r="J448" s="131">
        <f t="shared" si="106"/>
        <v>158</v>
      </c>
      <c r="K448" s="132" t="str">
        <f t="shared" si="107"/>
        <v/>
      </c>
      <c r="L448" s="132">
        <f t="shared" si="108"/>
        <v>0.03</v>
      </c>
      <c r="M448" s="132" t="str">
        <f t="shared" si="109"/>
        <v/>
      </c>
      <c r="N448" s="132" t="str">
        <f t="shared" si="115"/>
        <v/>
      </c>
      <c r="O448" s="132" t="str">
        <f t="shared" si="110"/>
        <v/>
      </c>
      <c r="P448" s="141">
        <f>(SUM($Q$142:Q448)-SUM($H$141:H448))/SUM($H$141:H448)</f>
        <v>1.18432755411891</v>
      </c>
      <c r="Q448" s="142">
        <f t="shared" si="126"/>
        <v>1490</v>
      </c>
      <c r="R448" s="142">
        <f t="shared" si="123"/>
        <v>21510</v>
      </c>
      <c r="S448" s="133">
        <f t="shared" si="116"/>
        <v>40.5804597701149</v>
      </c>
      <c r="T448" s="134">
        <f>INT(SUM($W$141:W448)/3)+1</f>
        <v>54</v>
      </c>
      <c r="U448" s="135" t="str">
        <f t="shared" si="111"/>
        <v/>
      </c>
      <c r="V448" s="67" t="s">
        <v>168</v>
      </c>
      <c r="W448" s="137" t="str">
        <f t="shared" si="117"/>
        <v/>
      </c>
      <c r="X448" s="137" t="str">
        <f t="shared" si="112"/>
        <v/>
      </c>
      <c r="Y448" s="138"/>
      <c r="Z448" s="138">
        <v>2</v>
      </c>
      <c r="AA448" s="138">
        <v>3</v>
      </c>
      <c r="AB448" s="138" t="str">
        <f t="shared" si="121"/>
        <v>{10000,9000,8000}</v>
      </c>
      <c r="AC448" s="138">
        <v>1000</v>
      </c>
      <c r="AD448" s="138">
        <v>4000</v>
      </c>
      <c r="AE448" s="138">
        <f>SUM($R$141:$R448)+SUM($X$141:$X448)</f>
        <v>5217050</v>
      </c>
      <c r="AF448" s="138">
        <f>SUM($Q$142:Q448)</f>
        <v>222998</v>
      </c>
      <c r="AG448" s="137">
        <f t="shared" si="118"/>
        <v>5886044</v>
      </c>
      <c r="AH448" s="139">
        <f>SUM($S$141:S448)</f>
        <v>5109.70834586799</v>
      </c>
      <c r="AI448" s="133">
        <f t="shared" si="119"/>
        <v>20.2902298850575</v>
      </c>
      <c r="AJ448" s="15">
        <f t="shared" si="120"/>
        <v>1753200</v>
      </c>
    </row>
    <row r="449" ht="18" spans="1:36">
      <c r="A449" s="9" t="s">
        <v>283</v>
      </c>
      <c r="B449" s="9" t="str">
        <f t="shared" si="103"/>
        <v>[{5205001,3},{2,}]</v>
      </c>
      <c r="C449" s="51" t="str">
        <f t="shared" si="104"/>
        <v>[{5203001,1500},{2,21650}]</v>
      </c>
      <c r="D449" s="140">
        <v>309</v>
      </c>
      <c r="E449" s="130">
        <f t="shared" si="105"/>
        <v>5151</v>
      </c>
      <c r="F449" s="130">
        <f t="shared" si="124"/>
        <v>1215</v>
      </c>
      <c r="G449" s="130">
        <v>300</v>
      </c>
      <c r="H449" s="130">
        <f t="shared" si="125"/>
        <v>0</v>
      </c>
      <c r="I449" s="130">
        <f>IF(COUNTIF($I$141:$I448,$I448)=VLOOKUP($I448,$D$90:$E$120,2,0),$I448+1,$I448)</f>
        <v>27</v>
      </c>
      <c r="J449" s="131">
        <f t="shared" si="106"/>
        <v>158</v>
      </c>
      <c r="K449" s="132">
        <f t="shared" si="107"/>
        <v>0.05</v>
      </c>
      <c r="L449" s="132" t="str">
        <f t="shared" si="108"/>
        <v/>
      </c>
      <c r="M449" s="132" t="str">
        <f t="shared" si="109"/>
        <v/>
      </c>
      <c r="N449" s="132" t="str">
        <f t="shared" si="115"/>
        <v/>
      </c>
      <c r="O449" s="132" t="str">
        <f t="shared" si="110"/>
        <v/>
      </c>
      <c r="P449" s="141">
        <f>(SUM($Q$142:Q449)-SUM($H$141:H449))/SUM($H$141:H449)</f>
        <v>1.19897149573905</v>
      </c>
      <c r="Q449" s="142">
        <f t="shared" si="126"/>
        <v>1495</v>
      </c>
      <c r="R449" s="142">
        <f t="shared" si="123"/>
        <v>21580</v>
      </c>
      <c r="S449" s="133">
        <f t="shared" si="116"/>
        <v>40.7126436781609</v>
      </c>
      <c r="T449" s="134">
        <f>INT(SUM($W$141:W449)/3)+1</f>
        <v>54</v>
      </c>
      <c r="U449" s="135" t="str">
        <f t="shared" si="111"/>
        <v/>
      </c>
      <c r="V449" s="67" t="s">
        <v>168</v>
      </c>
      <c r="W449" s="137" t="str">
        <f t="shared" si="117"/>
        <v/>
      </c>
      <c r="X449" s="137" t="str">
        <f t="shared" si="112"/>
        <v/>
      </c>
      <c r="Y449" s="138"/>
      <c r="Z449" s="138">
        <v>2</v>
      </c>
      <c r="AA449" s="138">
        <v>3</v>
      </c>
      <c r="AB449" s="138" t="str">
        <f t="shared" si="121"/>
        <v>{10000,9000,8000}</v>
      </c>
      <c r="AC449" s="138">
        <v>1000</v>
      </c>
      <c r="AD449" s="138">
        <v>4000</v>
      </c>
      <c r="AE449" s="138">
        <f>SUM($R$141:$R449)+SUM($X$141:$X449)</f>
        <v>5238630</v>
      </c>
      <c r="AF449" s="138">
        <f>SUM($Q$142:Q449)</f>
        <v>224493</v>
      </c>
      <c r="AG449" s="137">
        <f t="shared" si="118"/>
        <v>5912109</v>
      </c>
      <c r="AH449" s="139">
        <f>SUM($S$141:S449)</f>
        <v>5150.42098954615</v>
      </c>
      <c r="AI449" s="133">
        <f t="shared" si="119"/>
        <v>20.3563218390805</v>
      </c>
      <c r="AJ449" s="15">
        <f t="shared" si="120"/>
        <v>1758900</v>
      </c>
    </row>
    <row r="450" ht="18" spans="1:36">
      <c r="A450" s="9" t="str">
        <f>SUBSTITUTE(A449,"队长伤害","队长技能冷却")</f>
        <v>队长攻击力+158\n队长技能冷却+5%</v>
      </c>
      <c r="B450" s="9" t="str">
        <f t="shared" si="103"/>
        <v>[{5205001,3},{2,}]</v>
      </c>
      <c r="C450" s="51" t="str">
        <f t="shared" si="104"/>
        <v>[{5203001,1505},{2,21720}]</v>
      </c>
      <c r="D450" s="140">
        <v>310</v>
      </c>
      <c r="E450" s="130">
        <f t="shared" si="105"/>
        <v>5192</v>
      </c>
      <c r="F450" s="130">
        <f t="shared" si="124"/>
        <v>1220</v>
      </c>
      <c r="G450" s="130">
        <v>300</v>
      </c>
      <c r="H450" s="130">
        <f t="shared" si="125"/>
        <v>0</v>
      </c>
      <c r="I450" s="130">
        <f>IF(COUNTIF($I$141:$I449,$I449)=VLOOKUP($I449,$D$90:$E$120,2,0),$I449+1,$I449)</f>
        <v>27</v>
      </c>
      <c r="J450" s="131">
        <f t="shared" si="106"/>
        <v>158</v>
      </c>
      <c r="K450" s="132" t="str">
        <f t="shared" si="107"/>
        <v/>
      </c>
      <c r="L450" s="132" t="str">
        <f t="shared" si="108"/>
        <v/>
      </c>
      <c r="M450" s="132" t="str">
        <f t="shared" si="109"/>
        <v/>
      </c>
      <c r="N450" s="132">
        <f t="shared" si="115"/>
        <v>0.0075</v>
      </c>
      <c r="O450" s="132" t="str">
        <f t="shared" si="110"/>
        <v/>
      </c>
      <c r="P450" s="141">
        <f>(SUM($Q$142:Q450)-SUM($H$141:H450))/SUM($H$141:H450)</f>
        <v>1.21366441375257</v>
      </c>
      <c r="Q450" s="142">
        <f t="shared" si="126"/>
        <v>1500</v>
      </c>
      <c r="R450" s="142">
        <f t="shared" si="123"/>
        <v>21650</v>
      </c>
      <c r="S450" s="133">
        <f t="shared" si="116"/>
        <v>40.8448275862069</v>
      </c>
      <c r="T450" s="134">
        <f>INT(SUM($W$141:W450)/3)+1</f>
        <v>54</v>
      </c>
      <c r="U450" s="135" t="str">
        <f t="shared" si="111"/>
        <v/>
      </c>
      <c r="V450" s="67" t="s">
        <v>168</v>
      </c>
      <c r="W450" s="137" t="str">
        <f t="shared" si="117"/>
        <v/>
      </c>
      <c r="X450" s="137" t="str">
        <f t="shared" si="112"/>
        <v/>
      </c>
      <c r="Y450" s="138"/>
      <c r="Z450" s="138">
        <v>2</v>
      </c>
      <c r="AA450" s="138">
        <v>3</v>
      </c>
      <c r="AB450" s="138" t="str">
        <f t="shared" si="121"/>
        <v>{10000,9000,8000}</v>
      </c>
      <c r="AC450" s="138">
        <v>1000</v>
      </c>
      <c r="AD450" s="138">
        <v>4000</v>
      </c>
      <c r="AE450" s="138">
        <f>SUM($R$141:$R450)+SUM($X$141:$X450)</f>
        <v>5260280</v>
      </c>
      <c r="AF450" s="138">
        <f>SUM($Q$142:Q450)</f>
        <v>225993</v>
      </c>
      <c r="AG450" s="137">
        <f t="shared" si="118"/>
        <v>5938259</v>
      </c>
      <c r="AH450" s="139">
        <f>SUM($S$141:S450)</f>
        <v>5191.26581713236</v>
      </c>
      <c r="AI450" s="133">
        <f t="shared" si="119"/>
        <v>20.4224137931034</v>
      </c>
      <c r="AJ450" s="15">
        <f t="shared" si="120"/>
        <v>1764600</v>
      </c>
    </row>
    <row r="451" ht="18" spans="1:36">
      <c r="A451" s="9" t="s">
        <v>284</v>
      </c>
      <c r="B451" s="9" t="str">
        <f t="shared" si="103"/>
        <v>[{5205001,3},{2,}]</v>
      </c>
      <c r="C451" s="51" t="str">
        <f t="shared" si="104"/>
        <v>[{5203001,1510},{2,21790}]</v>
      </c>
      <c r="D451" s="140">
        <v>311</v>
      </c>
      <c r="E451" s="130">
        <f t="shared" si="105"/>
        <v>5233</v>
      </c>
      <c r="F451" s="130">
        <f t="shared" si="124"/>
        <v>1225</v>
      </c>
      <c r="G451" s="130">
        <v>300</v>
      </c>
      <c r="H451" s="130">
        <f t="shared" si="125"/>
        <v>0</v>
      </c>
      <c r="I451" s="130">
        <f>IF(COUNTIF($I$141:$I450,$I450)=VLOOKUP($I450,$D$90:$E$120,2,0),$I450+1,$I450)</f>
        <v>27</v>
      </c>
      <c r="J451" s="131">
        <f t="shared" si="106"/>
        <v>158</v>
      </c>
      <c r="K451" s="132" t="str">
        <f t="shared" si="107"/>
        <v/>
      </c>
      <c r="L451" s="132" t="str">
        <f t="shared" si="108"/>
        <v/>
      </c>
      <c r="M451" s="132">
        <f t="shared" si="109"/>
        <v>0.002</v>
      </c>
      <c r="N451" s="132" t="str">
        <f t="shared" si="115"/>
        <v/>
      </c>
      <c r="O451" s="132" t="str">
        <f t="shared" si="110"/>
        <v/>
      </c>
      <c r="P451" s="141">
        <f>(SUM($Q$142:Q451)-SUM($H$141:H451))/SUM($H$141:H451)</f>
        <v>1.22840630815947</v>
      </c>
      <c r="Q451" s="142">
        <f t="shared" si="126"/>
        <v>1505</v>
      </c>
      <c r="R451" s="142">
        <f t="shared" si="123"/>
        <v>21720</v>
      </c>
      <c r="S451" s="133">
        <f t="shared" si="116"/>
        <v>40.9770114942529</v>
      </c>
      <c r="T451" s="134">
        <f>INT(SUM($W$141:W451)/3)+1</f>
        <v>54</v>
      </c>
      <c r="U451" s="135" t="str">
        <f t="shared" si="111"/>
        <v/>
      </c>
      <c r="V451" s="67" t="s">
        <v>168</v>
      </c>
      <c r="W451" s="137" t="str">
        <f t="shared" si="117"/>
        <v/>
      </c>
      <c r="X451" s="137" t="str">
        <f t="shared" si="112"/>
        <v/>
      </c>
      <c r="Y451" s="138"/>
      <c r="Z451" s="138">
        <v>2</v>
      </c>
      <c r="AA451" s="138">
        <v>3</v>
      </c>
      <c r="AB451" s="138" t="str">
        <f t="shared" si="121"/>
        <v>{10000,9000,8000}</v>
      </c>
      <c r="AC451" s="138">
        <v>1000</v>
      </c>
      <c r="AD451" s="138">
        <v>4000</v>
      </c>
      <c r="AE451" s="138">
        <f>SUM($R$141:$R451)+SUM($X$141:$X451)</f>
        <v>5282000</v>
      </c>
      <c r="AF451" s="138">
        <f>SUM($Q$142:Q451)</f>
        <v>227498</v>
      </c>
      <c r="AG451" s="137">
        <f t="shared" si="118"/>
        <v>5964494</v>
      </c>
      <c r="AH451" s="139">
        <f>SUM($S$141:S451)</f>
        <v>5232.24282862661</v>
      </c>
      <c r="AI451" s="133">
        <f t="shared" si="119"/>
        <v>20.4885057471264</v>
      </c>
      <c r="AJ451" s="15">
        <f t="shared" si="120"/>
        <v>1770300</v>
      </c>
    </row>
    <row r="452" ht="18" spans="1:36">
      <c r="A452" s="9" t="s">
        <v>285</v>
      </c>
      <c r="B452" s="9" t="str">
        <f t="shared" si="103"/>
        <v>[{5205001,3},{2,87160}]</v>
      </c>
      <c r="C452" s="51" t="str">
        <f t="shared" si="104"/>
        <v>[{5203001,1515},{2,21860}]</v>
      </c>
      <c r="D452" s="140">
        <v>312</v>
      </c>
      <c r="E452" s="130">
        <f t="shared" si="105"/>
        <v>5274</v>
      </c>
      <c r="F452" s="130">
        <f t="shared" si="124"/>
        <v>1230</v>
      </c>
      <c r="G452" s="130">
        <v>300</v>
      </c>
      <c r="H452" s="130">
        <f t="shared" si="125"/>
        <v>0</v>
      </c>
      <c r="I452" s="130">
        <f>IF(COUNTIF($I$141:$I451,$I451)=VLOOKUP($I451,$D$90:$E$120,2,0),$I451+1,$I451)</f>
        <v>27</v>
      </c>
      <c r="J452" s="131">
        <f t="shared" si="106"/>
        <v>158</v>
      </c>
      <c r="K452" s="132" t="str">
        <f t="shared" si="107"/>
        <v/>
      </c>
      <c r="L452" s="132">
        <f t="shared" si="108"/>
        <v>0.03</v>
      </c>
      <c r="M452" s="132" t="str">
        <f t="shared" si="109"/>
        <v/>
      </c>
      <c r="N452" s="132" t="str">
        <f t="shared" si="115"/>
        <v/>
      </c>
      <c r="O452" s="132" t="str">
        <f t="shared" si="110"/>
        <v/>
      </c>
      <c r="P452" s="141">
        <f>(SUM($Q$142:Q452)-SUM($H$141:H452))/SUM($H$141:H452)</f>
        <v>1.24319717895974</v>
      </c>
      <c r="Q452" s="142">
        <f t="shared" si="126"/>
        <v>1510</v>
      </c>
      <c r="R452" s="142">
        <f t="shared" si="123"/>
        <v>21790</v>
      </c>
      <c r="S452" s="133">
        <f t="shared" si="116"/>
        <v>41.1091954022989</v>
      </c>
      <c r="T452" s="134">
        <f>INT(SUM($W$141:W452)/3)+1</f>
        <v>55</v>
      </c>
      <c r="U452" s="135" t="str">
        <f t="shared" si="111"/>
        <v>70</v>
      </c>
      <c r="V452" s="67" t="s">
        <v>84</v>
      </c>
      <c r="W452" s="137">
        <f t="shared" si="117"/>
        <v>3</v>
      </c>
      <c r="X452" s="137">
        <f t="shared" si="112"/>
        <v>87160</v>
      </c>
      <c r="Y452" s="138"/>
      <c r="Z452" s="138">
        <v>2</v>
      </c>
      <c r="AA452" s="138">
        <v>3</v>
      </c>
      <c r="AB452" s="138" t="str">
        <f t="shared" si="121"/>
        <v>{10000,9000,8000}</v>
      </c>
      <c r="AC452" s="138">
        <v>1000</v>
      </c>
      <c r="AD452" s="138">
        <v>4000</v>
      </c>
      <c r="AE452" s="138">
        <f>SUM($R$141:$R452)+SUM($X$141:$X452)</f>
        <v>5390950</v>
      </c>
      <c r="AF452" s="138">
        <f>SUM($Q$142:Q452)</f>
        <v>229008</v>
      </c>
      <c r="AG452" s="137">
        <f t="shared" si="118"/>
        <v>6077974</v>
      </c>
      <c r="AH452" s="139">
        <f>SUM($S$141:S452)</f>
        <v>5273.35202402891</v>
      </c>
      <c r="AI452" s="133">
        <f t="shared" si="119"/>
        <v>20.5545977011494</v>
      </c>
      <c r="AJ452" s="15">
        <f t="shared" si="120"/>
        <v>1776000</v>
      </c>
    </row>
    <row r="453" ht="18" spans="1:36">
      <c r="A453" s="9" t="s">
        <v>286</v>
      </c>
      <c r="B453" s="9" t="str">
        <f t="shared" si="103"/>
        <v>[{5205001,3},{2,}]</v>
      </c>
      <c r="C453" s="51" t="str">
        <f t="shared" si="104"/>
        <v>[{5203001,1520},{2,21930}]</v>
      </c>
      <c r="D453" s="140">
        <v>313</v>
      </c>
      <c r="E453" s="130">
        <f t="shared" si="105"/>
        <v>5316</v>
      </c>
      <c r="F453" s="130">
        <f t="shared" si="124"/>
        <v>1235</v>
      </c>
      <c r="G453" s="130">
        <v>300</v>
      </c>
      <c r="H453" s="130">
        <f t="shared" si="125"/>
        <v>0</v>
      </c>
      <c r="I453" s="130">
        <f>IF(COUNTIF($I$141:$I452,$I452)=VLOOKUP($I452,$D$90:$E$120,2,0),$I452+1,$I452)</f>
        <v>28</v>
      </c>
      <c r="J453" s="131">
        <f t="shared" si="106"/>
        <v>164</v>
      </c>
      <c r="K453" s="132">
        <f t="shared" si="107"/>
        <v>0.05</v>
      </c>
      <c r="L453" s="132" t="str">
        <f t="shared" si="108"/>
        <v/>
      </c>
      <c r="M453" s="132" t="str">
        <f t="shared" si="109"/>
        <v/>
      </c>
      <c r="N453" s="132" t="str">
        <f t="shared" si="115"/>
        <v/>
      </c>
      <c r="O453" s="132" t="str">
        <f t="shared" si="110"/>
        <v/>
      </c>
      <c r="P453" s="141">
        <f>(SUM($Q$142:Q453)-SUM($H$141:H453))/SUM($H$141:H453)</f>
        <v>1.25803702615339</v>
      </c>
      <c r="Q453" s="142">
        <f t="shared" si="126"/>
        <v>1515</v>
      </c>
      <c r="R453" s="142">
        <f t="shared" si="123"/>
        <v>21860</v>
      </c>
      <c r="S453" s="133">
        <f t="shared" si="116"/>
        <v>42.1029641185647</v>
      </c>
      <c r="T453" s="134">
        <f>INT(SUM($W$141:W453)/3)+1</f>
        <v>55</v>
      </c>
      <c r="U453" s="135" t="str">
        <f t="shared" si="111"/>
        <v/>
      </c>
      <c r="V453" s="67" t="s">
        <v>168</v>
      </c>
      <c r="W453" s="137" t="str">
        <f t="shared" si="117"/>
        <v/>
      </c>
      <c r="X453" s="137" t="str">
        <f t="shared" si="112"/>
        <v/>
      </c>
      <c r="Y453" s="138"/>
      <c r="Z453" s="138">
        <v>2</v>
      </c>
      <c r="AA453" s="138">
        <v>3</v>
      </c>
      <c r="AB453" s="138" t="str">
        <f t="shared" si="121"/>
        <v>{10000,9000,8000}</v>
      </c>
      <c r="AC453" s="138">
        <v>1000</v>
      </c>
      <c r="AD453" s="138">
        <v>4000</v>
      </c>
      <c r="AE453" s="138">
        <f>SUM($R$141:$R453)+SUM($X$141:$X453)</f>
        <v>5412810</v>
      </c>
      <c r="AF453" s="138">
        <f>SUM($Q$142:Q453)</f>
        <v>230523</v>
      </c>
      <c r="AG453" s="137">
        <f t="shared" si="118"/>
        <v>6104379</v>
      </c>
      <c r="AH453" s="139">
        <f>SUM($S$141:S453)</f>
        <v>5315.45498814747</v>
      </c>
      <c r="AI453" s="133">
        <f t="shared" si="119"/>
        <v>21.0514820592824</v>
      </c>
      <c r="AJ453" s="15">
        <f t="shared" si="120"/>
        <v>1818900</v>
      </c>
    </row>
    <row r="454" ht="18" spans="1:36">
      <c r="A454" s="9" t="str">
        <f>SUBSTITUTE(A453,"队长伤害","队长技能冷却")</f>
        <v>队长攻击力+164\n队长技能冷却+5%</v>
      </c>
      <c r="B454" s="9" t="str">
        <f t="shared" si="103"/>
        <v>[{5205001,3},{2,}]</v>
      </c>
      <c r="C454" s="51" t="str">
        <f t="shared" si="104"/>
        <v>[{5203001,1525},{2,22000}]</v>
      </c>
      <c r="D454" s="140">
        <v>314</v>
      </c>
      <c r="E454" s="130">
        <f t="shared" si="105"/>
        <v>5358</v>
      </c>
      <c r="F454" s="130">
        <f t="shared" si="124"/>
        <v>1240</v>
      </c>
      <c r="G454" s="130">
        <v>300</v>
      </c>
      <c r="H454" s="130">
        <f t="shared" si="125"/>
        <v>0</v>
      </c>
      <c r="I454" s="130">
        <f>IF(COUNTIF($I$141:$I453,$I453)=VLOOKUP($I453,$D$90:$E$120,2,0),$I453+1,$I453)</f>
        <v>28</v>
      </c>
      <c r="J454" s="131">
        <f t="shared" si="106"/>
        <v>164</v>
      </c>
      <c r="K454" s="132" t="str">
        <f t="shared" si="107"/>
        <v/>
      </c>
      <c r="L454" s="132" t="str">
        <f t="shared" si="108"/>
        <v/>
      </c>
      <c r="M454" s="132" t="str">
        <f t="shared" si="109"/>
        <v/>
      </c>
      <c r="N454" s="132">
        <f t="shared" si="115"/>
        <v>0.0075</v>
      </c>
      <c r="O454" s="132" t="str">
        <f t="shared" si="110"/>
        <v/>
      </c>
      <c r="P454" s="141">
        <f>(SUM($Q$142:Q454)-SUM($H$141:H454))/SUM($H$141:H454)</f>
        <v>1.27292584974043</v>
      </c>
      <c r="Q454" s="142">
        <f t="shared" si="126"/>
        <v>1520</v>
      </c>
      <c r="R454" s="142">
        <f t="shared" si="123"/>
        <v>21930</v>
      </c>
      <c r="S454" s="133">
        <f t="shared" si="116"/>
        <v>42.2379095163807</v>
      </c>
      <c r="T454" s="134">
        <f>INT(SUM($W$141:W454)/3)+1</f>
        <v>55</v>
      </c>
      <c r="U454" s="135" t="str">
        <f t="shared" si="111"/>
        <v/>
      </c>
      <c r="V454" s="67" t="s">
        <v>168</v>
      </c>
      <c r="W454" s="137" t="str">
        <f t="shared" si="117"/>
        <v/>
      </c>
      <c r="X454" s="137" t="str">
        <f t="shared" si="112"/>
        <v/>
      </c>
      <c r="Y454" s="138"/>
      <c r="Z454" s="138">
        <v>2</v>
      </c>
      <c r="AA454" s="138">
        <v>3</v>
      </c>
      <c r="AB454" s="138" t="str">
        <f t="shared" si="121"/>
        <v>{10000,9000,8000}</v>
      </c>
      <c r="AC454" s="138">
        <v>1000</v>
      </c>
      <c r="AD454" s="138">
        <v>4000</v>
      </c>
      <c r="AE454" s="138">
        <f>SUM($R$141:$R454)+SUM($X$141:$X454)</f>
        <v>5434740</v>
      </c>
      <c r="AF454" s="138">
        <f>SUM($Q$142:Q454)</f>
        <v>232043</v>
      </c>
      <c r="AG454" s="137">
        <f t="shared" si="118"/>
        <v>6130869</v>
      </c>
      <c r="AH454" s="139">
        <f>SUM($S$141:S454)</f>
        <v>5357.69289766385</v>
      </c>
      <c r="AI454" s="133">
        <f t="shared" si="119"/>
        <v>21.1189547581903</v>
      </c>
      <c r="AJ454" s="15">
        <f t="shared" si="120"/>
        <v>1824900</v>
      </c>
    </row>
    <row r="455" ht="18" spans="1:36">
      <c r="A455" s="9" t="s">
        <v>287</v>
      </c>
      <c r="B455" s="9" t="str">
        <f t="shared" si="103"/>
        <v>[{5205001,3},{2,}]</v>
      </c>
      <c r="C455" s="51" t="str">
        <f t="shared" si="104"/>
        <v>[{5203001,1530},{2,22070}]</v>
      </c>
      <c r="D455" s="140">
        <v>315</v>
      </c>
      <c r="E455" s="130">
        <f t="shared" si="105"/>
        <v>5401</v>
      </c>
      <c r="F455" s="130">
        <f t="shared" si="124"/>
        <v>1245</v>
      </c>
      <c r="G455" s="130">
        <v>300</v>
      </c>
      <c r="H455" s="130">
        <f t="shared" si="125"/>
        <v>0</v>
      </c>
      <c r="I455" s="130">
        <f>IF(COUNTIF($I$141:$I454,$I454)=VLOOKUP($I454,$D$90:$E$120,2,0),$I454+1,$I454)</f>
        <v>28</v>
      </c>
      <c r="J455" s="131">
        <f t="shared" si="106"/>
        <v>164</v>
      </c>
      <c r="K455" s="132" t="str">
        <f t="shared" si="107"/>
        <v/>
      </c>
      <c r="L455" s="132" t="str">
        <f t="shared" si="108"/>
        <v/>
      </c>
      <c r="M455" s="132">
        <f t="shared" si="109"/>
        <v>0.002</v>
      </c>
      <c r="N455" s="132" t="str">
        <f t="shared" si="115"/>
        <v/>
      </c>
      <c r="O455" s="132" t="str">
        <f t="shared" si="110"/>
        <v/>
      </c>
      <c r="P455" s="141">
        <f>(SUM($Q$142:Q455)-SUM($H$141:H455))/SUM($H$141:H455)</f>
        <v>1.28786364972083</v>
      </c>
      <c r="Q455" s="142">
        <f t="shared" si="126"/>
        <v>1525</v>
      </c>
      <c r="R455" s="142">
        <f t="shared" si="123"/>
        <v>22000</v>
      </c>
      <c r="S455" s="133">
        <f t="shared" si="116"/>
        <v>42.3728549141966</v>
      </c>
      <c r="T455" s="134">
        <f>INT(SUM($W$141:W455)/3)+1</f>
        <v>55</v>
      </c>
      <c r="U455" s="135" t="str">
        <f t="shared" si="111"/>
        <v/>
      </c>
      <c r="V455" s="67" t="s">
        <v>168</v>
      </c>
      <c r="W455" s="137" t="str">
        <f t="shared" si="117"/>
        <v/>
      </c>
      <c r="X455" s="137" t="str">
        <f t="shared" si="112"/>
        <v/>
      </c>
      <c r="Y455" s="138"/>
      <c r="Z455" s="138">
        <v>2</v>
      </c>
      <c r="AA455" s="138">
        <v>3</v>
      </c>
      <c r="AB455" s="138" t="str">
        <f t="shared" si="121"/>
        <v>{10000,9000,8000}</v>
      </c>
      <c r="AC455" s="138">
        <v>1000</v>
      </c>
      <c r="AD455" s="138">
        <v>4000</v>
      </c>
      <c r="AE455" s="138">
        <f>SUM($R$141:$R455)+SUM($X$141:$X455)</f>
        <v>5456740</v>
      </c>
      <c r="AF455" s="138">
        <f>SUM($Q$142:Q455)</f>
        <v>233568</v>
      </c>
      <c r="AG455" s="137">
        <f t="shared" si="118"/>
        <v>6157444</v>
      </c>
      <c r="AH455" s="139">
        <f>SUM($S$141:S455)</f>
        <v>5400.06575257805</v>
      </c>
      <c r="AI455" s="133">
        <f t="shared" si="119"/>
        <v>21.1864274570983</v>
      </c>
      <c r="AJ455" s="15">
        <f t="shared" si="120"/>
        <v>1830600</v>
      </c>
    </row>
    <row r="456" ht="18" spans="1:36">
      <c r="A456" s="9" t="s">
        <v>288</v>
      </c>
      <c r="B456" s="9" t="str">
        <f t="shared" si="103"/>
        <v>[{5205001,3},{2,}]</v>
      </c>
      <c r="C456" s="51" t="str">
        <f t="shared" si="104"/>
        <v>[{5203001,1535},{2,22140}]</v>
      </c>
      <c r="D456" s="140">
        <v>316</v>
      </c>
      <c r="E456" s="130">
        <f t="shared" si="105"/>
        <v>5443</v>
      </c>
      <c r="F456" s="130">
        <f t="shared" si="124"/>
        <v>1250</v>
      </c>
      <c r="G456" s="130">
        <v>300</v>
      </c>
      <c r="H456" s="130">
        <f t="shared" si="125"/>
        <v>0</v>
      </c>
      <c r="I456" s="130">
        <f>IF(COUNTIF($I$141:$I455,$I455)=VLOOKUP($I455,$D$90:$E$120,2,0),$I455+1,$I455)</f>
        <v>28</v>
      </c>
      <c r="J456" s="131">
        <f t="shared" si="106"/>
        <v>164</v>
      </c>
      <c r="K456" s="132" t="str">
        <f t="shared" si="107"/>
        <v/>
      </c>
      <c r="L456" s="132">
        <f t="shared" si="108"/>
        <v>0.03</v>
      </c>
      <c r="M456" s="132" t="str">
        <f t="shared" si="109"/>
        <v/>
      </c>
      <c r="N456" s="132" t="str">
        <f t="shared" si="115"/>
        <v/>
      </c>
      <c r="O456" s="132" t="str">
        <f t="shared" si="110"/>
        <v/>
      </c>
      <c r="P456" s="141">
        <f>(SUM($Q$142:Q456)-SUM($H$141:H456))/SUM($H$141:H456)</f>
        <v>1.30285042609462</v>
      </c>
      <c r="Q456" s="142">
        <f t="shared" si="126"/>
        <v>1530</v>
      </c>
      <c r="R456" s="142">
        <f t="shared" si="123"/>
        <v>22070</v>
      </c>
      <c r="S456" s="133">
        <f t="shared" si="116"/>
        <v>42.5078003120125</v>
      </c>
      <c r="T456" s="134">
        <f>INT(SUM($W$141:W456)/3)+1</f>
        <v>55</v>
      </c>
      <c r="U456" s="135" t="str">
        <f t="shared" si="111"/>
        <v/>
      </c>
      <c r="V456" s="67" t="s">
        <v>168</v>
      </c>
      <c r="W456" s="137" t="str">
        <f t="shared" si="117"/>
        <v/>
      </c>
      <c r="X456" s="137" t="str">
        <f t="shared" si="112"/>
        <v/>
      </c>
      <c r="Y456" s="138"/>
      <c r="Z456" s="138">
        <v>2</v>
      </c>
      <c r="AA456" s="138">
        <v>3</v>
      </c>
      <c r="AB456" s="138" t="str">
        <f t="shared" si="121"/>
        <v>{10000,9000,8000}</v>
      </c>
      <c r="AC456" s="138">
        <v>1000</v>
      </c>
      <c r="AD456" s="138">
        <v>4000</v>
      </c>
      <c r="AE456" s="138">
        <f>SUM($R$141:$R456)+SUM($X$141:$X456)</f>
        <v>5478810</v>
      </c>
      <c r="AF456" s="138">
        <f>SUM($Q$142:Q456)</f>
        <v>235098</v>
      </c>
      <c r="AG456" s="137">
        <f t="shared" si="118"/>
        <v>6184104</v>
      </c>
      <c r="AH456" s="139">
        <f>SUM($S$141:S456)</f>
        <v>5442.57355289006</v>
      </c>
      <c r="AI456" s="133">
        <f t="shared" si="119"/>
        <v>21.2539001560062</v>
      </c>
      <c r="AJ456" s="15">
        <f t="shared" si="120"/>
        <v>1836600</v>
      </c>
    </row>
    <row r="457" ht="18" spans="1:36">
      <c r="A457" s="9" t="s">
        <v>286</v>
      </c>
      <c r="B457" s="9" t="str">
        <f t="shared" si="103"/>
        <v>[{5205001,3},{2,}]</v>
      </c>
      <c r="C457" s="51" t="str">
        <f t="shared" si="104"/>
        <v>[{5203001,1540},{2,22210}]</v>
      </c>
      <c r="D457" s="140">
        <v>317</v>
      </c>
      <c r="E457" s="130">
        <f t="shared" si="105"/>
        <v>5486</v>
      </c>
      <c r="F457" s="130">
        <f t="shared" si="124"/>
        <v>1255</v>
      </c>
      <c r="G457" s="130">
        <v>300</v>
      </c>
      <c r="H457" s="130">
        <f t="shared" si="125"/>
        <v>0</v>
      </c>
      <c r="I457" s="130">
        <f>IF(COUNTIF($I$141:$I456,$I456)=VLOOKUP($I456,$D$90:$E$120,2,0),$I456+1,$I456)</f>
        <v>28</v>
      </c>
      <c r="J457" s="131">
        <f t="shared" si="106"/>
        <v>164</v>
      </c>
      <c r="K457" s="132">
        <f t="shared" si="107"/>
        <v>0.05</v>
      </c>
      <c r="L457" s="132" t="str">
        <f t="shared" si="108"/>
        <v/>
      </c>
      <c r="M457" s="132" t="str">
        <f t="shared" si="109"/>
        <v/>
      </c>
      <c r="N457" s="132" t="str">
        <f t="shared" si="115"/>
        <v/>
      </c>
      <c r="O457" s="132" t="str">
        <f t="shared" si="110"/>
        <v/>
      </c>
      <c r="P457" s="141">
        <f>(SUM($Q$142:Q457)-SUM($H$141:H457))/SUM($H$141:H457)</f>
        <v>1.31788617886179</v>
      </c>
      <c r="Q457" s="142">
        <f t="shared" si="126"/>
        <v>1535</v>
      </c>
      <c r="R457" s="142">
        <f t="shared" si="123"/>
        <v>22140</v>
      </c>
      <c r="S457" s="133">
        <f t="shared" si="116"/>
        <v>42.6427457098284</v>
      </c>
      <c r="T457" s="134">
        <f>INT(SUM($W$141:W457)/3)+1</f>
        <v>55</v>
      </c>
      <c r="U457" s="135" t="str">
        <f t="shared" si="111"/>
        <v/>
      </c>
      <c r="V457" s="67" t="s">
        <v>168</v>
      </c>
      <c r="W457" s="137" t="str">
        <f t="shared" si="117"/>
        <v/>
      </c>
      <c r="X457" s="137" t="str">
        <f t="shared" si="112"/>
        <v/>
      </c>
      <c r="Y457" s="138"/>
      <c r="Z457" s="138">
        <v>2</v>
      </c>
      <c r="AA457" s="138">
        <v>3</v>
      </c>
      <c r="AB457" s="138" t="str">
        <f t="shared" si="121"/>
        <v>{10000,9000,8000}</v>
      </c>
      <c r="AC457" s="138">
        <v>1000</v>
      </c>
      <c r="AD457" s="138">
        <v>4000</v>
      </c>
      <c r="AE457" s="138">
        <f>SUM($R$141:$R457)+SUM($X$141:$X457)</f>
        <v>5500950</v>
      </c>
      <c r="AF457" s="138">
        <f>SUM($Q$142:Q457)</f>
        <v>236633</v>
      </c>
      <c r="AG457" s="137">
        <f t="shared" si="118"/>
        <v>6210849</v>
      </c>
      <c r="AH457" s="139">
        <f>SUM($S$141:S457)</f>
        <v>5485.21629859989</v>
      </c>
      <c r="AI457" s="133">
        <f t="shared" si="119"/>
        <v>21.3213728549142</v>
      </c>
      <c r="AJ457" s="15">
        <f t="shared" si="120"/>
        <v>1842300</v>
      </c>
    </row>
    <row r="458" ht="18" spans="1:36">
      <c r="A458" s="9" t="str">
        <f>SUBSTITUTE(A457,"队长伤害","队长技能冷却")</f>
        <v>队长攻击力+164\n队长技能冷却+5%</v>
      </c>
      <c r="B458" s="9" t="str">
        <f t="shared" si="103"/>
        <v>[{5205001,3},{2,}]</v>
      </c>
      <c r="C458" s="51" t="str">
        <f t="shared" si="104"/>
        <v>[{5203001,1545},{2,22280}]</v>
      </c>
      <c r="D458" s="140">
        <v>318</v>
      </c>
      <c r="E458" s="130">
        <f t="shared" si="105"/>
        <v>5528</v>
      </c>
      <c r="F458" s="130">
        <f t="shared" si="124"/>
        <v>1260</v>
      </c>
      <c r="G458" s="130">
        <v>300</v>
      </c>
      <c r="H458" s="130">
        <f t="shared" si="125"/>
        <v>0</v>
      </c>
      <c r="I458" s="130">
        <f>IF(COUNTIF($I$141:$I457,$I457)=VLOOKUP($I457,$D$90:$E$120,2,0),$I457+1,$I457)</f>
        <v>28</v>
      </c>
      <c r="J458" s="131">
        <f t="shared" si="106"/>
        <v>164</v>
      </c>
      <c r="K458" s="132" t="str">
        <f t="shared" si="107"/>
        <v/>
      </c>
      <c r="L458" s="132" t="str">
        <f t="shared" si="108"/>
        <v/>
      </c>
      <c r="M458" s="132" t="str">
        <f t="shared" si="109"/>
        <v/>
      </c>
      <c r="N458" s="132">
        <f t="shared" si="115"/>
        <v>0.0075</v>
      </c>
      <c r="O458" s="132" t="str">
        <f t="shared" si="110"/>
        <v/>
      </c>
      <c r="P458" s="141">
        <f>(SUM($Q$142:Q458)-SUM($H$141:H458))/SUM($H$141:H458)</f>
        <v>1.33297090802233</v>
      </c>
      <c r="Q458" s="142">
        <f t="shared" si="126"/>
        <v>1540</v>
      </c>
      <c r="R458" s="142">
        <f t="shared" si="123"/>
        <v>22210</v>
      </c>
      <c r="S458" s="133">
        <f t="shared" si="116"/>
        <v>42.7776911076443</v>
      </c>
      <c r="T458" s="134">
        <f>INT(SUM($W$141:W458)/3)+1</f>
        <v>55</v>
      </c>
      <c r="U458" s="135" t="str">
        <f t="shared" si="111"/>
        <v/>
      </c>
      <c r="V458" s="67" t="s">
        <v>168</v>
      </c>
      <c r="W458" s="137" t="str">
        <f t="shared" si="117"/>
        <v/>
      </c>
      <c r="X458" s="137" t="str">
        <f t="shared" si="112"/>
        <v/>
      </c>
      <c r="Y458" s="138"/>
      <c r="Z458" s="138">
        <v>2</v>
      </c>
      <c r="AA458" s="138">
        <v>3</v>
      </c>
      <c r="AB458" s="138" t="str">
        <f t="shared" si="121"/>
        <v>{10000,9000,8000}</v>
      </c>
      <c r="AC458" s="138">
        <v>1000</v>
      </c>
      <c r="AD458" s="138">
        <v>4000</v>
      </c>
      <c r="AE458" s="138">
        <f>SUM($R$141:$R458)+SUM($X$141:$X458)</f>
        <v>5523160</v>
      </c>
      <c r="AF458" s="138">
        <f>SUM($Q$142:Q458)</f>
        <v>238173</v>
      </c>
      <c r="AG458" s="137">
        <f t="shared" si="118"/>
        <v>6237679</v>
      </c>
      <c r="AH458" s="139">
        <f>SUM($S$141:S458)</f>
        <v>5527.99398970754</v>
      </c>
      <c r="AI458" s="133">
        <f t="shared" si="119"/>
        <v>21.3888455538222</v>
      </c>
      <c r="AJ458" s="15">
        <f t="shared" si="120"/>
        <v>1848000</v>
      </c>
    </row>
    <row r="459" ht="18" spans="1:36">
      <c r="A459" s="9" t="s">
        <v>287</v>
      </c>
      <c r="B459" s="9" t="str">
        <f t="shared" si="103"/>
        <v>[{5205001,3},{2,}]</v>
      </c>
      <c r="C459" s="51" t="str">
        <f t="shared" si="104"/>
        <v>[{5203001,1550},{2,22350}]</v>
      </c>
      <c r="D459" s="140">
        <v>319</v>
      </c>
      <c r="E459" s="130">
        <f t="shared" si="105"/>
        <v>5571</v>
      </c>
      <c r="F459" s="130">
        <f t="shared" si="124"/>
        <v>1265</v>
      </c>
      <c r="G459" s="130">
        <v>300</v>
      </c>
      <c r="H459" s="130">
        <f t="shared" si="125"/>
        <v>0</v>
      </c>
      <c r="I459" s="130">
        <f>IF(COUNTIF($I$141:$I458,$I458)=VLOOKUP($I458,$D$90:$E$120,2,0),$I458+1,$I458)</f>
        <v>28</v>
      </c>
      <c r="J459" s="131">
        <f t="shared" si="106"/>
        <v>164</v>
      </c>
      <c r="K459" s="132" t="str">
        <f t="shared" si="107"/>
        <v/>
      </c>
      <c r="L459" s="132" t="str">
        <f t="shared" si="108"/>
        <v/>
      </c>
      <c r="M459" s="132">
        <f t="shared" si="109"/>
        <v>0.002</v>
      </c>
      <c r="N459" s="132" t="str">
        <f t="shared" si="115"/>
        <v/>
      </c>
      <c r="O459" s="132" t="str">
        <f t="shared" si="110"/>
        <v/>
      </c>
      <c r="P459" s="141">
        <f>(SUM($Q$142:Q459)-SUM($H$141:H459))/SUM($H$141:H459)</f>
        <v>1.34810461357626</v>
      </c>
      <c r="Q459" s="142">
        <f t="shared" si="126"/>
        <v>1545</v>
      </c>
      <c r="R459" s="142">
        <f t="shared" si="123"/>
        <v>22280</v>
      </c>
      <c r="S459" s="133">
        <f t="shared" si="116"/>
        <v>42.9126365054602</v>
      </c>
      <c r="T459" s="134">
        <f>INT(SUM($W$141:W459)/3)+1</f>
        <v>55</v>
      </c>
      <c r="U459" s="135" t="str">
        <f t="shared" si="111"/>
        <v/>
      </c>
      <c r="V459" s="67" t="s">
        <v>168</v>
      </c>
      <c r="W459" s="137" t="str">
        <f t="shared" si="117"/>
        <v/>
      </c>
      <c r="X459" s="137" t="str">
        <f t="shared" si="112"/>
        <v/>
      </c>
      <c r="Y459" s="138"/>
      <c r="Z459" s="138">
        <v>2</v>
      </c>
      <c r="AA459" s="138">
        <v>3</v>
      </c>
      <c r="AB459" s="138" t="str">
        <f t="shared" si="121"/>
        <v>{10000,9000,8000}</v>
      </c>
      <c r="AC459" s="138">
        <v>1000</v>
      </c>
      <c r="AD459" s="138">
        <v>4000</v>
      </c>
      <c r="AE459" s="138">
        <f>SUM($R$141:$R459)+SUM($X$141:$X459)</f>
        <v>5545440</v>
      </c>
      <c r="AF459" s="138">
        <f>SUM($Q$142:Q459)</f>
        <v>239718</v>
      </c>
      <c r="AG459" s="137">
        <f t="shared" si="118"/>
        <v>6264594</v>
      </c>
      <c r="AH459" s="139">
        <f>SUM($S$141:S459)</f>
        <v>5570.906626213</v>
      </c>
      <c r="AI459" s="133">
        <f t="shared" si="119"/>
        <v>21.4563182527301</v>
      </c>
      <c r="AJ459" s="15">
        <f t="shared" si="120"/>
        <v>1854000</v>
      </c>
    </row>
    <row r="460" ht="18" spans="1:36">
      <c r="A460" s="9" t="s">
        <v>288</v>
      </c>
      <c r="B460" s="9" t="str">
        <f t="shared" si="103"/>
        <v>[{5205001,3},{2,89400}]</v>
      </c>
      <c r="C460" s="51" t="str">
        <f t="shared" si="104"/>
        <v>[{5203001,1555},{2,22420}]</v>
      </c>
      <c r="D460" s="140">
        <v>320</v>
      </c>
      <c r="E460" s="130">
        <f t="shared" si="105"/>
        <v>5614</v>
      </c>
      <c r="F460" s="130">
        <f t="shared" si="124"/>
        <v>1270</v>
      </c>
      <c r="G460" s="130">
        <v>300</v>
      </c>
      <c r="H460" s="130">
        <f t="shared" si="125"/>
        <v>0</v>
      </c>
      <c r="I460" s="130">
        <f>IF(COUNTIF($I$141:$I459,$I459)=VLOOKUP($I459,$D$90:$E$120,2,0),$I459+1,$I459)</f>
        <v>28</v>
      </c>
      <c r="J460" s="131">
        <f t="shared" si="106"/>
        <v>164</v>
      </c>
      <c r="K460" s="132" t="str">
        <f t="shared" si="107"/>
        <v/>
      </c>
      <c r="L460" s="132">
        <f t="shared" si="108"/>
        <v>0.03</v>
      </c>
      <c r="M460" s="132" t="str">
        <f t="shared" si="109"/>
        <v/>
      </c>
      <c r="N460" s="132" t="str">
        <f t="shared" si="115"/>
        <v/>
      </c>
      <c r="O460" s="132" t="str">
        <f t="shared" si="110"/>
        <v/>
      </c>
      <c r="P460" s="141">
        <f>(SUM($Q$142:Q460)-SUM($H$141:H460))/SUM($H$141:H460)</f>
        <v>1.36328729552356</v>
      </c>
      <c r="Q460" s="142">
        <f t="shared" si="126"/>
        <v>1550</v>
      </c>
      <c r="R460" s="142">
        <f t="shared" si="123"/>
        <v>22350</v>
      </c>
      <c r="S460" s="133">
        <f t="shared" si="116"/>
        <v>43.0475819032761</v>
      </c>
      <c r="T460" s="134">
        <f>INT(SUM($W$141:W460)/3)+1</f>
        <v>56</v>
      </c>
      <c r="U460" s="135" t="str">
        <f t="shared" si="111"/>
        <v/>
      </c>
      <c r="V460" s="67" t="s">
        <v>91</v>
      </c>
      <c r="W460" s="137">
        <f t="shared" si="117"/>
        <v>3</v>
      </c>
      <c r="X460" s="137">
        <f t="shared" si="112"/>
        <v>89400</v>
      </c>
      <c r="Y460" s="138"/>
      <c r="Z460" s="138">
        <v>2</v>
      </c>
      <c r="AA460" s="138">
        <v>3</v>
      </c>
      <c r="AB460" s="138" t="str">
        <f t="shared" si="121"/>
        <v>{10000,9000,8000}</v>
      </c>
      <c r="AC460" s="138">
        <v>1000</v>
      </c>
      <c r="AD460" s="138">
        <v>4000</v>
      </c>
      <c r="AE460" s="138">
        <f>SUM($R$141:$R460)+SUM($X$141:$X460)</f>
        <v>5657190</v>
      </c>
      <c r="AF460" s="138">
        <f>SUM($Q$142:Q460)</f>
        <v>241268</v>
      </c>
      <c r="AG460" s="137">
        <f t="shared" si="118"/>
        <v>6380994</v>
      </c>
      <c r="AH460" s="139">
        <f>SUM($S$141:S460)</f>
        <v>5613.95420811627</v>
      </c>
      <c r="AI460" s="133">
        <f t="shared" si="119"/>
        <v>21.5237909516381</v>
      </c>
      <c r="AJ460" s="15">
        <f t="shared" si="120"/>
        <v>1859700</v>
      </c>
    </row>
    <row r="461" ht="18" spans="1:36">
      <c r="A461" s="9" t="s">
        <v>286</v>
      </c>
      <c r="B461" s="9" t="str">
        <f t="shared" si="103"/>
        <v>[{5205001,3},{2,}]</v>
      </c>
      <c r="C461" s="51" t="str">
        <f t="shared" si="104"/>
        <v>[{5203001,1560},{2,22490}]</v>
      </c>
      <c r="D461" s="140">
        <v>321</v>
      </c>
      <c r="E461" s="130">
        <f t="shared" si="105"/>
        <v>5658</v>
      </c>
      <c r="F461" s="130">
        <f t="shared" si="124"/>
        <v>1275</v>
      </c>
      <c r="G461" s="130">
        <v>300</v>
      </c>
      <c r="H461" s="130">
        <f t="shared" si="125"/>
        <v>0</v>
      </c>
      <c r="I461" s="130">
        <f>IF(COUNTIF($I$141:$I460,$I460)=VLOOKUP($I460,$D$90:$E$120,2,0),$I460+1,$I460)</f>
        <v>28</v>
      </c>
      <c r="J461" s="131">
        <f t="shared" si="106"/>
        <v>164</v>
      </c>
      <c r="K461" s="132">
        <f t="shared" si="107"/>
        <v>0.05</v>
      </c>
      <c r="L461" s="132" t="str">
        <f t="shared" si="108"/>
        <v/>
      </c>
      <c r="M461" s="132" t="str">
        <f t="shared" si="109"/>
        <v/>
      </c>
      <c r="N461" s="132" t="str">
        <f t="shared" si="115"/>
        <v/>
      </c>
      <c r="O461" s="132" t="str">
        <f t="shared" si="110"/>
        <v/>
      </c>
      <c r="P461" s="141">
        <f>(SUM($Q$142:Q461)-SUM($H$141:H461))/SUM($H$141:H461)</f>
        <v>1.37851895386424</v>
      </c>
      <c r="Q461" s="142">
        <f t="shared" si="126"/>
        <v>1555</v>
      </c>
      <c r="R461" s="142">
        <f t="shared" si="123"/>
        <v>22420</v>
      </c>
      <c r="S461" s="133">
        <f t="shared" si="116"/>
        <v>43.182527301092</v>
      </c>
      <c r="T461" s="134">
        <f>INT(SUM($W$141:W461)/3)+1</f>
        <v>56</v>
      </c>
      <c r="U461" s="135" t="str">
        <f t="shared" si="111"/>
        <v/>
      </c>
      <c r="V461" s="67" t="s">
        <v>168</v>
      </c>
      <c r="W461" s="137" t="str">
        <f t="shared" si="117"/>
        <v/>
      </c>
      <c r="X461" s="137" t="str">
        <f t="shared" si="112"/>
        <v/>
      </c>
      <c r="Y461" s="138"/>
      <c r="Z461" s="138">
        <v>2</v>
      </c>
      <c r="AA461" s="138">
        <v>3</v>
      </c>
      <c r="AB461" s="138" t="str">
        <f t="shared" si="121"/>
        <v>{10000,9000,8000}</v>
      </c>
      <c r="AC461" s="138">
        <v>1000</v>
      </c>
      <c r="AD461" s="138">
        <v>4000</v>
      </c>
      <c r="AE461" s="138">
        <f>SUM($R$141:$R461)+SUM($X$141:$X461)</f>
        <v>5679610</v>
      </c>
      <c r="AF461" s="138">
        <f>SUM($Q$142:Q461)</f>
        <v>242823</v>
      </c>
      <c r="AG461" s="137">
        <f t="shared" si="118"/>
        <v>6408079</v>
      </c>
      <c r="AH461" s="139">
        <f>SUM($S$141:S461)</f>
        <v>5657.13673541736</v>
      </c>
      <c r="AI461" s="133">
        <f t="shared" si="119"/>
        <v>21.591263650546</v>
      </c>
      <c r="AJ461" s="15">
        <f t="shared" si="120"/>
        <v>1865700</v>
      </c>
    </row>
    <row r="462" ht="18" spans="1:36">
      <c r="A462" s="9" t="str">
        <f>SUBSTITUTE(A461,"队长伤害","队长技能冷却")</f>
        <v>队长攻击力+164\n队长技能冷却+5%</v>
      </c>
      <c r="B462" s="9" t="str">
        <f t="shared" ref="B462:B515" si="127">"[{5205001,3},{2,"&amp;X462&amp;"}]"</f>
        <v>[{5205001,3},{2,}]</v>
      </c>
      <c r="C462" s="51" t="str">
        <f t="shared" ref="C462:C500" si="128">"[{5203001,"&amp;Q463&amp;"},{2,"&amp;R463&amp;"}]"</f>
        <v>[{5203001,1565},{2,22560}]</v>
      </c>
      <c r="D462" s="140">
        <v>322</v>
      </c>
      <c r="E462" s="130">
        <f t="shared" ref="E462:E500" si="129">INT(AH462)+1</f>
        <v>5701</v>
      </c>
      <c r="F462" s="130">
        <f t="shared" si="124"/>
        <v>1280</v>
      </c>
      <c r="G462" s="130">
        <v>300</v>
      </c>
      <c r="H462" s="130">
        <f t="shared" si="125"/>
        <v>0</v>
      </c>
      <c r="I462" s="130">
        <f>IF(COUNTIF($I$141:$I461,$I461)=VLOOKUP($I461,$D$90:$E$120,2,0),$I461+1,$I461)</f>
        <v>28</v>
      </c>
      <c r="J462" s="131">
        <f t="shared" ref="J462:J500" si="130">--SUBSTITUTE(LEFT(A462,FIND("\",A462)-1),"队长攻击力+","")</f>
        <v>164</v>
      </c>
      <c r="K462" s="132" t="str">
        <f t="shared" ref="K462:K500" si="131">IFERROR(IF(FIND(K$140,$A462)&gt;0,5%,0%),"")</f>
        <v/>
      </c>
      <c r="L462" s="132" t="str">
        <f t="shared" ref="L462:L500" si="132">IFERROR(IF(FIND(L$140,$A462)&gt;0,3%,0%),"")</f>
        <v/>
      </c>
      <c r="M462" s="132" t="str">
        <f t="shared" ref="M462:M500" si="133">IFERROR(IF(FIND(M$140,$A462)&gt;0,0.2%,0%),"")</f>
        <v/>
      </c>
      <c r="N462" s="132"/>
      <c r="O462" s="132" t="str">
        <f t="shared" ref="O462:O521" si="134">IFERROR(IF(FIND(O$140,$A462)&gt;0,5%,0%),"")</f>
        <v/>
      </c>
      <c r="P462" s="141">
        <f>(SUM($Q$142:Q462)-SUM($H$141:H462))/SUM($H$141:H462)</f>
        <v>1.3937995885983</v>
      </c>
      <c r="Q462" s="142">
        <f t="shared" si="126"/>
        <v>1560</v>
      </c>
      <c r="R462" s="142">
        <f t="shared" si="123"/>
        <v>22490</v>
      </c>
      <c r="S462" s="133">
        <f t="shared" si="116"/>
        <v>43.317472698908</v>
      </c>
      <c r="T462" s="134">
        <f>INT(SUM($W$141:W462)/3)+1</f>
        <v>56</v>
      </c>
      <c r="U462" s="135" t="str">
        <f t="shared" ref="U462:U515" si="135">IFERROR(IF(FIND("攻击",V462)&gt;0,SUBSTITUTE(V462,"攻击+",""),""),"")</f>
        <v/>
      </c>
      <c r="V462" s="67" t="s">
        <v>168</v>
      </c>
      <c r="W462" s="137" t="str">
        <f t="shared" si="117"/>
        <v/>
      </c>
      <c r="X462" s="137" t="str">
        <f t="shared" ref="X462:X500" si="136">IFERROR(IF(W462="","",R462*4),"")</f>
        <v/>
      </c>
      <c r="Y462" s="138"/>
      <c r="Z462" s="138">
        <v>2</v>
      </c>
      <c r="AA462" s="138">
        <v>3</v>
      </c>
      <c r="AB462" s="138" t="str">
        <f t="shared" si="121"/>
        <v>{10000,9000,8000}</v>
      </c>
      <c r="AC462" s="138">
        <v>1000</v>
      </c>
      <c r="AD462" s="138">
        <v>4000</v>
      </c>
      <c r="AE462" s="138">
        <f>SUM($R$141:$R462)+SUM($X$141:$X462)</f>
        <v>5702100</v>
      </c>
      <c r="AF462" s="138">
        <f>SUM($Q$142:Q462)</f>
        <v>244383</v>
      </c>
      <c r="AG462" s="137">
        <f t="shared" si="118"/>
        <v>6435249</v>
      </c>
      <c r="AH462" s="139">
        <f>SUM($S$141:S462)</f>
        <v>5700.45420811627</v>
      </c>
      <c r="AI462" s="133">
        <f t="shared" si="119"/>
        <v>21.658736349454</v>
      </c>
      <c r="AJ462" s="15">
        <f t="shared" si="120"/>
        <v>1871400</v>
      </c>
    </row>
    <row r="463" ht="18" spans="1:36">
      <c r="A463" s="9" t="s">
        <v>287</v>
      </c>
      <c r="B463" s="9" t="str">
        <f t="shared" si="127"/>
        <v>[{5205001,3},{2,}]</v>
      </c>
      <c r="C463" s="51" t="str">
        <f t="shared" si="128"/>
        <v>[{5203001,1570},{2,22630}]</v>
      </c>
      <c r="D463" s="140">
        <v>323</v>
      </c>
      <c r="E463" s="130">
        <f t="shared" si="129"/>
        <v>5744</v>
      </c>
      <c r="F463" s="130">
        <f t="shared" si="124"/>
        <v>1285</v>
      </c>
      <c r="G463" s="130">
        <v>300</v>
      </c>
      <c r="H463" s="130">
        <f t="shared" si="125"/>
        <v>0</v>
      </c>
      <c r="I463" s="130">
        <f>IF(COUNTIF($I$141:$I462,$I462)=VLOOKUP($I462,$D$90:$E$120,2,0),$I462+1,$I462)</f>
        <v>28</v>
      </c>
      <c r="J463" s="131">
        <f t="shared" si="130"/>
        <v>164</v>
      </c>
      <c r="K463" s="132" t="str">
        <f t="shared" si="131"/>
        <v/>
      </c>
      <c r="L463" s="132" t="str">
        <f t="shared" si="132"/>
        <v/>
      </c>
      <c r="M463" s="132">
        <f t="shared" si="133"/>
        <v>0.002</v>
      </c>
      <c r="N463" s="132"/>
      <c r="O463" s="132" t="str">
        <f t="shared" si="134"/>
        <v/>
      </c>
      <c r="P463" s="141">
        <f>(SUM($Q$142:Q463)-SUM($H$141:H463))/SUM($H$141:H463)</f>
        <v>1.40912919972573</v>
      </c>
      <c r="Q463" s="142">
        <f t="shared" si="126"/>
        <v>1565</v>
      </c>
      <c r="R463" s="142">
        <f t="shared" si="123"/>
        <v>22560</v>
      </c>
      <c r="S463" s="133">
        <f t="shared" ref="S463:S500" si="137">MAX(VLOOKUP(I463,$D$91:$J$120,6,0)*($D462)/(SUMIF($I$141:$I$500,$I463,$D$141:$D$500))*$E$83/24,IF(ISNUMBER(S462),S462+0.0007,0))</f>
        <v>43.4524180967239</v>
      </c>
      <c r="T463" s="134">
        <f>INT(SUM($W$141:W463)/3)+1</f>
        <v>56</v>
      </c>
      <c r="U463" s="135" t="str">
        <f t="shared" si="135"/>
        <v/>
      </c>
      <c r="V463" s="67" t="s">
        <v>168</v>
      </c>
      <c r="W463" s="137" t="str">
        <f t="shared" ref="W463:W500" si="138">IF(U463&amp;V463="","",3)</f>
        <v/>
      </c>
      <c r="X463" s="137" t="str">
        <f t="shared" si="136"/>
        <v/>
      </c>
      <c r="Y463" s="138"/>
      <c r="Z463" s="138">
        <v>2</v>
      </c>
      <c r="AA463" s="138">
        <v>3</v>
      </c>
      <c r="AB463" s="138" t="str">
        <f t="shared" si="121"/>
        <v>{10000,9000,8000}</v>
      </c>
      <c r="AC463" s="138">
        <v>1000</v>
      </c>
      <c r="AD463" s="138">
        <v>4000</v>
      </c>
      <c r="AE463" s="138">
        <f>SUM($R$141:$R463)+SUM($X$141:$X463)</f>
        <v>5724660</v>
      </c>
      <c r="AF463" s="138">
        <f>SUM($Q$142:Q463)</f>
        <v>245948</v>
      </c>
      <c r="AG463" s="137">
        <f t="shared" ref="AG463:AG500" si="139">AF463*3+AE463</f>
        <v>6462504</v>
      </c>
      <c r="AH463" s="139">
        <f>SUM($S$141:S463)</f>
        <v>5743.906626213</v>
      </c>
      <c r="AI463" s="133">
        <f t="shared" ref="AI463:AI500" si="140">S463/2</f>
        <v>21.7262090483619</v>
      </c>
      <c r="AJ463" s="15">
        <f t="shared" ref="AJ463:AJ500" si="141">CEILING(AI463*3600*24,300)</f>
        <v>1877400</v>
      </c>
    </row>
    <row r="464" ht="18" spans="1:36">
      <c r="A464" s="9" t="s">
        <v>288</v>
      </c>
      <c r="B464" s="9" t="str">
        <f t="shared" si="127"/>
        <v>[{5205001,3},{2,}]</v>
      </c>
      <c r="C464" s="51" t="str">
        <f t="shared" si="128"/>
        <v>[{5203001,1575},{2,22700}]</v>
      </c>
      <c r="D464" s="140">
        <v>324</v>
      </c>
      <c r="E464" s="130">
        <f t="shared" si="129"/>
        <v>5788</v>
      </c>
      <c r="F464" s="130">
        <f t="shared" si="124"/>
        <v>1290</v>
      </c>
      <c r="G464" s="130">
        <v>300</v>
      </c>
      <c r="H464" s="130">
        <f t="shared" si="125"/>
        <v>0</v>
      </c>
      <c r="I464" s="130">
        <f>IF(COUNTIF($I$141:$I463,$I463)=VLOOKUP($I463,$D$90:$E$120,2,0),$I463+1,$I463)</f>
        <v>28</v>
      </c>
      <c r="J464" s="131">
        <f t="shared" si="130"/>
        <v>164</v>
      </c>
      <c r="K464" s="132" t="str">
        <f t="shared" si="131"/>
        <v/>
      </c>
      <c r="L464" s="132">
        <f t="shared" si="132"/>
        <v>0.03</v>
      </c>
      <c r="M464" s="132" t="str">
        <f t="shared" si="133"/>
        <v/>
      </c>
      <c r="N464" s="132"/>
      <c r="O464" s="132" t="str">
        <f t="shared" si="134"/>
        <v/>
      </c>
      <c r="P464" s="141">
        <f>(SUM($Q$142:Q464)-SUM($H$141:H464))/SUM($H$141:H464)</f>
        <v>1.42450778724655</v>
      </c>
      <c r="Q464" s="142">
        <f t="shared" si="126"/>
        <v>1570</v>
      </c>
      <c r="R464" s="142">
        <f t="shared" si="123"/>
        <v>22630</v>
      </c>
      <c r="S464" s="133">
        <f t="shared" si="137"/>
        <v>43.5873634945398</v>
      </c>
      <c r="T464" s="134">
        <f>INT(SUM($W$141:W464)/3)+1</f>
        <v>56</v>
      </c>
      <c r="U464" s="135" t="str">
        <f t="shared" si="135"/>
        <v/>
      </c>
      <c r="V464" s="67" t="s">
        <v>168</v>
      </c>
      <c r="W464" s="137" t="str">
        <f t="shared" si="138"/>
        <v/>
      </c>
      <c r="X464" s="137" t="str">
        <f t="shared" si="136"/>
        <v/>
      </c>
      <c r="Y464" s="138"/>
      <c r="Z464" s="138">
        <v>2</v>
      </c>
      <c r="AA464" s="138">
        <v>3</v>
      </c>
      <c r="AB464" s="138" t="str">
        <f t="shared" si="121"/>
        <v>{10000,9000,8000}</v>
      </c>
      <c r="AC464" s="138">
        <v>1000</v>
      </c>
      <c r="AD464" s="138">
        <v>4000</v>
      </c>
      <c r="AE464" s="138">
        <f>SUM($R$141:$R464)+SUM($X$141:$X464)</f>
        <v>5747290</v>
      </c>
      <c r="AF464" s="138">
        <f>SUM($Q$142:Q464)</f>
        <v>247518</v>
      </c>
      <c r="AG464" s="137">
        <f t="shared" si="139"/>
        <v>6489844</v>
      </c>
      <c r="AH464" s="139">
        <f>SUM($S$141:S464)</f>
        <v>5787.49398970754</v>
      </c>
      <c r="AI464" s="133">
        <f t="shared" si="140"/>
        <v>21.7936817472699</v>
      </c>
      <c r="AJ464" s="15">
        <f t="shared" si="141"/>
        <v>1883100</v>
      </c>
    </row>
    <row r="465" ht="18" spans="1:36">
      <c r="A465" s="9" t="s">
        <v>286</v>
      </c>
      <c r="B465" s="9" t="str">
        <f t="shared" si="127"/>
        <v>[{5205001,3},{2,}]</v>
      </c>
      <c r="C465" s="51" t="str">
        <f t="shared" si="128"/>
        <v>[{5203001,1580},{2,22770}]</v>
      </c>
      <c r="D465" s="140">
        <v>325</v>
      </c>
      <c r="E465" s="130">
        <f t="shared" si="129"/>
        <v>5832</v>
      </c>
      <c r="F465" s="130">
        <f t="shared" si="124"/>
        <v>1295</v>
      </c>
      <c r="G465" s="130">
        <v>300</v>
      </c>
      <c r="H465" s="130">
        <f t="shared" si="125"/>
        <v>0</v>
      </c>
      <c r="I465" s="130">
        <f>IF(COUNTIF($I$141:$I464,$I464)=VLOOKUP($I464,$D$90:$E$120,2,0),$I464+1,$I464)</f>
        <v>28</v>
      </c>
      <c r="J465" s="131">
        <f t="shared" si="130"/>
        <v>164</v>
      </c>
      <c r="K465" s="132">
        <f t="shared" si="131"/>
        <v>0.05</v>
      </c>
      <c r="L465" s="132" t="str">
        <f t="shared" si="132"/>
        <v/>
      </c>
      <c r="M465" s="132" t="str">
        <f t="shared" si="133"/>
        <v/>
      </c>
      <c r="N465" s="132"/>
      <c r="O465" s="132" t="str">
        <f t="shared" si="134"/>
        <v/>
      </c>
      <c r="P465" s="141">
        <f>(SUM($Q$142:Q465)-SUM($H$141:H465))/SUM($H$141:H465)</f>
        <v>1.43993535116074</v>
      </c>
      <c r="Q465" s="142">
        <f t="shared" si="126"/>
        <v>1575</v>
      </c>
      <c r="R465" s="142">
        <f t="shared" si="123"/>
        <v>22700</v>
      </c>
      <c r="S465" s="133">
        <f t="shared" si="137"/>
        <v>43.7223088923557</v>
      </c>
      <c r="T465" s="134">
        <f>INT(SUM($W$141:W465)/3)+1</f>
        <v>56</v>
      </c>
      <c r="U465" s="135" t="str">
        <f t="shared" si="135"/>
        <v/>
      </c>
      <c r="V465" s="67" t="s">
        <v>168</v>
      </c>
      <c r="W465" s="137" t="str">
        <f t="shared" si="138"/>
        <v/>
      </c>
      <c r="X465" s="137" t="str">
        <f t="shared" si="136"/>
        <v/>
      </c>
      <c r="Y465" s="138"/>
      <c r="Z465" s="138">
        <v>2</v>
      </c>
      <c r="AA465" s="138">
        <v>3</v>
      </c>
      <c r="AB465" s="138" t="str">
        <f t="shared" ref="AB465:AB500" si="142">"{"&amp;6000+AD465&amp;","&amp;5000+AD465&amp;","&amp;4000+AD465&amp;"}"</f>
        <v>{10000,9000,8000}</v>
      </c>
      <c r="AC465" s="138">
        <v>1000</v>
      </c>
      <c r="AD465" s="138">
        <v>4000</v>
      </c>
      <c r="AE465" s="138">
        <f>SUM($R$141:$R465)+SUM($X$141:$X465)</f>
        <v>5769990</v>
      </c>
      <c r="AF465" s="138">
        <f>SUM($Q$142:Q465)</f>
        <v>249093</v>
      </c>
      <c r="AG465" s="137">
        <f t="shared" si="139"/>
        <v>6517269</v>
      </c>
      <c r="AH465" s="139">
        <f>SUM($S$141:S465)</f>
        <v>5831.21629859989</v>
      </c>
      <c r="AI465" s="133">
        <f t="shared" si="140"/>
        <v>21.8611544461778</v>
      </c>
      <c r="AJ465" s="15">
        <f t="shared" si="141"/>
        <v>1889100</v>
      </c>
    </row>
    <row r="466" ht="18" spans="1:36">
      <c r="A466" s="9" t="str">
        <f>SUBSTITUTE(A465,"队长伤害","队长技能冷却")</f>
        <v>队长攻击力+164\n队长技能冷却+5%</v>
      </c>
      <c r="B466" s="9" t="str">
        <f t="shared" si="127"/>
        <v>[{5205001,3},{2,}]</v>
      </c>
      <c r="C466" s="51" t="str">
        <f t="shared" si="128"/>
        <v>[{5203001,1585},{2,22840}]</v>
      </c>
      <c r="D466" s="140">
        <v>326</v>
      </c>
      <c r="E466" s="130">
        <f t="shared" si="129"/>
        <v>5876</v>
      </c>
      <c r="F466" s="130">
        <f t="shared" si="124"/>
        <v>1300</v>
      </c>
      <c r="G466" s="130">
        <v>300</v>
      </c>
      <c r="H466" s="130">
        <f t="shared" si="125"/>
        <v>0</v>
      </c>
      <c r="I466" s="130">
        <f>IF(COUNTIF($I$141:$I465,$I465)=VLOOKUP($I465,$D$90:$E$120,2,0),$I465+1,$I465)</f>
        <v>28</v>
      </c>
      <c r="J466" s="131">
        <f t="shared" si="130"/>
        <v>164</v>
      </c>
      <c r="K466" s="132" t="str">
        <f t="shared" si="131"/>
        <v/>
      </c>
      <c r="L466" s="132" t="str">
        <f t="shared" si="132"/>
        <v/>
      </c>
      <c r="M466" s="132" t="str">
        <f t="shared" si="133"/>
        <v/>
      </c>
      <c r="N466" s="132"/>
      <c r="O466" s="132" t="str">
        <f t="shared" si="134"/>
        <v/>
      </c>
      <c r="P466" s="141">
        <f>(SUM($Q$142:Q466)-SUM($H$141:H466))/SUM($H$141:H466)</f>
        <v>1.45541189146831</v>
      </c>
      <c r="Q466" s="142">
        <f t="shared" si="126"/>
        <v>1580</v>
      </c>
      <c r="R466" s="142">
        <f t="shared" si="123"/>
        <v>22770</v>
      </c>
      <c r="S466" s="133">
        <f t="shared" si="137"/>
        <v>43.8572542901716</v>
      </c>
      <c r="T466" s="134">
        <f>INT(SUM($W$141:W466)/3)+1</f>
        <v>56</v>
      </c>
      <c r="U466" s="135" t="str">
        <f t="shared" si="135"/>
        <v/>
      </c>
      <c r="V466" s="67" t="s">
        <v>168</v>
      </c>
      <c r="W466" s="137" t="str">
        <f t="shared" si="138"/>
        <v/>
      </c>
      <c r="X466" s="137" t="str">
        <f t="shared" si="136"/>
        <v/>
      </c>
      <c r="Y466" s="138"/>
      <c r="Z466" s="138">
        <v>2</v>
      </c>
      <c r="AA466" s="138">
        <v>3</v>
      </c>
      <c r="AB466" s="138" t="str">
        <f t="shared" si="142"/>
        <v>{10000,9000,8000}</v>
      </c>
      <c r="AC466" s="138">
        <v>1000</v>
      </c>
      <c r="AD466" s="138">
        <v>4000</v>
      </c>
      <c r="AE466" s="138">
        <f>SUM($R$141:$R466)+SUM($X$141:$X466)</f>
        <v>5792760</v>
      </c>
      <c r="AF466" s="138">
        <f>SUM($Q$142:Q466)</f>
        <v>250673</v>
      </c>
      <c r="AG466" s="137">
        <f t="shared" si="139"/>
        <v>6544779</v>
      </c>
      <c r="AH466" s="139">
        <f>SUM($S$141:S466)</f>
        <v>5875.07355289006</v>
      </c>
      <c r="AI466" s="133">
        <f t="shared" si="140"/>
        <v>21.9286271450858</v>
      </c>
      <c r="AJ466" s="15">
        <f t="shared" si="141"/>
        <v>1894800</v>
      </c>
    </row>
    <row r="467" ht="18" spans="1:36">
      <c r="A467" s="9" t="s">
        <v>287</v>
      </c>
      <c r="B467" s="9" t="str">
        <f t="shared" si="127"/>
        <v>[{5205001,3},{2,}]</v>
      </c>
      <c r="C467" s="51" t="str">
        <f t="shared" si="128"/>
        <v>[{5203001,1590},{2,22910}]</v>
      </c>
      <c r="D467" s="140">
        <v>327</v>
      </c>
      <c r="E467" s="130">
        <f t="shared" si="129"/>
        <v>5920</v>
      </c>
      <c r="F467" s="130">
        <f t="shared" si="124"/>
        <v>1305</v>
      </c>
      <c r="G467" s="130">
        <v>300</v>
      </c>
      <c r="H467" s="130">
        <f t="shared" si="125"/>
        <v>0</v>
      </c>
      <c r="I467" s="130">
        <f>IF(COUNTIF($I$141:$I466,$I466)=VLOOKUP($I466,$D$90:$E$120,2,0),$I466+1,$I466)</f>
        <v>28</v>
      </c>
      <c r="J467" s="131">
        <f t="shared" si="130"/>
        <v>164</v>
      </c>
      <c r="K467" s="132" t="str">
        <f t="shared" si="131"/>
        <v/>
      </c>
      <c r="L467" s="132" t="str">
        <f t="shared" si="132"/>
        <v/>
      </c>
      <c r="M467" s="132">
        <f t="shared" si="133"/>
        <v>0.002</v>
      </c>
      <c r="N467" s="132"/>
      <c r="O467" s="132" t="str">
        <f t="shared" si="134"/>
        <v/>
      </c>
      <c r="P467" s="141">
        <f>(SUM($Q$142:Q467)-SUM($H$141:H467))/SUM($H$141:H467)</f>
        <v>1.47093740816926</v>
      </c>
      <c r="Q467" s="142">
        <f t="shared" si="126"/>
        <v>1585</v>
      </c>
      <c r="R467" s="142">
        <f t="shared" si="123"/>
        <v>22840</v>
      </c>
      <c r="S467" s="133">
        <f t="shared" si="137"/>
        <v>43.9921996879875</v>
      </c>
      <c r="T467" s="134">
        <f>INT(SUM($W$141:W467)/3)+1</f>
        <v>56</v>
      </c>
      <c r="U467" s="135" t="str">
        <f t="shared" si="135"/>
        <v/>
      </c>
      <c r="V467" s="67" t="s">
        <v>168</v>
      </c>
      <c r="W467" s="137" t="str">
        <f t="shared" si="138"/>
        <v/>
      </c>
      <c r="X467" s="137" t="str">
        <f t="shared" si="136"/>
        <v/>
      </c>
      <c r="Y467" s="138"/>
      <c r="Z467" s="138">
        <v>2</v>
      </c>
      <c r="AA467" s="138">
        <v>3</v>
      </c>
      <c r="AB467" s="138" t="str">
        <f t="shared" si="142"/>
        <v>{10000,9000,8000}</v>
      </c>
      <c r="AC467" s="138">
        <v>1000</v>
      </c>
      <c r="AD467" s="138">
        <v>4000</v>
      </c>
      <c r="AE467" s="138">
        <f>SUM($R$141:$R467)+SUM($X$141:$X467)</f>
        <v>5815600</v>
      </c>
      <c r="AF467" s="138">
        <f>SUM($Q$142:Q467)</f>
        <v>252258</v>
      </c>
      <c r="AG467" s="137">
        <f t="shared" si="139"/>
        <v>6572374</v>
      </c>
      <c r="AH467" s="139">
        <f>SUM($S$141:S467)</f>
        <v>5919.06575257805</v>
      </c>
      <c r="AI467" s="133">
        <f t="shared" si="140"/>
        <v>21.9960998439938</v>
      </c>
      <c r="AJ467" s="15">
        <f t="shared" si="141"/>
        <v>1900500</v>
      </c>
    </row>
    <row r="468" ht="18" spans="1:36">
      <c r="A468" s="9" t="s">
        <v>288</v>
      </c>
      <c r="B468" s="9" t="str">
        <f t="shared" si="127"/>
        <v>[{5205001,3},{2,91640}]</v>
      </c>
      <c r="C468" s="51" t="str">
        <f t="shared" si="128"/>
        <v>[{5203001,1595},{2,22980}]</v>
      </c>
      <c r="D468" s="140">
        <v>328</v>
      </c>
      <c r="E468" s="130">
        <f t="shared" si="129"/>
        <v>5964</v>
      </c>
      <c r="F468" s="130">
        <f t="shared" si="124"/>
        <v>1310</v>
      </c>
      <c r="G468" s="130">
        <v>300</v>
      </c>
      <c r="H468" s="130">
        <f t="shared" si="125"/>
        <v>0</v>
      </c>
      <c r="I468" s="130">
        <f>IF(COUNTIF($I$141:$I467,$I467)=VLOOKUP($I467,$D$90:$E$120,2,0),$I467+1,$I467)</f>
        <v>28</v>
      </c>
      <c r="J468" s="131">
        <f t="shared" si="130"/>
        <v>164</v>
      </c>
      <c r="K468" s="132" t="str">
        <f t="shared" si="131"/>
        <v/>
      </c>
      <c r="L468" s="132">
        <f t="shared" si="132"/>
        <v>0.03</v>
      </c>
      <c r="M468" s="132" t="str">
        <f t="shared" si="133"/>
        <v/>
      </c>
      <c r="N468" s="132"/>
      <c r="O468" s="132" t="str">
        <f t="shared" si="134"/>
        <v/>
      </c>
      <c r="P468" s="141">
        <f>(SUM($Q$142:Q468)-SUM($H$141:H468))/SUM($H$141:H468)</f>
        <v>1.48651190126359</v>
      </c>
      <c r="Q468" s="142">
        <f t="shared" si="126"/>
        <v>1590</v>
      </c>
      <c r="R468" s="142">
        <f t="shared" si="123"/>
        <v>22910</v>
      </c>
      <c r="S468" s="133">
        <f t="shared" si="137"/>
        <v>44.1271450858034</v>
      </c>
      <c r="T468" s="134">
        <f>INT(SUM($W$141:W468)/3)+1</f>
        <v>57</v>
      </c>
      <c r="U468" s="135" t="str">
        <f t="shared" si="135"/>
        <v>70</v>
      </c>
      <c r="V468" s="67" t="s">
        <v>84</v>
      </c>
      <c r="W468" s="137">
        <f t="shared" si="138"/>
        <v>3</v>
      </c>
      <c r="X468" s="137">
        <f t="shared" si="136"/>
        <v>91640</v>
      </c>
      <c r="Y468" s="138"/>
      <c r="Z468" s="138">
        <v>2</v>
      </c>
      <c r="AA468" s="138">
        <v>3</v>
      </c>
      <c r="AB468" s="138" t="str">
        <f t="shared" si="142"/>
        <v>{10000,9000,8000}</v>
      </c>
      <c r="AC468" s="138">
        <v>1000</v>
      </c>
      <c r="AD468" s="138">
        <v>4000</v>
      </c>
      <c r="AE468" s="138">
        <f>SUM($R$141:$R468)+SUM($X$141:$X468)</f>
        <v>5930150</v>
      </c>
      <c r="AF468" s="138">
        <f>SUM($Q$142:Q468)</f>
        <v>253848</v>
      </c>
      <c r="AG468" s="137">
        <f t="shared" si="139"/>
        <v>6691694</v>
      </c>
      <c r="AH468" s="139">
        <f>SUM($S$141:S468)</f>
        <v>5963.19289766385</v>
      </c>
      <c r="AI468" s="133">
        <f t="shared" si="140"/>
        <v>22.0635725429017</v>
      </c>
      <c r="AJ468" s="15">
        <f t="shared" si="141"/>
        <v>1906500</v>
      </c>
    </row>
    <row r="469" ht="18" spans="1:36">
      <c r="A469" s="9" t="s">
        <v>289</v>
      </c>
      <c r="B469" s="9" t="str">
        <f t="shared" si="127"/>
        <v>[{5205001,3},{2,}]</v>
      </c>
      <c r="C469" s="51" t="str">
        <f t="shared" si="128"/>
        <v>[{5203001,1600},{2,23050}]</v>
      </c>
      <c r="D469" s="140">
        <v>329</v>
      </c>
      <c r="E469" s="130">
        <f t="shared" si="129"/>
        <v>6009</v>
      </c>
      <c r="F469" s="130">
        <f t="shared" si="124"/>
        <v>1315</v>
      </c>
      <c r="G469" s="130">
        <v>300</v>
      </c>
      <c r="H469" s="130">
        <f t="shared" si="125"/>
        <v>0</v>
      </c>
      <c r="I469" s="130">
        <f>IF(COUNTIF($I$141:$I468,$I468)=VLOOKUP($I468,$D$90:$E$120,2,0),$I468+1,$I468)</f>
        <v>29</v>
      </c>
      <c r="J469" s="131">
        <f t="shared" si="130"/>
        <v>168</v>
      </c>
      <c r="K469" s="132">
        <f t="shared" si="131"/>
        <v>0.05</v>
      </c>
      <c r="L469" s="132" t="str">
        <f t="shared" si="132"/>
        <v/>
      </c>
      <c r="M469" s="132" t="str">
        <f t="shared" si="133"/>
        <v/>
      </c>
      <c r="N469" s="132"/>
      <c r="O469" s="132" t="str">
        <f t="shared" si="134"/>
        <v/>
      </c>
      <c r="P469" s="141">
        <f>(SUM($Q$142:Q469)-SUM($H$141:H469))/SUM($H$141:H469)</f>
        <v>1.5021353707513</v>
      </c>
      <c r="Q469" s="142">
        <f t="shared" si="126"/>
        <v>1595</v>
      </c>
      <c r="R469" s="142">
        <f t="shared" si="123"/>
        <v>22980</v>
      </c>
      <c r="S469" s="133">
        <f t="shared" si="137"/>
        <v>45.0817236255572</v>
      </c>
      <c r="T469" s="134">
        <f>INT(SUM($W$141:W469)/3)+1</f>
        <v>57</v>
      </c>
      <c r="U469" s="135" t="str">
        <f t="shared" si="135"/>
        <v/>
      </c>
      <c r="V469" s="67" t="s">
        <v>168</v>
      </c>
      <c r="W469" s="137" t="str">
        <f t="shared" si="138"/>
        <v/>
      </c>
      <c r="X469" s="137" t="str">
        <f t="shared" si="136"/>
        <v/>
      </c>
      <c r="Y469" s="138"/>
      <c r="Z469" s="138">
        <v>2</v>
      </c>
      <c r="AA469" s="138">
        <v>3</v>
      </c>
      <c r="AB469" s="138" t="str">
        <f t="shared" si="142"/>
        <v>{10000,9000,8000}</v>
      </c>
      <c r="AC469" s="138">
        <v>1000</v>
      </c>
      <c r="AD469" s="138">
        <v>4000</v>
      </c>
      <c r="AE469" s="138">
        <f>SUM($R$141:$R469)+SUM($X$141:$X469)</f>
        <v>5953130</v>
      </c>
      <c r="AF469" s="138">
        <f>SUM($Q$142:Q469)</f>
        <v>255443</v>
      </c>
      <c r="AG469" s="137">
        <f t="shared" si="139"/>
        <v>6719459</v>
      </c>
      <c r="AH469" s="139">
        <f>SUM($S$141:S469)</f>
        <v>6008.27462128941</v>
      </c>
      <c r="AI469" s="133">
        <f t="shared" si="140"/>
        <v>22.5408618127786</v>
      </c>
      <c r="AJ469" s="15">
        <f t="shared" si="141"/>
        <v>1947600</v>
      </c>
    </row>
    <row r="470" ht="18" spans="1:36">
      <c r="A470" s="9" t="str">
        <f>SUBSTITUTE(A469,"队长伤害","队长技能冷却")</f>
        <v>队长攻击力+168\n队长技能冷却+5%</v>
      </c>
      <c r="B470" s="9" t="str">
        <f t="shared" si="127"/>
        <v>[{5205001,3},{2,}]</v>
      </c>
      <c r="C470" s="51" t="str">
        <f t="shared" si="128"/>
        <v>[{5203001,1605},{2,23120}]</v>
      </c>
      <c r="D470" s="140">
        <v>330</v>
      </c>
      <c r="E470" s="130">
        <f t="shared" si="129"/>
        <v>6054</v>
      </c>
      <c r="F470" s="130">
        <f t="shared" si="124"/>
        <v>1320</v>
      </c>
      <c r="G470" s="130">
        <v>300</v>
      </c>
      <c r="H470" s="130">
        <f t="shared" ref="H470:H500" si="143">H469</f>
        <v>0</v>
      </c>
      <c r="I470" s="130">
        <f>IF(COUNTIF($I$141:$I469,$I469)=VLOOKUP($I469,$D$90:$E$120,2,0),$I469+1,$I469)</f>
        <v>29</v>
      </c>
      <c r="J470" s="131">
        <f t="shared" si="130"/>
        <v>168</v>
      </c>
      <c r="K470" s="132" t="str">
        <f t="shared" si="131"/>
        <v/>
      </c>
      <c r="L470" s="132" t="str">
        <f t="shared" si="132"/>
        <v/>
      </c>
      <c r="M470" s="132" t="str">
        <f t="shared" si="133"/>
        <v/>
      </c>
      <c r="N470" s="132"/>
      <c r="O470" s="132" t="str">
        <f t="shared" si="134"/>
        <v/>
      </c>
      <c r="P470" s="141">
        <f>(SUM($Q$142:Q470)-SUM($H$141:H470))/SUM($H$141:H470)</f>
        <v>1.51780781663238</v>
      </c>
      <c r="Q470" s="142">
        <f t="shared" si="126"/>
        <v>1600</v>
      </c>
      <c r="R470" s="142">
        <f t="shared" si="123"/>
        <v>23050</v>
      </c>
      <c r="S470" s="133">
        <f t="shared" si="137"/>
        <v>45.2191679049034</v>
      </c>
      <c r="T470" s="134">
        <f>INT(SUM($W$141:W470)/3)+1</f>
        <v>57</v>
      </c>
      <c r="U470" s="135" t="str">
        <f t="shared" si="135"/>
        <v/>
      </c>
      <c r="V470" s="67" t="s">
        <v>168</v>
      </c>
      <c r="W470" s="137" t="str">
        <f t="shared" si="138"/>
        <v/>
      </c>
      <c r="X470" s="137" t="str">
        <f t="shared" si="136"/>
        <v/>
      </c>
      <c r="Y470" s="138"/>
      <c r="Z470" s="138">
        <v>2</v>
      </c>
      <c r="AA470" s="138">
        <v>3</v>
      </c>
      <c r="AB470" s="138" t="str">
        <f t="shared" si="142"/>
        <v>{10000,9000,8000}</v>
      </c>
      <c r="AC470" s="138">
        <v>1000</v>
      </c>
      <c r="AD470" s="138">
        <v>4000</v>
      </c>
      <c r="AE470" s="138">
        <f>SUM($R$141:$R470)+SUM($X$141:$X470)</f>
        <v>5976180</v>
      </c>
      <c r="AF470" s="138">
        <f>SUM($Q$142:Q470)</f>
        <v>257043</v>
      </c>
      <c r="AG470" s="137">
        <f t="shared" si="139"/>
        <v>6747309</v>
      </c>
      <c r="AH470" s="139">
        <f>SUM($S$141:S470)</f>
        <v>6053.49378919431</v>
      </c>
      <c r="AI470" s="133">
        <f t="shared" si="140"/>
        <v>22.6095839524517</v>
      </c>
      <c r="AJ470" s="15">
        <f t="shared" si="141"/>
        <v>1953600</v>
      </c>
    </row>
    <row r="471" ht="18" spans="1:36">
      <c r="A471" s="9" t="s">
        <v>290</v>
      </c>
      <c r="B471" s="9" t="str">
        <f t="shared" si="127"/>
        <v>[{5205001,3},{2,}]</v>
      </c>
      <c r="C471" s="51" t="str">
        <f t="shared" si="128"/>
        <v>[{5203001,1610},{2,23190}]</v>
      </c>
      <c r="D471" s="140">
        <v>331</v>
      </c>
      <c r="E471" s="130">
        <f t="shared" si="129"/>
        <v>6099</v>
      </c>
      <c r="F471" s="130">
        <f t="shared" si="124"/>
        <v>1325</v>
      </c>
      <c r="G471" s="130">
        <v>300</v>
      </c>
      <c r="H471" s="130">
        <f t="shared" si="143"/>
        <v>0</v>
      </c>
      <c r="I471" s="130">
        <f>IF(COUNTIF($I$141:$I470,$I470)=VLOOKUP($I470,$D$90:$E$120,2,0),$I470+1,$I470)</f>
        <v>29</v>
      </c>
      <c r="J471" s="131">
        <f t="shared" si="130"/>
        <v>168</v>
      </c>
      <c r="K471" s="132" t="str">
        <f t="shared" si="131"/>
        <v/>
      </c>
      <c r="L471" s="132" t="str">
        <f t="shared" si="132"/>
        <v/>
      </c>
      <c r="M471" s="132">
        <f t="shared" si="133"/>
        <v>0.002</v>
      </c>
      <c r="N471" s="132"/>
      <c r="O471" s="132" t="str">
        <f t="shared" si="134"/>
        <v/>
      </c>
      <c r="P471" s="141">
        <f>(SUM($Q$142:Q471)-SUM($H$141:H471))/SUM($H$141:H471)</f>
        <v>1.53352923890685</v>
      </c>
      <c r="Q471" s="142">
        <f t="shared" si="126"/>
        <v>1605</v>
      </c>
      <c r="R471" s="142">
        <f t="shared" si="123"/>
        <v>23120</v>
      </c>
      <c r="S471" s="133">
        <f t="shared" si="137"/>
        <v>45.3566121842496</v>
      </c>
      <c r="T471" s="134">
        <f>INT(SUM($W$141:W471)/3)+1</f>
        <v>57</v>
      </c>
      <c r="U471" s="135" t="str">
        <f t="shared" si="135"/>
        <v/>
      </c>
      <c r="V471" s="67" t="s">
        <v>168</v>
      </c>
      <c r="W471" s="137" t="str">
        <f t="shared" si="138"/>
        <v/>
      </c>
      <c r="X471" s="137" t="str">
        <f t="shared" si="136"/>
        <v/>
      </c>
      <c r="Y471" s="138"/>
      <c r="Z471" s="138">
        <v>2</v>
      </c>
      <c r="AA471" s="138">
        <v>3</v>
      </c>
      <c r="AB471" s="138" t="str">
        <f t="shared" si="142"/>
        <v>{10000,9000,8000}</v>
      </c>
      <c r="AC471" s="138">
        <v>1000</v>
      </c>
      <c r="AD471" s="138">
        <v>4000</v>
      </c>
      <c r="AE471" s="138">
        <f>SUM($R$141:$R471)+SUM($X$141:$X471)</f>
        <v>5999300</v>
      </c>
      <c r="AF471" s="138">
        <f>SUM($Q$142:Q471)</f>
        <v>258648</v>
      </c>
      <c r="AG471" s="137">
        <f t="shared" si="139"/>
        <v>6775244</v>
      </c>
      <c r="AH471" s="139">
        <f>SUM($S$141:S471)</f>
        <v>6098.85040137856</v>
      </c>
      <c r="AI471" s="133">
        <f t="shared" si="140"/>
        <v>22.6783060921248</v>
      </c>
      <c r="AJ471" s="15">
        <f t="shared" si="141"/>
        <v>1959600</v>
      </c>
    </row>
    <row r="472" ht="18" spans="1:36">
      <c r="A472" s="9" t="s">
        <v>291</v>
      </c>
      <c r="B472" s="9" t="str">
        <f t="shared" si="127"/>
        <v>[{5205001,3},{2,}]</v>
      </c>
      <c r="C472" s="51" t="str">
        <f t="shared" si="128"/>
        <v>[{5203001,1615},{2,23260}]</v>
      </c>
      <c r="D472" s="140">
        <v>332</v>
      </c>
      <c r="E472" s="130">
        <f t="shared" si="129"/>
        <v>6145</v>
      </c>
      <c r="F472" s="130">
        <f t="shared" si="124"/>
        <v>1330</v>
      </c>
      <c r="G472" s="130">
        <v>300</v>
      </c>
      <c r="H472" s="130">
        <f t="shared" si="143"/>
        <v>0</v>
      </c>
      <c r="I472" s="130">
        <f>IF(COUNTIF($I$141:$I471,$I471)=VLOOKUP($I471,$D$90:$E$120,2,0),$I471+1,$I471)</f>
        <v>29</v>
      </c>
      <c r="J472" s="131">
        <f t="shared" si="130"/>
        <v>168</v>
      </c>
      <c r="K472" s="132" t="str">
        <f t="shared" si="131"/>
        <v/>
      </c>
      <c r="L472" s="132">
        <f t="shared" si="132"/>
        <v>0.03</v>
      </c>
      <c r="M472" s="132" t="str">
        <f t="shared" si="133"/>
        <v/>
      </c>
      <c r="N472" s="132"/>
      <c r="O472" s="132" t="str">
        <f t="shared" si="134"/>
        <v/>
      </c>
      <c r="P472" s="141">
        <f>(SUM($Q$142:Q472)-SUM($H$141:H472))/SUM($H$141:H472)</f>
        <v>1.54929963757469</v>
      </c>
      <c r="Q472" s="142">
        <f t="shared" si="126"/>
        <v>1610</v>
      </c>
      <c r="R472" s="142">
        <f t="shared" si="123"/>
        <v>23190</v>
      </c>
      <c r="S472" s="133">
        <f t="shared" si="137"/>
        <v>45.4940564635958</v>
      </c>
      <c r="T472" s="134">
        <f>INT(SUM($W$141:W472)/3)+1</f>
        <v>57</v>
      </c>
      <c r="U472" s="135" t="str">
        <f t="shared" si="135"/>
        <v/>
      </c>
      <c r="V472" s="67" t="s">
        <v>168</v>
      </c>
      <c r="W472" s="137" t="str">
        <f t="shared" si="138"/>
        <v/>
      </c>
      <c r="X472" s="137" t="str">
        <f t="shared" si="136"/>
        <v/>
      </c>
      <c r="Y472" s="138"/>
      <c r="Z472" s="138">
        <v>2</v>
      </c>
      <c r="AA472" s="138">
        <v>3</v>
      </c>
      <c r="AB472" s="138" t="str">
        <f t="shared" si="142"/>
        <v>{10000,9000,8000}</v>
      </c>
      <c r="AC472" s="138">
        <v>1000</v>
      </c>
      <c r="AD472" s="138">
        <v>4000</v>
      </c>
      <c r="AE472" s="138">
        <f>SUM($R$141:$R472)+SUM($X$141:$X472)</f>
        <v>6022490</v>
      </c>
      <c r="AF472" s="138">
        <f>SUM($Q$142:Q472)</f>
        <v>260258</v>
      </c>
      <c r="AG472" s="137">
        <f t="shared" si="139"/>
        <v>6803264</v>
      </c>
      <c r="AH472" s="139">
        <f>SUM($S$141:S472)</f>
        <v>6144.34445784216</v>
      </c>
      <c r="AI472" s="133">
        <f t="shared" si="140"/>
        <v>22.7470282317979</v>
      </c>
      <c r="AJ472" s="15">
        <f t="shared" si="141"/>
        <v>1965600</v>
      </c>
    </row>
    <row r="473" ht="18" spans="1:36">
      <c r="A473" s="9" t="s">
        <v>289</v>
      </c>
      <c r="B473" s="9" t="str">
        <f t="shared" si="127"/>
        <v>[{5205001,3},{2,}]</v>
      </c>
      <c r="C473" s="51" t="str">
        <f t="shared" si="128"/>
        <v>[{5203001,1620},{2,23330}]</v>
      </c>
      <c r="D473" s="140">
        <v>333</v>
      </c>
      <c r="E473" s="130">
        <f t="shared" si="129"/>
        <v>6190</v>
      </c>
      <c r="F473" s="130">
        <f t="shared" si="124"/>
        <v>1335</v>
      </c>
      <c r="G473" s="130">
        <v>300</v>
      </c>
      <c r="H473" s="130">
        <f t="shared" si="143"/>
        <v>0</v>
      </c>
      <c r="I473" s="130">
        <f>IF(COUNTIF($I$141:$I472,$I472)=VLOOKUP($I472,$D$90:$E$120,2,0),$I472+1,$I472)</f>
        <v>29</v>
      </c>
      <c r="J473" s="131">
        <f t="shared" si="130"/>
        <v>168</v>
      </c>
      <c r="K473" s="132">
        <f t="shared" si="131"/>
        <v>0.05</v>
      </c>
      <c r="L473" s="132" t="str">
        <f t="shared" si="132"/>
        <v/>
      </c>
      <c r="M473" s="132" t="str">
        <f t="shared" si="133"/>
        <v/>
      </c>
      <c r="N473" s="132"/>
      <c r="O473" s="132" t="str">
        <f t="shared" si="134"/>
        <v/>
      </c>
      <c r="P473" s="141">
        <f>(SUM($Q$142:Q473)-SUM($H$141:H473))/SUM($H$141:H473)</f>
        <v>1.56511901263591</v>
      </c>
      <c r="Q473" s="142">
        <f t="shared" si="126"/>
        <v>1615</v>
      </c>
      <c r="R473" s="142">
        <f t="shared" si="123"/>
        <v>23260</v>
      </c>
      <c r="S473" s="133">
        <f t="shared" si="137"/>
        <v>45.6315007429421</v>
      </c>
      <c r="T473" s="134">
        <f>INT(SUM($W$141:W473)/3)+1</f>
        <v>57</v>
      </c>
      <c r="U473" s="135" t="str">
        <f t="shared" si="135"/>
        <v/>
      </c>
      <c r="V473" s="67" t="s">
        <v>168</v>
      </c>
      <c r="W473" s="137" t="str">
        <f t="shared" si="138"/>
        <v/>
      </c>
      <c r="X473" s="137" t="str">
        <f t="shared" si="136"/>
        <v/>
      </c>
      <c r="Y473" s="138"/>
      <c r="Z473" s="138">
        <v>2</v>
      </c>
      <c r="AA473" s="138">
        <v>3</v>
      </c>
      <c r="AB473" s="138" t="str">
        <f t="shared" si="142"/>
        <v>{10000,9000,8000}</v>
      </c>
      <c r="AC473" s="138">
        <v>1000</v>
      </c>
      <c r="AD473" s="138">
        <v>4000</v>
      </c>
      <c r="AE473" s="138">
        <f>SUM($R$141:$R473)+SUM($X$141:$X473)</f>
        <v>6045750</v>
      </c>
      <c r="AF473" s="138">
        <f>SUM($Q$142:Q473)</f>
        <v>261873</v>
      </c>
      <c r="AG473" s="137">
        <f t="shared" si="139"/>
        <v>6831369</v>
      </c>
      <c r="AH473" s="139">
        <f>SUM($S$141:S473)</f>
        <v>6189.9759585851</v>
      </c>
      <c r="AI473" s="133">
        <f t="shared" si="140"/>
        <v>22.815750371471</v>
      </c>
      <c r="AJ473" s="15">
        <f t="shared" si="141"/>
        <v>1971300</v>
      </c>
    </row>
    <row r="474" ht="18" spans="1:36">
      <c r="A474" s="9" t="str">
        <f>SUBSTITUTE(A473,"队长伤害","队长技能冷却")</f>
        <v>队长攻击力+168\n队长技能冷却+5%</v>
      </c>
      <c r="B474" s="9" t="str">
        <f t="shared" si="127"/>
        <v>[{5205001,3},{2,}]</v>
      </c>
      <c r="C474" s="51" t="str">
        <f t="shared" si="128"/>
        <v>[{5203001,1625},{2,23400}]</v>
      </c>
      <c r="D474" s="140">
        <v>334</v>
      </c>
      <c r="E474" s="130">
        <f t="shared" si="129"/>
        <v>6236</v>
      </c>
      <c r="F474" s="130">
        <f t="shared" si="124"/>
        <v>1340</v>
      </c>
      <c r="G474" s="130">
        <v>300</v>
      </c>
      <c r="H474" s="130">
        <f t="shared" si="143"/>
        <v>0</v>
      </c>
      <c r="I474" s="130">
        <f>IF(COUNTIF($I$141:$I473,$I473)=VLOOKUP($I473,$D$90:$E$120,2,0),$I473+1,$I473)</f>
        <v>29</v>
      </c>
      <c r="J474" s="131">
        <f t="shared" si="130"/>
        <v>168</v>
      </c>
      <c r="K474" s="132" t="str">
        <f t="shared" si="131"/>
        <v/>
      </c>
      <c r="L474" s="132" t="str">
        <f t="shared" si="132"/>
        <v/>
      </c>
      <c r="M474" s="132" t="str">
        <f t="shared" si="133"/>
        <v/>
      </c>
      <c r="N474" s="132"/>
      <c r="O474" s="132" t="str">
        <f t="shared" si="134"/>
        <v/>
      </c>
      <c r="P474" s="141">
        <f>(SUM($Q$142:Q474)-SUM($H$141:H474))/SUM($H$141:H474)</f>
        <v>1.58098736409051</v>
      </c>
      <c r="Q474" s="142">
        <f t="shared" si="126"/>
        <v>1620</v>
      </c>
      <c r="R474" s="142">
        <f t="shared" si="123"/>
        <v>23330</v>
      </c>
      <c r="S474" s="133">
        <f t="shared" si="137"/>
        <v>45.7689450222883</v>
      </c>
      <c r="T474" s="134">
        <f>INT(SUM($W$141:W474)/3)+1</f>
        <v>57</v>
      </c>
      <c r="U474" s="135" t="str">
        <f t="shared" si="135"/>
        <v/>
      </c>
      <c r="V474" s="67" t="s">
        <v>168</v>
      </c>
      <c r="W474" s="137" t="str">
        <f t="shared" si="138"/>
        <v/>
      </c>
      <c r="X474" s="137" t="str">
        <f t="shared" si="136"/>
        <v/>
      </c>
      <c r="Y474" s="138"/>
      <c r="Z474" s="138">
        <v>2</v>
      </c>
      <c r="AA474" s="138">
        <v>3</v>
      </c>
      <c r="AB474" s="138" t="str">
        <f t="shared" si="142"/>
        <v>{10000,9000,8000}</v>
      </c>
      <c r="AC474" s="138">
        <v>1000</v>
      </c>
      <c r="AD474" s="138">
        <v>4000</v>
      </c>
      <c r="AE474" s="138">
        <f>SUM($R$141:$R474)+SUM($X$141:$X474)</f>
        <v>6069080</v>
      </c>
      <c r="AF474" s="138">
        <f>SUM($Q$142:Q474)</f>
        <v>263493</v>
      </c>
      <c r="AG474" s="137">
        <f t="shared" si="139"/>
        <v>6859559</v>
      </c>
      <c r="AH474" s="139">
        <f>SUM($S$141:S474)</f>
        <v>6235.74490360739</v>
      </c>
      <c r="AI474" s="133">
        <f t="shared" si="140"/>
        <v>22.8844725111441</v>
      </c>
      <c r="AJ474" s="15">
        <f t="shared" si="141"/>
        <v>1977300</v>
      </c>
    </row>
    <row r="475" ht="18" spans="1:36">
      <c r="A475" s="9" t="s">
        <v>290</v>
      </c>
      <c r="B475" s="9" t="str">
        <f t="shared" si="127"/>
        <v>[{5205001,3},{2,}]</v>
      </c>
      <c r="C475" s="51" t="str">
        <f t="shared" si="128"/>
        <v>[{5203001,1630},{2,23470}]</v>
      </c>
      <c r="D475" s="140">
        <v>335</v>
      </c>
      <c r="E475" s="130">
        <f t="shared" si="129"/>
        <v>6282</v>
      </c>
      <c r="F475" s="130">
        <f t="shared" si="124"/>
        <v>1345</v>
      </c>
      <c r="G475" s="130">
        <v>300</v>
      </c>
      <c r="H475" s="130">
        <f t="shared" si="143"/>
        <v>0</v>
      </c>
      <c r="I475" s="130">
        <f>IF(COUNTIF($I$141:$I474,$I474)=VLOOKUP($I474,$D$90:$E$120,2,0),$I474+1,$I474)</f>
        <v>29</v>
      </c>
      <c r="J475" s="131">
        <f t="shared" si="130"/>
        <v>168</v>
      </c>
      <c r="K475" s="132" t="str">
        <f t="shared" si="131"/>
        <v/>
      </c>
      <c r="L475" s="132" t="str">
        <f t="shared" si="132"/>
        <v/>
      </c>
      <c r="M475" s="132">
        <f t="shared" si="133"/>
        <v>0.002</v>
      </c>
      <c r="N475" s="132"/>
      <c r="O475" s="132" t="str">
        <f t="shared" si="134"/>
        <v/>
      </c>
      <c r="P475" s="141">
        <f>(SUM($Q$142:Q475)-SUM($H$141:H475))/SUM($H$141:H475)</f>
        <v>1.59690469193849</v>
      </c>
      <c r="Q475" s="142">
        <f t="shared" si="126"/>
        <v>1625</v>
      </c>
      <c r="R475" s="142">
        <f t="shared" si="123"/>
        <v>23400</v>
      </c>
      <c r="S475" s="133">
        <f t="shared" si="137"/>
        <v>45.9063893016345</v>
      </c>
      <c r="T475" s="134">
        <f>INT(SUM($W$141:W475)/3)+1</f>
        <v>57</v>
      </c>
      <c r="U475" s="135" t="str">
        <f t="shared" si="135"/>
        <v/>
      </c>
      <c r="V475" s="67" t="s">
        <v>168</v>
      </c>
      <c r="W475" s="137" t="str">
        <f t="shared" si="138"/>
        <v/>
      </c>
      <c r="X475" s="137" t="str">
        <f t="shared" si="136"/>
        <v/>
      </c>
      <c r="Y475" s="138"/>
      <c r="Z475" s="138">
        <v>2</v>
      </c>
      <c r="AA475" s="138">
        <v>3</v>
      </c>
      <c r="AB475" s="138" t="str">
        <f t="shared" si="142"/>
        <v>{10000,9000,8000}</v>
      </c>
      <c r="AC475" s="138">
        <v>1000</v>
      </c>
      <c r="AD475" s="138">
        <v>4000</v>
      </c>
      <c r="AE475" s="138">
        <f>SUM($R$141:$R475)+SUM($X$141:$X475)</f>
        <v>6092480</v>
      </c>
      <c r="AF475" s="138">
        <f>SUM($Q$142:Q475)</f>
        <v>265118</v>
      </c>
      <c r="AG475" s="137">
        <f t="shared" si="139"/>
        <v>6887834</v>
      </c>
      <c r="AH475" s="139">
        <f>SUM($S$141:S475)</f>
        <v>6281.65129290902</v>
      </c>
      <c r="AI475" s="133">
        <f t="shared" si="140"/>
        <v>22.9531946508172</v>
      </c>
      <c r="AJ475" s="15">
        <f t="shared" si="141"/>
        <v>1983300</v>
      </c>
    </row>
    <row r="476" ht="18" spans="1:36">
      <c r="A476" s="9" t="s">
        <v>291</v>
      </c>
      <c r="B476" s="9" t="str">
        <f t="shared" si="127"/>
        <v>[{5205001,3},{2,93880}]</v>
      </c>
      <c r="C476" s="51" t="str">
        <f t="shared" si="128"/>
        <v>[{5203001,1635},{2,23540}]</v>
      </c>
      <c r="D476" s="140">
        <v>336</v>
      </c>
      <c r="E476" s="130">
        <f t="shared" si="129"/>
        <v>6328</v>
      </c>
      <c r="F476" s="130">
        <f t="shared" si="124"/>
        <v>1350</v>
      </c>
      <c r="G476" s="130">
        <v>300</v>
      </c>
      <c r="H476" s="130">
        <f t="shared" si="143"/>
        <v>0</v>
      </c>
      <c r="I476" s="130">
        <f>IF(COUNTIF($I$141:$I475,$I475)=VLOOKUP($I475,$D$90:$E$120,2,0),$I475+1,$I475)</f>
        <v>29</v>
      </c>
      <c r="J476" s="131">
        <f t="shared" si="130"/>
        <v>168</v>
      </c>
      <c r="K476" s="132" t="str">
        <f t="shared" si="131"/>
        <v/>
      </c>
      <c r="L476" s="132">
        <f t="shared" si="132"/>
        <v>0.03</v>
      </c>
      <c r="M476" s="132" t="str">
        <f t="shared" si="133"/>
        <v/>
      </c>
      <c r="N476" s="132"/>
      <c r="O476" s="132" t="str">
        <f t="shared" si="134"/>
        <v/>
      </c>
      <c r="P476" s="141">
        <f>(SUM($Q$142:Q476)-SUM($H$141:H476))/SUM($H$141:H476)</f>
        <v>1.61287099617984</v>
      </c>
      <c r="Q476" s="142">
        <f t="shared" si="126"/>
        <v>1630</v>
      </c>
      <c r="R476" s="142">
        <f t="shared" si="123"/>
        <v>23470</v>
      </c>
      <c r="S476" s="133">
        <f t="shared" si="137"/>
        <v>46.0438335809807</v>
      </c>
      <c r="T476" s="134">
        <f>INT(SUM($W$141:W476)/3)+1</f>
        <v>58</v>
      </c>
      <c r="U476" s="135" t="str">
        <f t="shared" si="135"/>
        <v/>
      </c>
      <c r="V476" s="67" t="s">
        <v>91</v>
      </c>
      <c r="W476" s="137">
        <f t="shared" si="138"/>
        <v>3</v>
      </c>
      <c r="X476" s="137">
        <f t="shared" si="136"/>
        <v>93880</v>
      </c>
      <c r="Y476" s="138"/>
      <c r="Z476" s="138">
        <v>2</v>
      </c>
      <c r="AA476" s="138">
        <v>3</v>
      </c>
      <c r="AB476" s="138" t="str">
        <f t="shared" si="142"/>
        <v>{10000,9000,8000}</v>
      </c>
      <c r="AC476" s="138">
        <v>1000</v>
      </c>
      <c r="AD476" s="138">
        <v>4000</v>
      </c>
      <c r="AE476" s="138">
        <f>SUM($R$141:$R476)+SUM($X$141:$X476)</f>
        <v>6209830</v>
      </c>
      <c r="AF476" s="138">
        <f>SUM($Q$142:Q476)</f>
        <v>266748</v>
      </c>
      <c r="AG476" s="137">
        <f t="shared" si="139"/>
        <v>7010074</v>
      </c>
      <c r="AH476" s="139">
        <f>SUM($S$141:S476)</f>
        <v>6327.69512649001</v>
      </c>
      <c r="AI476" s="133">
        <f t="shared" si="140"/>
        <v>23.0219167904903</v>
      </c>
      <c r="AJ476" s="15">
        <f t="shared" si="141"/>
        <v>1989300</v>
      </c>
    </row>
    <row r="477" ht="18" spans="1:36">
      <c r="A477" s="9" t="s">
        <v>289</v>
      </c>
      <c r="B477" s="9" t="str">
        <f t="shared" si="127"/>
        <v>[{5205001,3},{2,}]</v>
      </c>
      <c r="C477" s="51" t="str">
        <f t="shared" si="128"/>
        <v>[{5203001,1640},{2,23610}]</v>
      </c>
      <c r="D477" s="140">
        <v>337</v>
      </c>
      <c r="E477" s="130">
        <f t="shared" si="129"/>
        <v>6374</v>
      </c>
      <c r="F477" s="130">
        <f t="shared" si="124"/>
        <v>1355</v>
      </c>
      <c r="G477" s="130">
        <v>300</v>
      </c>
      <c r="H477" s="130">
        <f t="shared" si="143"/>
        <v>0</v>
      </c>
      <c r="I477" s="130">
        <f>IF(COUNTIF($I$141:$I476,$I476)=VLOOKUP($I476,$D$90:$E$120,2,0),$I476+1,$I476)</f>
        <v>29</v>
      </c>
      <c r="J477" s="131">
        <f t="shared" si="130"/>
        <v>168</v>
      </c>
      <c r="K477" s="132">
        <f t="shared" si="131"/>
        <v>0.05</v>
      </c>
      <c r="L477" s="132" t="str">
        <f t="shared" si="132"/>
        <v/>
      </c>
      <c r="M477" s="132" t="str">
        <f t="shared" si="133"/>
        <v/>
      </c>
      <c r="N477" s="132"/>
      <c r="O477" s="132" t="str">
        <f t="shared" si="134"/>
        <v/>
      </c>
      <c r="P477" s="141">
        <f>(SUM($Q$142:Q477)-SUM($H$141:H477))/SUM($H$141:H477)</f>
        <v>1.62888627681458</v>
      </c>
      <c r="Q477" s="142">
        <f t="shared" si="126"/>
        <v>1635</v>
      </c>
      <c r="R477" s="142">
        <f t="shared" si="123"/>
        <v>23540</v>
      </c>
      <c r="S477" s="133">
        <f t="shared" si="137"/>
        <v>46.1812778603269</v>
      </c>
      <c r="T477" s="134">
        <f>INT(SUM($W$141:W477)/3)+1</f>
        <v>58</v>
      </c>
      <c r="U477" s="135" t="str">
        <f t="shared" si="135"/>
        <v/>
      </c>
      <c r="V477" s="67" t="s">
        <v>168</v>
      </c>
      <c r="W477" s="137" t="str">
        <f t="shared" si="138"/>
        <v/>
      </c>
      <c r="X477" s="137" t="str">
        <f t="shared" si="136"/>
        <v/>
      </c>
      <c r="Y477" s="138"/>
      <c r="Z477" s="138">
        <v>2</v>
      </c>
      <c r="AA477" s="138">
        <v>3</v>
      </c>
      <c r="AB477" s="138" t="str">
        <f t="shared" si="142"/>
        <v>{10000,9000,8000}</v>
      </c>
      <c r="AC477" s="138">
        <v>1000</v>
      </c>
      <c r="AD477" s="138">
        <v>4000</v>
      </c>
      <c r="AE477" s="138">
        <f>SUM($R$141:$R477)+SUM($X$141:$X477)</f>
        <v>6233370</v>
      </c>
      <c r="AF477" s="138">
        <f>SUM($Q$142:Q477)</f>
        <v>268383</v>
      </c>
      <c r="AG477" s="137">
        <f t="shared" si="139"/>
        <v>7038519</v>
      </c>
      <c r="AH477" s="139">
        <f>SUM($S$141:S477)</f>
        <v>6373.87640435033</v>
      </c>
      <c r="AI477" s="133">
        <f t="shared" si="140"/>
        <v>23.0906389301634</v>
      </c>
      <c r="AJ477" s="15">
        <f t="shared" si="141"/>
        <v>1995300</v>
      </c>
    </row>
    <row r="478" ht="18" spans="1:36">
      <c r="A478" s="9" t="str">
        <f>SUBSTITUTE(A477,"队长伤害","队长技能冷却")</f>
        <v>队长攻击力+168\n队长技能冷却+5%</v>
      </c>
      <c r="B478" s="9" t="str">
        <f t="shared" si="127"/>
        <v>[{5205001,3},{2,}]</v>
      </c>
      <c r="C478" s="51" t="str">
        <f t="shared" si="128"/>
        <v>[{5203001,1645},{2,23680}]</v>
      </c>
      <c r="D478" s="140">
        <v>338</v>
      </c>
      <c r="E478" s="130">
        <f t="shared" si="129"/>
        <v>6421</v>
      </c>
      <c r="F478" s="130">
        <f t="shared" si="124"/>
        <v>1360</v>
      </c>
      <c r="G478" s="130">
        <v>300</v>
      </c>
      <c r="H478" s="130">
        <f t="shared" si="143"/>
        <v>0</v>
      </c>
      <c r="I478" s="130">
        <f>IF(COUNTIF($I$141:$I477,$I477)=VLOOKUP($I477,$D$90:$E$120,2,0),$I477+1,$I477)</f>
        <v>29</v>
      </c>
      <c r="J478" s="131">
        <f t="shared" si="130"/>
        <v>168</v>
      </c>
      <c r="K478" s="132" t="str">
        <f t="shared" si="131"/>
        <v/>
      </c>
      <c r="L478" s="132" t="str">
        <f t="shared" si="132"/>
        <v/>
      </c>
      <c r="M478" s="132" t="str">
        <f t="shared" si="133"/>
        <v/>
      </c>
      <c r="N478" s="132"/>
      <c r="O478" s="132" t="str">
        <f t="shared" si="134"/>
        <v/>
      </c>
      <c r="P478" s="141">
        <f>(SUM($Q$142:Q478)-SUM($H$141:H478))/SUM($H$141:H478)</f>
        <v>1.64495053384269</v>
      </c>
      <c r="Q478" s="142">
        <f t="shared" si="126"/>
        <v>1640</v>
      </c>
      <c r="R478" s="142">
        <f t="shared" si="123"/>
        <v>23610</v>
      </c>
      <c r="S478" s="133">
        <f t="shared" si="137"/>
        <v>46.3187221396731</v>
      </c>
      <c r="T478" s="134">
        <f>INT(SUM($W$141:W478)/3)+1</f>
        <v>58</v>
      </c>
      <c r="U478" s="135" t="str">
        <f t="shared" si="135"/>
        <v/>
      </c>
      <c r="V478" s="67" t="s">
        <v>168</v>
      </c>
      <c r="W478" s="137" t="str">
        <f t="shared" si="138"/>
        <v/>
      </c>
      <c r="X478" s="137" t="str">
        <f t="shared" si="136"/>
        <v/>
      </c>
      <c r="Y478" s="138"/>
      <c r="Z478" s="138">
        <v>2</v>
      </c>
      <c r="AA478" s="138">
        <v>3</v>
      </c>
      <c r="AB478" s="138" t="str">
        <f t="shared" si="142"/>
        <v>{10000,9000,8000}</v>
      </c>
      <c r="AC478" s="138">
        <v>1000</v>
      </c>
      <c r="AD478" s="138">
        <v>4000</v>
      </c>
      <c r="AE478" s="138">
        <f>SUM($R$141:$R478)+SUM($X$141:$X478)</f>
        <v>6256980</v>
      </c>
      <c r="AF478" s="138">
        <f>SUM($Q$142:Q478)</f>
        <v>270023</v>
      </c>
      <c r="AG478" s="137">
        <f t="shared" si="139"/>
        <v>7067049</v>
      </c>
      <c r="AH478" s="139">
        <f>SUM($S$141:S478)</f>
        <v>6420.19512649001</v>
      </c>
      <c r="AI478" s="133">
        <f t="shared" si="140"/>
        <v>23.1593610698366</v>
      </c>
      <c r="AJ478" s="15">
        <f t="shared" si="141"/>
        <v>2001000</v>
      </c>
    </row>
    <row r="479" ht="18" spans="1:36">
      <c r="A479" s="9" t="s">
        <v>290</v>
      </c>
      <c r="B479" s="9" t="str">
        <f t="shared" si="127"/>
        <v>[{5205001,3},{2,}]</v>
      </c>
      <c r="C479" s="51" t="str">
        <f t="shared" si="128"/>
        <v>[{5203001,1650},{2,23750}]</v>
      </c>
      <c r="D479" s="140">
        <v>339</v>
      </c>
      <c r="E479" s="130">
        <f t="shared" si="129"/>
        <v>6467</v>
      </c>
      <c r="F479" s="130">
        <f t="shared" si="124"/>
        <v>1365</v>
      </c>
      <c r="G479" s="130">
        <v>300</v>
      </c>
      <c r="H479" s="130">
        <f t="shared" si="143"/>
        <v>0</v>
      </c>
      <c r="I479" s="130">
        <f>IF(COUNTIF($I$141:$I478,$I478)=VLOOKUP($I478,$D$90:$E$120,2,0),$I478+1,$I478)</f>
        <v>29</v>
      </c>
      <c r="J479" s="131">
        <f t="shared" si="130"/>
        <v>168</v>
      </c>
      <c r="K479" s="132" t="str">
        <f t="shared" si="131"/>
        <v/>
      </c>
      <c r="L479" s="132" t="str">
        <f t="shared" si="132"/>
        <v/>
      </c>
      <c r="M479" s="132">
        <f t="shared" si="133"/>
        <v>0.002</v>
      </c>
      <c r="N479" s="132"/>
      <c r="O479" s="132" t="str">
        <f t="shared" si="134"/>
        <v/>
      </c>
      <c r="P479" s="141">
        <f>(SUM($Q$142:Q479)-SUM($H$141:H479))/SUM($H$141:H479)</f>
        <v>1.66106376726418</v>
      </c>
      <c r="Q479" s="142">
        <f t="shared" si="126"/>
        <v>1645</v>
      </c>
      <c r="R479" s="142">
        <f t="shared" si="123"/>
        <v>23680</v>
      </c>
      <c r="S479" s="133">
        <f t="shared" si="137"/>
        <v>46.4561664190193</v>
      </c>
      <c r="T479" s="134">
        <f>INT(SUM($W$141:W479)/3)+1</f>
        <v>58</v>
      </c>
      <c r="U479" s="135" t="str">
        <f t="shared" si="135"/>
        <v/>
      </c>
      <c r="V479" s="67" t="s">
        <v>168</v>
      </c>
      <c r="W479" s="137" t="str">
        <f t="shared" si="138"/>
        <v/>
      </c>
      <c r="X479" s="137" t="str">
        <f t="shared" si="136"/>
        <v/>
      </c>
      <c r="Y479" s="138"/>
      <c r="Z479" s="138">
        <v>2</v>
      </c>
      <c r="AA479" s="138">
        <v>3</v>
      </c>
      <c r="AB479" s="138" t="str">
        <f t="shared" si="142"/>
        <v>{10000,9000,8000}</v>
      </c>
      <c r="AC479" s="138">
        <v>1000</v>
      </c>
      <c r="AD479" s="138">
        <v>4000</v>
      </c>
      <c r="AE479" s="138">
        <f>SUM($R$141:$R479)+SUM($X$141:$X479)</f>
        <v>6280660</v>
      </c>
      <c r="AF479" s="138">
        <f>SUM($Q$142:Q479)</f>
        <v>271668</v>
      </c>
      <c r="AG479" s="137">
        <f t="shared" si="139"/>
        <v>7095664</v>
      </c>
      <c r="AH479" s="139">
        <f>SUM($S$141:S479)</f>
        <v>6466.65129290902</v>
      </c>
      <c r="AI479" s="133">
        <f t="shared" si="140"/>
        <v>23.2280832095097</v>
      </c>
      <c r="AJ479" s="15">
        <f t="shared" si="141"/>
        <v>2007000</v>
      </c>
    </row>
    <row r="480" ht="18" spans="1:36">
      <c r="A480" s="9" t="s">
        <v>291</v>
      </c>
      <c r="B480" s="9" t="str">
        <f t="shared" si="127"/>
        <v>[{5205001,3},{2,}]</v>
      </c>
      <c r="C480" s="51" t="str">
        <f t="shared" si="128"/>
        <v>[{5203001,1655},{2,23820}]</v>
      </c>
      <c r="D480" s="140">
        <v>340</v>
      </c>
      <c r="E480" s="130">
        <f t="shared" si="129"/>
        <v>6514</v>
      </c>
      <c r="F480" s="130">
        <f t="shared" si="124"/>
        <v>1370</v>
      </c>
      <c r="G480" s="130">
        <v>300</v>
      </c>
      <c r="H480" s="130">
        <f t="shared" si="143"/>
        <v>0</v>
      </c>
      <c r="I480" s="130">
        <f>IF(COUNTIF($I$141:$I479,$I479)=VLOOKUP($I479,$D$90:$E$120,2,0),$I479+1,$I479)</f>
        <v>29</v>
      </c>
      <c r="J480" s="131">
        <f t="shared" si="130"/>
        <v>168</v>
      </c>
      <c r="K480" s="132" t="str">
        <f t="shared" si="131"/>
        <v/>
      </c>
      <c r="L480" s="132">
        <f t="shared" si="132"/>
        <v>0.03</v>
      </c>
      <c r="M480" s="132" t="str">
        <f t="shared" si="133"/>
        <v/>
      </c>
      <c r="N480" s="132"/>
      <c r="O480" s="132" t="str">
        <f t="shared" si="134"/>
        <v/>
      </c>
      <c r="P480" s="141">
        <f>(SUM($Q$142:Q480)-SUM($H$141:H480))/SUM($H$141:H480)</f>
        <v>1.67722597707905</v>
      </c>
      <c r="Q480" s="142">
        <f t="shared" si="126"/>
        <v>1650</v>
      </c>
      <c r="R480" s="142">
        <f t="shared" ref="R480:R500" si="144">R479+70</f>
        <v>23750</v>
      </c>
      <c r="S480" s="133">
        <f t="shared" si="137"/>
        <v>46.5936106983655</v>
      </c>
      <c r="T480" s="134">
        <f>INT(SUM($W$141:W480)/3)+1</f>
        <v>58</v>
      </c>
      <c r="U480" s="135" t="str">
        <f t="shared" si="135"/>
        <v/>
      </c>
      <c r="V480" s="67" t="s">
        <v>168</v>
      </c>
      <c r="W480" s="137" t="str">
        <f t="shared" si="138"/>
        <v/>
      </c>
      <c r="X480" s="137" t="str">
        <f t="shared" si="136"/>
        <v/>
      </c>
      <c r="Y480" s="138"/>
      <c r="Z480" s="138">
        <v>2</v>
      </c>
      <c r="AA480" s="138">
        <v>3</v>
      </c>
      <c r="AB480" s="138" t="str">
        <f t="shared" si="142"/>
        <v>{10000,9000,8000}</v>
      </c>
      <c r="AC480" s="138">
        <v>1000</v>
      </c>
      <c r="AD480" s="138">
        <v>4000</v>
      </c>
      <c r="AE480" s="138">
        <f>SUM($R$141:$R480)+SUM($X$141:$X480)</f>
        <v>6304410</v>
      </c>
      <c r="AF480" s="138">
        <f>SUM($Q$142:Q480)</f>
        <v>273318</v>
      </c>
      <c r="AG480" s="137">
        <f t="shared" si="139"/>
        <v>7124364</v>
      </c>
      <c r="AH480" s="139">
        <f>SUM($S$141:S480)</f>
        <v>6513.24490360739</v>
      </c>
      <c r="AI480" s="133">
        <f t="shared" si="140"/>
        <v>23.2968053491828</v>
      </c>
      <c r="AJ480" s="15">
        <f t="shared" si="141"/>
        <v>2013000</v>
      </c>
    </row>
    <row r="481" ht="18" spans="1:36">
      <c r="A481" s="9" t="s">
        <v>289</v>
      </c>
      <c r="B481" s="9" t="str">
        <f t="shared" si="127"/>
        <v>[{5205001,3},{2,}]</v>
      </c>
      <c r="C481" s="51" t="str">
        <f t="shared" si="128"/>
        <v>[{5203001,1660},{2,23890}]</v>
      </c>
      <c r="D481" s="140">
        <v>341</v>
      </c>
      <c r="E481" s="130">
        <f t="shared" si="129"/>
        <v>6560</v>
      </c>
      <c r="F481" s="130">
        <f t="shared" si="124"/>
        <v>1375</v>
      </c>
      <c r="G481" s="130">
        <v>300</v>
      </c>
      <c r="H481" s="130">
        <f t="shared" si="143"/>
        <v>0</v>
      </c>
      <c r="I481" s="130">
        <f>IF(COUNTIF($I$141:$I480,$I480)=VLOOKUP($I480,$D$90:$E$120,2,0),$I480+1,$I480)</f>
        <v>29</v>
      </c>
      <c r="J481" s="131">
        <f t="shared" si="130"/>
        <v>168</v>
      </c>
      <c r="K481" s="132">
        <f t="shared" si="131"/>
        <v>0.05</v>
      </c>
      <c r="L481" s="132" t="str">
        <f t="shared" si="132"/>
        <v/>
      </c>
      <c r="M481" s="132" t="str">
        <f t="shared" si="133"/>
        <v/>
      </c>
      <c r="N481" s="132"/>
      <c r="O481" s="132" t="str">
        <f t="shared" si="134"/>
        <v/>
      </c>
      <c r="P481" s="141">
        <f>(SUM($Q$142:Q481)-SUM($H$141:H481))/SUM($H$141:H481)</f>
        <v>1.6934371632873</v>
      </c>
      <c r="Q481" s="142">
        <f t="shared" si="126"/>
        <v>1655</v>
      </c>
      <c r="R481" s="142">
        <f t="shared" si="144"/>
        <v>23820</v>
      </c>
      <c r="S481" s="133">
        <f t="shared" si="137"/>
        <v>46.7310549777117</v>
      </c>
      <c r="T481" s="134">
        <f>INT(SUM($W$141:W481)/3)+1</f>
        <v>58</v>
      </c>
      <c r="U481" s="135" t="str">
        <f t="shared" si="135"/>
        <v/>
      </c>
      <c r="V481" s="67" t="s">
        <v>168</v>
      </c>
      <c r="W481" s="137" t="str">
        <f t="shared" si="138"/>
        <v/>
      </c>
      <c r="X481" s="137" t="str">
        <f t="shared" si="136"/>
        <v/>
      </c>
      <c r="Y481" s="138"/>
      <c r="Z481" s="138">
        <v>2</v>
      </c>
      <c r="AA481" s="138">
        <v>3</v>
      </c>
      <c r="AB481" s="138" t="str">
        <f t="shared" si="142"/>
        <v>{10000,9000,8000}</v>
      </c>
      <c r="AC481" s="138">
        <v>1000</v>
      </c>
      <c r="AD481" s="138">
        <v>4000</v>
      </c>
      <c r="AE481" s="138">
        <f>SUM($R$141:$R481)+SUM($X$141:$X481)</f>
        <v>6328230</v>
      </c>
      <c r="AF481" s="138">
        <f>SUM($Q$142:Q481)</f>
        <v>274973</v>
      </c>
      <c r="AG481" s="137">
        <f t="shared" si="139"/>
        <v>7153149</v>
      </c>
      <c r="AH481" s="139">
        <f>SUM($S$141:S481)</f>
        <v>6559.9759585851</v>
      </c>
      <c r="AI481" s="133">
        <f t="shared" si="140"/>
        <v>23.3655274888559</v>
      </c>
      <c r="AJ481" s="15">
        <f t="shared" si="141"/>
        <v>2019000</v>
      </c>
    </row>
    <row r="482" ht="18" spans="1:36">
      <c r="A482" s="9" t="str">
        <f>SUBSTITUTE(A481,"队长伤害","队长技能冷却")</f>
        <v>队长攻击力+168\n队长技能冷却+5%</v>
      </c>
      <c r="B482" s="9" t="str">
        <f t="shared" si="127"/>
        <v>[{5205001,3},{2,}]</v>
      </c>
      <c r="C482" s="51" t="str">
        <f t="shared" si="128"/>
        <v>[{5203001,1665},{2,23960}]</v>
      </c>
      <c r="D482" s="140">
        <v>342</v>
      </c>
      <c r="E482" s="130">
        <f t="shared" si="129"/>
        <v>6607</v>
      </c>
      <c r="F482" s="130">
        <f t="shared" si="124"/>
        <v>1380</v>
      </c>
      <c r="G482" s="130">
        <v>300</v>
      </c>
      <c r="H482" s="130">
        <f t="shared" si="143"/>
        <v>0</v>
      </c>
      <c r="I482" s="130">
        <f>IF(COUNTIF($I$141:$I481,$I481)=VLOOKUP($I481,$D$90:$E$120,2,0),$I481+1,$I481)</f>
        <v>29</v>
      </c>
      <c r="J482" s="131">
        <f t="shared" si="130"/>
        <v>168</v>
      </c>
      <c r="K482" s="132" t="str">
        <f t="shared" si="131"/>
        <v/>
      </c>
      <c r="L482" s="132" t="str">
        <f t="shared" si="132"/>
        <v/>
      </c>
      <c r="M482" s="132" t="str">
        <f t="shared" si="133"/>
        <v/>
      </c>
      <c r="N482" s="132"/>
      <c r="O482" s="132" t="str">
        <f t="shared" si="134"/>
        <v/>
      </c>
      <c r="P482" s="141">
        <f>(SUM($Q$142:Q482)-SUM($H$141:H482))/SUM($H$141:H482)</f>
        <v>1.70969732588892</v>
      </c>
      <c r="Q482" s="142">
        <f t="shared" si="126"/>
        <v>1660</v>
      </c>
      <c r="R482" s="142">
        <f t="shared" si="144"/>
        <v>23890</v>
      </c>
      <c r="S482" s="133">
        <f t="shared" si="137"/>
        <v>46.8684992570579</v>
      </c>
      <c r="T482" s="134">
        <f>INT(SUM($W$141:W482)/3)+1</f>
        <v>58</v>
      </c>
      <c r="U482" s="135" t="str">
        <f t="shared" si="135"/>
        <v/>
      </c>
      <c r="V482" s="67" t="s">
        <v>168</v>
      </c>
      <c r="W482" s="137" t="str">
        <f t="shared" si="138"/>
        <v/>
      </c>
      <c r="X482" s="137" t="str">
        <f t="shared" si="136"/>
        <v/>
      </c>
      <c r="Y482" s="138"/>
      <c r="Z482" s="138">
        <v>2</v>
      </c>
      <c r="AA482" s="138">
        <v>3</v>
      </c>
      <c r="AB482" s="138" t="str">
        <f t="shared" si="142"/>
        <v>{10000,9000,8000}</v>
      </c>
      <c r="AC482" s="138">
        <v>1000</v>
      </c>
      <c r="AD482" s="138">
        <v>4000</v>
      </c>
      <c r="AE482" s="138">
        <f>SUM($R$141:$R482)+SUM($X$141:$X482)</f>
        <v>6352120</v>
      </c>
      <c r="AF482" s="138">
        <f>SUM($Q$142:Q482)</f>
        <v>276633</v>
      </c>
      <c r="AG482" s="137">
        <f t="shared" si="139"/>
        <v>7182019</v>
      </c>
      <c r="AH482" s="139">
        <f>SUM($S$141:S482)</f>
        <v>6606.84445784216</v>
      </c>
      <c r="AI482" s="133">
        <f t="shared" si="140"/>
        <v>23.434249628529</v>
      </c>
      <c r="AJ482" s="15">
        <f t="shared" si="141"/>
        <v>2025000</v>
      </c>
    </row>
    <row r="483" ht="18" spans="1:36">
      <c r="A483" s="9" t="s">
        <v>290</v>
      </c>
      <c r="B483" s="9" t="str">
        <f t="shared" si="127"/>
        <v>[{5205001,3},{2,}]</v>
      </c>
      <c r="C483" s="51" t="str">
        <f t="shared" si="128"/>
        <v>[{5203001,1670},{2,24030}]</v>
      </c>
      <c r="D483" s="140">
        <v>343</v>
      </c>
      <c r="E483" s="130">
        <f t="shared" si="129"/>
        <v>6654</v>
      </c>
      <c r="F483" s="130">
        <f t="shared" si="124"/>
        <v>1385</v>
      </c>
      <c r="G483" s="130">
        <v>300</v>
      </c>
      <c r="H483" s="130">
        <f t="shared" si="143"/>
        <v>0</v>
      </c>
      <c r="I483" s="130">
        <f>IF(COUNTIF($I$141:$I482,$I482)=VLOOKUP($I482,$D$90:$E$120,2,0),$I482+1,$I482)</f>
        <v>29</v>
      </c>
      <c r="J483" s="131">
        <f t="shared" si="130"/>
        <v>168</v>
      </c>
      <c r="K483" s="132" t="str">
        <f t="shared" si="131"/>
        <v/>
      </c>
      <c r="L483" s="132" t="str">
        <f t="shared" si="132"/>
        <v/>
      </c>
      <c r="M483" s="132">
        <f t="shared" si="133"/>
        <v>0.002</v>
      </c>
      <c r="N483" s="132"/>
      <c r="O483" s="132" t="str">
        <f t="shared" si="134"/>
        <v/>
      </c>
      <c r="P483" s="141">
        <f>(SUM($Q$142:Q483)-SUM($H$141:H483))/SUM($H$141:H483)</f>
        <v>1.72600646488393</v>
      </c>
      <c r="Q483" s="142">
        <f t="shared" si="126"/>
        <v>1665</v>
      </c>
      <c r="R483" s="142">
        <f t="shared" si="144"/>
        <v>23960</v>
      </c>
      <c r="S483" s="133">
        <f t="shared" si="137"/>
        <v>47.0059435364042</v>
      </c>
      <c r="T483" s="134">
        <f>INT(SUM($W$141:W483)/3)+1</f>
        <v>58</v>
      </c>
      <c r="U483" s="135" t="str">
        <f t="shared" si="135"/>
        <v/>
      </c>
      <c r="V483" s="67" t="s">
        <v>168</v>
      </c>
      <c r="W483" s="137" t="str">
        <f t="shared" si="138"/>
        <v/>
      </c>
      <c r="X483" s="137" t="str">
        <f t="shared" si="136"/>
        <v/>
      </c>
      <c r="Y483" s="138"/>
      <c r="Z483" s="138">
        <v>2</v>
      </c>
      <c r="AA483" s="138">
        <v>3</v>
      </c>
      <c r="AB483" s="138" t="str">
        <f t="shared" si="142"/>
        <v>{10000,9000,8000}</v>
      </c>
      <c r="AC483" s="138">
        <v>1000</v>
      </c>
      <c r="AD483" s="138">
        <v>4000</v>
      </c>
      <c r="AE483" s="138">
        <f>SUM($R$141:$R483)+SUM($X$141:$X483)</f>
        <v>6376080</v>
      </c>
      <c r="AF483" s="138">
        <f>SUM($Q$142:Q483)</f>
        <v>278298</v>
      </c>
      <c r="AG483" s="137">
        <f t="shared" si="139"/>
        <v>7210974</v>
      </c>
      <c r="AH483" s="139">
        <f>SUM($S$141:S483)</f>
        <v>6653.85040137856</v>
      </c>
      <c r="AI483" s="133">
        <f t="shared" si="140"/>
        <v>23.5029717682021</v>
      </c>
      <c r="AJ483" s="15">
        <f t="shared" si="141"/>
        <v>2030700</v>
      </c>
    </row>
    <row r="484" ht="18" spans="1:36">
      <c r="A484" s="9" t="s">
        <v>291</v>
      </c>
      <c r="B484" s="9" t="str">
        <f t="shared" si="127"/>
        <v>[{5205001,3},{2,96120}]</v>
      </c>
      <c r="C484" s="51" t="str">
        <f t="shared" si="128"/>
        <v>[{5203001,1675},{2,24100}]</v>
      </c>
      <c r="D484" s="140">
        <v>344</v>
      </c>
      <c r="E484" s="130">
        <f t="shared" si="129"/>
        <v>6701</v>
      </c>
      <c r="F484" s="130">
        <f t="shared" si="124"/>
        <v>1390</v>
      </c>
      <c r="G484" s="130">
        <v>300</v>
      </c>
      <c r="H484" s="130">
        <f t="shared" si="143"/>
        <v>0</v>
      </c>
      <c r="I484" s="130">
        <f>IF(COUNTIF($I$141:$I483,$I483)=VLOOKUP($I483,$D$90:$E$120,2,0),$I483+1,$I483)</f>
        <v>29</v>
      </c>
      <c r="J484" s="131">
        <f t="shared" si="130"/>
        <v>168</v>
      </c>
      <c r="K484" s="132" t="str">
        <f t="shared" si="131"/>
        <v/>
      </c>
      <c r="L484" s="132">
        <f t="shared" si="132"/>
        <v>0.03</v>
      </c>
      <c r="M484" s="132" t="str">
        <f t="shared" si="133"/>
        <v/>
      </c>
      <c r="N484" s="132"/>
      <c r="O484" s="132" t="str">
        <f t="shared" si="134"/>
        <v/>
      </c>
      <c r="P484" s="141">
        <f>(SUM($Q$142:Q484)-SUM($H$141:H484))/SUM($H$141:H484)</f>
        <v>1.74236458027231</v>
      </c>
      <c r="Q484" s="142">
        <f t="shared" si="126"/>
        <v>1670</v>
      </c>
      <c r="R484" s="142">
        <f t="shared" si="144"/>
        <v>24030</v>
      </c>
      <c r="S484" s="133">
        <f t="shared" si="137"/>
        <v>47.1433878157504</v>
      </c>
      <c r="T484" s="134">
        <f>INT(SUM($W$141:W484)/3)+1</f>
        <v>59</v>
      </c>
      <c r="U484" s="135" t="str">
        <f t="shared" si="135"/>
        <v>70</v>
      </c>
      <c r="V484" s="67" t="s">
        <v>84</v>
      </c>
      <c r="W484" s="137">
        <f t="shared" si="138"/>
        <v>3</v>
      </c>
      <c r="X484" s="137">
        <f t="shared" si="136"/>
        <v>96120</v>
      </c>
      <c r="Y484" s="138"/>
      <c r="Z484" s="138">
        <v>2</v>
      </c>
      <c r="AA484" s="138">
        <v>3</v>
      </c>
      <c r="AB484" s="138" t="str">
        <f t="shared" si="142"/>
        <v>{10000,9000,8000}</v>
      </c>
      <c r="AC484" s="138">
        <v>1000</v>
      </c>
      <c r="AD484" s="138">
        <v>4000</v>
      </c>
      <c r="AE484" s="138">
        <f>SUM($R$141:$R484)+SUM($X$141:$X484)</f>
        <v>6496230</v>
      </c>
      <c r="AF484" s="138">
        <f>SUM($Q$142:Q484)</f>
        <v>279968</v>
      </c>
      <c r="AG484" s="137">
        <f t="shared" si="139"/>
        <v>7336134</v>
      </c>
      <c r="AH484" s="139">
        <f>SUM($S$141:S484)</f>
        <v>6700.99378919431</v>
      </c>
      <c r="AI484" s="133">
        <f t="shared" si="140"/>
        <v>23.5716939078752</v>
      </c>
      <c r="AJ484" s="15">
        <f t="shared" si="141"/>
        <v>2036700</v>
      </c>
    </row>
    <row r="485" ht="18" spans="1:36">
      <c r="A485" s="9" t="s">
        <v>292</v>
      </c>
      <c r="B485" s="9" t="str">
        <f t="shared" si="127"/>
        <v>[{5205001,3},{2,}]</v>
      </c>
      <c r="C485" s="51" t="str">
        <f t="shared" si="128"/>
        <v>[{5203001,1680},{2,24170}]</v>
      </c>
      <c r="D485" s="140">
        <v>345</v>
      </c>
      <c r="E485" s="130">
        <f t="shared" si="129"/>
        <v>6750</v>
      </c>
      <c r="F485" s="130">
        <f t="shared" si="124"/>
        <v>1395</v>
      </c>
      <c r="G485" s="130">
        <v>300</v>
      </c>
      <c r="H485" s="130">
        <f t="shared" si="143"/>
        <v>0</v>
      </c>
      <c r="I485" s="130">
        <f>IF(COUNTIF($I$141:$I484,$I484)=VLOOKUP($I484,$D$90:$E$120,2,0),$I484+1,$I484)</f>
        <v>30</v>
      </c>
      <c r="J485" s="131">
        <f t="shared" si="130"/>
        <v>174</v>
      </c>
      <c r="K485" s="132">
        <f t="shared" si="131"/>
        <v>0.05</v>
      </c>
      <c r="L485" s="132" t="str">
        <f t="shared" si="132"/>
        <v/>
      </c>
      <c r="M485" s="132" t="str">
        <f t="shared" si="133"/>
        <v/>
      </c>
      <c r="N485" s="132"/>
      <c r="O485" s="132" t="str">
        <f t="shared" si="134"/>
        <v/>
      </c>
      <c r="P485" s="141">
        <f>(SUM($Q$142:Q485)-SUM($H$141:H485))/SUM($H$141:H485)</f>
        <v>1.75877167205407</v>
      </c>
      <c r="Q485" s="142">
        <f t="shared" si="126"/>
        <v>1675</v>
      </c>
      <c r="R485" s="142">
        <f t="shared" si="144"/>
        <v>24100</v>
      </c>
      <c r="S485" s="133">
        <f t="shared" si="137"/>
        <v>48.0624113475177</v>
      </c>
      <c r="T485" s="134">
        <f>INT(SUM($W$141:W485)/3)+1</f>
        <v>59</v>
      </c>
      <c r="U485" s="135" t="str">
        <f t="shared" si="135"/>
        <v/>
      </c>
      <c r="V485" s="67" t="s">
        <v>168</v>
      </c>
      <c r="W485" s="137" t="str">
        <f t="shared" si="138"/>
        <v/>
      </c>
      <c r="X485" s="137" t="str">
        <f t="shared" si="136"/>
        <v/>
      </c>
      <c r="Y485" s="138"/>
      <c r="Z485" s="138">
        <v>2</v>
      </c>
      <c r="AA485" s="138">
        <v>3</v>
      </c>
      <c r="AB485" s="138" t="str">
        <f t="shared" si="142"/>
        <v>{10000,9000,8000}</v>
      </c>
      <c r="AC485" s="138">
        <v>1000</v>
      </c>
      <c r="AD485" s="138">
        <v>4000</v>
      </c>
      <c r="AE485" s="138">
        <f>SUM($R$141:$R485)+SUM($X$141:$X485)</f>
        <v>6520330</v>
      </c>
      <c r="AF485" s="138">
        <f>SUM($Q$142:Q485)</f>
        <v>281643</v>
      </c>
      <c r="AG485" s="137">
        <f t="shared" si="139"/>
        <v>7365259</v>
      </c>
      <c r="AH485" s="139">
        <f>SUM($S$141:S485)</f>
        <v>6749.05620054183</v>
      </c>
      <c r="AI485" s="133">
        <f t="shared" si="140"/>
        <v>24.0312056737589</v>
      </c>
      <c r="AJ485" s="15">
        <f t="shared" si="141"/>
        <v>2076300</v>
      </c>
    </row>
    <row r="486" ht="18" spans="1:36">
      <c r="A486" s="9" t="str">
        <f>SUBSTITUTE(A485,"队长伤害","队长技能冷却")</f>
        <v>队长攻击力+174\n队长技能冷却+5%</v>
      </c>
      <c r="B486" s="9" t="str">
        <f t="shared" si="127"/>
        <v>[{5205001,3},{2,}]</v>
      </c>
      <c r="C486" s="51" t="str">
        <f t="shared" si="128"/>
        <v>[{5203001,1685},{2,24240}]</v>
      </c>
      <c r="D486" s="140">
        <v>346</v>
      </c>
      <c r="E486" s="130">
        <f t="shared" si="129"/>
        <v>6798</v>
      </c>
      <c r="F486" s="130">
        <f t="shared" si="124"/>
        <v>1400</v>
      </c>
      <c r="G486" s="130">
        <v>300</v>
      </c>
      <c r="H486" s="130">
        <f t="shared" si="143"/>
        <v>0</v>
      </c>
      <c r="I486" s="130">
        <f>IF(COUNTIF($I$141:$I485,$I485)=VLOOKUP($I485,$D$90:$E$120,2,0),$I485+1,$I485)</f>
        <v>30</v>
      </c>
      <c r="J486" s="131">
        <f t="shared" si="130"/>
        <v>174</v>
      </c>
      <c r="K486" s="132" t="str">
        <f t="shared" si="131"/>
        <v/>
      </c>
      <c r="L486" s="132" t="str">
        <f t="shared" si="132"/>
        <v/>
      </c>
      <c r="M486" s="132" t="str">
        <f t="shared" si="133"/>
        <v/>
      </c>
      <c r="N486" s="132"/>
      <c r="O486" s="132" t="str">
        <f t="shared" si="134"/>
        <v/>
      </c>
      <c r="P486" s="141">
        <f>(SUM($Q$142:Q486)-SUM($H$141:H486))/SUM($H$141:H486)</f>
        <v>1.77522774022921</v>
      </c>
      <c r="Q486" s="142">
        <f t="shared" si="126"/>
        <v>1680</v>
      </c>
      <c r="R486" s="142">
        <f t="shared" si="144"/>
        <v>24170</v>
      </c>
      <c r="S486" s="133">
        <f t="shared" si="137"/>
        <v>48.2021276595745</v>
      </c>
      <c r="T486" s="134">
        <f>INT(SUM($W$141:W486)/3)+1</f>
        <v>59</v>
      </c>
      <c r="U486" s="135" t="str">
        <f t="shared" si="135"/>
        <v/>
      </c>
      <c r="V486" s="67" t="s">
        <v>168</v>
      </c>
      <c r="W486" s="137" t="str">
        <f t="shared" si="138"/>
        <v/>
      </c>
      <c r="X486" s="137" t="str">
        <f t="shared" si="136"/>
        <v/>
      </c>
      <c r="Y486" s="138"/>
      <c r="Z486" s="138">
        <v>2</v>
      </c>
      <c r="AA486" s="138">
        <v>3</v>
      </c>
      <c r="AB486" s="138" t="str">
        <f t="shared" si="142"/>
        <v>{10000,9000,8000}</v>
      </c>
      <c r="AC486" s="138">
        <v>1000</v>
      </c>
      <c r="AD486" s="138">
        <v>4000</v>
      </c>
      <c r="AE486" s="138">
        <f>SUM($R$141:$R486)+SUM($X$141:$X486)</f>
        <v>6544500</v>
      </c>
      <c r="AF486" s="138">
        <f>SUM($Q$142:Q486)</f>
        <v>283323</v>
      </c>
      <c r="AG486" s="137">
        <f t="shared" si="139"/>
        <v>7394469</v>
      </c>
      <c r="AH486" s="139">
        <f>SUM($S$141:S486)</f>
        <v>6797.25832820141</v>
      </c>
      <c r="AI486" s="133">
        <f t="shared" si="140"/>
        <v>24.1010638297872</v>
      </c>
      <c r="AJ486" s="15">
        <f t="shared" si="141"/>
        <v>2082600</v>
      </c>
    </row>
    <row r="487" ht="18" spans="1:36">
      <c r="A487" s="9" t="s">
        <v>293</v>
      </c>
      <c r="B487" s="9" t="str">
        <f t="shared" si="127"/>
        <v>[{5205001,3},{2,}]</v>
      </c>
      <c r="C487" s="51" t="str">
        <f t="shared" si="128"/>
        <v>[{5203001,1690},{2,24310}]</v>
      </c>
      <c r="D487" s="140">
        <v>347</v>
      </c>
      <c r="E487" s="130">
        <f t="shared" si="129"/>
        <v>6846</v>
      </c>
      <c r="F487" s="130">
        <f t="shared" si="124"/>
        <v>1405</v>
      </c>
      <c r="G487" s="130">
        <v>300</v>
      </c>
      <c r="H487" s="130">
        <f t="shared" si="143"/>
        <v>0</v>
      </c>
      <c r="I487" s="130">
        <f>IF(COUNTIF($I$141:$I486,$I486)=VLOOKUP($I486,$D$90:$E$120,2,0),$I486+1,$I486)</f>
        <v>30</v>
      </c>
      <c r="J487" s="131">
        <f t="shared" si="130"/>
        <v>174</v>
      </c>
      <c r="K487" s="132" t="str">
        <f t="shared" si="131"/>
        <v/>
      </c>
      <c r="L487" s="132" t="str">
        <f t="shared" si="132"/>
        <v/>
      </c>
      <c r="M487" s="132">
        <f t="shared" si="133"/>
        <v>0.002</v>
      </c>
      <c r="N487" s="132"/>
      <c r="O487" s="132" t="str">
        <f t="shared" si="134"/>
        <v/>
      </c>
      <c r="P487" s="141">
        <f>(SUM($Q$142:Q487)-SUM($H$141:H487))/SUM($H$141:H487)</f>
        <v>1.79173278479773</v>
      </c>
      <c r="Q487" s="142">
        <f t="shared" si="126"/>
        <v>1685</v>
      </c>
      <c r="R487" s="142">
        <f t="shared" si="144"/>
        <v>24240</v>
      </c>
      <c r="S487" s="133">
        <f t="shared" si="137"/>
        <v>48.3418439716312</v>
      </c>
      <c r="T487" s="134">
        <f>INT(SUM($W$141:W487)/3)+1</f>
        <v>59</v>
      </c>
      <c r="U487" s="135" t="str">
        <f t="shared" si="135"/>
        <v/>
      </c>
      <c r="V487" s="67" t="s">
        <v>168</v>
      </c>
      <c r="W487" s="137" t="str">
        <f t="shared" si="138"/>
        <v/>
      </c>
      <c r="X487" s="137" t="str">
        <f t="shared" si="136"/>
        <v/>
      </c>
      <c r="Y487" s="138"/>
      <c r="Z487" s="138">
        <v>2</v>
      </c>
      <c r="AA487" s="138">
        <v>3</v>
      </c>
      <c r="AB487" s="138" t="str">
        <f t="shared" si="142"/>
        <v>{10000,9000,8000}</v>
      </c>
      <c r="AC487" s="138">
        <v>1000</v>
      </c>
      <c r="AD487" s="138">
        <v>4000</v>
      </c>
      <c r="AE487" s="138">
        <f>SUM($R$141:$R487)+SUM($X$141:$X487)</f>
        <v>6568740</v>
      </c>
      <c r="AF487" s="138">
        <f>SUM($Q$142:Q487)</f>
        <v>285008</v>
      </c>
      <c r="AG487" s="137">
        <f t="shared" si="139"/>
        <v>7423764</v>
      </c>
      <c r="AH487" s="139">
        <f>SUM($S$141:S487)</f>
        <v>6845.60017217304</v>
      </c>
      <c r="AI487" s="133">
        <f t="shared" si="140"/>
        <v>24.1709219858156</v>
      </c>
      <c r="AJ487" s="15">
        <f t="shared" si="141"/>
        <v>2088600</v>
      </c>
    </row>
    <row r="488" ht="18" spans="1:36">
      <c r="A488" s="9" t="s">
        <v>294</v>
      </c>
      <c r="B488" s="9" t="str">
        <f t="shared" si="127"/>
        <v>[{5205001,3},{2,}]</v>
      </c>
      <c r="C488" s="51" t="str">
        <f t="shared" si="128"/>
        <v>[{5203001,1695},{2,24380}]</v>
      </c>
      <c r="D488" s="140">
        <v>348</v>
      </c>
      <c r="E488" s="130">
        <f t="shared" si="129"/>
        <v>6895</v>
      </c>
      <c r="F488" s="130">
        <f t="shared" si="124"/>
        <v>1410</v>
      </c>
      <c r="G488" s="130">
        <v>300</v>
      </c>
      <c r="H488" s="130">
        <f t="shared" si="143"/>
        <v>0</v>
      </c>
      <c r="I488" s="130">
        <f>IF(COUNTIF($I$141:$I487,$I487)=VLOOKUP($I487,$D$90:$E$120,2,0),$I487+1,$I487)</f>
        <v>30</v>
      </c>
      <c r="J488" s="131">
        <f t="shared" si="130"/>
        <v>174</v>
      </c>
      <c r="K488" s="132" t="str">
        <f t="shared" si="131"/>
        <v/>
      </c>
      <c r="L488" s="132">
        <f t="shared" si="132"/>
        <v>0.03</v>
      </c>
      <c r="M488" s="132" t="str">
        <f t="shared" si="133"/>
        <v/>
      </c>
      <c r="N488" s="132"/>
      <c r="O488" s="132" t="str">
        <f t="shared" si="134"/>
        <v/>
      </c>
      <c r="P488" s="141">
        <f>(SUM($Q$142:Q488)-SUM($H$141:H488))/SUM($H$141:H488)</f>
        <v>1.80828680575962</v>
      </c>
      <c r="Q488" s="142">
        <f t="shared" si="126"/>
        <v>1690</v>
      </c>
      <c r="R488" s="142">
        <f t="shared" si="144"/>
        <v>24310</v>
      </c>
      <c r="S488" s="133">
        <f t="shared" si="137"/>
        <v>48.4815602836879</v>
      </c>
      <c r="T488" s="134">
        <f>INT(SUM($W$141:W488)/3)+1</f>
        <v>59</v>
      </c>
      <c r="U488" s="135" t="str">
        <f t="shared" si="135"/>
        <v/>
      </c>
      <c r="V488" s="67" t="s">
        <v>168</v>
      </c>
      <c r="W488" s="137" t="str">
        <f t="shared" si="138"/>
        <v/>
      </c>
      <c r="X488" s="137" t="str">
        <f t="shared" si="136"/>
        <v/>
      </c>
      <c r="Y488" s="138"/>
      <c r="Z488" s="138">
        <v>2</v>
      </c>
      <c r="AA488" s="138">
        <v>3</v>
      </c>
      <c r="AB488" s="138" t="str">
        <f t="shared" si="142"/>
        <v>{10000,9000,8000}</v>
      </c>
      <c r="AC488" s="138">
        <v>1000</v>
      </c>
      <c r="AD488" s="138">
        <v>4000</v>
      </c>
      <c r="AE488" s="138">
        <f>SUM($R$141:$R488)+SUM($X$141:$X488)</f>
        <v>6593050</v>
      </c>
      <c r="AF488" s="138">
        <f>SUM($Q$142:Q488)</f>
        <v>286698</v>
      </c>
      <c r="AG488" s="137">
        <f t="shared" si="139"/>
        <v>7453144</v>
      </c>
      <c r="AH488" s="139">
        <f>SUM($S$141:S488)</f>
        <v>6894.08173245673</v>
      </c>
      <c r="AI488" s="133">
        <f t="shared" si="140"/>
        <v>24.240780141844</v>
      </c>
      <c r="AJ488" s="15">
        <f t="shared" si="141"/>
        <v>2094600</v>
      </c>
    </row>
    <row r="489" ht="18" spans="1:36">
      <c r="A489" s="9" t="s">
        <v>292</v>
      </c>
      <c r="B489" s="9" t="str">
        <f t="shared" si="127"/>
        <v>[{5205001,3},{2,}]</v>
      </c>
      <c r="C489" s="51" t="str">
        <f t="shared" si="128"/>
        <v>[{5203001,1700},{2,24450}]</v>
      </c>
      <c r="D489" s="140">
        <v>349</v>
      </c>
      <c r="E489" s="130">
        <f t="shared" si="129"/>
        <v>6943</v>
      </c>
      <c r="F489" s="130">
        <f t="shared" si="124"/>
        <v>1415</v>
      </c>
      <c r="G489" s="130">
        <v>300</v>
      </c>
      <c r="H489" s="130">
        <f t="shared" si="143"/>
        <v>0</v>
      </c>
      <c r="I489" s="130">
        <f>IF(COUNTIF($I$141:$I488,$I488)=VLOOKUP($I488,$D$90:$E$120,2,0),$I488+1,$I488)</f>
        <v>30</v>
      </c>
      <c r="J489" s="131">
        <f t="shared" si="130"/>
        <v>174</v>
      </c>
      <c r="K489" s="132">
        <f t="shared" si="131"/>
        <v>0.05</v>
      </c>
      <c r="L489" s="132" t="str">
        <f t="shared" si="132"/>
        <v/>
      </c>
      <c r="M489" s="132" t="str">
        <f t="shared" si="133"/>
        <v/>
      </c>
      <c r="N489" s="132"/>
      <c r="O489" s="132" t="str">
        <f t="shared" si="134"/>
        <v/>
      </c>
      <c r="P489" s="141">
        <f>(SUM($Q$142:Q489)-SUM($H$141:H489))/SUM($H$141:H489)</f>
        <v>1.8248898031149</v>
      </c>
      <c r="Q489" s="142">
        <f t="shared" si="126"/>
        <v>1695</v>
      </c>
      <c r="R489" s="142">
        <f t="shared" si="144"/>
        <v>24380</v>
      </c>
      <c r="S489" s="133">
        <f t="shared" si="137"/>
        <v>48.6212765957447</v>
      </c>
      <c r="T489" s="134">
        <f>INT(SUM($W$141:W489)/3)+1</f>
        <v>59</v>
      </c>
      <c r="U489" s="135" t="str">
        <f t="shared" si="135"/>
        <v/>
      </c>
      <c r="V489" s="67" t="s">
        <v>168</v>
      </c>
      <c r="W489" s="137" t="str">
        <f t="shared" si="138"/>
        <v/>
      </c>
      <c r="X489" s="137" t="str">
        <f t="shared" si="136"/>
        <v/>
      </c>
      <c r="Y489" s="138"/>
      <c r="Z489" s="138">
        <v>2</v>
      </c>
      <c r="AA489" s="138">
        <v>3</v>
      </c>
      <c r="AB489" s="138" t="str">
        <f t="shared" si="142"/>
        <v>{10000,9000,8000}</v>
      </c>
      <c r="AC489" s="138">
        <v>1000</v>
      </c>
      <c r="AD489" s="138">
        <v>4000</v>
      </c>
      <c r="AE489" s="138">
        <f>SUM($R$141:$R489)+SUM($X$141:$X489)</f>
        <v>6617430</v>
      </c>
      <c r="AF489" s="138">
        <f>SUM($Q$142:Q489)</f>
        <v>288393</v>
      </c>
      <c r="AG489" s="137">
        <f t="shared" si="139"/>
        <v>7482609</v>
      </c>
      <c r="AH489" s="139">
        <f>SUM($S$141:S489)</f>
        <v>6942.70300905247</v>
      </c>
      <c r="AI489" s="133">
        <f t="shared" si="140"/>
        <v>24.3106382978723</v>
      </c>
      <c r="AJ489" s="15">
        <f t="shared" si="141"/>
        <v>2100600</v>
      </c>
    </row>
    <row r="490" ht="18" spans="1:36">
      <c r="A490" s="9" t="str">
        <f>SUBSTITUTE(A489,"队长伤害","队长技能冷却")</f>
        <v>队长攻击力+174\n队长技能冷却+5%</v>
      </c>
      <c r="B490" s="9" t="str">
        <f t="shared" si="127"/>
        <v>[{5205001,3},{2,}]</v>
      </c>
      <c r="C490" s="51" t="str">
        <f t="shared" si="128"/>
        <v>[{5203001,1705},{2,24520}]</v>
      </c>
      <c r="D490" s="140">
        <v>350</v>
      </c>
      <c r="E490" s="130">
        <f t="shared" si="129"/>
        <v>6992</v>
      </c>
      <c r="F490" s="130">
        <f t="shared" si="124"/>
        <v>1420</v>
      </c>
      <c r="G490" s="130">
        <v>300</v>
      </c>
      <c r="H490" s="130">
        <f t="shared" si="143"/>
        <v>0</v>
      </c>
      <c r="I490" s="130">
        <f>IF(COUNTIF($I$141:$I489,$I489)=VLOOKUP($I489,$D$90:$E$120,2,0),$I489+1,$I489)</f>
        <v>30</v>
      </c>
      <c r="J490" s="131">
        <f t="shared" si="130"/>
        <v>174</v>
      </c>
      <c r="K490" s="132" t="str">
        <f t="shared" si="131"/>
        <v/>
      </c>
      <c r="L490" s="132" t="str">
        <f t="shared" si="132"/>
        <v/>
      </c>
      <c r="M490" s="132" t="str">
        <f t="shared" si="133"/>
        <v/>
      </c>
      <c r="N490" s="132"/>
      <c r="O490" s="132" t="str">
        <f t="shared" si="134"/>
        <v/>
      </c>
      <c r="P490" s="141">
        <f>(SUM($Q$142:Q490)-SUM($H$141:H490))/SUM($H$141:H490)</f>
        <v>1.84154177686355</v>
      </c>
      <c r="Q490" s="142">
        <f t="shared" si="126"/>
        <v>1700</v>
      </c>
      <c r="R490" s="142">
        <f t="shared" si="144"/>
        <v>24450</v>
      </c>
      <c r="S490" s="133">
        <f t="shared" si="137"/>
        <v>48.7609929078014</v>
      </c>
      <c r="T490" s="134">
        <f>INT(SUM($W$141:W490)/3)+1</f>
        <v>59</v>
      </c>
      <c r="U490" s="135" t="str">
        <f t="shared" si="135"/>
        <v/>
      </c>
      <c r="V490" s="67" t="s">
        <v>168</v>
      </c>
      <c r="W490" s="137" t="str">
        <f t="shared" si="138"/>
        <v/>
      </c>
      <c r="X490" s="137" t="str">
        <f t="shared" si="136"/>
        <v/>
      </c>
      <c r="Y490" s="138"/>
      <c r="Z490" s="138">
        <v>2</v>
      </c>
      <c r="AA490" s="138">
        <v>3</v>
      </c>
      <c r="AB490" s="138" t="str">
        <f t="shared" si="142"/>
        <v>{10000,9000,8000}</v>
      </c>
      <c r="AC490" s="138">
        <v>1000</v>
      </c>
      <c r="AD490" s="138">
        <v>4000</v>
      </c>
      <c r="AE490" s="138">
        <f>SUM($R$141:$R490)+SUM($X$141:$X490)</f>
        <v>6641880</v>
      </c>
      <c r="AF490" s="138">
        <f>SUM($Q$142:Q490)</f>
        <v>290093</v>
      </c>
      <c r="AG490" s="137">
        <f t="shared" si="139"/>
        <v>7512159</v>
      </c>
      <c r="AH490" s="139">
        <f>SUM($S$141:S490)</f>
        <v>6991.46400196027</v>
      </c>
      <c r="AI490" s="133">
        <f t="shared" si="140"/>
        <v>24.3804964539007</v>
      </c>
      <c r="AJ490" s="15">
        <f t="shared" si="141"/>
        <v>2106600</v>
      </c>
    </row>
    <row r="491" ht="18" spans="1:36">
      <c r="A491" s="9" t="s">
        <v>293</v>
      </c>
      <c r="B491" s="9" t="str">
        <f t="shared" si="127"/>
        <v>[{5205001,3},{2,}]</v>
      </c>
      <c r="C491" s="51" t="str">
        <f t="shared" si="128"/>
        <v>[{5203001,1710},{2,24590}]</v>
      </c>
      <c r="D491" s="140">
        <v>351</v>
      </c>
      <c r="E491" s="130">
        <f t="shared" si="129"/>
        <v>7041</v>
      </c>
      <c r="F491" s="130">
        <f t="shared" si="124"/>
        <v>1425</v>
      </c>
      <c r="G491" s="130">
        <v>300</v>
      </c>
      <c r="H491" s="130">
        <f t="shared" si="143"/>
        <v>0</v>
      </c>
      <c r="I491" s="130">
        <f>IF(COUNTIF($I$141:$I490,$I490)=VLOOKUP($I490,$D$90:$E$120,2,0),$I490+1,$I490)</f>
        <v>30</v>
      </c>
      <c r="J491" s="131">
        <f t="shared" si="130"/>
        <v>174</v>
      </c>
      <c r="K491" s="132" t="str">
        <f t="shared" si="131"/>
        <v/>
      </c>
      <c r="L491" s="132" t="str">
        <f t="shared" si="132"/>
        <v/>
      </c>
      <c r="M491" s="132">
        <f t="shared" si="133"/>
        <v>0.002</v>
      </c>
      <c r="N491" s="132"/>
      <c r="O491" s="132" t="str">
        <f t="shared" si="134"/>
        <v/>
      </c>
      <c r="P491" s="141">
        <f>(SUM($Q$142:Q491)-SUM($H$141:H491))/SUM($H$141:H491)</f>
        <v>1.85824272700558</v>
      </c>
      <c r="Q491" s="142">
        <f t="shared" si="126"/>
        <v>1705</v>
      </c>
      <c r="R491" s="142">
        <f t="shared" si="144"/>
        <v>24520</v>
      </c>
      <c r="S491" s="133">
        <f t="shared" si="137"/>
        <v>48.9007092198582</v>
      </c>
      <c r="T491" s="134">
        <f>INT(SUM($W$141:W491)/3)+1</f>
        <v>59</v>
      </c>
      <c r="U491" s="135" t="str">
        <f t="shared" si="135"/>
        <v/>
      </c>
      <c r="V491" s="67" t="s">
        <v>168</v>
      </c>
      <c r="W491" s="137" t="str">
        <f t="shared" si="138"/>
        <v/>
      </c>
      <c r="X491" s="137" t="str">
        <f t="shared" si="136"/>
        <v/>
      </c>
      <c r="Y491" s="138"/>
      <c r="Z491" s="138">
        <v>2</v>
      </c>
      <c r="AA491" s="138">
        <v>3</v>
      </c>
      <c r="AB491" s="138" t="str">
        <f t="shared" si="142"/>
        <v>{10000,9000,8000}</v>
      </c>
      <c r="AC491" s="138">
        <v>1000</v>
      </c>
      <c r="AD491" s="138">
        <v>4000</v>
      </c>
      <c r="AE491" s="138">
        <f>SUM($R$141:$R491)+SUM($X$141:$X491)</f>
        <v>6666400</v>
      </c>
      <c r="AF491" s="138">
        <f>SUM($Q$142:Q491)</f>
        <v>291798</v>
      </c>
      <c r="AG491" s="137">
        <f t="shared" si="139"/>
        <v>7541794</v>
      </c>
      <c r="AH491" s="139">
        <f>SUM($S$141:S491)</f>
        <v>7040.36471118013</v>
      </c>
      <c r="AI491" s="133">
        <f t="shared" si="140"/>
        <v>24.4503546099291</v>
      </c>
      <c r="AJ491" s="15">
        <f t="shared" si="141"/>
        <v>2112600</v>
      </c>
    </row>
    <row r="492" ht="18" spans="1:36">
      <c r="A492" s="9" t="s">
        <v>294</v>
      </c>
      <c r="B492" s="9" t="str">
        <f t="shared" si="127"/>
        <v>[{5205001,3},{2,98360}]</v>
      </c>
      <c r="C492" s="51" t="str">
        <f t="shared" si="128"/>
        <v>[{5203001,1715},{2,24660}]</v>
      </c>
      <c r="D492" s="140">
        <v>352</v>
      </c>
      <c r="E492" s="130">
        <f t="shared" si="129"/>
        <v>7090</v>
      </c>
      <c r="F492" s="130">
        <f t="shared" si="124"/>
        <v>1430</v>
      </c>
      <c r="G492" s="130">
        <v>300</v>
      </c>
      <c r="H492" s="130">
        <f t="shared" si="143"/>
        <v>0</v>
      </c>
      <c r="I492" s="130">
        <f>IF(COUNTIF($I$141:$I491,$I491)=VLOOKUP($I491,$D$90:$E$120,2,0),$I491+1,$I491)</f>
        <v>30</v>
      </c>
      <c r="J492" s="131">
        <f t="shared" si="130"/>
        <v>174</v>
      </c>
      <c r="K492" s="132" t="str">
        <f t="shared" si="131"/>
        <v/>
      </c>
      <c r="L492" s="132">
        <f t="shared" si="132"/>
        <v>0.03</v>
      </c>
      <c r="M492" s="132" t="str">
        <f t="shared" si="133"/>
        <v/>
      </c>
      <c r="N492" s="132"/>
      <c r="O492" s="132" t="str">
        <f t="shared" si="134"/>
        <v/>
      </c>
      <c r="P492" s="141">
        <f>(SUM($Q$142:Q492)-SUM($H$141:H492))/SUM($H$141:H492)</f>
        <v>1.87499265354099</v>
      </c>
      <c r="Q492" s="142">
        <f t="shared" si="126"/>
        <v>1710</v>
      </c>
      <c r="R492" s="142">
        <f t="shared" si="144"/>
        <v>24590</v>
      </c>
      <c r="S492" s="133">
        <f t="shared" si="137"/>
        <v>49.0404255319149</v>
      </c>
      <c r="T492" s="134">
        <f>INT(SUM($W$141:W492)/3)+1</f>
        <v>60</v>
      </c>
      <c r="U492" s="135" t="str">
        <f t="shared" si="135"/>
        <v/>
      </c>
      <c r="V492" s="67" t="s">
        <v>91</v>
      </c>
      <c r="W492" s="137">
        <f t="shared" si="138"/>
        <v>3</v>
      </c>
      <c r="X492" s="137">
        <f t="shared" si="136"/>
        <v>98360</v>
      </c>
      <c r="Y492" s="138"/>
      <c r="Z492" s="138">
        <v>2</v>
      </c>
      <c r="AA492" s="138">
        <v>3</v>
      </c>
      <c r="AB492" s="138" t="str">
        <f t="shared" si="142"/>
        <v>{10000,9000,8000}</v>
      </c>
      <c r="AC492" s="138">
        <v>1000</v>
      </c>
      <c r="AD492" s="138">
        <v>4000</v>
      </c>
      <c r="AE492" s="138">
        <f>SUM($R$141:$R492)+SUM($X$141:$X492)</f>
        <v>6789350</v>
      </c>
      <c r="AF492" s="138">
        <f>SUM($Q$142:Q492)</f>
        <v>293508</v>
      </c>
      <c r="AG492" s="137">
        <f t="shared" si="139"/>
        <v>7669874</v>
      </c>
      <c r="AH492" s="139">
        <f>SUM($S$141:S492)</f>
        <v>7089.40513671204</v>
      </c>
      <c r="AI492" s="133">
        <f t="shared" si="140"/>
        <v>24.5202127659574</v>
      </c>
      <c r="AJ492" s="15">
        <f t="shared" si="141"/>
        <v>2118600</v>
      </c>
    </row>
    <row r="493" ht="18" spans="1:36">
      <c r="A493" s="9" t="s">
        <v>292</v>
      </c>
      <c r="B493" s="9" t="str">
        <f t="shared" si="127"/>
        <v>[{5205001,3},{2,}]</v>
      </c>
      <c r="C493" s="51" t="str">
        <f t="shared" si="128"/>
        <v>[{5203001,1720},{2,24730}]</v>
      </c>
      <c r="D493" s="140">
        <v>353</v>
      </c>
      <c r="E493" s="130">
        <f t="shared" si="129"/>
        <v>7139</v>
      </c>
      <c r="F493" s="130">
        <f t="shared" si="124"/>
        <v>1435</v>
      </c>
      <c r="G493" s="130">
        <v>300</v>
      </c>
      <c r="H493" s="130">
        <f t="shared" si="143"/>
        <v>0</v>
      </c>
      <c r="I493" s="130">
        <f>IF(COUNTIF($I$141:$I492,$I492)=VLOOKUP($I492,$D$90:$E$120,2,0),$I492+1,$I492)</f>
        <v>30</v>
      </c>
      <c r="J493" s="131">
        <f t="shared" si="130"/>
        <v>174</v>
      </c>
      <c r="K493" s="132">
        <f t="shared" si="131"/>
        <v>0.05</v>
      </c>
      <c r="L493" s="132" t="str">
        <f t="shared" si="132"/>
        <v/>
      </c>
      <c r="M493" s="132" t="str">
        <f t="shared" si="133"/>
        <v/>
      </c>
      <c r="N493" s="132"/>
      <c r="O493" s="132" t="str">
        <f t="shared" si="134"/>
        <v/>
      </c>
      <c r="P493" s="141">
        <f>(SUM($Q$142:Q493)-SUM($H$141:H493))/SUM($H$141:H493)</f>
        <v>1.89179155646978</v>
      </c>
      <c r="Q493" s="142">
        <f t="shared" si="126"/>
        <v>1715</v>
      </c>
      <c r="R493" s="142">
        <f t="shared" si="144"/>
        <v>24660</v>
      </c>
      <c r="S493" s="133">
        <f t="shared" si="137"/>
        <v>49.1801418439716</v>
      </c>
      <c r="T493" s="134">
        <f>INT(SUM($W$141:W493)/3)+1</f>
        <v>60</v>
      </c>
      <c r="U493" s="135" t="str">
        <f t="shared" si="135"/>
        <v/>
      </c>
      <c r="V493" s="67" t="s">
        <v>168</v>
      </c>
      <c r="W493" s="137" t="str">
        <f t="shared" si="138"/>
        <v/>
      </c>
      <c r="X493" s="137" t="str">
        <f t="shared" si="136"/>
        <v/>
      </c>
      <c r="Y493" s="138"/>
      <c r="Z493" s="138">
        <v>2</v>
      </c>
      <c r="AA493" s="138">
        <v>3</v>
      </c>
      <c r="AB493" s="138" t="str">
        <f t="shared" si="142"/>
        <v>{10000,9000,8000}</v>
      </c>
      <c r="AC493" s="138">
        <v>1000</v>
      </c>
      <c r="AD493" s="138">
        <v>4000</v>
      </c>
      <c r="AE493" s="138">
        <f>SUM($R$141:$R493)+SUM($X$141:$X493)</f>
        <v>6814010</v>
      </c>
      <c r="AF493" s="138">
        <f>SUM($Q$142:Q493)</f>
        <v>295223</v>
      </c>
      <c r="AG493" s="137">
        <f t="shared" si="139"/>
        <v>7699679</v>
      </c>
      <c r="AH493" s="139">
        <f>SUM($S$141:S493)</f>
        <v>7138.58527855602</v>
      </c>
      <c r="AI493" s="133">
        <f t="shared" si="140"/>
        <v>24.5900709219858</v>
      </c>
      <c r="AJ493" s="15">
        <f t="shared" si="141"/>
        <v>2124600</v>
      </c>
    </row>
    <row r="494" ht="18" spans="1:36">
      <c r="A494" s="9" t="str">
        <f>SUBSTITUTE(A493,"队长伤害","队长技能冷却")</f>
        <v>队长攻击力+174\n队长技能冷却+5%</v>
      </c>
      <c r="B494" s="9" t="str">
        <f t="shared" si="127"/>
        <v>[{5205001,3},{2,}]</v>
      </c>
      <c r="C494" s="51" t="str">
        <f t="shared" si="128"/>
        <v>[{5203001,1725},{2,24800}]</v>
      </c>
      <c r="D494" s="140">
        <v>354</v>
      </c>
      <c r="E494" s="130">
        <f t="shared" si="129"/>
        <v>7188</v>
      </c>
      <c r="F494" s="130">
        <f t="shared" ref="F494:F521" si="145">F493+5</f>
        <v>1440</v>
      </c>
      <c r="G494" s="130">
        <v>300</v>
      </c>
      <c r="H494" s="130">
        <f t="shared" si="143"/>
        <v>0</v>
      </c>
      <c r="I494" s="130">
        <f>IF(COUNTIF($I$141:$I493,$I493)=VLOOKUP($I493,$D$90:$E$120,2,0),$I493+1,$I493)</f>
        <v>30</v>
      </c>
      <c r="J494" s="131">
        <f t="shared" si="130"/>
        <v>174</v>
      </c>
      <c r="K494" s="132" t="str">
        <f t="shared" si="131"/>
        <v/>
      </c>
      <c r="L494" s="132" t="str">
        <f t="shared" si="132"/>
        <v/>
      </c>
      <c r="M494" s="132" t="str">
        <f t="shared" si="133"/>
        <v/>
      </c>
      <c r="N494" s="132"/>
      <c r="O494" s="132" t="str">
        <f t="shared" si="134"/>
        <v/>
      </c>
      <c r="P494" s="141">
        <f>(SUM($Q$142:Q494)-SUM($H$141:H494))/SUM($H$141:H494)</f>
        <v>1.90863943579195</v>
      </c>
      <c r="Q494" s="142">
        <f t="shared" si="126"/>
        <v>1720</v>
      </c>
      <c r="R494" s="142">
        <f t="shared" si="144"/>
        <v>24730</v>
      </c>
      <c r="S494" s="133">
        <f t="shared" si="137"/>
        <v>49.3198581560284</v>
      </c>
      <c r="T494" s="134">
        <f>INT(SUM($W$141:W494)/3)+1</f>
        <v>60</v>
      </c>
      <c r="U494" s="135" t="str">
        <f t="shared" si="135"/>
        <v/>
      </c>
      <c r="V494" s="67" t="s">
        <v>168</v>
      </c>
      <c r="W494" s="137" t="str">
        <f t="shared" si="138"/>
        <v/>
      </c>
      <c r="X494" s="137" t="str">
        <f t="shared" si="136"/>
        <v/>
      </c>
      <c r="Y494" s="138"/>
      <c r="Z494" s="138">
        <v>2</v>
      </c>
      <c r="AA494" s="138">
        <v>3</v>
      </c>
      <c r="AB494" s="138" t="str">
        <f t="shared" si="142"/>
        <v>{10000,9000,8000}</v>
      </c>
      <c r="AC494" s="138">
        <v>1000</v>
      </c>
      <c r="AD494" s="138">
        <v>4000</v>
      </c>
      <c r="AE494" s="138">
        <f>SUM($R$141:$R494)+SUM($X$141:$X494)</f>
        <v>6838740</v>
      </c>
      <c r="AF494" s="138">
        <f>SUM($Q$142:Q494)</f>
        <v>296943</v>
      </c>
      <c r="AG494" s="137">
        <f t="shared" si="139"/>
        <v>7729569</v>
      </c>
      <c r="AH494" s="139">
        <f>SUM($S$141:S494)</f>
        <v>7187.90513671204</v>
      </c>
      <c r="AI494" s="133">
        <f t="shared" si="140"/>
        <v>24.6599290780142</v>
      </c>
      <c r="AJ494" s="15">
        <f t="shared" si="141"/>
        <v>2130900</v>
      </c>
    </row>
    <row r="495" ht="18" spans="1:36">
      <c r="A495" s="9" t="s">
        <v>293</v>
      </c>
      <c r="B495" s="9" t="str">
        <f t="shared" si="127"/>
        <v>[{5205001,3},{2,}]</v>
      </c>
      <c r="C495" s="51" t="str">
        <f t="shared" si="128"/>
        <v>[{5203001,1730},{2,24870}]</v>
      </c>
      <c r="D495" s="140">
        <v>355</v>
      </c>
      <c r="E495" s="130">
        <f t="shared" si="129"/>
        <v>7238</v>
      </c>
      <c r="F495" s="130">
        <f t="shared" si="145"/>
        <v>1445</v>
      </c>
      <c r="G495" s="130">
        <v>300</v>
      </c>
      <c r="H495" s="130">
        <f t="shared" si="143"/>
        <v>0</v>
      </c>
      <c r="I495" s="130">
        <f>IF(COUNTIF($I$141:$I494,$I494)=VLOOKUP($I494,$D$90:$E$120,2,0),$I494+1,$I494)</f>
        <v>30</v>
      </c>
      <c r="J495" s="131">
        <f t="shared" si="130"/>
        <v>174</v>
      </c>
      <c r="K495" s="132" t="str">
        <f t="shared" si="131"/>
        <v/>
      </c>
      <c r="L495" s="132" t="str">
        <f t="shared" si="132"/>
        <v/>
      </c>
      <c r="M495" s="132">
        <f t="shared" si="133"/>
        <v>0.002</v>
      </c>
      <c r="N495" s="132"/>
      <c r="O495" s="132" t="str">
        <f t="shared" si="134"/>
        <v/>
      </c>
      <c r="P495" s="141">
        <f>(SUM($Q$142:Q495)-SUM($H$141:H495))/SUM($H$141:H495)</f>
        <v>1.92553629150749</v>
      </c>
      <c r="Q495" s="142">
        <f t="shared" si="126"/>
        <v>1725</v>
      </c>
      <c r="R495" s="142">
        <f t="shared" si="144"/>
        <v>24800</v>
      </c>
      <c r="S495" s="133">
        <f t="shared" si="137"/>
        <v>49.4595744680851</v>
      </c>
      <c r="T495" s="134">
        <f>INT(SUM($W$141:W495)/3)+1</f>
        <v>60</v>
      </c>
      <c r="U495" s="135" t="str">
        <f t="shared" si="135"/>
        <v/>
      </c>
      <c r="V495" s="67" t="s">
        <v>168</v>
      </c>
      <c r="W495" s="137" t="str">
        <f t="shared" si="138"/>
        <v/>
      </c>
      <c r="X495" s="137" t="str">
        <f t="shared" si="136"/>
        <v/>
      </c>
      <c r="Y495" s="138"/>
      <c r="Z495" s="138">
        <v>2</v>
      </c>
      <c r="AA495" s="138">
        <v>3</v>
      </c>
      <c r="AB495" s="138" t="str">
        <f t="shared" si="142"/>
        <v>{10000,9000,8000}</v>
      </c>
      <c r="AC495" s="138">
        <v>1000</v>
      </c>
      <c r="AD495" s="138">
        <v>4000</v>
      </c>
      <c r="AE495" s="138">
        <f>SUM($R$141:$R495)+SUM($X$141:$X495)</f>
        <v>6863540</v>
      </c>
      <c r="AF495" s="138">
        <f>SUM($Q$142:Q495)</f>
        <v>298668</v>
      </c>
      <c r="AG495" s="137">
        <f t="shared" si="139"/>
        <v>7759544</v>
      </c>
      <c r="AH495" s="139">
        <f>SUM($S$141:S495)</f>
        <v>7237.36471118013</v>
      </c>
      <c r="AI495" s="133">
        <f t="shared" si="140"/>
        <v>24.7297872340426</v>
      </c>
      <c r="AJ495" s="15">
        <f t="shared" si="141"/>
        <v>2136900</v>
      </c>
    </row>
    <row r="496" ht="18" spans="1:36">
      <c r="A496" s="9" t="s">
        <v>294</v>
      </c>
      <c r="B496" s="9" t="str">
        <f t="shared" si="127"/>
        <v>[{5205001,3},{2,}]</v>
      </c>
      <c r="C496" s="51" t="str">
        <f t="shared" si="128"/>
        <v>[{5203001,1735},{2,24940}]</v>
      </c>
      <c r="D496" s="140">
        <v>356</v>
      </c>
      <c r="E496" s="130">
        <f t="shared" si="129"/>
        <v>7287</v>
      </c>
      <c r="F496" s="130">
        <f t="shared" si="145"/>
        <v>1450</v>
      </c>
      <c r="G496" s="130">
        <v>300</v>
      </c>
      <c r="H496" s="130">
        <f t="shared" si="143"/>
        <v>0</v>
      </c>
      <c r="I496" s="130">
        <f>IF(COUNTIF($I$141:$I495,$I495)=VLOOKUP($I495,$D$90:$E$120,2,0),$I495+1,$I495)</f>
        <v>30</v>
      </c>
      <c r="J496" s="131">
        <f t="shared" si="130"/>
        <v>174</v>
      </c>
      <c r="K496" s="132" t="str">
        <f t="shared" si="131"/>
        <v/>
      </c>
      <c r="L496" s="132">
        <f t="shared" si="132"/>
        <v>0.03</v>
      </c>
      <c r="M496" s="132" t="str">
        <f t="shared" si="133"/>
        <v/>
      </c>
      <c r="N496" s="132"/>
      <c r="O496" s="132" t="str">
        <f t="shared" si="134"/>
        <v/>
      </c>
      <c r="P496" s="141">
        <f>(SUM($Q$142:Q496)-SUM($H$141:H496))/SUM($H$141:H496)</f>
        <v>1.94248212361642</v>
      </c>
      <c r="Q496" s="142">
        <f t="shared" si="126"/>
        <v>1730</v>
      </c>
      <c r="R496" s="142">
        <f t="shared" si="144"/>
        <v>24870</v>
      </c>
      <c r="S496" s="133">
        <f t="shared" si="137"/>
        <v>49.5992907801418</v>
      </c>
      <c r="T496" s="134">
        <f>INT(SUM($W$141:W496)/3)+1</f>
        <v>60</v>
      </c>
      <c r="U496" s="135" t="str">
        <f t="shared" si="135"/>
        <v/>
      </c>
      <c r="V496" s="67" t="s">
        <v>168</v>
      </c>
      <c r="W496" s="137" t="str">
        <f t="shared" si="138"/>
        <v/>
      </c>
      <c r="X496" s="137" t="str">
        <f t="shared" si="136"/>
        <v/>
      </c>
      <c r="Y496" s="138"/>
      <c r="Z496" s="138">
        <v>2</v>
      </c>
      <c r="AA496" s="138">
        <v>3</v>
      </c>
      <c r="AB496" s="138" t="str">
        <f t="shared" si="142"/>
        <v>{10000,9000,8000}</v>
      </c>
      <c r="AC496" s="138">
        <v>1000</v>
      </c>
      <c r="AD496" s="138">
        <v>4000</v>
      </c>
      <c r="AE496" s="138">
        <f>SUM($R$141:$R496)+SUM($X$141:$X496)</f>
        <v>6888410</v>
      </c>
      <c r="AF496" s="138">
        <f>SUM($Q$142:Q496)</f>
        <v>300398</v>
      </c>
      <c r="AG496" s="137">
        <f t="shared" si="139"/>
        <v>7789604</v>
      </c>
      <c r="AH496" s="139">
        <f>SUM($S$141:S496)</f>
        <v>7286.96400196027</v>
      </c>
      <c r="AI496" s="133">
        <f t="shared" si="140"/>
        <v>24.7996453900709</v>
      </c>
      <c r="AJ496" s="15">
        <f t="shared" si="141"/>
        <v>2142900</v>
      </c>
    </row>
    <row r="497" ht="18" spans="1:36">
      <c r="A497" s="9" t="s">
        <v>292</v>
      </c>
      <c r="B497" s="9" t="str">
        <f t="shared" si="127"/>
        <v>[{5205001,3},{2,}]</v>
      </c>
      <c r="C497" s="51" t="str">
        <f t="shared" si="128"/>
        <v>[{5203001,1740},{2,25010}]</v>
      </c>
      <c r="D497" s="140">
        <v>357</v>
      </c>
      <c r="E497" s="130">
        <f t="shared" si="129"/>
        <v>7337</v>
      </c>
      <c r="F497" s="130">
        <f t="shared" si="145"/>
        <v>1455</v>
      </c>
      <c r="G497" s="130">
        <v>300</v>
      </c>
      <c r="H497" s="130">
        <f t="shared" si="143"/>
        <v>0</v>
      </c>
      <c r="I497" s="130">
        <f>IF(COUNTIF($I$141:$I496,$I496)=VLOOKUP($I496,$D$90:$E$120,2,0),$I496+1,$I496)</f>
        <v>30</v>
      </c>
      <c r="J497" s="131">
        <f t="shared" si="130"/>
        <v>174</v>
      </c>
      <c r="K497" s="132">
        <f t="shared" si="131"/>
        <v>0.05</v>
      </c>
      <c r="L497" s="132" t="str">
        <f t="shared" si="132"/>
        <v/>
      </c>
      <c r="M497" s="132" t="str">
        <f t="shared" si="133"/>
        <v/>
      </c>
      <c r="N497" s="132"/>
      <c r="O497" s="132" t="str">
        <f t="shared" si="134"/>
        <v/>
      </c>
      <c r="P497" s="141">
        <f>(SUM($Q$142:Q497)-SUM($H$141:H497))/SUM($H$141:H497)</f>
        <v>1.95947693211872</v>
      </c>
      <c r="Q497" s="142">
        <f t="shared" si="126"/>
        <v>1735</v>
      </c>
      <c r="R497" s="142">
        <f t="shared" si="144"/>
        <v>24940</v>
      </c>
      <c r="S497" s="133">
        <f t="shared" si="137"/>
        <v>49.7390070921986</v>
      </c>
      <c r="T497" s="134">
        <f>INT(SUM($W$141:W497)/3)+1</f>
        <v>60</v>
      </c>
      <c r="U497" s="135" t="str">
        <f t="shared" si="135"/>
        <v/>
      </c>
      <c r="V497" s="67" t="s">
        <v>168</v>
      </c>
      <c r="W497" s="137" t="str">
        <f t="shared" si="138"/>
        <v/>
      </c>
      <c r="X497" s="137" t="str">
        <f t="shared" si="136"/>
        <v/>
      </c>
      <c r="Y497" s="138"/>
      <c r="Z497" s="138">
        <v>2</v>
      </c>
      <c r="AA497" s="138">
        <v>3</v>
      </c>
      <c r="AB497" s="138" t="str">
        <f t="shared" si="142"/>
        <v>{10000,9000,8000}</v>
      </c>
      <c r="AC497" s="138">
        <v>1000</v>
      </c>
      <c r="AD497" s="138">
        <v>4000</v>
      </c>
      <c r="AE497" s="138">
        <f>SUM($R$141:$R497)+SUM($X$141:$X497)</f>
        <v>6913350</v>
      </c>
      <c r="AF497" s="138">
        <f>SUM($Q$142:Q497)</f>
        <v>302133</v>
      </c>
      <c r="AG497" s="137">
        <f t="shared" si="139"/>
        <v>7819749</v>
      </c>
      <c r="AH497" s="139">
        <f>SUM($S$141:S497)</f>
        <v>7336.70300905247</v>
      </c>
      <c r="AI497" s="133">
        <f t="shared" si="140"/>
        <v>24.8695035460993</v>
      </c>
      <c r="AJ497" s="15">
        <f t="shared" si="141"/>
        <v>2148900</v>
      </c>
    </row>
    <row r="498" ht="18" spans="1:36">
      <c r="A498" s="9" t="str">
        <f>SUBSTITUTE(A497,"队长伤害","队长技能冷却")</f>
        <v>队长攻击力+174\n队长技能冷却+5%</v>
      </c>
      <c r="B498" s="9" t="str">
        <f t="shared" si="127"/>
        <v>[{5205001,3},{2,}]</v>
      </c>
      <c r="C498" s="51" t="str">
        <f t="shared" si="128"/>
        <v>[{5203001,1745},{2,25080}]</v>
      </c>
      <c r="D498" s="140">
        <v>358</v>
      </c>
      <c r="E498" s="130">
        <f t="shared" si="129"/>
        <v>7387</v>
      </c>
      <c r="F498" s="130">
        <f t="shared" si="145"/>
        <v>1460</v>
      </c>
      <c r="G498" s="130">
        <v>300</v>
      </c>
      <c r="H498" s="130">
        <f t="shared" si="143"/>
        <v>0</v>
      </c>
      <c r="I498" s="130">
        <f>IF(COUNTIF($I$141:$I497,$I497)=VLOOKUP($I497,$D$90:$E$120,2,0),$I497+1,$I497)</f>
        <v>30</v>
      </c>
      <c r="J498" s="131">
        <f t="shared" si="130"/>
        <v>174</v>
      </c>
      <c r="K498" s="132" t="str">
        <f t="shared" si="131"/>
        <v/>
      </c>
      <c r="L498" s="132" t="str">
        <f t="shared" si="132"/>
        <v/>
      </c>
      <c r="M498" s="132" t="str">
        <f t="shared" si="133"/>
        <v/>
      </c>
      <c r="N498" s="132"/>
      <c r="O498" s="132" t="str">
        <f t="shared" si="134"/>
        <v/>
      </c>
      <c r="P498" s="141">
        <f>(SUM($Q$142:Q498)-SUM($H$141:H498))/SUM($H$141:H498)</f>
        <v>1.9765207170144</v>
      </c>
      <c r="Q498" s="142">
        <f t="shared" si="126"/>
        <v>1740</v>
      </c>
      <c r="R498" s="142">
        <f t="shared" si="144"/>
        <v>25010</v>
      </c>
      <c r="S498" s="133">
        <f t="shared" si="137"/>
        <v>49.8787234042553</v>
      </c>
      <c r="T498" s="134">
        <f>INT(SUM($W$141:W498)/3)+1</f>
        <v>60</v>
      </c>
      <c r="U498" s="135" t="str">
        <f t="shared" si="135"/>
        <v/>
      </c>
      <c r="V498" s="67" t="s">
        <v>168</v>
      </c>
      <c r="W498" s="137" t="str">
        <f t="shared" si="138"/>
        <v/>
      </c>
      <c r="X498" s="137" t="str">
        <f t="shared" si="136"/>
        <v/>
      </c>
      <c r="Y498" s="138"/>
      <c r="Z498" s="138">
        <v>2</v>
      </c>
      <c r="AA498" s="138">
        <v>3</v>
      </c>
      <c r="AB498" s="138" t="str">
        <f t="shared" si="142"/>
        <v>{10000,9000,8000}</v>
      </c>
      <c r="AC498" s="138">
        <v>1000</v>
      </c>
      <c r="AD498" s="138">
        <v>4000</v>
      </c>
      <c r="AE498" s="138">
        <f>SUM($R$141:$R498)+SUM($X$141:$X498)</f>
        <v>6938360</v>
      </c>
      <c r="AF498" s="138">
        <f>SUM($Q$142:Q498)</f>
        <v>303873</v>
      </c>
      <c r="AG498" s="137">
        <f t="shared" si="139"/>
        <v>7849979</v>
      </c>
      <c r="AH498" s="139">
        <f>SUM($S$141:S498)</f>
        <v>7386.58173245673</v>
      </c>
      <c r="AI498" s="133">
        <f t="shared" si="140"/>
        <v>24.9393617021277</v>
      </c>
      <c r="AJ498" s="15">
        <f t="shared" si="141"/>
        <v>2154900</v>
      </c>
    </row>
    <row r="499" ht="18" spans="1:36">
      <c r="A499" s="9" t="s">
        <v>293</v>
      </c>
      <c r="B499" s="9" t="str">
        <f t="shared" si="127"/>
        <v>[{5205001,3},{2,}]</v>
      </c>
      <c r="C499" s="51" t="str">
        <f t="shared" si="128"/>
        <v>[{5203001,1750},{2,25150}]</v>
      </c>
      <c r="D499" s="140">
        <v>359</v>
      </c>
      <c r="E499" s="130">
        <f t="shared" si="129"/>
        <v>7437</v>
      </c>
      <c r="F499" s="130">
        <f t="shared" si="145"/>
        <v>1465</v>
      </c>
      <c r="G499" s="130">
        <v>300</v>
      </c>
      <c r="H499" s="130">
        <f t="shared" si="143"/>
        <v>0</v>
      </c>
      <c r="I499" s="130">
        <f>IF(COUNTIF($I$141:$I498,$I498)=VLOOKUP($I498,$D$90:$E$120,2,0),$I498+1,$I498)</f>
        <v>30</v>
      </c>
      <c r="J499" s="131">
        <f t="shared" si="130"/>
        <v>174</v>
      </c>
      <c r="K499" s="132" t="str">
        <f t="shared" si="131"/>
        <v/>
      </c>
      <c r="L499" s="132" t="str">
        <f t="shared" si="132"/>
        <v/>
      </c>
      <c r="M499" s="132">
        <f t="shared" si="133"/>
        <v>0.002</v>
      </c>
      <c r="N499" s="132"/>
      <c r="O499" s="132" t="str">
        <f t="shared" si="134"/>
        <v/>
      </c>
      <c r="P499" s="141">
        <f>(SUM($Q$142:Q499)-SUM($H$141:H499))/SUM($H$141:H499)</f>
        <v>1.99361347830346</v>
      </c>
      <c r="Q499" s="142">
        <f t="shared" si="126"/>
        <v>1745</v>
      </c>
      <c r="R499" s="142">
        <f t="shared" si="144"/>
        <v>25080</v>
      </c>
      <c r="S499" s="133">
        <f t="shared" si="137"/>
        <v>50.0184397163121</v>
      </c>
      <c r="T499" s="134">
        <f>INT(SUM($W$141:W499)/3)+1</f>
        <v>60</v>
      </c>
      <c r="U499" s="135" t="str">
        <f t="shared" si="135"/>
        <v/>
      </c>
      <c r="V499" s="67" t="s">
        <v>168</v>
      </c>
      <c r="W499" s="137" t="str">
        <f t="shared" si="138"/>
        <v/>
      </c>
      <c r="X499" s="137" t="str">
        <f t="shared" si="136"/>
        <v/>
      </c>
      <c r="Y499" s="138"/>
      <c r="Z499" s="138">
        <v>2</v>
      </c>
      <c r="AA499" s="138">
        <v>3</v>
      </c>
      <c r="AB499" s="138" t="str">
        <f t="shared" si="142"/>
        <v>{10000,9000,8000}</v>
      </c>
      <c r="AC499" s="138">
        <v>1000</v>
      </c>
      <c r="AD499" s="138">
        <v>4000</v>
      </c>
      <c r="AE499" s="138">
        <f>SUM($R$141:$R499)+SUM($X$141:$X499)</f>
        <v>6963440</v>
      </c>
      <c r="AF499" s="138">
        <f>SUM($Q$142:Q499)</f>
        <v>305618</v>
      </c>
      <c r="AG499" s="137">
        <f t="shared" si="139"/>
        <v>7880294</v>
      </c>
      <c r="AH499" s="139">
        <f>SUM($S$141:S499)</f>
        <v>7436.60017217304</v>
      </c>
      <c r="AI499" s="133">
        <f t="shared" si="140"/>
        <v>25.009219858156</v>
      </c>
      <c r="AJ499" s="15">
        <f t="shared" si="141"/>
        <v>2160900</v>
      </c>
    </row>
    <row r="500" ht="18" spans="1:36">
      <c r="A500" s="9" t="s">
        <v>294</v>
      </c>
      <c r="B500" s="9" t="str">
        <f t="shared" si="127"/>
        <v>[{5205001,3},{2,100600}]</v>
      </c>
      <c r="C500" s="51" t="str">
        <f t="shared" si="128"/>
        <v>[{5203001,},{2,}]</v>
      </c>
      <c r="D500" s="140">
        <v>360</v>
      </c>
      <c r="E500" s="130">
        <f t="shared" si="129"/>
        <v>7487</v>
      </c>
      <c r="F500" s="130">
        <f t="shared" si="145"/>
        <v>1470</v>
      </c>
      <c r="G500" s="130">
        <v>300</v>
      </c>
      <c r="H500" s="130">
        <f t="shared" si="143"/>
        <v>0</v>
      </c>
      <c r="I500" s="130">
        <f>IF(COUNTIF($I$141:$I499,$I499)=VLOOKUP($I499,$D$90:$E$120,2,0),$I499+1,$I499)</f>
        <v>30</v>
      </c>
      <c r="J500" s="131">
        <f t="shared" si="130"/>
        <v>174</v>
      </c>
      <c r="K500" s="132" t="str">
        <f t="shared" si="131"/>
        <v/>
      </c>
      <c r="L500" s="132">
        <f t="shared" si="132"/>
        <v>0.03</v>
      </c>
      <c r="M500" s="132" t="str">
        <f t="shared" si="133"/>
        <v/>
      </c>
      <c r="N500" s="132"/>
      <c r="O500" s="132" t="str">
        <f t="shared" si="134"/>
        <v/>
      </c>
      <c r="P500" s="141">
        <f>(SUM($Q$142:Q500)-SUM($H$141:H500))/SUM($H$141:H500)</f>
        <v>2.01075521598589</v>
      </c>
      <c r="Q500" s="142">
        <f t="shared" si="126"/>
        <v>1750</v>
      </c>
      <c r="R500" s="142">
        <f t="shared" si="144"/>
        <v>25150</v>
      </c>
      <c r="S500" s="133">
        <f t="shared" si="137"/>
        <v>50.1581560283688</v>
      </c>
      <c r="T500" s="134">
        <f>INT(SUM($W$141:W500)/3)+1</f>
        <v>61</v>
      </c>
      <c r="U500" s="135" t="str">
        <f t="shared" si="135"/>
        <v>75</v>
      </c>
      <c r="V500" s="67" t="s">
        <v>101</v>
      </c>
      <c r="W500" s="137">
        <f t="shared" si="138"/>
        <v>3</v>
      </c>
      <c r="X500" s="137">
        <f t="shared" si="136"/>
        <v>100600</v>
      </c>
      <c r="Y500" s="138"/>
      <c r="Z500" s="138">
        <v>2</v>
      </c>
      <c r="AA500" s="138">
        <v>3</v>
      </c>
      <c r="AB500" s="138" t="str">
        <f t="shared" si="142"/>
        <v>{10000,9000,8000}</v>
      </c>
      <c r="AC500" s="138">
        <v>1000</v>
      </c>
      <c r="AD500" s="138">
        <v>4000</v>
      </c>
      <c r="AE500" s="138">
        <f>SUM($R$141:$R500)+SUM($X$141:$X500)</f>
        <v>7089190</v>
      </c>
      <c r="AF500" s="138">
        <f>SUM($Q$142:Q500)</f>
        <v>307368</v>
      </c>
      <c r="AG500" s="137">
        <f t="shared" si="139"/>
        <v>8011294</v>
      </c>
      <c r="AH500" s="139">
        <f>SUM($S$141:S500)</f>
        <v>7486.75832820141</v>
      </c>
      <c r="AI500" s="133">
        <f t="shared" si="140"/>
        <v>25.0790780141844</v>
      </c>
      <c r="AJ500" s="15">
        <f t="shared" si="141"/>
        <v>2166900</v>
      </c>
    </row>
    <row r="501" ht="18" spans="1:36">
      <c r="A501" s="9"/>
      <c r="B501" s="9" t="str">
        <f t="shared" si="127"/>
        <v>[{5205001,3},{2,}]</v>
      </c>
      <c r="C501" s="51"/>
      <c r="D501" s="9"/>
      <c r="E501" s="9"/>
      <c r="F501" s="130">
        <f t="shared" si="145"/>
        <v>1475</v>
      </c>
      <c r="O501" s="132" t="str">
        <f t="shared" si="134"/>
        <v/>
      </c>
      <c r="T501" s="134"/>
      <c r="U501" s="135" t="str">
        <f t="shared" si="135"/>
        <v/>
      </c>
      <c r="V501" s="67" t="s">
        <v>168</v>
      </c>
      <c r="AA501" s="138">
        <v>3</v>
      </c>
      <c r="AH501" s="15">
        <f t="shared" ref="AH501:AH515" si="146">INT(R501*3600*24)</f>
        <v>0</v>
      </c>
    </row>
    <row r="502" ht="18" spans="1:36">
      <c r="A502" s="9"/>
      <c r="B502" s="9" t="str">
        <f t="shared" si="127"/>
        <v>[{5205001,3},{2,}]</v>
      </c>
      <c r="C502" s="51"/>
      <c r="D502" s="9"/>
      <c r="E502" s="9"/>
      <c r="F502" s="130">
        <f t="shared" si="145"/>
        <v>1480</v>
      </c>
      <c r="O502" s="132" t="str">
        <f t="shared" si="134"/>
        <v/>
      </c>
      <c r="T502" s="134"/>
      <c r="U502" s="135" t="str">
        <f t="shared" si="135"/>
        <v/>
      </c>
      <c r="V502" s="67" t="s">
        <v>168</v>
      </c>
      <c r="AA502" s="138">
        <v>3</v>
      </c>
      <c r="AH502" s="15">
        <f t="shared" si="146"/>
        <v>0</v>
      </c>
    </row>
    <row r="503" ht="18" spans="1:36">
      <c r="A503" s="9"/>
      <c r="B503" s="9" t="str">
        <f t="shared" si="127"/>
        <v>[{5205001,3},{2,}]</v>
      </c>
      <c r="C503" s="51"/>
      <c r="D503" s="9"/>
      <c r="E503" s="9"/>
      <c r="F503" s="130">
        <f t="shared" si="145"/>
        <v>1485</v>
      </c>
      <c r="O503" s="132" t="str">
        <f t="shared" si="134"/>
        <v/>
      </c>
      <c r="T503" s="134"/>
      <c r="U503" s="135" t="str">
        <f t="shared" si="135"/>
        <v/>
      </c>
      <c r="V503" s="67" t="s">
        <v>168</v>
      </c>
      <c r="AA503" s="138">
        <v>3</v>
      </c>
      <c r="AH503" s="15">
        <f t="shared" si="146"/>
        <v>0</v>
      </c>
    </row>
    <row r="504" ht="18" spans="1:36">
      <c r="A504" s="9"/>
      <c r="B504" s="9" t="str">
        <f t="shared" si="127"/>
        <v>[{5205001,3},{2,}]</v>
      </c>
      <c r="C504" s="51"/>
      <c r="D504" s="9"/>
      <c r="E504" s="9"/>
      <c r="F504" s="130">
        <f t="shared" si="145"/>
        <v>1490</v>
      </c>
      <c r="O504" s="132" t="str">
        <f t="shared" si="134"/>
        <v/>
      </c>
      <c r="T504" s="134"/>
      <c r="U504" s="135" t="str">
        <f t="shared" si="135"/>
        <v/>
      </c>
      <c r="V504" s="67" t="s">
        <v>168</v>
      </c>
      <c r="AA504" s="138">
        <v>3</v>
      </c>
      <c r="AH504" s="15">
        <f t="shared" si="146"/>
        <v>0</v>
      </c>
    </row>
    <row r="505" ht="18" spans="1:36">
      <c r="A505" s="16" t="s">
        <v>18</v>
      </c>
      <c r="B505" s="9" t="str">
        <f t="shared" si="127"/>
        <v>[{5205001,3},{2,}]</v>
      </c>
      <c r="C505" s="51"/>
      <c r="D505" s="16"/>
      <c r="E505" s="16"/>
      <c r="F505" s="130">
        <f t="shared" si="145"/>
        <v>1495</v>
      </c>
      <c r="G505" s="16"/>
      <c r="H505" s="16"/>
      <c r="I505" s="16"/>
      <c r="J505" s="16"/>
      <c r="K505" s="16"/>
      <c r="L505" s="16"/>
      <c r="M505" s="16"/>
      <c r="N505" s="16"/>
      <c r="O505" s="132" t="str">
        <f t="shared" si="134"/>
        <v/>
      </c>
      <c r="P505" s="16"/>
      <c r="Q505" s="16"/>
      <c r="R505" s="16"/>
      <c r="S505" s="16"/>
      <c r="T505" s="134"/>
      <c r="U505" s="135" t="str">
        <f t="shared" si="135"/>
        <v/>
      </c>
      <c r="V505" s="67" t="s">
        <v>168</v>
      </c>
      <c r="AA505" s="138">
        <v>3</v>
      </c>
      <c r="AH505" s="15">
        <f t="shared" si="146"/>
        <v>0</v>
      </c>
    </row>
    <row r="506" ht="18" spans="1:36">
      <c r="B506" s="9" t="str">
        <f t="shared" si="127"/>
        <v>[{5205001,3},{2,}]</v>
      </c>
      <c r="C506" s="51"/>
      <c r="F506" s="130">
        <f t="shared" si="145"/>
        <v>1500</v>
      </c>
      <c r="O506" s="132" t="str">
        <f t="shared" si="134"/>
        <v/>
      </c>
      <c r="T506" s="134"/>
      <c r="U506" s="135" t="str">
        <f t="shared" si="135"/>
        <v/>
      </c>
      <c r="V506" s="67" t="s">
        <v>168</v>
      </c>
      <c r="AA506" s="138">
        <v>3</v>
      </c>
      <c r="AH506" s="15">
        <f t="shared" si="146"/>
        <v>0</v>
      </c>
    </row>
    <row r="507" ht="18" spans="1:36">
      <c r="B507" s="9" t="str">
        <f t="shared" si="127"/>
        <v>[{5205001,3},{2,}]</v>
      </c>
      <c r="C507" s="51"/>
      <c r="F507" s="130">
        <f t="shared" si="145"/>
        <v>1505</v>
      </c>
      <c r="O507" s="132" t="str">
        <f t="shared" si="134"/>
        <v/>
      </c>
      <c r="T507" s="134"/>
      <c r="U507" s="135" t="str">
        <f t="shared" si="135"/>
        <v/>
      </c>
      <c r="V507" s="67" t="s">
        <v>168</v>
      </c>
      <c r="AA507" s="138">
        <v>3</v>
      </c>
      <c r="AH507" s="15">
        <f t="shared" si="146"/>
        <v>0</v>
      </c>
    </row>
    <row r="508" ht="18" spans="1:36">
      <c r="B508" s="9" t="str">
        <f t="shared" si="127"/>
        <v>[{5205001,3},{2,}]</v>
      </c>
      <c r="C508" s="51"/>
      <c r="F508" s="130">
        <f t="shared" si="145"/>
        <v>1510</v>
      </c>
      <c r="O508" s="132" t="str">
        <f t="shared" si="134"/>
        <v/>
      </c>
      <c r="T508" s="134"/>
      <c r="U508" s="135" t="str">
        <f t="shared" si="135"/>
        <v/>
      </c>
      <c r="V508" s="67" t="s">
        <v>168</v>
      </c>
      <c r="AA508" s="138">
        <v>3</v>
      </c>
      <c r="AH508" s="15">
        <f t="shared" si="146"/>
        <v>0</v>
      </c>
    </row>
    <row r="509" ht="18" spans="1:36">
      <c r="B509" s="9" t="str">
        <f t="shared" si="127"/>
        <v>[{5205001,3},{2,}]</v>
      </c>
      <c r="C509" s="51"/>
      <c r="F509" s="130">
        <f t="shared" si="145"/>
        <v>1515</v>
      </c>
      <c r="O509" s="132" t="str">
        <f t="shared" si="134"/>
        <v/>
      </c>
      <c r="T509" s="134"/>
      <c r="U509" s="135" t="str">
        <f t="shared" si="135"/>
        <v/>
      </c>
      <c r="V509" s="67" t="s">
        <v>168</v>
      </c>
      <c r="AA509" s="138">
        <v>3</v>
      </c>
      <c r="AH509" s="15">
        <f t="shared" si="146"/>
        <v>0</v>
      </c>
    </row>
    <row r="510" ht="18" spans="1:36">
      <c r="B510" s="9" t="str">
        <f t="shared" si="127"/>
        <v>[{5205001,3},{2,}]</v>
      </c>
      <c r="C510" s="51"/>
      <c r="F510" s="130">
        <f t="shared" si="145"/>
        <v>1520</v>
      </c>
      <c r="O510" s="132" t="str">
        <f t="shared" si="134"/>
        <v/>
      </c>
      <c r="T510" s="134"/>
      <c r="U510" s="135" t="str">
        <f t="shared" si="135"/>
        <v/>
      </c>
      <c r="V510" s="67" t="s">
        <v>168</v>
      </c>
      <c r="AA510" s="138">
        <v>3</v>
      </c>
      <c r="AH510" s="15">
        <f t="shared" si="146"/>
        <v>0</v>
      </c>
    </row>
    <row r="511" ht="18" spans="1:36">
      <c r="B511" s="9" t="str">
        <f t="shared" si="127"/>
        <v>[{5205001,3},{2,}]</v>
      </c>
      <c r="C511" s="51"/>
      <c r="F511" s="130">
        <f t="shared" si="145"/>
        <v>1525</v>
      </c>
      <c r="O511" s="132" t="str">
        <f t="shared" si="134"/>
        <v/>
      </c>
      <c r="T511" s="134"/>
      <c r="U511" s="135" t="str">
        <f t="shared" si="135"/>
        <v/>
      </c>
      <c r="V511" s="67" t="s">
        <v>168</v>
      </c>
      <c r="AA511" s="138">
        <v>3</v>
      </c>
      <c r="AH511" s="15">
        <f t="shared" si="146"/>
        <v>0</v>
      </c>
    </row>
    <row r="512" ht="18" spans="1:36">
      <c r="B512" s="9" t="str">
        <f t="shared" si="127"/>
        <v>[{5205001,3},{2,}]</v>
      </c>
      <c r="C512" s="51"/>
      <c r="F512" s="130">
        <f t="shared" si="145"/>
        <v>1530</v>
      </c>
      <c r="O512" s="132" t="str">
        <f t="shared" si="134"/>
        <v/>
      </c>
      <c r="T512" s="134"/>
      <c r="U512" s="135" t="str">
        <f t="shared" si="135"/>
        <v/>
      </c>
      <c r="V512" s="67" t="s">
        <v>168</v>
      </c>
      <c r="AA512" s="138">
        <v>3</v>
      </c>
      <c r="AH512" s="15">
        <f t="shared" si="146"/>
        <v>0</v>
      </c>
    </row>
    <row r="513" ht="18" spans="2:34">
      <c r="B513" s="9" t="str">
        <f t="shared" si="127"/>
        <v>[{5205001,3},{2,}]</v>
      </c>
      <c r="C513" s="51"/>
      <c r="F513" s="130">
        <f t="shared" si="145"/>
        <v>1535</v>
      </c>
      <c r="O513" s="132" t="str">
        <f t="shared" si="134"/>
        <v/>
      </c>
      <c r="T513" s="134"/>
      <c r="U513" s="135" t="str">
        <f t="shared" si="135"/>
        <v/>
      </c>
      <c r="V513" s="67" t="s">
        <v>168</v>
      </c>
      <c r="AA513" s="138">
        <v>3</v>
      </c>
      <c r="AH513" s="15">
        <f t="shared" si="146"/>
        <v>0</v>
      </c>
    </row>
    <row r="514" ht="18" spans="2:34">
      <c r="B514" s="9" t="str">
        <f t="shared" si="127"/>
        <v>[{5205001,3},{2,}]</v>
      </c>
      <c r="C514" s="51"/>
      <c r="F514" s="130">
        <f t="shared" si="145"/>
        <v>1540</v>
      </c>
      <c r="O514" s="132" t="str">
        <f t="shared" si="134"/>
        <v/>
      </c>
      <c r="T514" s="134"/>
      <c r="U514" s="135" t="str">
        <f t="shared" si="135"/>
        <v/>
      </c>
      <c r="V514" s="67" t="s">
        <v>168</v>
      </c>
      <c r="AA514" s="138">
        <v>3</v>
      </c>
      <c r="AH514" s="15">
        <f t="shared" si="146"/>
        <v>0</v>
      </c>
    </row>
    <row r="515" ht="18" spans="2:34">
      <c r="B515" s="9" t="str">
        <f t="shared" si="127"/>
        <v>[{5205001,3},{2,}]</v>
      </c>
      <c r="C515" s="51"/>
      <c r="F515" s="130">
        <f t="shared" si="145"/>
        <v>1545</v>
      </c>
      <c r="O515" s="132" t="str">
        <f t="shared" si="134"/>
        <v/>
      </c>
      <c r="T515" s="134"/>
      <c r="U515" s="135" t="str">
        <f t="shared" si="135"/>
        <v/>
      </c>
      <c r="V515" s="67" t="s">
        <v>168</v>
      </c>
      <c r="AA515" s="138">
        <v>3</v>
      </c>
      <c r="AH515" s="15">
        <f t="shared" si="146"/>
        <v>0</v>
      </c>
    </row>
    <row r="516" ht="18" spans="2:34">
      <c r="F516" s="130">
        <f t="shared" si="145"/>
        <v>1550</v>
      </c>
      <c r="H516" s="15" t="s">
        <v>295</v>
      </c>
      <c r="I516" s="15" t="s">
        <v>296</v>
      </c>
      <c r="K516" s="15" t="s">
        <v>295</v>
      </c>
      <c r="L516" s="15" t="s">
        <v>296</v>
      </c>
      <c r="M516" s="15" t="s">
        <v>297</v>
      </c>
      <c r="O516" s="132" t="str">
        <f t="shared" si="134"/>
        <v/>
      </c>
      <c r="T516" s="2"/>
      <c r="V516" s="15"/>
    </row>
    <row r="517" ht="18" spans="2:34">
      <c r="F517" s="130">
        <f t="shared" si="145"/>
        <v>1555</v>
      </c>
      <c r="I517" s="15" t="e">
        <f>VLOOKUP(表2[[#This Row],[装备属性模拟]],装备属性[],MATCH(表2[[#Headers],[属性]],装备属性[#Headers],0))</f>
        <v>#N/A</v>
      </c>
      <c r="M517" s="15">
        <v>1</v>
      </c>
      <c r="O517" s="132" t="str">
        <f t="shared" si="134"/>
        <v/>
      </c>
      <c r="T517" s="2"/>
      <c r="V517" s="15"/>
    </row>
    <row r="518" ht="18" spans="2:34">
      <c r="F518" s="130">
        <f t="shared" si="145"/>
        <v>1560</v>
      </c>
      <c r="I518" s="15" t="e">
        <f>VLOOKUP(表2[[#This Row],[装备属性模拟]],装备属性[],MATCH(表2[[#Headers],[属性]],装备属性[#Headers],0))</f>
        <v>#N/A</v>
      </c>
      <c r="O518" s="132" t="str">
        <f t="shared" si="134"/>
        <v/>
      </c>
      <c r="T518" s="2"/>
      <c r="V518" s="15"/>
    </row>
    <row r="519" ht="18" spans="2:34">
      <c r="F519" s="130">
        <f t="shared" si="145"/>
        <v>1565</v>
      </c>
      <c r="I519" s="15" t="e">
        <f>VLOOKUP(表2[[#This Row],[装备属性模拟]],装备属性[],MATCH(表2[[#Headers],[属性]],装备属性[#Headers],0))</f>
        <v>#N/A</v>
      </c>
      <c r="O519" s="132" t="str">
        <f t="shared" si="134"/>
        <v/>
      </c>
      <c r="T519" s="2"/>
      <c r="V519" s="15"/>
    </row>
    <row r="520" ht="18" spans="2:34">
      <c r="F520" s="130">
        <f t="shared" si="145"/>
        <v>1570</v>
      </c>
      <c r="I520" s="15" t="e">
        <f>VLOOKUP(表2[[#This Row],[装备属性模拟]],装备属性[],MATCH(表2[[#Headers],[属性]],装备属性[#Headers],0))</f>
        <v>#N/A</v>
      </c>
      <c r="O520" s="132" t="str">
        <f t="shared" si="134"/>
        <v/>
      </c>
      <c r="T520" s="2"/>
      <c r="V520" s="15"/>
    </row>
    <row r="521" ht="18" spans="2:34">
      <c r="F521" s="130">
        <f t="shared" si="145"/>
        <v>1575</v>
      </c>
      <c r="K521" s="15">
        <v>1</v>
      </c>
      <c r="O521" s="132" t="str">
        <f t="shared" si="134"/>
        <v/>
      </c>
    </row>
  </sheetData>
  <autoFilter xmlns:etc="http://www.wps.cn/officeDocument/2017/etCustomData" ref="D140:AG515" etc:filterBottomFollowUsedRange="0">
    <extLst/>
  </autoFilter>
  <mergeCells count="65"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138:S138"/>
    <mergeCell ref="U138:AB138"/>
    <mergeCell ref="AE138:AH138"/>
  </mergeCells>
  <dataValidations count="1">
    <dataValidation allowBlank="1" showInputMessage="1" showErrorMessage="1" errorTitle="输入有误" error="数值只能为(0 ~ 9999999999)" sqref="J18 J23 J26 J29 N29:O29 J33 E45:F45 J15:J16 J20:J21 M15:M16 E15:F39 E41:F43 E47:F76 N20:O27"/>
  </dataValidations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89"/>
  <sheetViews>
    <sheetView topLeftCell="A78" workbookViewId="0">
      <selection activeCell="F94" sqref="F94"/>
    </sheetView>
  </sheetViews>
  <sheetFormatPr defaultColWidth="9.14285714285714" defaultRowHeight="16.5"/>
  <cols>
    <col min="1" max="1" width="9.14285714285714" style="15"/>
    <col min="2" max="2" width="2.71428571428571" style="15" customWidth="1"/>
    <col min="3" max="3" width="9.14285714285714" style="15"/>
    <col min="4" max="4" width="10.7142857142857" style="15" customWidth="1"/>
    <col min="5" max="5" width="17.2857142857143" style="15" customWidth="1"/>
    <col min="6" max="6" width="16.5714285714286" style="15" customWidth="1"/>
    <col min="7" max="7" width="15.2857142857143" style="15" customWidth="1"/>
    <col min="8" max="8" width="14.5714285714286" style="15"/>
    <col min="9" max="11" width="9.14285714285714" style="15"/>
    <col min="12" max="12" width="11.5714285714286" style="15" customWidth="1"/>
    <col min="13" max="13" width="8.28571428571429" style="15" customWidth="1"/>
    <col min="14" max="14" width="13.5714285714286" style="15" customWidth="1"/>
    <col min="15" max="15" width="18.7142857142857" style="15" customWidth="1"/>
    <col min="16" max="16384" width="9.14285714285714" style="15"/>
  </cols>
  <sheetData>
    <row r="1" ht="18" spans="1:9">
      <c r="A1" s="16" t="s">
        <v>298</v>
      </c>
      <c r="B1" s="16"/>
      <c r="C1" s="16"/>
      <c r="D1" s="17"/>
      <c r="E1" s="17"/>
      <c r="F1" s="17"/>
      <c r="G1" s="17"/>
      <c r="H1" s="17"/>
      <c r="I1" s="17"/>
    </row>
    <row r="3" spans="1:9">
      <c r="B3" s="18"/>
      <c r="C3" s="19" t="s">
        <v>299</v>
      </c>
      <c r="D3" s="20"/>
      <c r="E3" s="20"/>
      <c r="F3" s="20"/>
      <c r="G3" s="20"/>
    </row>
    <row r="4" spans="1:9">
      <c r="B4" s="19"/>
      <c r="C4" s="19"/>
      <c r="D4" s="20"/>
      <c r="E4" s="20"/>
      <c r="F4" s="20"/>
      <c r="G4" s="20"/>
    </row>
    <row r="5" spans="1:9">
      <c r="D5" s="21" t="s">
        <v>300</v>
      </c>
      <c r="E5" s="21" t="s">
        <v>301</v>
      </c>
      <c r="F5" s="21" t="s">
        <v>302</v>
      </c>
      <c r="G5" s="21" t="s">
        <v>303</v>
      </c>
    </row>
    <row r="6" spans="1:9">
      <c r="D6" s="22" t="s">
        <v>129</v>
      </c>
      <c r="E6" s="23" t="s">
        <v>304</v>
      </c>
      <c r="F6" s="24" t="s">
        <v>305</v>
      </c>
      <c r="G6" s="24" t="s">
        <v>306</v>
      </c>
    </row>
    <row r="7" spans="1:9">
      <c r="D7" s="24"/>
      <c r="E7" s="25" t="s">
        <v>307</v>
      </c>
      <c r="F7" s="24" t="s">
        <v>308</v>
      </c>
      <c r="G7" s="24" t="s">
        <v>309</v>
      </c>
    </row>
    <row r="8" spans="1:9">
      <c r="D8" s="24"/>
      <c r="E8" s="25" t="s">
        <v>310</v>
      </c>
      <c r="F8" s="24" t="s">
        <v>305</v>
      </c>
      <c r="G8" s="24" t="s">
        <v>309</v>
      </c>
    </row>
    <row r="9" spans="1:9">
      <c r="D9" s="24"/>
      <c r="E9" s="25"/>
      <c r="F9" s="24"/>
      <c r="G9" s="24"/>
    </row>
    <row r="10" spans="1:9">
      <c r="D10" s="24"/>
      <c r="E10" s="25"/>
      <c r="F10" s="24"/>
      <c r="G10" s="24"/>
    </row>
    <row r="11" spans="1:9">
      <c r="D11" s="24"/>
      <c r="E11" s="25"/>
      <c r="F11" s="24"/>
      <c r="G11" s="24"/>
    </row>
    <row r="12" spans="1:9">
      <c r="D12" s="22" t="s">
        <v>130</v>
      </c>
      <c r="E12" s="25" t="s">
        <v>311</v>
      </c>
      <c r="F12" s="24" t="s">
        <v>305</v>
      </c>
      <c r="G12" s="24" t="s">
        <v>309</v>
      </c>
    </row>
    <row r="13" spans="1:9">
      <c r="D13" s="24"/>
      <c r="E13" s="25" t="s">
        <v>312</v>
      </c>
      <c r="F13" s="24" t="s">
        <v>308</v>
      </c>
      <c r="G13" s="24" t="s">
        <v>309</v>
      </c>
    </row>
    <row r="14" spans="1:9">
      <c r="D14" s="24"/>
      <c r="E14" s="25" t="s">
        <v>313</v>
      </c>
      <c r="F14" s="24" t="s">
        <v>314</v>
      </c>
      <c r="G14" s="24" t="s">
        <v>309</v>
      </c>
    </row>
    <row r="15" spans="1:9">
      <c r="D15" s="24"/>
      <c r="E15" s="25" t="s">
        <v>315</v>
      </c>
      <c r="F15" s="24" t="s">
        <v>305</v>
      </c>
      <c r="G15" s="24" t="s">
        <v>316</v>
      </c>
      <c r="H15" s="15" t="s">
        <v>317</v>
      </c>
    </row>
    <row r="16" spans="1:9">
      <c r="D16" s="24"/>
      <c r="E16" s="25"/>
      <c r="F16" s="24"/>
      <c r="G16" s="24"/>
    </row>
    <row r="17" spans="2:14">
      <c r="D17" s="24"/>
      <c r="E17" s="25"/>
      <c r="F17" s="24"/>
      <c r="G17" s="24"/>
    </row>
    <row r="18" spans="2:14">
      <c r="D18" s="26" t="s">
        <v>155</v>
      </c>
      <c r="E18" s="25" t="s">
        <v>307</v>
      </c>
      <c r="F18" s="24" t="s">
        <v>308</v>
      </c>
      <c r="G18" s="24" t="s">
        <v>309</v>
      </c>
      <c r="H18" s="15" t="s">
        <v>318</v>
      </c>
    </row>
    <row r="19" spans="2:14">
      <c r="D19" s="27"/>
      <c r="E19" s="25"/>
      <c r="F19" s="24"/>
      <c r="G19" s="24"/>
    </row>
    <row r="20" spans="2:14">
      <c r="D20" s="28"/>
      <c r="E20" s="29"/>
      <c r="F20" s="28"/>
      <c r="G20" s="28"/>
    </row>
    <row r="22" spans="2:14">
      <c r="B22" s="18"/>
      <c r="C22" s="19" t="s">
        <v>319</v>
      </c>
    </row>
    <row r="24" spans="2:14">
      <c r="D24" s="28" t="s">
        <v>320</v>
      </c>
      <c r="E24" s="28"/>
    </row>
    <row r="25" spans="2:14">
      <c r="D25" s="21" t="s">
        <v>321</v>
      </c>
      <c r="E25" s="21" t="s">
        <v>129</v>
      </c>
      <c r="F25" s="21" t="s">
        <v>322</v>
      </c>
      <c r="G25" s="21" t="s">
        <v>117</v>
      </c>
      <c r="H25" s="21" t="s">
        <v>323</v>
      </c>
      <c r="I25" s="21" t="s">
        <v>116</v>
      </c>
    </row>
    <row r="26" spans="2:14">
      <c r="D26" s="30">
        <v>1</v>
      </c>
      <c r="E26" s="30">
        <v>5</v>
      </c>
      <c r="F26" s="30">
        <f>H34/10</f>
        <v>40</v>
      </c>
      <c r="G26" s="30">
        <f>H35/10</f>
        <v>41</v>
      </c>
      <c r="H26" s="31">
        <f>H38/10</f>
        <v>46</v>
      </c>
      <c r="I26" s="31">
        <f>H41/10</f>
        <v>71.2857142857143</v>
      </c>
    </row>
    <row r="29" spans="2:14">
      <c r="D29" s="11" t="s">
        <v>51</v>
      </c>
      <c r="E29" s="11" t="s">
        <v>324</v>
      </c>
      <c r="F29" s="11" t="s">
        <v>325</v>
      </c>
      <c r="G29" s="12" t="s">
        <v>326</v>
      </c>
      <c r="H29" s="12" t="s">
        <v>327</v>
      </c>
      <c r="I29" s="12" t="s">
        <v>328</v>
      </c>
      <c r="J29" s="12" t="s">
        <v>329</v>
      </c>
      <c r="K29" s="12" t="s">
        <v>330</v>
      </c>
      <c r="L29" s="32" t="s">
        <v>331</v>
      </c>
      <c r="M29" s="33"/>
    </row>
    <row r="30" spans="2:14">
      <c r="D30" s="34" t="s">
        <v>332</v>
      </c>
      <c r="E30" s="35">
        <v>0</v>
      </c>
      <c r="F30" s="36">
        <v>60</v>
      </c>
      <c r="G30" s="37"/>
      <c r="H30" s="35"/>
      <c r="I30" s="35">
        <v>0</v>
      </c>
      <c r="J30" s="35"/>
      <c r="K30" s="38" t="s">
        <v>333</v>
      </c>
      <c r="L30" s="36"/>
      <c r="M30" s="39"/>
      <c r="N30" s="1"/>
    </row>
    <row r="31" spans="2:14">
      <c r="D31" s="34" t="s">
        <v>334</v>
      </c>
      <c r="E31" s="35">
        <f>10*24</f>
        <v>240</v>
      </c>
      <c r="F31" s="36">
        <v>1</v>
      </c>
      <c r="G31" s="35">
        <f t="shared" ref="G31:G41" si="0">E31*F31</f>
        <v>240</v>
      </c>
      <c r="H31" s="35">
        <f>G31</f>
        <v>240</v>
      </c>
      <c r="I31" s="35">
        <v>0</v>
      </c>
      <c r="J31" s="35"/>
      <c r="K31" s="38" t="s">
        <v>333</v>
      </c>
      <c r="L31" s="36"/>
      <c r="M31" s="39"/>
      <c r="N31" s="1"/>
    </row>
    <row r="32" spans="2:14">
      <c r="D32" s="34" t="s">
        <v>335</v>
      </c>
      <c r="E32" s="35">
        <v>3</v>
      </c>
      <c r="F32" s="35">
        <v>10</v>
      </c>
      <c r="G32" s="35">
        <f t="shared" si="0"/>
        <v>30</v>
      </c>
      <c r="H32" s="35">
        <f t="shared" ref="H32:H41" si="1">G32+H31</f>
        <v>270</v>
      </c>
      <c r="I32" s="35">
        <v>0</v>
      </c>
      <c r="J32" s="35"/>
      <c r="K32" s="38" t="s">
        <v>333</v>
      </c>
      <c r="L32" s="36"/>
      <c r="M32" s="39"/>
      <c r="N32" s="1"/>
    </row>
    <row r="33" spans="4:14">
      <c r="D33" s="34" t="s">
        <v>336</v>
      </c>
      <c r="E33" s="35">
        <v>4</v>
      </c>
      <c r="F33" s="35">
        <v>30</v>
      </c>
      <c r="G33" s="35">
        <f t="shared" si="0"/>
        <v>120</v>
      </c>
      <c r="H33" s="35">
        <f t="shared" si="1"/>
        <v>390</v>
      </c>
      <c r="I33" s="38">
        <v>0</v>
      </c>
      <c r="J33" s="38"/>
      <c r="K33" s="38" t="s">
        <v>333</v>
      </c>
      <c r="L33" s="36"/>
      <c r="M33" s="39"/>
      <c r="N33" s="1"/>
    </row>
    <row r="34" spans="4:14">
      <c r="D34" s="34" t="s">
        <v>337</v>
      </c>
      <c r="E34" s="35">
        <v>1</v>
      </c>
      <c r="F34" s="35">
        <v>10</v>
      </c>
      <c r="G34" s="35">
        <f t="shared" si="0"/>
        <v>10</v>
      </c>
      <c r="H34" s="35">
        <f t="shared" si="1"/>
        <v>400</v>
      </c>
      <c r="I34" s="38">
        <v>0</v>
      </c>
      <c r="J34" s="38"/>
      <c r="K34" s="38" t="s">
        <v>333</v>
      </c>
      <c r="L34" s="36"/>
      <c r="M34" s="39"/>
      <c r="N34" s="1"/>
    </row>
    <row r="35" spans="4:14">
      <c r="D35" s="34" t="s">
        <v>338</v>
      </c>
      <c r="E35" s="35">
        <v>1</v>
      </c>
      <c r="F35" s="35">
        <v>10</v>
      </c>
      <c r="G35" s="35">
        <f t="shared" si="0"/>
        <v>10</v>
      </c>
      <c r="H35" s="35">
        <f t="shared" si="1"/>
        <v>410</v>
      </c>
      <c r="I35" s="38"/>
      <c r="J35" s="38">
        <v>1</v>
      </c>
      <c r="K35" s="38" t="s">
        <v>117</v>
      </c>
      <c r="L35" s="36"/>
      <c r="M35" s="39"/>
      <c r="N35" s="1"/>
    </row>
    <row r="36" spans="4:14">
      <c r="D36" s="34" t="s">
        <v>339</v>
      </c>
      <c r="E36" s="35">
        <v>1</v>
      </c>
      <c r="F36" s="35">
        <v>10</v>
      </c>
      <c r="G36" s="35">
        <f t="shared" si="0"/>
        <v>10</v>
      </c>
      <c r="H36" s="35">
        <f t="shared" si="1"/>
        <v>420</v>
      </c>
      <c r="I36" s="38"/>
      <c r="J36" s="38">
        <v>1</v>
      </c>
      <c r="K36" s="38" t="s">
        <v>117</v>
      </c>
      <c r="L36" s="36" t="s">
        <v>340</v>
      </c>
      <c r="M36" s="39"/>
      <c r="N36" s="1"/>
    </row>
    <row r="37" spans="4:14">
      <c r="D37" s="34" t="s">
        <v>341</v>
      </c>
      <c r="E37" s="35">
        <v>1</v>
      </c>
      <c r="F37" s="35">
        <v>15</v>
      </c>
      <c r="G37" s="35">
        <f t="shared" si="0"/>
        <v>15</v>
      </c>
      <c r="H37" s="35">
        <f t="shared" si="1"/>
        <v>435</v>
      </c>
      <c r="I37" s="38"/>
      <c r="J37" s="38">
        <v>6</v>
      </c>
      <c r="K37" s="38" t="s">
        <v>117</v>
      </c>
      <c r="L37" s="36" t="s">
        <v>340</v>
      </c>
      <c r="M37" s="39"/>
      <c r="N37" s="1"/>
    </row>
    <row r="38" spans="4:14">
      <c r="D38" s="34" t="s">
        <v>342</v>
      </c>
      <c r="E38" s="35">
        <v>1</v>
      </c>
      <c r="F38" s="35">
        <v>25</v>
      </c>
      <c r="G38" s="35">
        <f t="shared" si="0"/>
        <v>25</v>
      </c>
      <c r="H38" s="35">
        <f t="shared" si="1"/>
        <v>460</v>
      </c>
      <c r="I38" s="38"/>
      <c r="J38" s="38">
        <v>18</v>
      </c>
      <c r="K38" s="38" t="s">
        <v>117</v>
      </c>
      <c r="L38" s="36" t="s">
        <v>340</v>
      </c>
      <c r="M38" s="39"/>
      <c r="N38" s="1"/>
    </row>
    <row r="39" spans="4:14">
      <c r="D39" s="34" t="s">
        <v>343</v>
      </c>
      <c r="E39" s="35">
        <v>1</v>
      </c>
      <c r="F39" s="35">
        <v>60</v>
      </c>
      <c r="G39" s="35">
        <f t="shared" si="0"/>
        <v>60</v>
      </c>
      <c r="H39" s="35">
        <f t="shared" si="1"/>
        <v>520</v>
      </c>
      <c r="I39" s="38">
        <v>96</v>
      </c>
      <c r="J39" s="38"/>
      <c r="K39" s="38" t="s">
        <v>323</v>
      </c>
      <c r="L39" s="36"/>
      <c r="M39" s="39"/>
      <c r="N39" s="1"/>
    </row>
    <row r="40" spans="4:14">
      <c r="D40" s="34" t="s">
        <v>344</v>
      </c>
      <c r="E40" s="35">
        <f>1/7</f>
        <v>0.142857142857143</v>
      </c>
      <c r="F40" s="35">
        <f>60*5</f>
        <v>300</v>
      </c>
      <c r="G40" s="35">
        <f t="shared" si="0"/>
        <v>42.8571428571429</v>
      </c>
      <c r="H40" s="35">
        <f t="shared" si="1"/>
        <v>562.857142857143</v>
      </c>
      <c r="I40" s="38">
        <f>84*5</f>
        <v>420</v>
      </c>
      <c r="J40" s="38"/>
      <c r="K40" s="38" t="s">
        <v>323</v>
      </c>
      <c r="L40" s="36" t="s">
        <v>345</v>
      </c>
      <c r="M40" s="39"/>
      <c r="N40" s="1"/>
    </row>
    <row r="41" spans="4:14">
      <c r="D41" s="34" t="s">
        <v>346</v>
      </c>
      <c r="E41" s="35">
        <v>5</v>
      </c>
      <c r="F41" s="35">
        <v>30</v>
      </c>
      <c r="G41" s="35">
        <f t="shared" si="0"/>
        <v>150</v>
      </c>
      <c r="H41" s="35">
        <f t="shared" si="1"/>
        <v>712.857142857143</v>
      </c>
      <c r="I41" s="35">
        <v>60</v>
      </c>
      <c r="J41" s="37"/>
      <c r="K41" s="38" t="s">
        <v>116</v>
      </c>
      <c r="L41" s="36"/>
      <c r="M41" s="39"/>
      <c r="N41" s="1"/>
    </row>
    <row r="42" spans="4:14">
      <c r="D42" s="1"/>
      <c r="E42" s="1"/>
      <c r="F42" s="1"/>
      <c r="G42" s="1"/>
      <c r="H42" s="40"/>
      <c r="I42" s="1"/>
      <c r="J42" s="1"/>
      <c r="K42" s="1"/>
      <c r="L42" s="1"/>
      <c r="M42" s="1"/>
      <c r="N42" s="1"/>
    </row>
    <row r="44" spans="4:14">
      <c r="D44" s="28" t="s">
        <v>347</v>
      </c>
      <c r="E44" s="28"/>
    </row>
    <row r="45" spans="4:14">
      <c r="D45" s="21" t="s">
        <v>321</v>
      </c>
      <c r="E45" s="21" t="s">
        <v>129</v>
      </c>
    </row>
    <row r="46" spans="4:14">
      <c r="D46" s="30">
        <v>1</v>
      </c>
      <c r="E46" s="30">
        <v>30</v>
      </c>
      <c r="G46" s="15">
        <f>E26*F26</f>
        <v>200</v>
      </c>
    </row>
    <row r="49" spans="2:8">
      <c r="B49" s="18"/>
      <c r="C49" s="19" t="s">
        <v>348</v>
      </c>
    </row>
    <row r="51" spans="2:8">
      <c r="D51" s="41" t="s">
        <v>349</v>
      </c>
    </row>
    <row r="54" spans="2:8">
      <c r="D54" s="15" t="s">
        <v>311</v>
      </c>
      <c r="G54" s="1" t="s">
        <v>350</v>
      </c>
    </row>
    <row r="55" spans="2:8">
      <c r="D55" s="21" t="s">
        <v>302</v>
      </c>
      <c r="E55" s="21" t="s">
        <v>351</v>
      </c>
      <c r="G55" s="21" t="s">
        <v>352</v>
      </c>
    </row>
    <row r="56" spans="2:8">
      <c r="D56" s="30">
        <v>1</v>
      </c>
      <c r="E56" s="30">
        <v>0</v>
      </c>
      <c r="G56" s="30">
        <v>20</v>
      </c>
    </row>
    <row r="57" spans="2:8">
      <c r="D57" s="30">
        <v>7</v>
      </c>
      <c r="E57" s="30">
        <v>0</v>
      </c>
    </row>
    <row r="59" spans="2:8">
      <c r="D59" s="28" t="s">
        <v>347</v>
      </c>
      <c r="E59" s="28"/>
    </row>
    <row r="60" spans="2:8">
      <c r="D60" s="21" t="s">
        <v>321</v>
      </c>
      <c r="E60" s="21" t="s">
        <v>351</v>
      </c>
    </row>
    <row r="61" spans="2:8">
      <c r="D61" s="30">
        <v>1</v>
      </c>
      <c r="E61" s="30">
        <v>0</v>
      </c>
    </row>
    <row r="63" spans="2:8">
      <c r="D63" s="15" t="s">
        <v>353</v>
      </c>
    </row>
    <row r="64" spans="2:8">
      <c r="D64" s="21" t="s">
        <v>302</v>
      </c>
      <c r="E64" s="21" t="s">
        <v>322</v>
      </c>
      <c r="F64" s="21" t="s">
        <v>117</v>
      </c>
      <c r="G64" s="21" t="s">
        <v>323</v>
      </c>
      <c r="H64" s="21" t="s">
        <v>116</v>
      </c>
    </row>
    <row r="65" spans="4:10">
      <c r="D65" s="30">
        <v>1</v>
      </c>
      <c r="E65" s="30">
        <v>0</v>
      </c>
      <c r="F65" s="30">
        <v>0</v>
      </c>
      <c r="G65" s="30">
        <v>0</v>
      </c>
      <c r="H65" s="30">
        <v>0</v>
      </c>
    </row>
    <row r="68" spans="4:10">
      <c r="D68" s="42" t="s">
        <v>354</v>
      </c>
      <c r="E68" s="42"/>
      <c r="F68" s="42"/>
      <c r="G68" s="42"/>
      <c r="H68" s="42"/>
      <c r="I68" s="42"/>
      <c r="J68" s="42"/>
    </row>
    <row r="69" spans="4:10">
      <c r="D69" s="43" t="s">
        <v>355</v>
      </c>
      <c r="E69" s="43" t="s">
        <v>356</v>
      </c>
      <c r="F69" s="28" t="s">
        <v>357</v>
      </c>
      <c r="G69" s="28" t="s">
        <v>310</v>
      </c>
    </row>
    <row r="70" spans="4:10">
      <c r="D70" s="44" t="s">
        <v>358</v>
      </c>
      <c r="E70" s="45">
        <v>1</v>
      </c>
      <c r="F70" s="46">
        <f>1</f>
        <v>1</v>
      </c>
      <c r="G70" s="47">
        <v>1</v>
      </c>
    </row>
    <row r="71" spans="4:10">
      <c r="D71" s="44" t="s">
        <v>359</v>
      </c>
      <c r="E71" s="45">
        <v>1.1</v>
      </c>
      <c r="F71" s="46">
        <f>G26/F26</f>
        <v>1.025</v>
      </c>
      <c r="G71" s="47">
        <v>1</v>
      </c>
    </row>
    <row r="72" spans="4:10">
      <c r="D72" s="44" t="s">
        <v>360</v>
      </c>
      <c r="E72" s="45">
        <v>1.3</v>
      </c>
      <c r="F72" s="46">
        <f>H26/F26</f>
        <v>1.15</v>
      </c>
      <c r="G72" s="47">
        <v>1</v>
      </c>
    </row>
    <row r="73" spans="4:10">
      <c r="D73" s="44" t="s">
        <v>361</v>
      </c>
      <c r="E73" s="45">
        <v>1.5</v>
      </c>
      <c r="F73" s="46">
        <f>I26/F26</f>
        <v>1.78214285714286</v>
      </c>
      <c r="G73" s="47">
        <v>1</v>
      </c>
    </row>
    <row r="76" spans="4:10">
      <c r="D76" s="42" t="s">
        <v>362</v>
      </c>
      <c r="E76" s="42"/>
      <c r="F76" s="42"/>
      <c r="G76" s="42"/>
      <c r="H76" s="42"/>
    </row>
    <row r="77" spans="4:10">
      <c r="D77" s="43" t="s">
        <v>363</v>
      </c>
      <c r="E77" s="43" t="s">
        <v>358</v>
      </c>
      <c r="F77" s="43" t="s">
        <v>359</v>
      </c>
      <c r="G77" s="43" t="s">
        <v>360</v>
      </c>
      <c r="H77" s="43" t="s">
        <v>361</v>
      </c>
    </row>
    <row r="78" spans="4:10">
      <c r="D78" s="48">
        <v>1</v>
      </c>
      <c r="E78" s="49"/>
      <c r="F78" s="49"/>
      <c r="G78" s="49"/>
      <c r="H78" s="49"/>
    </row>
    <row r="79" spans="4:10">
      <c r="D79" s="48">
        <v>3</v>
      </c>
      <c r="E79" s="49"/>
      <c r="F79" s="49"/>
      <c r="G79" s="49"/>
      <c r="H79" s="49"/>
    </row>
    <row r="80" spans="4:10">
      <c r="D80" s="48">
        <v>7</v>
      </c>
      <c r="E80" s="49"/>
      <c r="F80" s="49"/>
      <c r="G80" s="49"/>
      <c r="H80" s="49"/>
    </row>
    <row r="81" spans="2:15">
      <c r="D81" s="48">
        <v>14</v>
      </c>
      <c r="E81" s="49"/>
      <c r="F81" s="49"/>
      <c r="G81" s="49"/>
      <c r="H81" s="49"/>
    </row>
    <row r="82" spans="2:15">
      <c r="D82" s="48">
        <v>28</v>
      </c>
      <c r="E82" s="49"/>
      <c r="F82" s="49"/>
      <c r="G82" s="49"/>
      <c r="H82" s="49"/>
    </row>
    <row r="83" spans="2:15">
      <c r="D83" s="48">
        <v>60</v>
      </c>
      <c r="E83" s="49">
        <f>SUM(F90:F149)</f>
        <v>22260</v>
      </c>
      <c r="F83" s="49"/>
      <c r="G83" s="49"/>
      <c r="H83" s="49"/>
    </row>
    <row r="84" spans="2:15">
      <c r="D84" s="1">
        <v>200</v>
      </c>
      <c r="E84" s="49"/>
      <c r="F84" s="49"/>
      <c r="G84" s="49"/>
      <c r="H84" s="49"/>
    </row>
    <row r="87" spans="2:15">
      <c r="B87" s="18"/>
      <c r="C87" s="19" t="s">
        <v>364</v>
      </c>
      <c r="G87" s="15">
        <f>E83/60</f>
        <v>371</v>
      </c>
    </row>
    <row r="88" spans="2:15">
      <c r="E88" s="15" t="s">
        <v>129</v>
      </c>
      <c r="L88" s="15">
        <f>22260/60</f>
        <v>371</v>
      </c>
    </row>
    <row r="89" spans="2:15">
      <c r="D89" s="11" t="s">
        <v>24</v>
      </c>
      <c r="E89" s="11" t="s">
        <v>365</v>
      </c>
      <c r="F89" s="11" t="s">
        <v>366</v>
      </c>
      <c r="G89" s="11" t="s">
        <v>367</v>
      </c>
      <c r="H89" s="11" t="s">
        <v>368</v>
      </c>
    </row>
    <row r="90" spans="2:15">
      <c r="D90" s="50">
        <v>1</v>
      </c>
      <c r="E90" s="50">
        <f>IFERROR((_xlfn.XLOOKUP(D91,[2]主线关卡!E$20:E$319,[2]主线关卡!$D$20:$D$319)-1-6)*30,E89)</f>
        <v>180</v>
      </c>
      <c r="F90" s="50">
        <f>E90+H90+G90</f>
        <v>500</v>
      </c>
      <c r="G90" s="50">
        <f>($F$26+24)*$E$26</f>
        <v>320</v>
      </c>
      <c r="H90" s="50">
        <v>0</v>
      </c>
      <c r="I90" s="15">
        <f>MATCH(SUM($F$90:F90),基因升级!$AF$141:$AF$500,1)</f>
        <v>19</v>
      </c>
      <c r="K90" s="15">
        <v>19</v>
      </c>
    </row>
    <row r="91" spans="2:15">
      <c r="D91" s="50">
        <v>2</v>
      </c>
      <c r="E91" s="50">
        <f>IFERROR((_xlfn.XLOOKUP(D92,[2]主线关卡!E$20:E$319,[2]主线关卡!$D$20:$D$319)-1-6)*30,E90)</f>
        <v>420</v>
      </c>
      <c r="F91" s="50">
        <f>E91-E90+H91+G91</f>
        <v>560</v>
      </c>
      <c r="G91" s="50">
        <f t="shared" ref="G91:G154" si="2">($F$26+24)*$E$26</f>
        <v>320</v>
      </c>
      <c r="H91" s="50">
        <v>0</v>
      </c>
      <c r="I91" s="15">
        <f>MATCH(SUM($F$90:F91),基因升级!$AF$141:$AF$500,1)</f>
        <v>27</v>
      </c>
      <c r="K91" s="15">
        <v>27</v>
      </c>
    </row>
    <row r="92" spans="2:15">
      <c r="D92" s="50">
        <v>3</v>
      </c>
      <c r="E92" s="50">
        <f>IFERROR((_xlfn.XLOOKUP(D93,[2]主线关卡!E$20:E$319,[2]主线关卡!$D$20:$D$319)-1-6)*30,E91)</f>
        <v>600</v>
      </c>
      <c r="F92" s="50">
        <f>E92-E91+H92+G92</f>
        <v>500</v>
      </c>
      <c r="G92" s="50">
        <f t="shared" si="2"/>
        <v>320</v>
      </c>
      <c r="H92" s="50">
        <v>0</v>
      </c>
      <c r="I92" s="15">
        <f>MATCH(SUM($F$90:F92),基因升级!$AF$141:$AF$500,1)</f>
        <v>32</v>
      </c>
      <c r="K92" s="15">
        <v>32</v>
      </c>
    </row>
    <row r="93" spans="2:15">
      <c r="D93" s="50">
        <v>4</v>
      </c>
      <c r="E93" s="50">
        <f>IFERROR((_xlfn.XLOOKUP(D94,[2]主线关卡!E$20:E$319,[2]主线关卡!$D$20:$D$319)-1-6)*30,E92)</f>
        <v>750</v>
      </c>
      <c r="F93" s="50">
        <f t="shared" ref="F93:F154" si="3">E93-E92+H93+G93</f>
        <v>470</v>
      </c>
      <c r="G93" s="50">
        <f t="shared" si="2"/>
        <v>320</v>
      </c>
      <c r="H93" s="50">
        <v>0</v>
      </c>
      <c r="I93" s="15">
        <f>MATCH(SUM($F$90:F93),基因升级!$AF$141:$AF$500,1)</f>
        <v>36</v>
      </c>
      <c r="K93" s="15">
        <v>36</v>
      </c>
    </row>
    <row r="94" spans="2:15">
      <c r="D94" s="50">
        <v>5</v>
      </c>
      <c r="E94" s="50">
        <f>IFERROR((_xlfn.XLOOKUP(D95,[2]主线关卡!E$20:E$319,[2]主线关卡!$D$20:$D$319)-1-6)*30,E93)</f>
        <v>870</v>
      </c>
      <c r="F94" s="50">
        <f t="shared" si="3"/>
        <v>440</v>
      </c>
      <c r="G94" s="50">
        <f t="shared" si="2"/>
        <v>320</v>
      </c>
      <c r="H94" s="50">
        <v>0</v>
      </c>
      <c r="I94" s="15">
        <f>MATCH(SUM($F$90:F94),基因升级!$AF$141:$AF$500,1)</f>
        <v>39</v>
      </c>
      <c r="K94" s="15">
        <v>39</v>
      </c>
      <c r="O94" s="15">
        <f>800/10*5</f>
        <v>400</v>
      </c>
    </row>
    <row r="95" spans="2:15">
      <c r="D95" s="50">
        <v>6</v>
      </c>
      <c r="E95" s="50">
        <f>IFERROR((_xlfn.XLOOKUP(D96,[2]主线关卡!E$20:E$319,[2]主线关卡!$D$20:$D$319)-1-6)*30,E94)</f>
        <v>990</v>
      </c>
      <c r="F95" s="50">
        <f t="shared" si="3"/>
        <v>440</v>
      </c>
      <c r="G95" s="50">
        <f t="shared" si="2"/>
        <v>320</v>
      </c>
      <c r="H95" s="50">
        <v>0</v>
      </c>
      <c r="I95" s="15">
        <f>MATCH(SUM($F$90:F95),基因升级!$AF$141:$AF$500,1)</f>
        <v>42</v>
      </c>
      <c r="K95" s="15">
        <v>42</v>
      </c>
    </row>
    <row r="96" spans="2:15">
      <c r="D96" s="50">
        <v>7</v>
      </c>
      <c r="E96" s="50">
        <f>IFERROR((_xlfn.XLOOKUP(D97,[2]主线关卡!E$20:E$319,[2]主线关卡!$D$20:$D$319)-1-6)*30,E95)</f>
        <v>1080</v>
      </c>
      <c r="F96" s="50">
        <f t="shared" si="3"/>
        <v>410</v>
      </c>
      <c r="G96" s="50">
        <f t="shared" si="2"/>
        <v>320</v>
      </c>
      <c r="H96" s="50">
        <v>0</v>
      </c>
      <c r="I96" s="15">
        <f>MATCH(SUM($F$90:F96),基因升级!$AF$141:$AF$500,1)</f>
        <v>44</v>
      </c>
      <c r="K96" s="15">
        <v>44</v>
      </c>
    </row>
    <row r="97" spans="4:11">
      <c r="D97" s="50">
        <v>8</v>
      </c>
      <c r="E97" s="50">
        <f>IFERROR((_xlfn.XLOOKUP(D98,[2]主线关卡!E$20:E$319,[2]主线关卡!$D$20:$D$319)-1-6)*30,E96)</f>
        <v>1170</v>
      </c>
      <c r="F97" s="50">
        <f t="shared" si="3"/>
        <v>410</v>
      </c>
      <c r="G97" s="50">
        <f t="shared" si="2"/>
        <v>320</v>
      </c>
      <c r="H97" s="50">
        <v>0</v>
      </c>
      <c r="I97" s="15">
        <f>MATCH(SUM($F$90:F97),基因升级!$AF$141:$AF$500,1)</f>
        <v>46</v>
      </c>
      <c r="K97" s="15">
        <v>46</v>
      </c>
    </row>
    <row r="98" spans="4:11">
      <c r="D98" s="50">
        <v>9</v>
      </c>
      <c r="E98" s="50">
        <f>IFERROR((_xlfn.XLOOKUP(D99,[2]主线关卡!E$20:E$319,[2]主线关卡!$D$20:$D$319)-1-6)*30,E97)</f>
        <v>1230</v>
      </c>
      <c r="F98" s="50">
        <f t="shared" si="3"/>
        <v>380</v>
      </c>
      <c r="G98" s="50">
        <f t="shared" si="2"/>
        <v>320</v>
      </c>
      <c r="H98" s="50">
        <v>0</v>
      </c>
      <c r="I98" s="15">
        <f>MATCH(SUM($F$90:F98),基因升级!$AF$141:$AF$500,1)</f>
        <v>48</v>
      </c>
      <c r="K98" s="15">
        <v>48</v>
      </c>
    </row>
    <row r="99" spans="4:11">
      <c r="D99" s="50">
        <v>10</v>
      </c>
      <c r="E99" s="50">
        <f>IFERROR((_xlfn.XLOOKUP(D100,[2]主线关卡!E$20:E$319,[2]主线关卡!$D$20:$D$319)-1-6)*30,E98)</f>
        <v>1290</v>
      </c>
      <c r="F99" s="50">
        <f t="shared" si="3"/>
        <v>380</v>
      </c>
      <c r="G99" s="50">
        <f t="shared" si="2"/>
        <v>320</v>
      </c>
      <c r="H99" s="50">
        <v>0</v>
      </c>
      <c r="I99" s="15">
        <f>MATCH(SUM($F$90:F99),基因升级!$AF$141:$AF$500,1)</f>
        <v>50</v>
      </c>
      <c r="K99" s="15">
        <v>50</v>
      </c>
    </row>
    <row r="100" spans="4:11">
      <c r="D100" s="50">
        <v>11</v>
      </c>
      <c r="E100" s="50">
        <f>IFERROR((_xlfn.XLOOKUP(D101,[2]主线关卡!E$20:E$319,[2]主线关卡!$D$20:$D$319)-1-6)*30,E99)</f>
        <v>1350</v>
      </c>
      <c r="F100" s="50">
        <f t="shared" si="3"/>
        <v>380</v>
      </c>
      <c r="G100" s="50">
        <f t="shared" si="2"/>
        <v>320</v>
      </c>
      <c r="H100" s="50">
        <v>0</v>
      </c>
      <c r="I100" s="15">
        <f>MATCH(SUM($F$90:F100),基因升级!$AF$141:$AF$500,1)</f>
        <v>52</v>
      </c>
      <c r="K100" s="15">
        <v>52</v>
      </c>
    </row>
    <row r="101" spans="4:11">
      <c r="D101" s="50">
        <v>12</v>
      </c>
      <c r="E101" s="50">
        <f>IFERROR((_xlfn.XLOOKUP(D102,[2]主线关卡!E$20:E$319,[2]主线关卡!$D$20:$D$319)-1-6)*30,E100)</f>
        <v>1410</v>
      </c>
      <c r="F101" s="50">
        <f t="shared" si="3"/>
        <v>380</v>
      </c>
      <c r="G101" s="50">
        <f t="shared" si="2"/>
        <v>320</v>
      </c>
      <c r="H101" s="50">
        <v>0</v>
      </c>
      <c r="I101" s="15">
        <f>MATCH(SUM($F$90:F101),基因升级!$AF$141:$AF$500,1)</f>
        <v>54</v>
      </c>
      <c r="K101" s="15">
        <v>54</v>
      </c>
    </row>
    <row r="102" spans="4:11">
      <c r="D102" s="50">
        <v>13</v>
      </c>
      <c r="E102" s="50">
        <f>IFERROR((_xlfn.XLOOKUP(D103,[2]主线关卡!E$20:E$319,[2]主线关卡!$D$20:$D$319)-1-6)*30,E101)</f>
        <v>1470</v>
      </c>
      <c r="F102" s="50">
        <f t="shared" si="3"/>
        <v>380</v>
      </c>
      <c r="G102" s="50">
        <f t="shared" si="2"/>
        <v>320</v>
      </c>
      <c r="H102" s="50">
        <v>0</v>
      </c>
      <c r="I102" s="15">
        <f>MATCH(SUM($F$90:F102),基因升级!$AF$141:$AF$500,1)</f>
        <v>55</v>
      </c>
      <c r="K102" s="15">
        <v>55</v>
      </c>
    </row>
    <row r="103" spans="4:11">
      <c r="D103" s="50">
        <v>14</v>
      </c>
      <c r="E103" s="50">
        <f>IFERROR((_xlfn.XLOOKUP(D104,[2]主线关卡!E$20:E$319,[2]主线关卡!$D$20:$D$319)-1-6)*30,E102)</f>
        <v>1530</v>
      </c>
      <c r="F103" s="50">
        <f t="shared" si="3"/>
        <v>380</v>
      </c>
      <c r="G103" s="50">
        <f t="shared" si="2"/>
        <v>320</v>
      </c>
      <c r="H103" s="50">
        <v>0</v>
      </c>
      <c r="I103" s="15">
        <f>MATCH(SUM($F$90:F103),基因升级!$AF$141:$AF$500,1)</f>
        <v>57</v>
      </c>
      <c r="K103" s="15">
        <v>57</v>
      </c>
    </row>
    <row r="104" spans="4:11">
      <c r="D104" s="50">
        <v>15</v>
      </c>
      <c r="E104" s="50">
        <f>IFERROR((_xlfn.XLOOKUP(D105,[2]主线关卡!E$20:E$319,[2]主线关卡!$D$20:$D$319)-1-6)*30,E103)</f>
        <v>1590</v>
      </c>
      <c r="F104" s="50">
        <f t="shared" si="3"/>
        <v>380</v>
      </c>
      <c r="G104" s="50">
        <f t="shared" si="2"/>
        <v>320</v>
      </c>
      <c r="H104" s="50">
        <v>0</v>
      </c>
      <c r="I104" s="15">
        <f>MATCH(SUM($F$90:F104),基因升级!$AF$141:$AF$500,1)</f>
        <v>59</v>
      </c>
      <c r="K104" s="15">
        <v>59</v>
      </c>
    </row>
    <row r="105" spans="4:11">
      <c r="D105" s="50">
        <v>16</v>
      </c>
      <c r="E105" s="50">
        <f>IFERROR((_xlfn.XLOOKUP(D106,[2]主线关卡!E$20:E$319,[2]主线关卡!$D$20:$D$319)-1-6)*30,E104)</f>
        <v>1650</v>
      </c>
      <c r="F105" s="50">
        <f t="shared" si="3"/>
        <v>380</v>
      </c>
      <c r="G105" s="50">
        <f t="shared" si="2"/>
        <v>320</v>
      </c>
      <c r="H105" s="50">
        <v>0</v>
      </c>
      <c r="I105" s="15">
        <f>MATCH(SUM($F$90:F105),基因升级!$AF$141:$AF$500,1)</f>
        <v>60</v>
      </c>
      <c r="K105" s="15">
        <v>60</v>
      </c>
    </row>
    <row r="106" spans="4:11">
      <c r="D106" s="50">
        <v>17</v>
      </c>
      <c r="E106" s="50">
        <f>IFERROR((_xlfn.XLOOKUP(D107,[2]主线关卡!E$20:E$319,[2]主线关卡!$D$20:$D$319)-1-6)*30,E105)</f>
        <v>1710</v>
      </c>
      <c r="F106" s="50">
        <f t="shared" si="3"/>
        <v>380</v>
      </c>
      <c r="G106" s="50">
        <f t="shared" si="2"/>
        <v>320</v>
      </c>
      <c r="H106" s="50">
        <v>0</v>
      </c>
      <c r="I106" s="15">
        <f>MATCH(SUM($F$90:F106),基因升级!$AF$141:$AF$500,1)</f>
        <v>62</v>
      </c>
      <c r="K106" s="15">
        <v>62</v>
      </c>
    </row>
    <row r="107" spans="4:11">
      <c r="D107" s="50">
        <v>18</v>
      </c>
      <c r="E107" s="50">
        <f>IFERROR((_xlfn.XLOOKUP(D108,[2]主线关卡!E$20:E$319,[2]主线关卡!$D$20:$D$319)-1-6)*30,E106)</f>
        <v>1770</v>
      </c>
      <c r="F107" s="50">
        <f t="shared" si="3"/>
        <v>380</v>
      </c>
      <c r="G107" s="50">
        <f t="shared" si="2"/>
        <v>320</v>
      </c>
      <c r="H107" s="50">
        <v>0</v>
      </c>
      <c r="I107" s="15">
        <f>MATCH(SUM($F$90:F107),基因升级!$AF$141:$AF$500,1)</f>
        <v>63</v>
      </c>
      <c r="K107" s="15">
        <v>63</v>
      </c>
    </row>
    <row r="108" spans="4:11">
      <c r="D108" s="50">
        <v>19</v>
      </c>
      <c r="E108" s="50">
        <f>IFERROR((_xlfn.XLOOKUP(D109,[2]主线关卡!E$20:E$319,[2]主线关卡!$D$20:$D$319)-1-6)*30,E107)</f>
        <v>1830</v>
      </c>
      <c r="F108" s="50">
        <f t="shared" si="3"/>
        <v>380</v>
      </c>
      <c r="G108" s="50">
        <f t="shared" si="2"/>
        <v>320</v>
      </c>
      <c r="H108" s="50">
        <v>0</v>
      </c>
      <c r="I108" s="15">
        <f>MATCH(SUM($F$90:F108),基因升级!$AF$141:$AF$500,1)</f>
        <v>64</v>
      </c>
      <c r="K108" s="15">
        <v>64</v>
      </c>
    </row>
    <row r="109" spans="4:11">
      <c r="D109" s="50">
        <v>20</v>
      </c>
      <c r="E109" s="50">
        <f>IFERROR((_xlfn.XLOOKUP(D110,[2]主线关卡!E$20:E$319,[2]主线关卡!$D$20:$D$319)-1-6)*30,E108)</f>
        <v>1860</v>
      </c>
      <c r="F109" s="50">
        <f t="shared" si="3"/>
        <v>350</v>
      </c>
      <c r="G109" s="50">
        <f t="shared" si="2"/>
        <v>320</v>
      </c>
      <c r="H109" s="50">
        <v>0</v>
      </c>
      <c r="I109" s="15">
        <f>MATCH(SUM($F$90:F109),基因升级!$AF$141:$AF$500,1)</f>
        <v>66</v>
      </c>
      <c r="K109" s="15">
        <v>66</v>
      </c>
    </row>
    <row r="110" spans="4:11">
      <c r="D110" s="50">
        <v>21</v>
      </c>
      <c r="E110" s="50">
        <f>IFERROR((_xlfn.XLOOKUP(D111,[2]主线关卡!E$20:E$319,[2]主线关卡!$D$20:$D$319)-1-6)*30,E109)</f>
        <v>1890</v>
      </c>
      <c r="F110" s="50">
        <f t="shared" si="3"/>
        <v>350</v>
      </c>
      <c r="G110" s="50">
        <f t="shared" si="2"/>
        <v>320</v>
      </c>
      <c r="H110" s="50">
        <v>0</v>
      </c>
      <c r="I110" s="15">
        <f>MATCH(SUM($F$90:F110),基因升级!$AF$141:$AF$500,1)</f>
        <v>67</v>
      </c>
      <c r="K110" s="15">
        <v>67</v>
      </c>
    </row>
    <row r="111" spans="4:11">
      <c r="D111" s="50">
        <v>22</v>
      </c>
      <c r="E111" s="50">
        <f>IFERROR((_xlfn.XLOOKUP(D112,[2]主线关卡!E$20:E$319,[2]主线关卡!$D$20:$D$319)-1-6)*30,E110)</f>
        <v>1920</v>
      </c>
      <c r="F111" s="50">
        <f t="shared" si="3"/>
        <v>350</v>
      </c>
      <c r="G111" s="50">
        <f t="shared" si="2"/>
        <v>320</v>
      </c>
      <c r="H111" s="50">
        <v>0</v>
      </c>
      <c r="I111" s="15">
        <f>MATCH(SUM($F$90:F111),基因升级!$AF$141:$AF$500,1)</f>
        <v>68</v>
      </c>
      <c r="K111" s="15">
        <v>68</v>
      </c>
    </row>
    <row r="112" spans="4:11">
      <c r="D112" s="50">
        <v>23</v>
      </c>
      <c r="E112" s="50">
        <f>IFERROR((_xlfn.XLOOKUP(D113,[2]主线关卡!E$20:E$319,[2]主线关卡!$D$20:$D$319)-1-6)*30,E111)</f>
        <v>1950</v>
      </c>
      <c r="F112" s="50">
        <f t="shared" si="3"/>
        <v>350</v>
      </c>
      <c r="G112" s="50">
        <f t="shared" si="2"/>
        <v>320</v>
      </c>
      <c r="H112" s="50">
        <v>0</v>
      </c>
      <c r="I112" s="15">
        <f>MATCH(SUM($F$90:F112),基因升级!$AF$141:$AF$500,1)</f>
        <v>69</v>
      </c>
      <c r="K112" s="15">
        <v>69</v>
      </c>
    </row>
    <row r="113" spans="4:11">
      <c r="D113" s="50">
        <v>24</v>
      </c>
      <c r="E113" s="50">
        <f>IFERROR((_xlfn.XLOOKUP(D114,[2]主线关卡!E$20:E$319,[2]主线关卡!$D$20:$D$319)-1-6)*30,E112)</f>
        <v>1980</v>
      </c>
      <c r="F113" s="50">
        <f t="shared" si="3"/>
        <v>350</v>
      </c>
      <c r="G113" s="50">
        <f t="shared" si="2"/>
        <v>320</v>
      </c>
      <c r="H113" s="50">
        <v>0</v>
      </c>
      <c r="I113" s="15">
        <f>MATCH(SUM($F$90:F113),基因升级!$AF$141:$AF$500,1)</f>
        <v>70</v>
      </c>
      <c r="K113" s="15">
        <v>70</v>
      </c>
    </row>
    <row r="114" spans="4:11">
      <c r="D114" s="50">
        <v>25</v>
      </c>
      <c r="E114" s="50">
        <f>IFERROR((_xlfn.XLOOKUP(D115,[2]主线关卡!E$20:E$319,[2]主线关卡!$D$20:$D$319)-1-6)*30,E113)</f>
        <v>2010</v>
      </c>
      <c r="F114" s="50">
        <f t="shared" si="3"/>
        <v>350</v>
      </c>
      <c r="G114" s="50">
        <f t="shared" si="2"/>
        <v>320</v>
      </c>
      <c r="H114" s="50">
        <v>0</v>
      </c>
      <c r="I114" s="15">
        <f>MATCH(SUM($F$90:F114),基因升级!$AF$141:$AF$500,1)</f>
        <v>72</v>
      </c>
      <c r="K114" s="15">
        <v>72</v>
      </c>
    </row>
    <row r="115" spans="4:11">
      <c r="D115" s="50">
        <v>26</v>
      </c>
      <c r="E115" s="50">
        <f>IFERROR((_xlfn.XLOOKUP(D116,[2]主线关卡!E$20:E$319,[2]主线关卡!$D$20:$D$319)-1-6)*30,E114)</f>
        <v>2040</v>
      </c>
      <c r="F115" s="50">
        <f t="shared" si="3"/>
        <v>350</v>
      </c>
      <c r="G115" s="50">
        <f t="shared" si="2"/>
        <v>320</v>
      </c>
      <c r="H115" s="50">
        <v>0</v>
      </c>
      <c r="I115" s="15">
        <f>MATCH(SUM($F$90:F115),基因升级!$AF$141:$AF$500,1)</f>
        <v>73</v>
      </c>
      <c r="K115" s="15">
        <v>73</v>
      </c>
    </row>
    <row r="116" spans="4:11">
      <c r="D116" s="50">
        <v>27</v>
      </c>
      <c r="E116" s="50">
        <f>IFERROR((_xlfn.XLOOKUP(D117,[2]主线关卡!E$20:E$319,[2]主线关卡!$D$20:$D$319)-1-6)*30,E115)</f>
        <v>2070</v>
      </c>
      <c r="F116" s="50">
        <f t="shared" si="3"/>
        <v>350</v>
      </c>
      <c r="G116" s="50">
        <f t="shared" si="2"/>
        <v>320</v>
      </c>
      <c r="H116" s="50">
        <v>0</v>
      </c>
      <c r="I116" s="15">
        <f>MATCH(SUM($F$90:F116),基因升级!$AF$141:$AF$500,1)</f>
        <v>74</v>
      </c>
      <c r="K116" s="15">
        <v>74</v>
      </c>
    </row>
    <row r="117" spans="4:11">
      <c r="D117" s="50">
        <v>28</v>
      </c>
      <c r="E117" s="50">
        <f>IFERROR((_xlfn.XLOOKUP(D118,[2]主线关卡!E$20:E$319,[2]主线关卡!$D$20:$D$319)-1-6)*30,E116)</f>
        <v>2100</v>
      </c>
      <c r="F117" s="50">
        <f t="shared" si="3"/>
        <v>350</v>
      </c>
      <c r="G117" s="50">
        <f t="shared" si="2"/>
        <v>320</v>
      </c>
      <c r="H117" s="50">
        <v>0</v>
      </c>
      <c r="I117" s="15">
        <f>MATCH(SUM($F$90:F117),基因升级!$AF$141:$AF$500,1)</f>
        <v>75</v>
      </c>
      <c r="K117" s="15">
        <v>75</v>
      </c>
    </row>
    <row r="118" spans="4:11">
      <c r="D118" s="50">
        <v>29</v>
      </c>
      <c r="E118" s="50">
        <f>IFERROR((_xlfn.XLOOKUP(D119,[2]主线关卡!E$20:E$319,[2]主线关卡!$D$20:$D$319)-1-6)*30,E117)</f>
        <v>2130</v>
      </c>
      <c r="F118" s="50">
        <f t="shared" si="3"/>
        <v>350</v>
      </c>
      <c r="G118" s="50">
        <f t="shared" si="2"/>
        <v>320</v>
      </c>
      <c r="H118" s="50">
        <v>0</v>
      </c>
      <c r="I118" s="15">
        <f>MATCH(SUM($F$90:F118),基因升级!$AF$141:$AF$500,1)</f>
        <v>76</v>
      </c>
      <c r="K118" s="15">
        <v>76</v>
      </c>
    </row>
    <row r="119" spans="4:11">
      <c r="D119" s="50">
        <v>30</v>
      </c>
      <c r="E119" s="50">
        <f>IFERROR((_xlfn.XLOOKUP(D120,[2]主线关卡!E$20:E$319,[2]主线关卡!$D$20:$D$319)-1-6)*30,E118)</f>
        <v>2160</v>
      </c>
      <c r="F119" s="50">
        <f t="shared" si="3"/>
        <v>350</v>
      </c>
      <c r="G119" s="50">
        <f t="shared" si="2"/>
        <v>320</v>
      </c>
      <c r="H119" s="50">
        <v>0</v>
      </c>
      <c r="I119" s="15">
        <f>MATCH(SUM($F$90:F119),基因升级!$AF$141:$AF$500,1)</f>
        <v>77</v>
      </c>
      <c r="K119" s="15">
        <v>77</v>
      </c>
    </row>
    <row r="120" spans="4:11">
      <c r="D120" s="50">
        <v>31</v>
      </c>
      <c r="E120" s="50">
        <f>IFERROR((_xlfn.XLOOKUP(D121,[2]主线关卡!E$20:E$319,[2]主线关卡!$D$20:$D$319)-1-6)*30,E119)</f>
        <v>2190</v>
      </c>
      <c r="F120" s="50">
        <f t="shared" si="3"/>
        <v>350</v>
      </c>
      <c r="G120" s="50">
        <f t="shared" si="2"/>
        <v>320</v>
      </c>
      <c r="H120" s="50">
        <v>0</v>
      </c>
      <c r="I120" s="15">
        <f>MATCH(SUM($F$90:F120),基因升级!$AF$141:$AF$500,1)</f>
        <v>78</v>
      </c>
      <c r="K120" s="15">
        <v>78</v>
      </c>
    </row>
    <row r="121" spans="4:11">
      <c r="D121" s="50">
        <v>32</v>
      </c>
      <c r="E121" s="50">
        <f>IFERROR((_xlfn.XLOOKUP(D122,[2]主线关卡!E$20:E$319,[2]主线关卡!$D$20:$D$319)-1-6)*30,E120)</f>
        <v>2220</v>
      </c>
      <c r="F121" s="50">
        <f t="shared" si="3"/>
        <v>350</v>
      </c>
      <c r="G121" s="50">
        <f t="shared" si="2"/>
        <v>320</v>
      </c>
      <c r="H121" s="50">
        <v>0</v>
      </c>
      <c r="I121" s="15">
        <f>MATCH(SUM($F$90:F121),基因升级!$AF$141:$AF$500,1)</f>
        <v>79</v>
      </c>
      <c r="K121" s="15">
        <v>79</v>
      </c>
    </row>
    <row r="122" spans="4:11">
      <c r="D122" s="50">
        <v>33</v>
      </c>
      <c r="E122" s="50">
        <f>IFERROR((_xlfn.XLOOKUP(D123,[2]主线关卡!E$20:E$319,[2]主线关卡!$D$20:$D$319)-1-6)*30,E121)</f>
        <v>2250</v>
      </c>
      <c r="F122" s="50">
        <f t="shared" si="3"/>
        <v>350</v>
      </c>
      <c r="G122" s="50">
        <f t="shared" si="2"/>
        <v>320</v>
      </c>
      <c r="H122" s="50">
        <v>0</v>
      </c>
      <c r="I122" s="15">
        <f>MATCH(SUM($F$90:F122),基因升级!$AF$141:$AF$500,1)</f>
        <v>80</v>
      </c>
      <c r="K122" s="15">
        <v>80</v>
      </c>
    </row>
    <row r="123" spans="4:11">
      <c r="D123" s="50">
        <v>34</v>
      </c>
      <c r="E123" s="50">
        <f>IFERROR((_xlfn.XLOOKUP(D124,[2]主线关卡!E$20:E$319,[2]主线关卡!$D$20:$D$319)-1-6)*30,E122)</f>
        <v>2280</v>
      </c>
      <c r="F123" s="50">
        <f t="shared" si="3"/>
        <v>350</v>
      </c>
      <c r="G123" s="50">
        <f t="shared" si="2"/>
        <v>320</v>
      </c>
      <c r="H123" s="50">
        <v>0</v>
      </c>
      <c r="I123" s="15">
        <f>MATCH(SUM($F$90:F123),基因升级!$AF$141:$AF$500,1)</f>
        <v>81</v>
      </c>
      <c r="K123" s="15">
        <v>81</v>
      </c>
    </row>
    <row r="124" spans="4:11">
      <c r="D124" s="50">
        <v>35</v>
      </c>
      <c r="E124" s="50">
        <f>IFERROR((_xlfn.XLOOKUP(D125,[2]主线关卡!E$20:E$319,[2]主线关卡!$D$20:$D$319)-1-6)*30,E123)</f>
        <v>2310</v>
      </c>
      <c r="F124" s="50">
        <f t="shared" si="3"/>
        <v>350</v>
      </c>
      <c r="G124" s="50">
        <f t="shared" si="2"/>
        <v>320</v>
      </c>
      <c r="H124" s="50">
        <v>0</v>
      </c>
      <c r="I124" s="15">
        <f>MATCH(SUM($F$90:F124),基因升级!$AF$141:$AF$500,1)</f>
        <v>82</v>
      </c>
      <c r="K124" s="15">
        <v>82</v>
      </c>
    </row>
    <row r="125" spans="4:11">
      <c r="D125" s="50">
        <v>36</v>
      </c>
      <c r="E125" s="50">
        <f>IFERROR((_xlfn.XLOOKUP(D126,[2]主线关卡!E$20:E$319,[2]主线关卡!$D$20:$D$319)-1-6)*30,E124)</f>
        <v>2340</v>
      </c>
      <c r="F125" s="50">
        <f t="shared" si="3"/>
        <v>350</v>
      </c>
      <c r="G125" s="50">
        <f t="shared" si="2"/>
        <v>320</v>
      </c>
      <c r="H125" s="50">
        <v>0</v>
      </c>
      <c r="I125" s="15">
        <f>MATCH(SUM($F$90:F125),基因升级!$AF$141:$AF$500,1)</f>
        <v>83</v>
      </c>
      <c r="K125" s="15">
        <v>83</v>
      </c>
    </row>
    <row r="126" spans="4:11">
      <c r="D126" s="50">
        <v>37</v>
      </c>
      <c r="E126" s="50">
        <f>IFERROR((_xlfn.XLOOKUP(D127,[2]主线关卡!E$20:E$319,[2]主线关卡!$D$20:$D$319)-1-6)*30,E125)</f>
        <v>2370</v>
      </c>
      <c r="F126" s="50">
        <f t="shared" si="3"/>
        <v>350</v>
      </c>
      <c r="G126" s="50">
        <f t="shared" si="2"/>
        <v>320</v>
      </c>
      <c r="H126" s="50">
        <v>0</v>
      </c>
      <c r="I126" s="15">
        <f>MATCH(SUM($F$90:F126),基因升级!$AF$141:$AF$500,1)</f>
        <v>84</v>
      </c>
      <c r="K126" s="15">
        <v>84</v>
      </c>
    </row>
    <row r="127" spans="4:11">
      <c r="D127" s="50">
        <v>38</v>
      </c>
      <c r="E127" s="50">
        <f>IFERROR((_xlfn.XLOOKUP(D128,[2]主线关卡!E$20:E$319,[2]主线关卡!$D$20:$D$319)-1-6)*30,E126)</f>
        <v>2400</v>
      </c>
      <c r="F127" s="50">
        <f t="shared" si="3"/>
        <v>350</v>
      </c>
      <c r="G127" s="50">
        <f t="shared" si="2"/>
        <v>320</v>
      </c>
      <c r="H127" s="50">
        <v>0</v>
      </c>
      <c r="I127" s="15">
        <f>MATCH(SUM($F$90:F127),基因升级!$AF$141:$AF$500,1)</f>
        <v>85</v>
      </c>
      <c r="K127" s="15">
        <v>85</v>
      </c>
    </row>
    <row r="128" spans="4:11">
      <c r="D128" s="50">
        <v>39</v>
      </c>
      <c r="E128" s="50">
        <f>IFERROR((_xlfn.XLOOKUP(D129,[2]主线关卡!E$20:E$319,[2]主线关卡!$D$20:$D$319)-1-6)*30,E127)</f>
        <v>2430</v>
      </c>
      <c r="F128" s="50">
        <f t="shared" si="3"/>
        <v>350</v>
      </c>
      <c r="G128" s="50">
        <f t="shared" si="2"/>
        <v>320</v>
      </c>
      <c r="H128" s="50">
        <v>0</v>
      </c>
      <c r="I128" s="15">
        <f>MATCH(SUM($F$90:F128),基因升级!$AF$141:$AF$500,1)</f>
        <v>86</v>
      </c>
      <c r="K128" s="15">
        <v>86</v>
      </c>
    </row>
    <row r="129" spans="4:17">
      <c r="D129" s="50">
        <v>40</v>
      </c>
      <c r="E129" s="50">
        <f>IFERROR((_xlfn.XLOOKUP(D130,[2]主线关卡!E$20:E$319,[2]主线关卡!$D$20:$D$319)-1-6)*30,E128)</f>
        <v>2460</v>
      </c>
      <c r="F129" s="50">
        <f t="shared" si="3"/>
        <v>350</v>
      </c>
      <c r="G129" s="50">
        <f t="shared" si="2"/>
        <v>320</v>
      </c>
      <c r="H129" s="50">
        <v>0</v>
      </c>
      <c r="I129" s="15">
        <f>MATCH(SUM($F$90:F129),基因升级!$AF$141:$AF$500,1)</f>
        <v>87</v>
      </c>
      <c r="K129" s="15">
        <v>87</v>
      </c>
    </row>
    <row r="130" spans="4:17">
      <c r="D130" s="50">
        <v>41</v>
      </c>
      <c r="E130" s="50">
        <f>IFERROR((_xlfn.XLOOKUP(D131,[2]主线关卡!E$20:E$319,[2]主线关卡!$D$20:$D$319)-1-6)*30,E129)</f>
        <v>2490</v>
      </c>
      <c r="F130" s="50">
        <f t="shared" si="3"/>
        <v>350</v>
      </c>
      <c r="G130" s="50">
        <f t="shared" si="2"/>
        <v>320</v>
      </c>
      <c r="H130" s="50">
        <v>0</v>
      </c>
      <c r="I130" s="15">
        <f>MATCH(SUM($F$90:F130),基因升级!$AF$141:$AF$500,1)</f>
        <v>87</v>
      </c>
      <c r="K130" s="15">
        <v>87</v>
      </c>
    </row>
    <row r="131" spans="4:17">
      <c r="D131" s="50">
        <v>42</v>
      </c>
      <c r="E131" s="50">
        <f>IFERROR((_xlfn.XLOOKUP(D132,[2]主线关卡!E$20:E$319,[2]主线关卡!$D$20:$D$319)-1-6)*30,E130)</f>
        <v>2520</v>
      </c>
      <c r="F131" s="50">
        <f t="shared" si="3"/>
        <v>350</v>
      </c>
      <c r="G131" s="50">
        <f t="shared" si="2"/>
        <v>320</v>
      </c>
      <c r="H131" s="50">
        <v>0</v>
      </c>
      <c r="I131" s="15">
        <f>MATCH(SUM($F$90:F131),基因升级!$AF$141:$AF$500,1)</f>
        <v>88</v>
      </c>
      <c r="K131" s="15">
        <v>88</v>
      </c>
      <c r="Q131" s="15" t="s">
        <v>369</v>
      </c>
    </row>
    <row r="132" spans="4:17">
      <c r="D132" s="50">
        <v>43</v>
      </c>
      <c r="E132" s="50">
        <f>IFERROR((_xlfn.XLOOKUP(D133,[2]主线关卡!E$20:E$319,[2]主线关卡!$D$20:$D$319)-1-6)*30,E131)</f>
        <v>2550</v>
      </c>
      <c r="F132" s="50">
        <f t="shared" si="3"/>
        <v>350</v>
      </c>
      <c r="G132" s="50">
        <f t="shared" si="2"/>
        <v>320</v>
      </c>
      <c r="H132" s="50">
        <v>0</v>
      </c>
      <c r="I132" s="15">
        <f>MATCH(SUM($F$90:F132),基因升级!$AF$141:$AF$500,1)</f>
        <v>89</v>
      </c>
      <c r="K132" s="15">
        <v>89</v>
      </c>
    </row>
    <row r="133" spans="4:17">
      <c r="D133" s="50">
        <v>44</v>
      </c>
      <c r="E133" s="50">
        <f>IFERROR((_xlfn.XLOOKUP(D134,[2]主线关卡!E$20:E$319,[2]主线关卡!$D$20:$D$319)-1-6)*30,E132)</f>
        <v>2580</v>
      </c>
      <c r="F133" s="50">
        <f t="shared" si="3"/>
        <v>350</v>
      </c>
      <c r="G133" s="50">
        <f t="shared" si="2"/>
        <v>320</v>
      </c>
      <c r="H133" s="50">
        <v>0</v>
      </c>
      <c r="I133" s="15">
        <f>MATCH(SUM($F$90:F133),基因升级!$AF$141:$AF$500,1)</f>
        <v>90</v>
      </c>
      <c r="K133" s="15">
        <v>90</v>
      </c>
    </row>
    <row r="134" spans="4:17">
      <c r="D134" s="50">
        <v>45</v>
      </c>
      <c r="E134" s="50">
        <f>IFERROR((_xlfn.XLOOKUP(D135,[2]主线关卡!E$20:E$319,[2]主线关卡!$D$20:$D$319)-1-6)*30,E133)</f>
        <v>2610</v>
      </c>
      <c r="F134" s="50">
        <f t="shared" si="3"/>
        <v>350</v>
      </c>
      <c r="G134" s="50">
        <f t="shared" si="2"/>
        <v>320</v>
      </c>
      <c r="H134" s="50">
        <v>0</v>
      </c>
      <c r="I134" s="15">
        <f>MATCH(SUM($F$90:F134),基因升级!$AF$141:$AF$500,1)</f>
        <v>91</v>
      </c>
      <c r="K134" s="15">
        <v>91</v>
      </c>
    </row>
    <row r="135" spans="4:17">
      <c r="D135" s="50">
        <v>46</v>
      </c>
      <c r="E135" s="50">
        <f>IFERROR((_xlfn.XLOOKUP(D136,[2]主线关卡!E$20:E$319,[2]主线关卡!$D$20:$D$319)-1-6)*30,E134)</f>
        <v>2640</v>
      </c>
      <c r="F135" s="50">
        <f t="shared" si="3"/>
        <v>350</v>
      </c>
      <c r="G135" s="50">
        <f t="shared" si="2"/>
        <v>320</v>
      </c>
      <c r="H135" s="50">
        <v>0</v>
      </c>
      <c r="I135" s="15">
        <f>MATCH(SUM($F$90:F135),基因升级!$AF$141:$AF$500,1)</f>
        <v>92</v>
      </c>
      <c r="K135" s="15">
        <v>92</v>
      </c>
    </row>
    <row r="136" spans="4:17">
      <c r="D136" s="50">
        <v>47</v>
      </c>
      <c r="E136" s="50">
        <f>IFERROR((_xlfn.XLOOKUP(D137,[2]主线关卡!E$20:E$319,[2]主线关卡!$D$20:$D$319)-1-6)*30,E135)</f>
        <v>2670</v>
      </c>
      <c r="F136" s="50">
        <f t="shared" si="3"/>
        <v>350</v>
      </c>
      <c r="G136" s="50">
        <f t="shared" si="2"/>
        <v>320</v>
      </c>
      <c r="H136" s="50">
        <v>0</v>
      </c>
      <c r="I136" s="15">
        <f>MATCH(SUM($F$90:F136),基因升级!$AF$141:$AF$500,1)</f>
        <v>93</v>
      </c>
      <c r="K136" s="15">
        <v>93</v>
      </c>
    </row>
    <row r="137" spans="4:17">
      <c r="D137" s="50">
        <v>48</v>
      </c>
      <c r="E137" s="50">
        <f>IFERROR((_xlfn.XLOOKUP(D138,[2]主线关卡!E$20:E$319,[2]主线关卡!$D$20:$D$319)-1-6)*30,E136)</f>
        <v>2700</v>
      </c>
      <c r="F137" s="50">
        <f t="shared" si="3"/>
        <v>350</v>
      </c>
      <c r="G137" s="50">
        <f t="shared" si="2"/>
        <v>320</v>
      </c>
      <c r="H137" s="50">
        <v>0</v>
      </c>
      <c r="I137" s="15">
        <f>MATCH(SUM($F$90:F137),基因升级!$AF$141:$AF$500,1)</f>
        <v>93</v>
      </c>
      <c r="K137" s="15">
        <v>93</v>
      </c>
    </row>
    <row r="138" spans="4:17">
      <c r="D138" s="50">
        <v>49</v>
      </c>
      <c r="E138" s="50">
        <f>IFERROR((_xlfn.XLOOKUP(D139,[2]主线关卡!E$20:E$319,[2]主线关卡!$D$20:$D$319)-1-6)*30,E137)</f>
        <v>2730</v>
      </c>
      <c r="F138" s="50">
        <f t="shared" si="3"/>
        <v>350</v>
      </c>
      <c r="G138" s="50">
        <f t="shared" si="2"/>
        <v>320</v>
      </c>
      <c r="H138" s="50">
        <v>0</v>
      </c>
      <c r="I138" s="15">
        <f>MATCH(SUM($F$90:F138),基因升级!$AF$141:$AF$500,1)</f>
        <v>94</v>
      </c>
      <c r="K138" s="15">
        <v>94</v>
      </c>
    </row>
    <row r="139" spans="4:17">
      <c r="D139" s="50">
        <v>50</v>
      </c>
      <c r="E139" s="50">
        <f>IFERROR((_xlfn.XLOOKUP(D140,[2]主线关卡!E$20:E$319,[2]主线关卡!$D$20:$D$319)-1-6)*30,E138)</f>
        <v>2760</v>
      </c>
      <c r="F139" s="50">
        <f t="shared" si="3"/>
        <v>350</v>
      </c>
      <c r="G139" s="50">
        <f t="shared" si="2"/>
        <v>320</v>
      </c>
      <c r="H139" s="50">
        <v>0</v>
      </c>
      <c r="I139" s="15">
        <f>MATCH(SUM($F$90:F139),基因升级!$AF$141:$AF$500,1)</f>
        <v>95</v>
      </c>
      <c r="K139" s="15">
        <v>95</v>
      </c>
    </row>
    <row r="140" spans="4:17">
      <c r="D140" s="50">
        <v>51</v>
      </c>
      <c r="E140" s="50">
        <f>IFERROR((_xlfn.XLOOKUP(D141,[2]主线关卡!E$20:E$319,[2]主线关卡!$D$20:$D$319)-1-6)*30,E139)</f>
        <v>2790</v>
      </c>
      <c r="F140" s="50">
        <f t="shared" si="3"/>
        <v>350</v>
      </c>
      <c r="G140" s="50">
        <f t="shared" si="2"/>
        <v>320</v>
      </c>
      <c r="H140" s="50">
        <v>0</v>
      </c>
      <c r="I140" s="15">
        <f>MATCH(SUM($F$90:F140),基因升级!$AF$141:$AF$500,1)</f>
        <v>96</v>
      </c>
      <c r="K140" s="15">
        <v>96</v>
      </c>
    </row>
    <row r="141" spans="4:17">
      <c r="D141" s="50">
        <v>52</v>
      </c>
      <c r="E141" s="50">
        <f>IFERROR((_xlfn.XLOOKUP(D142,[2]主线关卡!E$20:E$319,[2]主线关卡!$D$20:$D$319)-1-6)*30,E140)</f>
        <v>2820</v>
      </c>
      <c r="F141" s="50">
        <f t="shared" si="3"/>
        <v>350</v>
      </c>
      <c r="G141" s="50">
        <f t="shared" si="2"/>
        <v>320</v>
      </c>
      <c r="H141" s="50">
        <v>0</v>
      </c>
      <c r="I141" s="15">
        <f>MATCH(SUM($F$90:F141),基因升级!$AF$141:$AF$500,1)</f>
        <v>97</v>
      </c>
      <c r="K141" s="15">
        <v>97</v>
      </c>
    </row>
    <row r="142" spans="4:17">
      <c r="D142" s="50">
        <v>53</v>
      </c>
      <c r="E142" s="50">
        <f>IFERROR((_xlfn.XLOOKUP(D143,[2]主线关卡!E$20:E$319,[2]主线关卡!$D$20:$D$319)-1-6)*30,E141)</f>
        <v>2850</v>
      </c>
      <c r="F142" s="50">
        <f t="shared" si="3"/>
        <v>350</v>
      </c>
      <c r="G142" s="50">
        <f t="shared" si="2"/>
        <v>320</v>
      </c>
      <c r="H142" s="50">
        <v>0</v>
      </c>
      <c r="I142" s="15">
        <f>MATCH(SUM($F$90:F142),基因升级!$AF$141:$AF$500,1)</f>
        <v>97</v>
      </c>
      <c r="K142" s="15">
        <v>97</v>
      </c>
    </row>
    <row r="143" spans="4:17">
      <c r="D143" s="50">
        <v>54</v>
      </c>
      <c r="E143" s="50">
        <f>IFERROR((_xlfn.XLOOKUP(D144,[2]主线关卡!E$20:E$319,[2]主线关卡!$D$20:$D$319)-1-6)*30,E142)</f>
        <v>2880</v>
      </c>
      <c r="F143" s="50">
        <f t="shared" si="3"/>
        <v>350</v>
      </c>
      <c r="G143" s="50">
        <f t="shared" si="2"/>
        <v>320</v>
      </c>
      <c r="H143" s="50">
        <v>0</v>
      </c>
      <c r="I143" s="15">
        <f>MATCH(SUM($F$90:F143),基因升级!$AF$141:$AF$500,1)</f>
        <v>98</v>
      </c>
      <c r="K143" s="15">
        <v>98</v>
      </c>
    </row>
    <row r="144" spans="4:17">
      <c r="D144" s="50">
        <v>55</v>
      </c>
      <c r="E144" s="50">
        <f>IFERROR((_xlfn.XLOOKUP(D145,[2]主线关卡!E$20:E$319,[2]主线关卡!$D$20:$D$319)-1-6)*30,E143)</f>
        <v>2910</v>
      </c>
      <c r="F144" s="50">
        <f t="shared" si="3"/>
        <v>350</v>
      </c>
      <c r="G144" s="50">
        <f t="shared" si="2"/>
        <v>320</v>
      </c>
      <c r="H144" s="50">
        <v>0</v>
      </c>
      <c r="I144" s="15">
        <f>MATCH(SUM($F$90:F144),基因升级!$AF$141:$AF$500,1)</f>
        <v>99</v>
      </c>
      <c r="K144" s="15">
        <v>99</v>
      </c>
    </row>
    <row r="145" spans="4:11">
      <c r="D145" s="50">
        <v>56</v>
      </c>
      <c r="E145" s="50">
        <f>IFERROR((_xlfn.XLOOKUP(D146,[2]主线关卡!E$20:E$319,[2]主线关卡!$D$20:$D$319)-1-6)*30,E144)</f>
        <v>2940</v>
      </c>
      <c r="F145" s="50">
        <f t="shared" si="3"/>
        <v>350</v>
      </c>
      <c r="G145" s="50">
        <f t="shared" si="2"/>
        <v>320</v>
      </c>
      <c r="H145" s="50">
        <v>0</v>
      </c>
      <c r="I145" s="15">
        <f>MATCH(SUM($F$90:F145),基因升级!$AF$141:$AF$500,1)</f>
        <v>100</v>
      </c>
      <c r="K145" s="15">
        <v>100</v>
      </c>
    </row>
    <row r="146" spans="4:11">
      <c r="D146" s="50">
        <v>57</v>
      </c>
      <c r="E146" s="50">
        <f>IFERROR((_xlfn.XLOOKUP(D147,[2]主线关卡!E$20:E$319,[2]主线关卡!$D$20:$D$319)-1-6)*30,E145)</f>
        <v>2970</v>
      </c>
      <c r="F146" s="50">
        <f t="shared" si="3"/>
        <v>350</v>
      </c>
      <c r="G146" s="50">
        <f t="shared" si="2"/>
        <v>320</v>
      </c>
      <c r="H146" s="50">
        <v>0</v>
      </c>
      <c r="I146" s="15">
        <f>MATCH(SUM($F$90:F146),基因升级!$AF$141:$AF$500,1)</f>
        <v>101</v>
      </c>
      <c r="K146" s="15">
        <v>101</v>
      </c>
    </row>
    <row r="147" spans="4:11">
      <c r="D147" s="50">
        <v>58</v>
      </c>
      <c r="E147" s="50">
        <f>IFERROR((_xlfn.XLOOKUP(D148,[2]主线关卡!E$20:E$319,[2]主线关卡!$D$20:$D$319)-1-6)*30,E146)</f>
        <v>3000</v>
      </c>
      <c r="F147" s="50">
        <f t="shared" si="3"/>
        <v>350</v>
      </c>
      <c r="G147" s="50">
        <f t="shared" si="2"/>
        <v>320</v>
      </c>
      <c r="H147" s="50">
        <v>0</v>
      </c>
      <c r="I147" s="15">
        <f>MATCH(SUM($F$90:F147),基因升级!$AF$141:$AF$500,1)</f>
        <v>101</v>
      </c>
      <c r="K147" s="15">
        <v>101</v>
      </c>
    </row>
    <row r="148" spans="4:11">
      <c r="D148" s="50">
        <v>59</v>
      </c>
      <c r="E148" s="50">
        <f>IFERROR((_xlfn.XLOOKUP(D149,[2]主线关卡!E$20:E$319,[2]主线关卡!$D$20:$D$319)-1-6)*30,E147)</f>
        <v>3030</v>
      </c>
      <c r="F148" s="50">
        <f t="shared" si="3"/>
        <v>350</v>
      </c>
      <c r="G148" s="50">
        <f t="shared" si="2"/>
        <v>320</v>
      </c>
      <c r="H148" s="50">
        <v>0</v>
      </c>
      <c r="I148" s="15">
        <f>MATCH(SUM($F$90:F148),基因升级!$AF$141:$AF$500,1)</f>
        <v>102</v>
      </c>
      <c r="K148" s="15">
        <v>102</v>
      </c>
    </row>
    <row r="149" spans="4:11">
      <c r="D149" s="50">
        <v>60</v>
      </c>
      <c r="E149" s="50">
        <f>IFERROR((_xlfn.XLOOKUP(D150,[2]主线关卡!E$20:E$319,[2]主线关卡!$D$20:$D$319)-1-6)*30,E148)</f>
        <v>3060</v>
      </c>
      <c r="F149" s="50">
        <f t="shared" si="3"/>
        <v>350</v>
      </c>
      <c r="G149" s="50">
        <f t="shared" si="2"/>
        <v>320</v>
      </c>
      <c r="H149" s="50">
        <v>0</v>
      </c>
      <c r="I149" s="15">
        <f>MATCH(SUM($F$90:F149),基因升级!$AF$141:$AF$500,1)</f>
        <v>103</v>
      </c>
      <c r="K149" s="15">
        <v>103</v>
      </c>
    </row>
    <row r="150" spans="4:11">
      <c r="D150" s="50">
        <v>61</v>
      </c>
      <c r="E150" s="50">
        <f>IFERROR((_xlfn.XLOOKUP(D151,[2]主线关卡!E$20:E$319,[2]主线关卡!$D$20:$D$319)-1-6)*30,E149)</f>
        <v>3090</v>
      </c>
      <c r="F150" s="50">
        <f t="shared" si="3"/>
        <v>350</v>
      </c>
      <c r="G150" s="50">
        <f t="shared" si="2"/>
        <v>320</v>
      </c>
      <c r="H150" s="50">
        <v>0</v>
      </c>
      <c r="I150" s="15">
        <f>MATCH(SUM($F$90:F150),基因升级!$AF$141:$AF$500,1)</f>
        <v>104</v>
      </c>
    </row>
    <row r="151" spans="4:11">
      <c r="D151" s="50">
        <v>62</v>
      </c>
      <c r="E151" s="50">
        <f>IFERROR((_xlfn.XLOOKUP(D152,[2]主线关卡!E$20:E$319,[2]主线关卡!$D$20:$D$319)-1-6)*30,E150)</f>
        <v>3090</v>
      </c>
      <c r="F151" s="50">
        <f t="shared" si="3"/>
        <v>320</v>
      </c>
      <c r="G151" s="50">
        <f t="shared" si="2"/>
        <v>320</v>
      </c>
      <c r="H151" s="50">
        <v>0</v>
      </c>
      <c r="I151" s="15">
        <f>MATCH(SUM($F$90:F151),基因升级!$AF$141:$AF$500,1)</f>
        <v>104</v>
      </c>
    </row>
    <row r="152" spans="4:11">
      <c r="D152" s="50">
        <v>63</v>
      </c>
      <c r="E152" s="50">
        <f>IFERROR((_xlfn.XLOOKUP(D153,[2]主线关卡!E$20:E$319,[2]主线关卡!$D$20:$D$319)-1-6)*30,E151)</f>
        <v>3120</v>
      </c>
      <c r="F152" s="50">
        <f t="shared" si="3"/>
        <v>350</v>
      </c>
      <c r="G152" s="50">
        <f t="shared" si="2"/>
        <v>320</v>
      </c>
      <c r="H152" s="50">
        <v>0</v>
      </c>
      <c r="I152" s="15">
        <f>MATCH(SUM($F$90:F152),基因升级!$AF$141:$AF$500,1)</f>
        <v>105</v>
      </c>
    </row>
    <row r="153" spans="4:11">
      <c r="D153" s="50">
        <v>64</v>
      </c>
      <c r="E153" s="50">
        <f>IFERROR((_xlfn.XLOOKUP(D154,[2]主线关卡!E$20:E$319,[2]主线关卡!$D$20:$D$319)-1-6)*30,E152)</f>
        <v>3120</v>
      </c>
      <c r="F153" s="50">
        <f t="shared" si="3"/>
        <v>320</v>
      </c>
      <c r="G153" s="50">
        <f t="shared" si="2"/>
        <v>320</v>
      </c>
      <c r="H153" s="50">
        <v>0</v>
      </c>
      <c r="I153" s="15">
        <f>MATCH(SUM($F$90:F153),基因升级!$AF$141:$AF$500,1)</f>
        <v>106</v>
      </c>
    </row>
    <row r="154" spans="4:11">
      <c r="D154" s="50">
        <v>65</v>
      </c>
      <c r="E154" s="50">
        <f>IFERROR((_xlfn.XLOOKUP(D155,[2]主线关卡!E$20:E$319,[2]主线关卡!$D$20:$D$319)-1-6)*30,E153)</f>
        <v>3150</v>
      </c>
      <c r="F154" s="50">
        <f t="shared" si="3"/>
        <v>350</v>
      </c>
      <c r="G154" s="50">
        <f t="shared" si="2"/>
        <v>320</v>
      </c>
      <c r="H154" s="50">
        <v>0</v>
      </c>
      <c r="I154" s="15">
        <f>MATCH(SUM($F$90:F154),基因升级!$AF$141:$AF$500,1)</f>
        <v>106</v>
      </c>
    </row>
    <row r="155" spans="4:11">
      <c r="D155" s="50">
        <v>66</v>
      </c>
      <c r="E155" s="50">
        <f>IFERROR((_xlfn.XLOOKUP(D156,[2]主线关卡!E$20:E$319,[2]主线关卡!$D$20:$D$319)-1-6)*30,E154)</f>
        <v>3150</v>
      </c>
      <c r="F155" s="50">
        <f t="shared" ref="F155:F218" si="4">E155-E154+H155+G155</f>
        <v>320</v>
      </c>
      <c r="G155" s="50">
        <f t="shared" ref="G155:G218" si="5">($F$26+24)*$E$26</f>
        <v>320</v>
      </c>
      <c r="H155" s="50">
        <v>0</v>
      </c>
      <c r="I155" s="15">
        <f>MATCH(SUM($F$90:F155),基因升级!$AF$141:$AF$500,1)</f>
        <v>107</v>
      </c>
    </row>
    <row r="156" spans="4:11">
      <c r="D156" s="50">
        <v>67</v>
      </c>
      <c r="E156" s="50">
        <f>IFERROR((_xlfn.XLOOKUP(D157,[2]主线关卡!E$20:E$319,[2]主线关卡!$D$20:$D$319)-1-6)*30,E155)</f>
        <v>3180</v>
      </c>
      <c r="F156" s="50">
        <f t="shared" si="4"/>
        <v>350</v>
      </c>
      <c r="G156" s="50">
        <f t="shared" si="5"/>
        <v>320</v>
      </c>
      <c r="H156" s="50">
        <v>0</v>
      </c>
      <c r="I156" s="15">
        <f>MATCH(SUM($F$90:F156),基因升级!$AF$141:$AF$500,1)</f>
        <v>108</v>
      </c>
    </row>
    <row r="157" spans="4:11">
      <c r="D157" s="50">
        <v>68</v>
      </c>
      <c r="E157" s="50">
        <f>IFERROR((_xlfn.XLOOKUP(D158,[2]主线关卡!E$20:E$319,[2]主线关卡!$D$20:$D$319)-1-6)*30,E156)</f>
        <v>3180</v>
      </c>
      <c r="F157" s="50">
        <f t="shared" si="4"/>
        <v>320</v>
      </c>
      <c r="G157" s="50">
        <f t="shared" si="5"/>
        <v>320</v>
      </c>
      <c r="H157" s="50">
        <v>0</v>
      </c>
      <c r="I157" s="15">
        <f>MATCH(SUM($F$90:F157),基因升级!$AF$141:$AF$500,1)</f>
        <v>108</v>
      </c>
    </row>
    <row r="158" spans="4:11">
      <c r="D158" s="50">
        <v>69</v>
      </c>
      <c r="E158" s="50">
        <f>IFERROR((_xlfn.XLOOKUP(D159,[2]主线关卡!E$20:E$319,[2]主线关卡!$D$20:$D$319)-1-6)*30,E157)</f>
        <v>3210</v>
      </c>
      <c r="F158" s="50">
        <f t="shared" si="4"/>
        <v>350</v>
      </c>
      <c r="G158" s="50">
        <f t="shared" si="5"/>
        <v>320</v>
      </c>
      <c r="H158" s="50">
        <v>0</v>
      </c>
      <c r="I158" s="15">
        <f>MATCH(SUM($F$90:F158),基因升级!$AF$141:$AF$500,1)</f>
        <v>109</v>
      </c>
    </row>
    <row r="159" spans="4:11">
      <c r="D159" s="50">
        <v>70</v>
      </c>
      <c r="E159" s="50">
        <f>IFERROR((_xlfn.XLOOKUP(D160,[2]主线关卡!E$20:E$319,[2]主线关卡!$D$20:$D$319)-1-6)*30,E158)</f>
        <v>3210</v>
      </c>
      <c r="F159" s="50">
        <f t="shared" si="4"/>
        <v>320</v>
      </c>
      <c r="G159" s="50">
        <f t="shared" si="5"/>
        <v>320</v>
      </c>
      <c r="H159" s="50">
        <v>0</v>
      </c>
      <c r="I159" s="15">
        <f>MATCH(SUM($F$90:F159),基因升级!$AF$141:$AF$500,1)</f>
        <v>110</v>
      </c>
    </row>
    <row r="160" spans="4:11">
      <c r="D160" s="50">
        <v>71</v>
      </c>
      <c r="E160" s="50">
        <f>IFERROR((_xlfn.XLOOKUP(D161,[2]主线关卡!E$20:E$319,[2]主线关卡!$D$20:$D$319)-1-6)*30,E159)</f>
        <v>3240</v>
      </c>
      <c r="F160" s="50">
        <f t="shared" si="4"/>
        <v>350</v>
      </c>
      <c r="G160" s="50">
        <f t="shared" si="5"/>
        <v>320</v>
      </c>
      <c r="H160" s="50">
        <v>0</v>
      </c>
      <c r="I160" s="15">
        <f>MATCH(SUM($F$90:F160),基因升级!$AF$141:$AF$500,1)</f>
        <v>110</v>
      </c>
    </row>
    <row r="161" spans="4:9">
      <c r="D161" s="50">
        <v>72</v>
      </c>
      <c r="E161" s="50">
        <f>IFERROR((_xlfn.XLOOKUP(D162,[2]主线关卡!E$20:E$319,[2]主线关卡!$D$20:$D$319)-1-6)*30,E160)</f>
        <v>3240</v>
      </c>
      <c r="F161" s="50">
        <f t="shared" si="4"/>
        <v>320</v>
      </c>
      <c r="G161" s="50">
        <f t="shared" si="5"/>
        <v>320</v>
      </c>
      <c r="H161" s="50">
        <v>0</v>
      </c>
      <c r="I161" s="15">
        <f>MATCH(SUM($F$90:F161),基因升级!$AF$141:$AF$500,1)</f>
        <v>111</v>
      </c>
    </row>
    <row r="162" spans="4:9">
      <c r="D162" s="50">
        <v>73</v>
      </c>
      <c r="E162" s="50">
        <f>IFERROR((_xlfn.XLOOKUP(D163,[2]主线关卡!E$20:E$319,[2]主线关卡!$D$20:$D$319)-1-6)*30,E161)</f>
        <v>3270</v>
      </c>
      <c r="F162" s="50">
        <f t="shared" si="4"/>
        <v>350</v>
      </c>
      <c r="G162" s="50">
        <f t="shared" si="5"/>
        <v>320</v>
      </c>
      <c r="H162" s="50">
        <v>0</v>
      </c>
      <c r="I162" s="15">
        <f>MATCH(SUM($F$90:F162),基因升级!$AF$141:$AF$500,1)</f>
        <v>112</v>
      </c>
    </row>
    <row r="163" spans="4:9">
      <c r="D163" s="50">
        <v>74</v>
      </c>
      <c r="E163" s="50">
        <f>IFERROR((_xlfn.XLOOKUP(D164,[2]主线关卡!E$20:E$319,[2]主线关卡!$D$20:$D$319)-1-6)*30,E162)</f>
        <v>3270</v>
      </c>
      <c r="F163" s="50">
        <f t="shared" si="4"/>
        <v>320</v>
      </c>
      <c r="G163" s="50">
        <f t="shared" si="5"/>
        <v>320</v>
      </c>
      <c r="H163" s="50">
        <v>0</v>
      </c>
      <c r="I163" s="15">
        <f>MATCH(SUM($F$90:F163),基因升级!$AF$141:$AF$500,1)</f>
        <v>112</v>
      </c>
    </row>
    <row r="164" spans="4:9">
      <c r="D164" s="50">
        <v>75</v>
      </c>
      <c r="E164" s="50">
        <f>IFERROR((_xlfn.XLOOKUP(D165,[2]主线关卡!E$20:E$319,[2]主线关卡!$D$20:$D$319)-1-6)*30,E163)</f>
        <v>3300</v>
      </c>
      <c r="F164" s="50">
        <f t="shared" si="4"/>
        <v>350</v>
      </c>
      <c r="G164" s="50">
        <f t="shared" si="5"/>
        <v>320</v>
      </c>
      <c r="H164" s="50">
        <v>0</v>
      </c>
      <c r="I164" s="15">
        <f>MATCH(SUM($F$90:F164),基因升级!$AF$141:$AF$500,1)</f>
        <v>113</v>
      </c>
    </row>
    <row r="165" spans="4:9">
      <c r="D165" s="50">
        <v>76</v>
      </c>
      <c r="E165" s="50">
        <f>IFERROR((_xlfn.XLOOKUP(D166,[2]主线关卡!E$20:E$319,[2]主线关卡!$D$20:$D$319)-1-6)*30,E164)</f>
        <v>3300</v>
      </c>
      <c r="F165" s="50">
        <f t="shared" si="4"/>
        <v>320</v>
      </c>
      <c r="G165" s="50">
        <f t="shared" si="5"/>
        <v>320</v>
      </c>
      <c r="H165" s="50">
        <v>0</v>
      </c>
      <c r="I165" s="15">
        <f>MATCH(SUM($F$90:F165),基因升级!$AF$141:$AF$500,1)</f>
        <v>114</v>
      </c>
    </row>
    <row r="166" spans="4:9">
      <c r="D166" s="50">
        <v>77</v>
      </c>
      <c r="E166" s="50">
        <f>IFERROR((_xlfn.XLOOKUP(D167,[2]主线关卡!E$20:E$319,[2]主线关卡!$D$20:$D$319)-1-6)*30,E165)</f>
        <v>3330</v>
      </c>
      <c r="F166" s="50">
        <f t="shared" si="4"/>
        <v>350</v>
      </c>
      <c r="G166" s="50">
        <f t="shared" si="5"/>
        <v>320</v>
      </c>
      <c r="H166" s="50">
        <v>0</v>
      </c>
      <c r="I166" s="15">
        <f>MATCH(SUM($F$90:F166),基因升级!$AF$141:$AF$500,1)</f>
        <v>114</v>
      </c>
    </row>
    <row r="167" spans="4:9">
      <c r="D167" s="50">
        <v>78</v>
      </c>
      <c r="E167" s="50">
        <f>IFERROR((_xlfn.XLOOKUP(D168,[2]主线关卡!E$20:E$319,[2]主线关卡!$D$20:$D$319)-1-6)*30,E166)</f>
        <v>3330</v>
      </c>
      <c r="F167" s="50">
        <f t="shared" si="4"/>
        <v>320</v>
      </c>
      <c r="G167" s="50">
        <f t="shared" si="5"/>
        <v>320</v>
      </c>
      <c r="H167" s="50">
        <v>0</v>
      </c>
      <c r="I167" s="15">
        <f>MATCH(SUM($F$90:F167),基因升级!$AF$141:$AF$500,1)</f>
        <v>115</v>
      </c>
    </row>
    <row r="168" spans="4:9">
      <c r="D168" s="50">
        <v>79</v>
      </c>
      <c r="E168" s="50">
        <f>IFERROR((_xlfn.XLOOKUP(D169,[2]主线关卡!E$20:E$319,[2]主线关卡!$D$20:$D$319)-1-6)*30,E167)</f>
        <v>3360</v>
      </c>
      <c r="F168" s="50">
        <f t="shared" si="4"/>
        <v>350</v>
      </c>
      <c r="G168" s="50">
        <f t="shared" si="5"/>
        <v>320</v>
      </c>
      <c r="H168" s="50">
        <v>0</v>
      </c>
      <c r="I168" s="15">
        <f>MATCH(SUM($F$90:F168),基因升级!$AF$141:$AF$500,1)</f>
        <v>116</v>
      </c>
    </row>
    <row r="169" spans="4:9">
      <c r="D169" s="50">
        <v>80</v>
      </c>
      <c r="E169" s="50">
        <f>IFERROR((_xlfn.XLOOKUP(D170,[2]主线关卡!E$20:E$319,[2]主线关卡!$D$20:$D$319)-1-6)*30,E168)</f>
        <v>3360</v>
      </c>
      <c r="F169" s="50">
        <f t="shared" si="4"/>
        <v>320</v>
      </c>
      <c r="G169" s="50">
        <f t="shared" si="5"/>
        <v>320</v>
      </c>
      <c r="H169" s="50">
        <v>0</v>
      </c>
      <c r="I169" s="15">
        <f>MATCH(SUM($F$90:F169),基因升级!$AF$141:$AF$500,1)</f>
        <v>116</v>
      </c>
    </row>
    <row r="170" spans="4:9">
      <c r="D170" s="50">
        <v>81</v>
      </c>
      <c r="E170" s="50">
        <f>IFERROR((_xlfn.XLOOKUP(D171,[2]主线关卡!E$20:E$319,[2]主线关卡!$D$20:$D$319)-1-6)*30,E169)</f>
        <v>3390</v>
      </c>
      <c r="F170" s="50">
        <f t="shared" si="4"/>
        <v>350</v>
      </c>
      <c r="G170" s="50">
        <f t="shared" si="5"/>
        <v>320</v>
      </c>
      <c r="H170" s="50">
        <v>0</v>
      </c>
      <c r="I170" s="15">
        <f>MATCH(SUM($F$90:F170),基因升级!$AF$141:$AF$500,1)</f>
        <v>117</v>
      </c>
    </row>
    <row r="171" spans="4:9">
      <c r="D171" s="50">
        <v>82</v>
      </c>
      <c r="E171" s="50">
        <f>IFERROR((_xlfn.XLOOKUP(D172,[2]主线关卡!E$20:E$319,[2]主线关卡!$D$20:$D$319)-1-6)*30,E170)</f>
        <v>3390</v>
      </c>
      <c r="F171" s="50">
        <f t="shared" si="4"/>
        <v>320</v>
      </c>
      <c r="G171" s="50">
        <f t="shared" si="5"/>
        <v>320</v>
      </c>
      <c r="H171" s="50">
        <v>0</v>
      </c>
      <c r="I171" s="15">
        <f>MATCH(SUM($F$90:F171),基因升级!$AF$141:$AF$500,1)</f>
        <v>117</v>
      </c>
    </row>
    <row r="172" spans="4:9">
      <c r="D172" s="50">
        <v>83</v>
      </c>
      <c r="E172" s="50">
        <f>IFERROR((_xlfn.XLOOKUP(D173,[2]主线关卡!E$20:E$319,[2]主线关卡!$D$20:$D$319)-1-6)*30,E171)</f>
        <v>3420</v>
      </c>
      <c r="F172" s="50">
        <f t="shared" si="4"/>
        <v>350</v>
      </c>
      <c r="G172" s="50">
        <f t="shared" si="5"/>
        <v>320</v>
      </c>
      <c r="H172" s="50">
        <v>0</v>
      </c>
      <c r="I172" s="15">
        <f>MATCH(SUM($F$90:F172),基因升级!$AF$141:$AF$500,1)</f>
        <v>118</v>
      </c>
    </row>
    <row r="173" spans="4:9">
      <c r="D173" s="50">
        <v>84</v>
      </c>
      <c r="E173" s="50">
        <f>IFERROR((_xlfn.XLOOKUP(D174,[2]主线关卡!E$20:E$319,[2]主线关卡!$D$20:$D$319)-1-6)*30,E172)</f>
        <v>3420</v>
      </c>
      <c r="F173" s="50">
        <f t="shared" si="4"/>
        <v>320</v>
      </c>
      <c r="G173" s="50">
        <f t="shared" si="5"/>
        <v>320</v>
      </c>
      <c r="H173" s="50">
        <v>0</v>
      </c>
      <c r="I173" s="15">
        <f>MATCH(SUM($F$90:F173),基因升级!$AF$141:$AF$500,1)</f>
        <v>119</v>
      </c>
    </row>
    <row r="174" spans="4:9">
      <c r="D174" s="50">
        <v>85</v>
      </c>
      <c r="E174" s="50">
        <f>IFERROR((_xlfn.XLOOKUP(D175,[2]主线关卡!E$20:E$319,[2]主线关卡!$D$20:$D$319)-1-6)*30,E173)</f>
        <v>3450</v>
      </c>
      <c r="F174" s="50">
        <f t="shared" si="4"/>
        <v>350</v>
      </c>
      <c r="G174" s="50">
        <f t="shared" si="5"/>
        <v>320</v>
      </c>
      <c r="H174" s="50">
        <v>0</v>
      </c>
      <c r="I174" s="15">
        <f>MATCH(SUM($F$90:F174),基因升级!$AF$141:$AF$500,1)</f>
        <v>119</v>
      </c>
    </row>
    <row r="175" spans="4:9">
      <c r="D175" s="50">
        <v>86</v>
      </c>
      <c r="E175" s="50">
        <f>IFERROR((_xlfn.XLOOKUP(D176,[2]主线关卡!E$20:E$319,[2]主线关卡!$D$20:$D$319)-1-6)*30,E174)</f>
        <v>3450</v>
      </c>
      <c r="F175" s="50">
        <f t="shared" si="4"/>
        <v>320</v>
      </c>
      <c r="G175" s="50">
        <f t="shared" si="5"/>
        <v>320</v>
      </c>
      <c r="H175" s="50">
        <v>0</v>
      </c>
      <c r="I175" s="15">
        <f>MATCH(SUM($F$90:F175),基因升级!$AF$141:$AF$500,1)</f>
        <v>120</v>
      </c>
    </row>
    <row r="176" spans="4:9">
      <c r="D176" s="50">
        <v>87</v>
      </c>
      <c r="E176" s="50">
        <f>IFERROR((_xlfn.XLOOKUP(D177,[2]主线关卡!E$20:E$319,[2]主线关卡!$D$20:$D$319)-1-6)*30,E175)</f>
        <v>3480</v>
      </c>
      <c r="F176" s="50">
        <f t="shared" si="4"/>
        <v>350</v>
      </c>
      <c r="G176" s="50">
        <f t="shared" si="5"/>
        <v>320</v>
      </c>
      <c r="H176" s="50">
        <v>0</v>
      </c>
      <c r="I176" s="15">
        <f>MATCH(SUM($F$90:F176),基因升级!$AF$141:$AF$500,1)</f>
        <v>120</v>
      </c>
    </row>
    <row r="177" spans="4:9">
      <c r="D177" s="50">
        <v>88</v>
      </c>
      <c r="E177" s="50">
        <f>IFERROR((_xlfn.XLOOKUP(D178,[2]主线关卡!E$20:E$319,[2]主线关卡!$D$20:$D$319)-1-6)*30,E176)</f>
        <v>3480</v>
      </c>
      <c r="F177" s="50">
        <f t="shared" si="4"/>
        <v>320</v>
      </c>
      <c r="G177" s="50">
        <f t="shared" si="5"/>
        <v>320</v>
      </c>
      <c r="H177" s="50">
        <v>0</v>
      </c>
      <c r="I177" s="15">
        <f>MATCH(SUM($F$90:F177),基因升级!$AF$141:$AF$500,1)</f>
        <v>121</v>
      </c>
    </row>
    <row r="178" spans="4:9">
      <c r="D178" s="50">
        <v>89</v>
      </c>
      <c r="E178" s="50">
        <f>IFERROR((_xlfn.XLOOKUP(D179,[2]主线关卡!E$20:E$319,[2]主线关卡!$D$20:$D$319)-1-6)*30,E177)</f>
        <v>3510</v>
      </c>
      <c r="F178" s="50">
        <f t="shared" si="4"/>
        <v>350</v>
      </c>
      <c r="G178" s="50">
        <f t="shared" si="5"/>
        <v>320</v>
      </c>
      <c r="H178" s="50">
        <v>0</v>
      </c>
      <c r="I178" s="15">
        <f>MATCH(SUM($F$90:F178),基因升级!$AF$141:$AF$500,1)</f>
        <v>122</v>
      </c>
    </row>
    <row r="179" spans="4:9">
      <c r="D179" s="50">
        <v>90</v>
      </c>
      <c r="E179" s="50">
        <f>IFERROR((_xlfn.XLOOKUP(D180,[2]主线关卡!E$20:E$319,[2]主线关卡!$D$20:$D$319)-1-6)*30,E178)</f>
        <v>3510</v>
      </c>
      <c r="F179" s="50">
        <f t="shared" si="4"/>
        <v>320</v>
      </c>
      <c r="G179" s="50">
        <f t="shared" si="5"/>
        <v>320</v>
      </c>
      <c r="H179" s="50">
        <v>0</v>
      </c>
      <c r="I179" s="15">
        <f>MATCH(SUM($F$90:F179),基因升级!$AF$141:$AF$500,1)</f>
        <v>122</v>
      </c>
    </row>
    <row r="180" spans="4:9">
      <c r="D180" s="50">
        <v>91</v>
      </c>
      <c r="E180" s="50">
        <f>IFERROR((_xlfn.XLOOKUP(D181,[2]主线关卡!E$20:E$319,[2]主线关卡!$D$20:$D$319)-1-6)*30,E179)</f>
        <v>3540</v>
      </c>
      <c r="F180" s="50">
        <f t="shared" si="4"/>
        <v>350</v>
      </c>
      <c r="G180" s="50">
        <f t="shared" si="5"/>
        <v>320</v>
      </c>
      <c r="H180" s="50">
        <v>0</v>
      </c>
      <c r="I180" s="15">
        <f>MATCH(SUM($F$90:F180),基因升级!$AF$141:$AF$500,1)</f>
        <v>123</v>
      </c>
    </row>
    <row r="181" spans="4:9">
      <c r="D181" s="50">
        <v>92</v>
      </c>
      <c r="E181" s="50">
        <f>IFERROR((_xlfn.XLOOKUP(D182,[2]主线关卡!E$20:E$319,[2]主线关卡!$D$20:$D$319)-1-6)*30,E180)</f>
        <v>3540</v>
      </c>
      <c r="F181" s="50">
        <f t="shared" si="4"/>
        <v>320</v>
      </c>
      <c r="G181" s="50">
        <f t="shared" si="5"/>
        <v>320</v>
      </c>
      <c r="H181" s="50">
        <v>0</v>
      </c>
      <c r="I181" s="15">
        <f>MATCH(SUM($F$90:F181),基因升级!$AF$141:$AF$500,1)</f>
        <v>123</v>
      </c>
    </row>
    <row r="182" spans="4:9">
      <c r="D182" s="50">
        <v>93</v>
      </c>
      <c r="E182" s="50">
        <f>IFERROR((_xlfn.XLOOKUP(D183,[2]主线关卡!E$20:E$319,[2]主线关卡!$D$20:$D$319)-1-6)*30,E181)</f>
        <v>3570</v>
      </c>
      <c r="F182" s="50">
        <f t="shared" si="4"/>
        <v>350</v>
      </c>
      <c r="G182" s="50">
        <f t="shared" si="5"/>
        <v>320</v>
      </c>
      <c r="H182" s="50">
        <v>0</v>
      </c>
      <c r="I182" s="15">
        <f>MATCH(SUM($F$90:F182),基因升级!$AF$141:$AF$500,1)</f>
        <v>124</v>
      </c>
    </row>
    <row r="183" spans="4:9">
      <c r="D183" s="50">
        <v>94</v>
      </c>
      <c r="E183" s="50">
        <f>IFERROR((_xlfn.XLOOKUP(D184,[2]主线关卡!E$20:E$319,[2]主线关卡!$D$20:$D$319)-1-6)*30,E182)</f>
        <v>3570</v>
      </c>
      <c r="F183" s="50">
        <f t="shared" si="4"/>
        <v>320</v>
      </c>
      <c r="G183" s="50">
        <f t="shared" si="5"/>
        <v>320</v>
      </c>
      <c r="H183" s="50">
        <v>0</v>
      </c>
      <c r="I183" s="15">
        <f>MATCH(SUM($F$90:F183),基因升级!$AF$141:$AF$500,1)</f>
        <v>125</v>
      </c>
    </row>
    <row r="184" spans="4:9">
      <c r="D184" s="50">
        <v>95</v>
      </c>
      <c r="E184" s="50">
        <f>IFERROR((_xlfn.XLOOKUP(D185,[2]主线关卡!E$20:E$319,[2]主线关卡!$D$20:$D$319)-1-6)*30,E183)</f>
        <v>3600</v>
      </c>
      <c r="F184" s="50">
        <f t="shared" si="4"/>
        <v>350</v>
      </c>
      <c r="G184" s="50">
        <f t="shared" si="5"/>
        <v>320</v>
      </c>
      <c r="H184" s="50">
        <v>0</v>
      </c>
      <c r="I184" s="15">
        <f>MATCH(SUM($F$90:F184),基因升级!$AF$141:$AF$500,1)</f>
        <v>125</v>
      </c>
    </row>
    <row r="185" spans="4:9">
      <c r="D185" s="50">
        <v>96</v>
      </c>
      <c r="E185" s="50">
        <f>IFERROR((_xlfn.XLOOKUP(D186,[2]主线关卡!E$20:E$319,[2]主线关卡!$D$20:$D$319)-1-6)*30,E184)</f>
        <v>3600</v>
      </c>
      <c r="F185" s="50">
        <f t="shared" si="4"/>
        <v>320</v>
      </c>
      <c r="G185" s="50">
        <f t="shared" si="5"/>
        <v>320</v>
      </c>
      <c r="H185" s="50">
        <v>0</v>
      </c>
      <c r="I185" s="15">
        <f>MATCH(SUM($F$90:F185),基因升级!$AF$141:$AF$500,1)</f>
        <v>126</v>
      </c>
    </row>
    <row r="186" spans="4:9">
      <c r="D186" s="50">
        <v>97</v>
      </c>
      <c r="E186" s="50">
        <f>IFERROR((_xlfn.XLOOKUP(D187,[2]主线关卡!E$20:E$319,[2]主线关卡!$D$20:$D$319)-1-6)*30,E185)</f>
        <v>3630</v>
      </c>
      <c r="F186" s="50">
        <f t="shared" si="4"/>
        <v>350</v>
      </c>
      <c r="G186" s="50">
        <f t="shared" si="5"/>
        <v>320</v>
      </c>
      <c r="H186" s="50">
        <v>0</v>
      </c>
      <c r="I186" s="15">
        <f>MATCH(SUM($F$90:F186),基因升级!$AF$141:$AF$500,1)</f>
        <v>126</v>
      </c>
    </row>
    <row r="187" spans="4:9">
      <c r="D187" s="50">
        <v>98</v>
      </c>
      <c r="E187" s="50">
        <f>IFERROR((_xlfn.XLOOKUP(D188,[2]主线关卡!E$20:E$319,[2]主线关卡!$D$20:$D$319)-1-6)*30,E186)</f>
        <v>3630</v>
      </c>
      <c r="F187" s="50">
        <f t="shared" si="4"/>
        <v>320</v>
      </c>
      <c r="G187" s="50">
        <f t="shared" si="5"/>
        <v>320</v>
      </c>
      <c r="H187" s="50">
        <v>0</v>
      </c>
      <c r="I187" s="15">
        <f>MATCH(SUM($F$90:F187),基因升级!$AF$141:$AF$500,1)</f>
        <v>127</v>
      </c>
    </row>
    <row r="188" spans="4:9">
      <c r="D188" s="50">
        <v>99</v>
      </c>
      <c r="E188" s="50">
        <f>IFERROR((_xlfn.XLOOKUP(D189,[2]主线关卡!E$20:E$319,[2]主线关卡!$D$20:$D$319)-1-6)*30,E187)</f>
        <v>3660</v>
      </c>
      <c r="F188" s="50">
        <f t="shared" si="4"/>
        <v>350</v>
      </c>
      <c r="G188" s="50">
        <f t="shared" si="5"/>
        <v>320</v>
      </c>
      <c r="H188" s="50">
        <v>0</v>
      </c>
      <c r="I188" s="15">
        <f>MATCH(SUM($F$90:F188),基因升级!$AF$141:$AF$500,1)</f>
        <v>127</v>
      </c>
    </row>
    <row r="189" spans="4:9">
      <c r="D189" s="50">
        <v>100</v>
      </c>
      <c r="E189" s="50">
        <f>IFERROR((_xlfn.XLOOKUP(D190,[2]主线关卡!E$20:E$319,[2]主线关卡!$D$20:$D$319)-1-6)*30,E188)</f>
        <v>3660</v>
      </c>
      <c r="F189" s="50">
        <f t="shared" si="4"/>
        <v>320</v>
      </c>
      <c r="G189" s="50">
        <f t="shared" si="5"/>
        <v>320</v>
      </c>
      <c r="H189" s="50">
        <v>0</v>
      </c>
      <c r="I189" s="15">
        <f>MATCH(SUM($F$90:F189),基因升级!$AF$141:$AF$500,1)</f>
        <v>128</v>
      </c>
    </row>
    <row r="190" spans="4:9">
      <c r="D190" s="50">
        <v>101</v>
      </c>
      <c r="E190" s="50">
        <f>IFERROR((_xlfn.XLOOKUP(D191,[2]主线关卡!E$20:E$319,[2]主线关卡!$D$20:$D$319)-1-6)*30,E189)</f>
        <v>3690</v>
      </c>
      <c r="F190" s="50">
        <f t="shared" si="4"/>
        <v>350</v>
      </c>
      <c r="G190" s="50">
        <f t="shared" si="5"/>
        <v>320</v>
      </c>
      <c r="H190" s="50">
        <v>0</v>
      </c>
      <c r="I190" s="15">
        <f>MATCH(SUM($F$90:F190),基因升级!$AF$141:$AF$500,1)</f>
        <v>129</v>
      </c>
    </row>
    <row r="191" spans="4:9">
      <c r="D191" s="50">
        <v>102</v>
      </c>
      <c r="E191" s="50">
        <f>IFERROR((_xlfn.XLOOKUP(D192,[2]主线关卡!E$20:E$319,[2]主线关卡!$D$20:$D$319)-1-6)*30,E190)</f>
        <v>3690</v>
      </c>
      <c r="F191" s="50">
        <f t="shared" si="4"/>
        <v>320</v>
      </c>
      <c r="G191" s="50">
        <f t="shared" si="5"/>
        <v>320</v>
      </c>
      <c r="H191" s="50">
        <v>0</v>
      </c>
      <c r="I191" s="15">
        <f>MATCH(SUM($F$90:F191),基因升级!$AF$141:$AF$500,1)</f>
        <v>129</v>
      </c>
    </row>
    <row r="192" spans="4:9">
      <c r="D192" s="50">
        <v>103</v>
      </c>
      <c r="E192" s="50">
        <f>IFERROR((_xlfn.XLOOKUP(D193,[2]主线关卡!E$20:E$319,[2]主线关卡!$D$20:$D$319)-1-6)*30,E191)</f>
        <v>3720</v>
      </c>
      <c r="F192" s="50">
        <f t="shared" si="4"/>
        <v>350</v>
      </c>
      <c r="G192" s="50">
        <f t="shared" si="5"/>
        <v>320</v>
      </c>
      <c r="H192" s="50">
        <v>0</v>
      </c>
      <c r="I192" s="15">
        <f>MATCH(SUM($F$90:F192),基因升级!$AF$141:$AF$500,1)</f>
        <v>130</v>
      </c>
    </row>
    <row r="193" spans="4:9">
      <c r="D193" s="50">
        <v>104</v>
      </c>
      <c r="E193" s="50">
        <f>IFERROR((_xlfn.XLOOKUP(D194,[2]主线关卡!E$20:E$319,[2]主线关卡!$D$20:$D$319)-1-6)*30,E192)</f>
        <v>3720</v>
      </c>
      <c r="F193" s="50">
        <f t="shared" si="4"/>
        <v>320</v>
      </c>
      <c r="G193" s="50">
        <f t="shared" si="5"/>
        <v>320</v>
      </c>
      <c r="H193" s="50">
        <v>0</v>
      </c>
      <c r="I193" s="15">
        <f>MATCH(SUM($F$90:F193),基因升级!$AF$141:$AF$500,1)</f>
        <v>130</v>
      </c>
    </row>
    <row r="194" spans="4:9">
      <c r="D194" s="50">
        <v>105</v>
      </c>
      <c r="E194" s="50">
        <f>IFERROR((_xlfn.XLOOKUP(D195,[2]主线关卡!E$20:E$319,[2]主线关卡!$D$20:$D$319)-1-6)*30,E193)</f>
        <v>3750</v>
      </c>
      <c r="F194" s="50">
        <f t="shared" si="4"/>
        <v>350</v>
      </c>
      <c r="G194" s="50">
        <f t="shared" si="5"/>
        <v>320</v>
      </c>
      <c r="H194" s="50">
        <v>0</v>
      </c>
      <c r="I194" s="15">
        <f>MATCH(SUM($F$90:F194),基因升级!$AF$141:$AF$500,1)</f>
        <v>131</v>
      </c>
    </row>
    <row r="195" spans="4:9">
      <c r="D195" s="50">
        <v>106</v>
      </c>
      <c r="E195" s="50">
        <f>IFERROR((_xlfn.XLOOKUP(D196,[2]主线关卡!E$20:E$319,[2]主线关卡!$D$20:$D$319)-1-6)*30,E194)</f>
        <v>3750</v>
      </c>
      <c r="F195" s="50">
        <f t="shared" si="4"/>
        <v>320</v>
      </c>
      <c r="G195" s="50">
        <f t="shared" si="5"/>
        <v>320</v>
      </c>
      <c r="H195" s="50">
        <v>0</v>
      </c>
      <c r="I195" s="15">
        <f>MATCH(SUM($F$90:F195),基因升级!$AF$141:$AF$500,1)</f>
        <v>131</v>
      </c>
    </row>
    <row r="196" spans="4:9">
      <c r="D196" s="50">
        <v>107</v>
      </c>
      <c r="E196" s="50">
        <f>IFERROR((_xlfn.XLOOKUP(D197,[2]主线关卡!E$20:E$319,[2]主线关卡!$D$20:$D$319)-1-6)*30,E195)</f>
        <v>3780</v>
      </c>
      <c r="F196" s="50">
        <f t="shared" si="4"/>
        <v>350</v>
      </c>
      <c r="G196" s="50">
        <f t="shared" si="5"/>
        <v>320</v>
      </c>
      <c r="H196" s="50">
        <v>0</v>
      </c>
      <c r="I196" s="15">
        <f>MATCH(SUM($F$90:F196),基因升级!$AF$141:$AF$500,1)</f>
        <v>132</v>
      </c>
    </row>
    <row r="197" spans="4:9">
      <c r="D197" s="50">
        <v>108</v>
      </c>
      <c r="E197" s="50">
        <f>IFERROR((_xlfn.XLOOKUP(D198,[2]主线关卡!E$20:E$319,[2]主线关卡!$D$20:$D$319)-1-6)*30,E196)</f>
        <v>3780</v>
      </c>
      <c r="F197" s="50">
        <f t="shared" si="4"/>
        <v>320</v>
      </c>
      <c r="G197" s="50">
        <f t="shared" si="5"/>
        <v>320</v>
      </c>
      <c r="H197" s="50">
        <v>0</v>
      </c>
      <c r="I197" s="15">
        <f>MATCH(SUM($F$90:F197),基因升级!$AF$141:$AF$500,1)</f>
        <v>132</v>
      </c>
    </row>
    <row r="198" spans="4:9">
      <c r="D198" s="50">
        <v>109</v>
      </c>
      <c r="E198" s="50">
        <f>IFERROR((_xlfn.XLOOKUP(D199,[2]主线关卡!E$20:E$319,[2]主线关卡!$D$20:$D$319)-1-6)*30,E197)</f>
        <v>3810</v>
      </c>
      <c r="F198" s="50">
        <f t="shared" si="4"/>
        <v>350</v>
      </c>
      <c r="G198" s="50">
        <f t="shared" si="5"/>
        <v>320</v>
      </c>
      <c r="H198" s="50">
        <v>0</v>
      </c>
      <c r="I198" s="15">
        <f>MATCH(SUM($F$90:F198),基因升级!$AF$141:$AF$500,1)</f>
        <v>133</v>
      </c>
    </row>
    <row r="199" spans="4:9">
      <c r="D199" s="50">
        <v>110</v>
      </c>
      <c r="E199" s="50">
        <f>IFERROR((_xlfn.XLOOKUP(D200,[2]主线关卡!E$20:E$319,[2]主线关卡!$D$20:$D$319)-1-6)*30,E198)</f>
        <v>3810</v>
      </c>
      <c r="F199" s="50">
        <f t="shared" si="4"/>
        <v>320</v>
      </c>
      <c r="G199" s="50">
        <f t="shared" si="5"/>
        <v>320</v>
      </c>
      <c r="H199" s="50">
        <v>0</v>
      </c>
      <c r="I199" s="15">
        <f>MATCH(SUM($F$90:F199),基因升级!$AF$141:$AF$500,1)</f>
        <v>134</v>
      </c>
    </row>
    <row r="200" spans="4:9">
      <c r="D200" s="50">
        <v>111</v>
      </c>
      <c r="E200" s="50">
        <f>IFERROR((_xlfn.XLOOKUP(D201,[2]主线关卡!E$20:E$319,[2]主线关卡!$D$20:$D$319)-1-6)*30,E199)</f>
        <v>3840</v>
      </c>
      <c r="F200" s="50">
        <f t="shared" si="4"/>
        <v>350</v>
      </c>
      <c r="G200" s="50">
        <f t="shared" si="5"/>
        <v>320</v>
      </c>
      <c r="H200" s="50">
        <v>0</v>
      </c>
      <c r="I200" s="15">
        <f>MATCH(SUM($F$90:F200),基因升级!$AF$141:$AF$500,1)</f>
        <v>134</v>
      </c>
    </row>
    <row r="201" spans="4:9">
      <c r="D201" s="50">
        <v>112</v>
      </c>
      <c r="E201" s="50">
        <f>IFERROR((_xlfn.XLOOKUP(D202,[2]主线关卡!E$20:E$319,[2]主线关卡!$D$20:$D$319)-1-6)*30,E200)</f>
        <v>3840</v>
      </c>
      <c r="F201" s="50">
        <f t="shared" si="4"/>
        <v>320</v>
      </c>
      <c r="G201" s="50">
        <f t="shared" si="5"/>
        <v>320</v>
      </c>
      <c r="H201" s="50">
        <v>0</v>
      </c>
      <c r="I201" s="15">
        <f>MATCH(SUM($F$90:F201),基因升级!$AF$141:$AF$500,1)</f>
        <v>135</v>
      </c>
    </row>
    <row r="202" spans="4:9">
      <c r="D202" s="50">
        <v>113</v>
      </c>
      <c r="E202" s="50">
        <f>IFERROR((_xlfn.XLOOKUP(D203,[2]主线关卡!E$20:E$319,[2]主线关卡!$D$20:$D$319)-1-6)*30,E201)</f>
        <v>3870</v>
      </c>
      <c r="F202" s="50">
        <f t="shared" si="4"/>
        <v>350</v>
      </c>
      <c r="G202" s="50">
        <f t="shared" si="5"/>
        <v>320</v>
      </c>
      <c r="H202" s="50">
        <v>0</v>
      </c>
      <c r="I202" s="15">
        <f>MATCH(SUM($F$90:F202),基因升级!$AF$141:$AF$500,1)</f>
        <v>135</v>
      </c>
    </row>
    <row r="203" spans="4:9">
      <c r="D203" s="50">
        <v>114</v>
      </c>
      <c r="E203" s="50">
        <f>IFERROR((_xlfn.XLOOKUP(D204,[2]主线关卡!E$20:E$319,[2]主线关卡!$D$20:$D$319)-1-6)*30,E202)</f>
        <v>3870</v>
      </c>
      <c r="F203" s="50">
        <f t="shared" si="4"/>
        <v>320</v>
      </c>
      <c r="G203" s="50">
        <f t="shared" si="5"/>
        <v>320</v>
      </c>
      <c r="H203" s="50">
        <v>0</v>
      </c>
      <c r="I203" s="15">
        <f>MATCH(SUM($F$90:F203),基因升级!$AF$141:$AF$500,1)</f>
        <v>136</v>
      </c>
    </row>
    <row r="204" spans="4:9">
      <c r="D204" s="50">
        <v>115</v>
      </c>
      <c r="E204" s="50">
        <f>IFERROR((_xlfn.XLOOKUP(D205,[2]主线关卡!E$20:E$319,[2]主线关卡!$D$20:$D$319)-1-6)*30,E203)</f>
        <v>3900</v>
      </c>
      <c r="F204" s="50">
        <f t="shared" si="4"/>
        <v>350</v>
      </c>
      <c r="G204" s="50">
        <f t="shared" si="5"/>
        <v>320</v>
      </c>
      <c r="H204" s="50">
        <v>0</v>
      </c>
      <c r="I204" s="15">
        <f>MATCH(SUM($F$90:F204),基因升级!$AF$141:$AF$500,1)</f>
        <v>136</v>
      </c>
    </row>
    <row r="205" spans="4:9">
      <c r="D205" s="50">
        <v>116</v>
      </c>
      <c r="E205" s="50">
        <f>IFERROR((_xlfn.XLOOKUP(D206,[2]主线关卡!E$20:E$319,[2]主线关卡!$D$20:$D$319)-1-6)*30,E204)</f>
        <v>3900</v>
      </c>
      <c r="F205" s="50">
        <f t="shared" si="4"/>
        <v>320</v>
      </c>
      <c r="G205" s="50">
        <f t="shared" si="5"/>
        <v>320</v>
      </c>
      <c r="H205" s="50">
        <v>0</v>
      </c>
      <c r="I205" s="15">
        <f>MATCH(SUM($F$90:F205),基因升级!$AF$141:$AF$500,1)</f>
        <v>137</v>
      </c>
    </row>
    <row r="206" spans="4:9">
      <c r="D206" s="50">
        <v>117</v>
      </c>
      <c r="E206" s="50">
        <f>IFERROR((_xlfn.XLOOKUP(D207,[2]主线关卡!E$20:E$319,[2]主线关卡!$D$20:$D$319)-1-6)*30,E205)</f>
        <v>3930</v>
      </c>
      <c r="F206" s="50">
        <f t="shared" si="4"/>
        <v>350</v>
      </c>
      <c r="G206" s="50">
        <f t="shared" si="5"/>
        <v>320</v>
      </c>
      <c r="H206" s="50">
        <v>0</v>
      </c>
      <c r="I206" s="15">
        <f>MATCH(SUM($F$90:F206),基因升级!$AF$141:$AF$500,1)</f>
        <v>137</v>
      </c>
    </row>
    <row r="207" spans="4:9">
      <c r="D207" s="50">
        <v>118</v>
      </c>
      <c r="E207" s="50">
        <f>IFERROR((_xlfn.XLOOKUP(D208,[2]主线关卡!E$20:E$319,[2]主线关卡!$D$20:$D$319)-1-6)*30,E206)</f>
        <v>3930</v>
      </c>
      <c r="F207" s="50">
        <f t="shared" si="4"/>
        <v>320</v>
      </c>
      <c r="G207" s="50">
        <f t="shared" si="5"/>
        <v>320</v>
      </c>
      <c r="H207" s="50">
        <v>0</v>
      </c>
      <c r="I207" s="15">
        <f>MATCH(SUM($F$90:F207),基因升级!$AF$141:$AF$500,1)</f>
        <v>138</v>
      </c>
    </row>
    <row r="208" spans="4:9">
      <c r="D208" s="50">
        <v>119</v>
      </c>
      <c r="E208" s="50">
        <f>IFERROR((_xlfn.XLOOKUP(D209,[2]主线关卡!E$20:E$319,[2]主线关卡!$D$20:$D$319)-1-6)*30,E207)</f>
        <v>3960</v>
      </c>
      <c r="F208" s="50">
        <f t="shared" si="4"/>
        <v>350</v>
      </c>
      <c r="G208" s="50">
        <f t="shared" si="5"/>
        <v>320</v>
      </c>
      <c r="H208" s="50">
        <v>0</v>
      </c>
      <c r="I208" s="15">
        <f>MATCH(SUM($F$90:F208),基因升级!$AF$141:$AF$500,1)</f>
        <v>138</v>
      </c>
    </row>
    <row r="209" spans="4:9">
      <c r="D209" s="50">
        <v>120</v>
      </c>
      <c r="E209" s="50">
        <f>IFERROR((_xlfn.XLOOKUP(D210,[2]主线关卡!E$20:E$319,[2]主线关卡!$D$20:$D$319)-1-6)*30,E208)</f>
        <v>3960</v>
      </c>
      <c r="F209" s="50">
        <f t="shared" si="4"/>
        <v>320</v>
      </c>
      <c r="G209" s="50">
        <f t="shared" si="5"/>
        <v>320</v>
      </c>
      <c r="H209" s="50">
        <v>0</v>
      </c>
      <c r="I209" s="15">
        <f>MATCH(SUM($F$90:F209),基因升级!$AF$141:$AF$500,1)</f>
        <v>139</v>
      </c>
    </row>
    <row r="210" spans="4:9">
      <c r="D210" s="50">
        <v>121</v>
      </c>
      <c r="E210" s="50">
        <f>IFERROR((_xlfn.XLOOKUP(D211,[2]主线关卡!E$20:E$319,[2]主线关卡!$D$20:$D$319)-1-6)*30,E209)</f>
        <v>3990</v>
      </c>
      <c r="F210" s="50">
        <f t="shared" si="4"/>
        <v>350</v>
      </c>
      <c r="G210" s="50">
        <f t="shared" si="5"/>
        <v>320</v>
      </c>
      <c r="H210" s="50">
        <v>0</v>
      </c>
      <c r="I210" s="15">
        <f>MATCH(SUM($F$90:F210),基因升级!$AF$141:$AF$500,1)</f>
        <v>139</v>
      </c>
    </row>
    <row r="211" spans="4:9">
      <c r="D211" s="50">
        <v>122</v>
      </c>
      <c r="E211" s="50">
        <f>IFERROR((_xlfn.XLOOKUP(D212,[2]主线关卡!E$20:E$319,[2]主线关卡!$D$20:$D$319)-1-6)*30,E210)</f>
        <v>3990</v>
      </c>
      <c r="F211" s="50">
        <f t="shared" si="4"/>
        <v>320</v>
      </c>
      <c r="G211" s="50">
        <f t="shared" si="5"/>
        <v>320</v>
      </c>
      <c r="H211" s="50">
        <v>0</v>
      </c>
      <c r="I211" s="15">
        <f>MATCH(SUM($F$90:F211),基因升级!$AF$141:$AF$500,1)</f>
        <v>140</v>
      </c>
    </row>
    <row r="212" spans="4:9">
      <c r="D212" s="50">
        <v>123</v>
      </c>
      <c r="E212" s="50">
        <f>IFERROR((_xlfn.XLOOKUP(D213,[2]主线关卡!E$20:E$319,[2]主线关卡!$D$20:$D$319)-1-6)*30,E211)</f>
        <v>4020</v>
      </c>
      <c r="F212" s="50">
        <f t="shared" si="4"/>
        <v>350</v>
      </c>
      <c r="G212" s="50">
        <f t="shared" si="5"/>
        <v>320</v>
      </c>
      <c r="H212" s="50">
        <v>0</v>
      </c>
      <c r="I212" s="15">
        <f>MATCH(SUM($F$90:F212),基因升级!$AF$141:$AF$500,1)</f>
        <v>140</v>
      </c>
    </row>
    <row r="213" spans="4:9">
      <c r="D213" s="50">
        <v>124</v>
      </c>
      <c r="E213" s="50">
        <f>IFERROR((_xlfn.XLOOKUP(D214,[2]主线关卡!E$20:E$319,[2]主线关卡!$D$20:$D$319)-1-6)*30,E212)</f>
        <v>4020</v>
      </c>
      <c r="F213" s="50">
        <f t="shared" si="4"/>
        <v>320</v>
      </c>
      <c r="G213" s="50">
        <f t="shared" si="5"/>
        <v>320</v>
      </c>
      <c r="H213" s="50">
        <v>0</v>
      </c>
      <c r="I213" s="15">
        <f>MATCH(SUM($F$90:F213),基因升级!$AF$141:$AF$500,1)</f>
        <v>141</v>
      </c>
    </row>
    <row r="214" spans="4:9">
      <c r="D214" s="50">
        <v>125</v>
      </c>
      <c r="E214" s="50">
        <f>IFERROR((_xlfn.XLOOKUP(D215,[2]主线关卡!E$20:E$319,[2]主线关卡!$D$20:$D$319)-1-6)*30,E213)</f>
        <v>4050</v>
      </c>
      <c r="F214" s="50">
        <f t="shared" si="4"/>
        <v>350</v>
      </c>
      <c r="G214" s="50">
        <f t="shared" si="5"/>
        <v>320</v>
      </c>
      <c r="H214" s="50">
        <v>0</v>
      </c>
      <c r="I214" s="15">
        <f>MATCH(SUM($F$90:F214),基因升级!$AF$141:$AF$500,1)</f>
        <v>141</v>
      </c>
    </row>
    <row r="215" spans="4:9">
      <c r="D215" s="50">
        <v>126</v>
      </c>
      <c r="E215" s="50">
        <f>IFERROR((_xlfn.XLOOKUP(D216,[2]主线关卡!E$20:E$319,[2]主线关卡!$D$20:$D$319)-1-6)*30,E214)</f>
        <v>4050</v>
      </c>
      <c r="F215" s="50">
        <f t="shared" si="4"/>
        <v>320</v>
      </c>
      <c r="G215" s="50">
        <f t="shared" si="5"/>
        <v>320</v>
      </c>
      <c r="H215" s="50">
        <v>0</v>
      </c>
      <c r="I215" s="15">
        <f>MATCH(SUM($F$90:F215),基因升级!$AF$141:$AF$500,1)</f>
        <v>142</v>
      </c>
    </row>
    <row r="216" spans="4:9">
      <c r="D216" s="50">
        <v>127</v>
      </c>
      <c r="E216" s="50">
        <f>IFERROR((_xlfn.XLOOKUP(D217,[2]主线关卡!E$20:E$319,[2]主线关卡!$D$20:$D$319)-1-6)*30,E215)</f>
        <v>4080</v>
      </c>
      <c r="F216" s="50">
        <f t="shared" si="4"/>
        <v>350</v>
      </c>
      <c r="G216" s="50">
        <f t="shared" si="5"/>
        <v>320</v>
      </c>
      <c r="H216" s="50">
        <v>0</v>
      </c>
      <c r="I216" s="15">
        <f>MATCH(SUM($F$90:F216),基因升级!$AF$141:$AF$500,1)</f>
        <v>142</v>
      </c>
    </row>
    <row r="217" spans="4:9">
      <c r="D217" s="50">
        <v>128</v>
      </c>
      <c r="E217" s="50">
        <f>IFERROR((_xlfn.XLOOKUP(D218,[2]主线关卡!E$20:E$319,[2]主线关卡!$D$20:$D$319)-1-6)*30,E216)</f>
        <v>4080</v>
      </c>
      <c r="F217" s="50">
        <f t="shared" si="4"/>
        <v>320</v>
      </c>
      <c r="G217" s="50">
        <f t="shared" si="5"/>
        <v>320</v>
      </c>
      <c r="H217" s="50">
        <v>0</v>
      </c>
      <c r="I217" s="15">
        <f>MATCH(SUM($F$90:F217),基因升级!$AF$141:$AF$500,1)</f>
        <v>143</v>
      </c>
    </row>
    <row r="218" spans="4:9">
      <c r="D218" s="50">
        <v>129</v>
      </c>
      <c r="E218" s="50">
        <f>IFERROR((_xlfn.XLOOKUP(D219,[2]主线关卡!E$20:E$319,[2]主线关卡!$D$20:$D$319)-1-6)*30,E217)</f>
        <v>4110</v>
      </c>
      <c r="F218" s="50">
        <f t="shared" si="4"/>
        <v>350</v>
      </c>
      <c r="G218" s="50">
        <f t="shared" si="5"/>
        <v>320</v>
      </c>
      <c r="H218" s="50">
        <v>0</v>
      </c>
      <c r="I218" s="15">
        <f>MATCH(SUM($F$90:F218),基因升级!$AF$141:$AF$500,1)</f>
        <v>143</v>
      </c>
    </row>
    <row r="219" spans="4:9">
      <c r="D219" s="50">
        <v>130</v>
      </c>
      <c r="E219" s="50">
        <f>IFERROR((_xlfn.XLOOKUP(D220,[2]主线关卡!E$20:E$319,[2]主线关卡!$D$20:$D$319)-1-6)*30,E218)</f>
        <v>4110</v>
      </c>
      <c r="F219" s="50">
        <f t="shared" ref="F219:F282" si="6">E219-E218+H219+G219</f>
        <v>320</v>
      </c>
      <c r="G219" s="50">
        <f t="shared" ref="G219:G282" si="7">($F$26+24)*$E$26</f>
        <v>320</v>
      </c>
      <c r="H219" s="50">
        <v>0</v>
      </c>
      <c r="I219" s="15">
        <f>MATCH(SUM($F$90:F219),基因升级!$AF$141:$AF$500,1)</f>
        <v>144</v>
      </c>
    </row>
    <row r="220" spans="4:9">
      <c r="D220" s="50">
        <v>131</v>
      </c>
      <c r="E220" s="50">
        <f>IFERROR((_xlfn.XLOOKUP(D221,[2]主线关卡!E$20:E$319,[2]主线关卡!$D$20:$D$319)-1-6)*30,E219)</f>
        <v>4140</v>
      </c>
      <c r="F220" s="50">
        <f t="shared" si="6"/>
        <v>350</v>
      </c>
      <c r="G220" s="50">
        <f t="shared" si="7"/>
        <v>320</v>
      </c>
      <c r="H220" s="50">
        <v>0</v>
      </c>
      <c r="I220" s="15">
        <f>MATCH(SUM($F$90:F220),基因升级!$AF$141:$AF$500,1)</f>
        <v>144</v>
      </c>
    </row>
    <row r="221" spans="4:9">
      <c r="D221" s="50">
        <v>132</v>
      </c>
      <c r="E221" s="50">
        <f>IFERROR((_xlfn.XLOOKUP(D222,[2]主线关卡!E$20:E$319,[2]主线关卡!$D$20:$D$319)-1-6)*30,E220)</f>
        <v>4140</v>
      </c>
      <c r="F221" s="50">
        <f t="shared" si="6"/>
        <v>320</v>
      </c>
      <c r="G221" s="50">
        <f t="shared" si="7"/>
        <v>320</v>
      </c>
      <c r="H221" s="50">
        <v>0</v>
      </c>
      <c r="I221" s="15">
        <f>MATCH(SUM($F$90:F221),基因升级!$AF$141:$AF$500,1)</f>
        <v>145</v>
      </c>
    </row>
    <row r="222" spans="4:9">
      <c r="D222" s="50">
        <v>133</v>
      </c>
      <c r="E222" s="50">
        <f>IFERROR((_xlfn.XLOOKUP(D223,[2]主线关卡!E$20:E$319,[2]主线关卡!$D$20:$D$319)-1-6)*30,E221)</f>
        <v>4170</v>
      </c>
      <c r="F222" s="50">
        <f t="shared" si="6"/>
        <v>350</v>
      </c>
      <c r="G222" s="50">
        <f t="shared" si="7"/>
        <v>320</v>
      </c>
      <c r="H222" s="50">
        <v>0</v>
      </c>
      <c r="I222" s="15">
        <f>MATCH(SUM($F$90:F222),基因升级!$AF$141:$AF$500,1)</f>
        <v>145</v>
      </c>
    </row>
    <row r="223" spans="4:9">
      <c r="D223" s="50">
        <v>134</v>
      </c>
      <c r="E223" s="50">
        <f>IFERROR((_xlfn.XLOOKUP(D224,[2]主线关卡!E$20:E$319,[2]主线关卡!$D$20:$D$319)-1-6)*30,E222)</f>
        <v>4170</v>
      </c>
      <c r="F223" s="50">
        <f t="shared" si="6"/>
        <v>320</v>
      </c>
      <c r="G223" s="50">
        <f t="shared" si="7"/>
        <v>320</v>
      </c>
      <c r="H223" s="50">
        <v>0</v>
      </c>
      <c r="I223" s="15">
        <f>MATCH(SUM($F$90:F223),基因升级!$AF$141:$AF$500,1)</f>
        <v>146</v>
      </c>
    </row>
    <row r="224" spans="4:9">
      <c r="D224" s="50">
        <v>135</v>
      </c>
      <c r="E224" s="50">
        <f>IFERROR((_xlfn.XLOOKUP(D225,[2]主线关卡!E$20:E$319,[2]主线关卡!$D$20:$D$319)-1-6)*30,E223)</f>
        <v>4200</v>
      </c>
      <c r="F224" s="50">
        <f t="shared" si="6"/>
        <v>350</v>
      </c>
      <c r="G224" s="50">
        <f t="shared" si="7"/>
        <v>320</v>
      </c>
      <c r="H224" s="50">
        <v>0</v>
      </c>
      <c r="I224" s="15">
        <f>MATCH(SUM($F$90:F224),基因升级!$AF$141:$AF$500,1)</f>
        <v>146</v>
      </c>
    </row>
    <row r="225" spans="4:9">
      <c r="D225" s="50">
        <v>136</v>
      </c>
      <c r="E225" s="50">
        <f>IFERROR((_xlfn.XLOOKUP(D226,[2]主线关卡!E$20:E$319,[2]主线关卡!$D$20:$D$319)-1-6)*30,E224)</f>
        <v>4200</v>
      </c>
      <c r="F225" s="50">
        <f t="shared" si="6"/>
        <v>320</v>
      </c>
      <c r="G225" s="50">
        <f t="shared" si="7"/>
        <v>320</v>
      </c>
      <c r="H225" s="50">
        <v>0</v>
      </c>
      <c r="I225" s="15">
        <f>MATCH(SUM($F$90:F225),基因升级!$AF$141:$AF$500,1)</f>
        <v>147</v>
      </c>
    </row>
    <row r="226" spans="4:9">
      <c r="D226" s="50">
        <v>137</v>
      </c>
      <c r="E226" s="50">
        <f>IFERROR((_xlfn.XLOOKUP(D227,[2]主线关卡!E$20:E$319,[2]主线关卡!$D$20:$D$319)-1-6)*30,E225)</f>
        <v>4230</v>
      </c>
      <c r="F226" s="50">
        <f t="shared" si="6"/>
        <v>350</v>
      </c>
      <c r="G226" s="50">
        <f t="shared" si="7"/>
        <v>320</v>
      </c>
      <c r="H226" s="50">
        <v>0</v>
      </c>
      <c r="I226" s="15">
        <f>MATCH(SUM($F$90:F226),基因升级!$AF$141:$AF$500,1)</f>
        <v>147</v>
      </c>
    </row>
    <row r="227" spans="4:9">
      <c r="D227" s="50">
        <v>138</v>
      </c>
      <c r="E227" s="50">
        <f>IFERROR((_xlfn.XLOOKUP(D228,[2]主线关卡!E$20:E$319,[2]主线关卡!$D$20:$D$319)-1-6)*30,E226)</f>
        <v>4230</v>
      </c>
      <c r="F227" s="50">
        <f t="shared" si="6"/>
        <v>320</v>
      </c>
      <c r="G227" s="50">
        <f t="shared" si="7"/>
        <v>320</v>
      </c>
      <c r="H227" s="50">
        <v>0</v>
      </c>
      <c r="I227" s="15">
        <f>MATCH(SUM($F$90:F227),基因升级!$AF$141:$AF$500,1)</f>
        <v>148</v>
      </c>
    </row>
    <row r="228" spans="4:9">
      <c r="D228" s="50">
        <v>139</v>
      </c>
      <c r="E228" s="50">
        <f>IFERROR((_xlfn.XLOOKUP(D229,[2]主线关卡!E$20:E$319,[2]主线关卡!$D$20:$D$319)-1-6)*30,E227)</f>
        <v>4260</v>
      </c>
      <c r="F228" s="50">
        <f t="shared" si="6"/>
        <v>350</v>
      </c>
      <c r="G228" s="50">
        <f t="shared" si="7"/>
        <v>320</v>
      </c>
      <c r="H228" s="50">
        <v>0</v>
      </c>
      <c r="I228" s="15">
        <f>MATCH(SUM($F$90:F228),基因升级!$AF$141:$AF$500,1)</f>
        <v>148</v>
      </c>
    </row>
    <row r="229" spans="4:9">
      <c r="D229" s="50">
        <v>140</v>
      </c>
      <c r="E229" s="50">
        <f>IFERROR((_xlfn.XLOOKUP(D230,[2]主线关卡!E$20:E$319,[2]主线关卡!$D$20:$D$319)-1-6)*30,E228)</f>
        <v>4260</v>
      </c>
      <c r="F229" s="50">
        <f t="shared" si="6"/>
        <v>320</v>
      </c>
      <c r="G229" s="50">
        <f t="shared" si="7"/>
        <v>320</v>
      </c>
      <c r="H229" s="50">
        <v>0</v>
      </c>
      <c r="I229" s="15">
        <f>MATCH(SUM($F$90:F229),基因升级!$AF$141:$AF$500,1)</f>
        <v>149</v>
      </c>
    </row>
    <row r="230" spans="4:9">
      <c r="D230" s="50">
        <v>141</v>
      </c>
      <c r="E230" s="50">
        <f>IFERROR((_xlfn.XLOOKUP(D231,[2]主线关卡!E$20:E$319,[2]主线关卡!$D$20:$D$319)-1-6)*30,E229)</f>
        <v>4290</v>
      </c>
      <c r="F230" s="50">
        <f t="shared" si="6"/>
        <v>350</v>
      </c>
      <c r="G230" s="50">
        <f t="shared" si="7"/>
        <v>320</v>
      </c>
      <c r="H230" s="50">
        <v>0</v>
      </c>
      <c r="I230" s="15">
        <f>MATCH(SUM($F$90:F230),基因升级!$AF$141:$AF$500,1)</f>
        <v>149</v>
      </c>
    </row>
    <row r="231" spans="4:9">
      <c r="D231" s="50">
        <v>142</v>
      </c>
      <c r="E231" s="50">
        <f>IFERROR((_xlfn.XLOOKUP(D232,[2]主线关卡!E$20:E$319,[2]主线关卡!$D$20:$D$319)-1-6)*30,E230)</f>
        <v>4290</v>
      </c>
      <c r="F231" s="50">
        <f t="shared" si="6"/>
        <v>320</v>
      </c>
      <c r="G231" s="50">
        <f t="shared" si="7"/>
        <v>320</v>
      </c>
      <c r="H231" s="50">
        <v>0</v>
      </c>
      <c r="I231" s="15">
        <f>MATCH(SUM($F$90:F231),基因升级!$AF$141:$AF$500,1)</f>
        <v>150</v>
      </c>
    </row>
    <row r="232" spans="4:9">
      <c r="D232" s="50">
        <v>143</v>
      </c>
      <c r="E232" s="50">
        <f>IFERROR((_xlfn.XLOOKUP(D233,[2]主线关卡!E$20:E$319,[2]主线关卡!$D$20:$D$319)-1-6)*30,E231)</f>
        <v>4320</v>
      </c>
      <c r="F232" s="50">
        <f t="shared" si="6"/>
        <v>350</v>
      </c>
      <c r="G232" s="50">
        <f t="shared" si="7"/>
        <v>320</v>
      </c>
      <c r="H232" s="50">
        <v>0</v>
      </c>
      <c r="I232" s="15">
        <f>MATCH(SUM($F$90:F232),基因升级!$AF$141:$AF$500,1)</f>
        <v>150</v>
      </c>
    </row>
    <row r="233" spans="4:9">
      <c r="D233" s="50">
        <v>144</v>
      </c>
      <c r="E233" s="50">
        <f>IFERROR((_xlfn.XLOOKUP(D234,[2]主线关卡!E$20:E$319,[2]主线关卡!$D$20:$D$319)-1-6)*30,E232)</f>
        <v>4320</v>
      </c>
      <c r="F233" s="50">
        <f t="shared" si="6"/>
        <v>320</v>
      </c>
      <c r="G233" s="50">
        <f t="shared" si="7"/>
        <v>320</v>
      </c>
      <c r="H233" s="50">
        <v>0</v>
      </c>
      <c r="I233" s="15">
        <f>MATCH(SUM($F$90:F233),基因升级!$AF$141:$AF$500,1)</f>
        <v>151</v>
      </c>
    </row>
    <row r="234" spans="4:9">
      <c r="D234" s="50">
        <v>145</v>
      </c>
      <c r="E234" s="50">
        <f>IFERROR((_xlfn.XLOOKUP(D235,[2]主线关卡!E$20:E$319,[2]主线关卡!$D$20:$D$319)-1-6)*30,E233)</f>
        <v>4350</v>
      </c>
      <c r="F234" s="50">
        <f t="shared" si="6"/>
        <v>350</v>
      </c>
      <c r="G234" s="50">
        <f t="shared" si="7"/>
        <v>320</v>
      </c>
      <c r="H234" s="50">
        <v>0</v>
      </c>
      <c r="I234" s="15">
        <f>MATCH(SUM($F$90:F234),基因升级!$AF$141:$AF$500,1)</f>
        <v>151</v>
      </c>
    </row>
    <row r="235" spans="4:9">
      <c r="D235" s="50">
        <v>146</v>
      </c>
      <c r="E235" s="50">
        <f>IFERROR((_xlfn.XLOOKUP(D236,[2]主线关卡!E$20:E$319,[2]主线关卡!$D$20:$D$319)-1-6)*30,E234)</f>
        <v>4350</v>
      </c>
      <c r="F235" s="50">
        <f t="shared" si="6"/>
        <v>320</v>
      </c>
      <c r="G235" s="50">
        <f t="shared" si="7"/>
        <v>320</v>
      </c>
      <c r="H235" s="50">
        <v>0</v>
      </c>
      <c r="I235" s="15">
        <f>MATCH(SUM($F$90:F235),基因升级!$AF$141:$AF$500,1)</f>
        <v>152</v>
      </c>
    </row>
    <row r="236" spans="4:9">
      <c r="D236" s="50">
        <v>147</v>
      </c>
      <c r="E236" s="50">
        <f>IFERROR((_xlfn.XLOOKUP(D237,[2]主线关卡!E$20:E$319,[2]主线关卡!$D$20:$D$319)-1-6)*30,E235)</f>
        <v>4380</v>
      </c>
      <c r="F236" s="50">
        <f t="shared" si="6"/>
        <v>350</v>
      </c>
      <c r="G236" s="50">
        <f t="shared" si="7"/>
        <v>320</v>
      </c>
      <c r="H236" s="50">
        <v>0</v>
      </c>
      <c r="I236" s="15">
        <f>MATCH(SUM($F$90:F236),基因升级!$AF$141:$AF$500,1)</f>
        <v>152</v>
      </c>
    </row>
    <row r="237" spans="4:9">
      <c r="D237" s="50">
        <v>148</v>
      </c>
      <c r="E237" s="50">
        <f>IFERROR((_xlfn.XLOOKUP(D238,[2]主线关卡!E$20:E$319,[2]主线关卡!$D$20:$D$319)-1-6)*30,E236)</f>
        <v>4380</v>
      </c>
      <c r="F237" s="50">
        <f t="shared" si="6"/>
        <v>320</v>
      </c>
      <c r="G237" s="50">
        <f t="shared" si="7"/>
        <v>320</v>
      </c>
      <c r="H237" s="50">
        <v>0</v>
      </c>
      <c r="I237" s="15">
        <f>MATCH(SUM($F$90:F237),基因升级!$AF$141:$AF$500,1)</f>
        <v>153</v>
      </c>
    </row>
    <row r="238" spans="4:9">
      <c r="D238" s="50">
        <v>149</v>
      </c>
      <c r="E238" s="50">
        <f>IFERROR((_xlfn.XLOOKUP(D239,[2]主线关卡!E$20:E$319,[2]主线关卡!$D$20:$D$319)-1-6)*30,E237)</f>
        <v>4410</v>
      </c>
      <c r="F238" s="50">
        <f t="shared" si="6"/>
        <v>350</v>
      </c>
      <c r="G238" s="50">
        <f t="shared" si="7"/>
        <v>320</v>
      </c>
      <c r="H238" s="50">
        <v>0</v>
      </c>
      <c r="I238" s="15">
        <f>MATCH(SUM($F$90:F238),基因升级!$AF$141:$AF$500,1)</f>
        <v>153</v>
      </c>
    </row>
    <row r="239" spans="4:9">
      <c r="D239" s="50">
        <v>150</v>
      </c>
      <c r="E239" s="50">
        <f>IFERROR((_xlfn.XLOOKUP(D240,[2]主线关卡!E$20:E$319,[2]主线关卡!$D$20:$D$319)-1-6)*30,E238)</f>
        <v>4410</v>
      </c>
      <c r="F239" s="50">
        <f t="shared" si="6"/>
        <v>320</v>
      </c>
      <c r="G239" s="50">
        <f t="shared" si="7"/>
        <v>320</v>
      </c>
      <c r="H239" s="50">
        <v>0</v>
      </c>
      <c r="I239" s="15">
        <f>MATCH(SUM($F$90:F239),基因升级!$AF$141:$AF$500,1)</f>
        <v>153</v>
      </c>
    </row>
    <row r="240" spans="4:9">
      <c r="D240" s="50">
        <v>151</v>
      </c>
      <c r="E240" s="50">
        <f>IFERROR((_xlfn.XLOOKUP(D241,[2]主线关卡!E$20:E$319,[2]主线关卡!$D$20:$D$319)-1-6)*30,E239)</f>
        <v>4440</v>
      </c>
      <c r="F240" s="50">
        <f t="shared" si="6"/>
        <v>350</v>
      </c>
      <c r="G240" s="50">
        <f t="shared" si="7"/>
        <v>320</v>
      </c>
      <c r="H240" s="50">
        <v>0</v>
      </c>
      <c r="I240" s="15">
        <f>MATCH(SUM($F$90:F240),基因升级!$AF$141:$AF$500,1)</f>
        <v>154</v>
      </c>
    </row>
    <row r="241" spans="4:9">
      <c r="D241" s="50">
        <v>152</v>
      </c>
      <c r="E241" s="50">
        <f>IFERROR((_xlfn.XLOOKUP(D242,[2]主线关卡!E$20:E$319,[2]主线关卡!$D$20:$D$319)-1-6)*30,E240)</f>
        <v>4440</v>
      </c>
      <c r="F241" s="50">
        <f t="shared" si="6"/>
        <v>320</v>
      </c>
      <c r="G241" s="50">
        <f t="shared" si="7"/>
        <v>320</v>
      </c>
      <c r="H241" s="50">
        <v>0</v>
      </c>
      <c r="I241" s="15">
        <f>MATCH(SUM($F$90:F241),基因升级!$AF$141:$AF$500,1)</f>
        <v>154</v>
      </c>
    </row>
    <row r="242" spans="4:9">
      <c r="D242" s="50">
        <v>153</v>
      </c>
      <c r="E242" s="50">
        <f>IFERROR((_xlfn.XLOOKUP(D243,[2]主线关卡!E$20:E$319,[2]主线关卡!$D$20:$D$319)-1-6)*30,E241)</f>
        <v>4470</v>
      </c>
      <c r="F242" s="50">
        <f t="shared" si="6"/>
        <v>350</v>
      </c>
      <c r="G242" s="50">
        <f t="shared" si="7"/>
        <v>320</v>
      </c>
      <c r="H242" s="50">
        <v>0</v>
      </c>
      <c r="I242" s="15">
        <f>MATCH(SUM($F$90:F242),基因升级!$AF$141:$AF$500,1)</f>
        <v>155</v>
      </c>
    </row>
    <row r="243" spans="4:9">
      <c r="D243" s="50">
        <v>154</v>
      </c>
      <c r="E243" s="50">
        <f>IFERROR((_xlfn.XLOOKUP(D244,[2]主线关卡!E$20:E$319,[2]主线关卡!$D$20:$D$319)-1-6)*30,E242)</f>
        <v>4470</v>
      </c>
      <c r="F243" s="50">
        <f t="shared" si="6"/>
        <v>320</v>
      </c>
      <c r="G243" s="50">
        <f t="shared" si="7"/>
        <v>320</v>
      </c>
      <c r="H243" s="50">
        <v>0</v>
      </c>
      <c r="I243" s="15">
        <f>MATCH(SUM($F$90:F243),基因升级!$AF$141:$AF$500,1)</f>
        <v>155</v>
      </c>
    </row>
    <row r="244" spans="4:9">
      <c r="D244" s="50">
        <v>155</v>
      </c>
      <c r="E244" s="50">
        <f>IFERROR((_xlfn.XLOOKUP(D245,[2]主线关卡!E$20:E$319,[2]主线关卡!$D$20:$D$319)-1-6)*30,E243)</f>
        <v>4500</v>
      </c>
      <c r="F244" s="50">
        <f t="shared" si="6"/>
        <v>350</v>
      </c>
      <c r="G244" s="50">
        <f t="shared" si="7"/>
        <v>320</v>
      </c>
      <c r="H244" s="50">
        <v>0</v>
      </c>
      <c r="I244" s="15">
        <f>MATCH(SUM($F$90:F244),基因升级!$AF$141:$AF$500,1)</f>
        <v>156</v>
      </c>
    </row>
    <row r="245" spans="4:9">
      <c r="D245" s="50">
        <v>156</v>
      </c>
      <c r="E245" s="50">
        <f>IFERROR((_xlfn.XLOOKUP(D246,[2]主线关卡!E$20:E$319,[2]主线关卡!$D$20:$D$319)-1-6)*30,E244)</f>
        <v>4500</v>
      </c>
      <c r="F245" s="50">
        <f t="shared" si="6"/>
        <v>320</v>
      </c>
      <c r="G245" s="50">
        <f t="shared" si="7"/>
        <v>320</v>
      </c>
      <c r="H245" s="50">
        <v>0</v>
      </c>
      <c r="I245" s="15">
        <f>MATCH(SUM($F$90:F245),基因升级!$AF$141:$AF$500,1)</f>
        <v>156</v>
      </c>
    </row>
    <row r="246" spans="4:9">
      <c r="D246" s="50">
        <v>157</v>
      </c>
      <c r="E246" s="50">
        <f>IFERROR((_xlfn.XLOOKUP(D247,[2]主线关卡!E$20:E$319,[2]主线关卡!$D$20:$D$319)-1-6)*30,E245)</f>
        <v>4530</v>
      </c>
      <c r="F246" s="50">
        <f t="shared" si="6"/>
        <v>350</v>
      </c>
      <c r="G246" s="50">
        <f t="shared" si="7"/>
        <v>320</v>
      </c>
      <c r="H246" s="50">
        <v>0</v>
      </c>
      <c r="I246" s="15">
        <f>MATCH(SUM($F$90:F246),基因升级!$AF$141:$AF$500,1)</f>
        <v>157</v>
      </c>
    </row>
    <row r="247" spans="4:9">
      <c r="D247" s="50">
        <v>158</v>
      </c>
      <c r="E247" s="50">
        <f>IFERROR((_xlfn.XLOOKUP(D248,[2]主线关卡!E$20:E$319,[2]主线关卡!$D$20:$D$319)-1-6)*30,E246)</f>
        <v>4530</v>
      </c>
      <c r="F247" s="50">
        <f t="shared" si="6"/>
        <v>320</v>
      </c>
      <c r="G247" s="50">
        <f t="shared" si="7"/>
        <v>320</v>
      </c>
      <c r="H247" s="50">
        <v>0</v>
      </c>
      <c r="I247" s="15">
        <f>MATCH(SUM($F$90:F247),基因升级!$AF$141:$AF$500,1)</f>
        <v>157</v>
      </c>
    </row>
    <row r="248" spans="4:9">
      <c r="D248" s="50">
        <v>159</v>
      </c>
      <c r="E248" s="50">
        <f>IFERROR((_xlfn.XLOOKUP(D249,[2]主线关卡!E$20:E$319,[2]主线关卡!$D$20:$D$319)-1-6)*30,E247)</f>
        <v>4560</v>
      </c>
      <c r="F248" s="50">
        <f t="shared" si="6"/>
        <v>350</v>
      </c>
      <c r="G248" s="50">
        <f t="shared" si="7"/>
        <v>320</v>
      </c>
      <c r="H248" s="50">
        <v>0</v>
      </c>
      <c r="I248" s="15">
        <f>MATCH(SUM($F$90:F248),基因升级!$AF$141:$AF$500,1)</f>
        <v>158</v>
      </c>
    </row>
    <row r="249" spans="4:9">
      <c r="D249" s="50">
        <v>160</v>
      </c>
      <c r="E249" s="50">
        <f>IFERROR((_xlfn.XLOOKUP(D250,[2]主线关卡!E$20:E$319,[2]主线关卡!$D$20:$D$319)-1-6)*30,E248)</f>
        <v>4560</v>
      </c>
      <c r="F249" s="50">
        <f t="shared" si="6"/>
        <v>320</v>
      </c>
      <c r="G249" s="50">
        <f t="shared" si="7"/>
        <v>320</v>
      </c>
      <c r="H249" s="50">
        <v>0</v>
      </c>
      <c r="I249" s="15">
        <f>MATCH(SUM($F$90:F249),基因升级!$AF$141:$AF$500,1)</f>
        <v>158</v>
      </c>
    </row>
    <row r="250" spans="4:9">
      <c r="D250" s="50">
        <v>161</v>
      </c>
      <c r="E250" s="50">
        <f>IFERROR((_xlfn.XLOOKUP(D251,[2]主线关卡!E$20:E$319,[2]主线关卡!$D$20:$D$319)-1-6)*30,E249)</f>
        <v>4590</v>
      </c>
      <c r="F250" s="50">
        <f t="shared" si="6"/>
        <v>350</v>
      </c>
      <c r="G250" s="50">
        <f t="shared" si="7"/>
        <v>320</v>
      </c>
      <c r="H250" s="50">
        <v>0</v>
      </c>
      <c r="I250" s="15">
        <f>MATCH(SUM($F$90:F250),基因升级!$AF$141:$AF$500,1)</f>
        <v>158</v>
      </c>
    </row>
    <row r="251" spans="4:9">
      <c r="D251" s="50">
        <v>162</v>
      </c>
      <c r="E251" s="50">
        <f>IFERROR((_xlfn.XLOOKUP(D252,[2]主线关卡!E$20:E$319,[2]主线关卡!$D$20:$D$319)-1-6)*30,E250)</f>
        <v>4590</v>
      </c>
      <c r="F251" s="50">
        <f t="shared" si="6"/>
        <v>320</v>
      </c>
      <c r="G251" s="50">
        <f t="shared" si="7"/>
        <v>320</v>
      </c>
      <c r="H251" s="50">
        <v>0</v>
      </c>
      <c r="I251" s="15">
        <f>MATCH(SUM($F$90:F251),基因升级!$AF$141:$AF$500,1)</f>
        <v>159</v>
      </c>
    </row>
    <row r="252" spans="4:9">
      <c r="D252" s="50">
        <v>163</v>
      </c>
      <c r="E252" s="50">
        <f>IFERROR((_xlfn.XLOOKUP(D253,[2]主线关卡!E$20:E$319,[2]主线关卡!$D$20:$D$319)-1-6)*30,E251)</f>
        <v>4620</v>
      </c>
      <c r="F252" s="50">
        <f t="shared" si="6"/>
        <v>350</v>
      </c>
      <c r="G252" s="50">
        <f t="shared" si="7"/>
        <v>320</v>
      </c>
      <c r="H252" s="50">
        <v>0</v>
      </c>
      <c r="I252" s="15">
        <f>MATCH(SUM($F$90:F252),基因升级!$AF$141:$AF$500,1)</f>
        <v>159</v>
      </c>
    </row>
    <row r="253" spans="4:9">
      <c r="D253" s="50">
        <v>164</v>
      </c>
      <c r="E253" s="50">
        <f>IFERROR((_xlfn.XLOOKUP(D254,[2]主线关卡!E$20:E$319,[2]主线关卡!$D$20:$D$319)-1-6)*30,E252)</f>
        <v>4620</v>
      </c>
      <c r="F253" s="50">
        <f t="shared" si="6"/>
        <v>320</v>
      </c>
      <c r="G253" s="50">
        <f t="shared" si="7"/>
        <v>320</v>
      </c>
      <c r="H253" s="50">
        <v>0</v>
      </c>
      <c r="I253" s="15">
        <f>MATCH(SUM($F$90:F253),基因升级!$AF$141:$AF$500,1)</f>
        <v>160</v>
      </c>
    </row>
    <row r="254" spans="4:9">
      <c r="D254" s="50">
        <v>165</v>
      </c>
      <c r="E254" s="50">
        <f>IFERROR((_xlfn.XLOOKUP(D255,[2]主线关卡!E$20:E$319,[2]主线关卡!$D$20:$D$319)-1-6)*30,E253)</f>
        <v>4650</v>
      </c>
      <c r="F254" s="50">
        <f t="shared" si="6"/>
        <v>350</v>
      </c>
      <c r="G254" s="50">
        <f t="shared" si="7"/>
        <v>320</v>
      </c>
      <c r="H254" s="50">
        <v>0</v>
      </c>
      <c r="I254" s="15">
        <f>MATCH(SUM($F$90:F254),基因升级!$AF$141:$AF$500,1)</f>
        <v>160</v>
      </c>
    </row>
    <row r="255" spans="4:9">
      <c r="D255" s="50">
        <v>166</v>
      </c>
      <c r="E255" s="50">
        <f>IFERROR((_xlfn.XLOOKUP(D256,[2]主线关卡!E$20:E$319,[2]主线关卡!$D$20:$D$319)-1-6)*30,E254)</f>
        <v>4650</v>
      </c>
      <c r="F255" s="50">
        <f t="shared" si="6"/>
        <v>320</v>
      </c>
      <c r="G255" s="50">
        <f t="shared" si="7"/>
        <v>320</v>
      </c>
      <c r="H255" s="50">
        <v>0</v>
      </c>
      <c r="I255" s="15">
        <f>MATCH(SUM($F$90:F255),基因升级!$AF$141:$AF$500,1)</f>
        <v>161</v>
      </c>
    </row>
    <row r="256" spans="4:9">
      <c r="D256" s="50">
        <v>167</v>
      </c>
      <c r="E256" s="50">
        <f>IFERROR((_xlfn.XLOOKUP(D257,[2]主线关卡!E$20:E$319,[2]主线关卡!$D$20:$D$319)-1-6)*30,E255)</f>
        <v>4680</v>
      </c>
      <c r="F256" s="50">
        <f t="shared" si="6"/>
        <v>350</v>
      </c>
      <c r="G256" s="50">
        <f t="shared" si="7"/>
        <v>320</v>
      </c>
      <c r="H256" s="50">
        <v>0</v>
      </c>
      <c r="I256" s="15">
        <f>MATCH(SUM($F$90:F256),基因升级!$AF$141:$AF$500,1)</f>
        <v>161</v>
      </c>
    </row>
    <row r="257" spans="4:9">
      <c r="D257" s="50">
        <v>168</v>
      </c>
      <c r="E257" s="50">
        <f>IFERROR((_xlfn.XLOOKUP(D258,[2]主线关卡!E$20:E$319,[2]主线关卡!$D$20:$D$319)-1-6)*30,E256)</f>
        <v>4680</v>
      </c>
      <c r="F257" s="50">
        <f t="shared" si="6"/>
        <v>320</v>
      </c>
      <c r="G257" s="50">
        <f t="shared" si="7"/>
        <v>320</v>
      </c>
      <c r="H257" s="50">
        <v>0</v>
      </c>
      <c r="I257" s="15">
        <f>MATCH(SUM($F$90:F257),基因升级!$AF$141:$AF$500,1)</f>
        <v>162</v>
      </c>
    </row>
    <row r="258" spans="4:9">
      <c r="D258" s="50">
        <v>169</v>
      </c>
      <c r="E258" s="50">
        <f>IFERROR((_xlfn.XLOOKUP(D259,[2]主线关卡!E$20:E$319,[2]主线关卡!$D$20:$D$319)-1-6)*30,E257)</f>
        <v>4710</v>
      </c>
      <c r="F258" s="50">
        <f t="shared" si="6"/>
        <v>350</v>
      </c>
      <c r="G258" s="50">
        <f t="shared" si="7"/>
        <v>320</v>
      </c>
      <c r="H258" s="50">
        <v>0</v>
      </c>
      <c r="I258" s="15">
        <f>MATCH(SUM($F$90:F258),基因升级!$AF$141:$AF$500,1)</f>
        <v>162</v>
      </c>
    </row>
    <row r="259" spans="4:9">
      <c r="D259" s="50">
        <v>170</v>
      </c>
      <c r="E259" s="50">
        <f>IFERROR((_xlfn.XLOOKUP(D260,[2]主线关卡!E$20:E$319,[2]主线关卡!$D$20:$D$319)-1-6)*30,E258)</f>
        <v>4710</v>
      </c>
      <c r="F259" s="50">
        <f t="shared" si="6"/>
        <v>320</v>
      </c>
      <c r="G259" s="50">
        <f t="shared" si="7"/>
        <v>320</v>
      </c>
      <c r="H259" s="50">
        <v>0</v>
      </c>
      <c r="I259" s="15">
        <f>MATCH(SUM($F$90:F259),基因升级!$AF$141:$AF$500,1)</f>
        <v>162</v>
      </c>
    </row>
    <row r="260" spans="4:9">
      <c r="D260" s="50">
        <v>171</v>
      </c>
      <c r="E260" s="50">
        <f>IFERROR((_xlfn.XLOOKUP(D261,[2]主线关卡!E$20:E$319,[2]主线关卡!$D$20:$D$319)-1-6)*30,E259)</f>
        <v>4740</v>
      </c>
      <c r="F260" s="50">
        <f t="shared" si="6"/>
        <v>350</v>
      </c>
      <c r="G260" s="50">
        <f t="shared" si="7"/>
        <v>320</v>
      </c>
      <c r="H260" s="50">
        <v>0</v>
      </c>
      <c r="I260" s="15">
        <f>MATCH(SUM($F$90:F260),基因升级!$AF$141:$AF$500,1)</f>
        <v>163</v>
      </c>
    </row>
    <row r="261" spans="4:9">
      <c r="D261" s="50">
        <v>172</v>
      </c>
      <c r="E261" s="50">
        <f>IFERROR((_xlfn.XLOOKUP(D262,[2]主线关卡!E$20:E$319,[2]主线关卡!$D$20:$D$319)-1-6)*30,E260)</f>
        <v>4740</v>
      </c>
      <c r="F261" s="50">
        <f t="shared" si="6"/>
        <v>320</v>
      </c>
      <c r="G261" s="50">
        <f t="shared" si="7"/>
        <v>320</v>
      </c>
      <c r="H261" s="50">
        <v>0</v>
      </c>
      <c r="I261" s="15">
        <f>MATCH(SUM($F$90:F261),基因升级!$AF$141:$AF$500,1)</f>
        <v>163</v>
      </c>
    </row>
    <row r="262" spans="4:9">
      <c r="D262" s="50">
        <v>173</v>
      </c>
      <c r="E262" s="50">
        <f>IFERROR((_xlfn.XLOOKUP(D263,[2]主线关卡!E$20:E$319,[2]主线关卡!$D$20:$D$319)-1-6)*30,E261)</f>
        <v>4770</v>
      </c>
      <c r="F262" s="50">
        <f t="shared" si="6"/>
        <v>350</v>
      </c>
      <c r="G262" s="50">
        <f t="shared" si="7"/>
        <v>320</v>
      </c>
      <c r="H262" s="50">
        <v>0</v>
      </c>
      <c r="I262" s="15">
        <f>MATCH(SUM($F$90:F262),基因升级!$AF$141:$AF$500,1)</f>
        <v>164</v>
      </c>
    </row>
    <row r="263" spans="4:9">
      <c r="D263" s="50">
        <v>174</v>
      </c>
      <c r="E263" s="50">
        <f>IFERROR((_xlfn.XLOOKUP(D264,[2]主线关卡!E$20:E$319,[2]主线关卡!$D$20:$D$319)-1-6)*30,E262)</f>
        <v>4770</v>
      </c>
      <c r="F263" s="50">
        <f t="shared" si="6"/>
        <v>320</v>
      </c>
      <c r="G263" s="50">
        <f t="shared" si="7"/>
        <v>320</v>
      </c>
      <c r="H263" s="50">
        <v>0</v>
      </c>
      <c r="I263" s="15">
        <f>MATCH(SUM($F$90:F263),基因升级!$AF$141:$AF$500,1)</f>
        <v>164</v>
      </c>
    </row>
    <row r="264" spans="4:9">
      <c r="D264" s="50">
        <v>175</v>
      </c>
      <c r="E264" s="50">
        <f>IFERROR((_xlfn.XLOOKUP(D265,[2]主线关卡!E$20:E$319,[2]主线关卡!$D$20:$D$319)-1-6)*30,E263)</f>
        <v>4800</v>
      </c>
      <c r="F264" s="50">
        <f t="shared" si="6"/>
        <v>350</v>
      </c>
      <c r="G264" s="50">
        <f t="shared" si="7"/>
        <v>320</v>
      </c>
      <c r="H264" s="50">
        <v>0</v>
      </c>
      <c r="I264" s="15">
        <f>MATCH(SUM($F$90:F264),基因升级!$AF$141:$AF$500,1)</f>
        <v>165</v>
      </c>
    </row>
    <row r="265" spans="4:9">
      <c r="D265" s="50">
        <v>176</v>
      </c>
      <c r="E265" s="50">
        <f>IFERROR((_xlfn.XLOOKUP(D266,[2]主线关卡!E$20:E$319,[2]主线关卡!$D$20:$D$319)-1-6)*30,E264)</f>
        <v>4800</v>
      </c>
      <c r="F265" s="50">
        <f t="shared" si="6"/>
        <v>320</v>
      </c>
      <c r="G265" s="50">
        <f t="shared" si="7"/>
        <v>320</v>
      </c>
      <c r="H265" s="50">
        <v>0</v>
      </c>
      <c r="I265" s="15">
        <f>MATCH(SUM($F$90:F265),基因升级!$AF$141:$AF$500,1)</f>
        <v>165</v>
      </c>
    </row>
    <row r="266" spans="4:9">
      <c r="D266" s="50">
        <v>177</v>
      </c>
      <c r="E266" s="50">
        <f>IFERROR((_xlfn.XLOOKUP(D267,[2]主线关卡!E$20:E$319,[2]主线关卡!$D$20:$D$319)-1-6)*30,E265)</f>
        <v>4830</v>
      </c>
      <c r="F266" s="50">
        <f t="shared" si="6"/>
        <v>350</v>
      </c>
      <c r="G266" s="50">
        <f t="shared" si="7"/>
        <v>320</v>
      </c>
      <c r="H266" s="50">
        <v>0</v>
      </c>
      <c r="I266" s="15">
        <f>MATCH(SUM($F$90:F266),基因升级!$AF$141:$AF$500,1)</f>
        <v>165</v>
      </c>
    </row>
    <row r="267" spans="4:9">
      <c r="D267" s="50">
        <v>178</v>
      </c>
      <c r="E267" s="50">
        <f>IFERROR((_xlfn.XLOOKUP(D268,[2]主线关卡!E$20:E$319,[2]主线关卡!$D$20:$D$319)-1-6)*30,E266)</f>
        <v>4830</v>
      </c>
      <c r="F267" s="50">
        <f t="shared" si="6"/>
        <v>320</v>
      </c>
      <c r="G267" s="50">
        <f t="shared" si="7"/>
        <v>320</v>
      </c>
      <c r="H267" s="50">
        <v>0</v>
      </c>
      <c r="I267" s="15">
        <f>MATCH(SUM($F$90:F267),基因升级!$AF$141:$AF$500,1)</f>
        <v>166</v>
      </c>
    </row>
    <row r="268" spans="4:9">
      <c r="D268" s="50">
        <v>179</v>
      </c>
      <c r="E268" s="50">
        <f>IFERROR((_xlfn.XLOOKUP(D269,[2]主线关卡!E$20:E$319,[2]主线关卡!$D$20:$D$319)-1-6)*30,E267)</f>
        <v>4860</v>
      </c>
      <c r="F268" s="50">
        <f t="shared" si="6"/>
        <v>350</v>
      </c>
      <c r="G268" s="50">
        <f t="shared" si="7"/>
        <v>320</v>
      </c>
      <c r="H268" s="50">
        <v>0</v>
      </c>
      <c r="I268" s="15">
        <f>MATCH(SUM($F$90:F268),基因升级!$AF$141:$AF$500,1)</f>
        <v>166</v>
      </c>
    </row>
    <row r="269" spans="4:9">
      <c r="D269" s="50">
        <v>180</v>
      </c>
      <c r="E269" s="50">
        <f>IFERROR((_xlfn.XLOOKUP(D270,[2]主线关卡!E$20:E$319,[2]主线关卡!$D$20:$D$319)-1-6)*30,E268)</f>
        <v>4860</v>
      </c>
      <c r="F269" s="50">
        <f t="shared" si="6"/>
        <v>320</v>
      </c>
      <c r="G269" s="50">
        <f t="shared" si="7"/>
        <v>320</v>
      </c>
      <c r="H269" s="50">
        <v>0</v>
      </c>
      <c r="I269" s="15">
        <f>MATCH(SUM($F$90:F269),基因升级!$AF$141:$AF$500,1)</f>
        <v>167</v>
      </c>
    </row>
    <row r="270" spans="4:9">
      <c r="D270" s="50">
        <v>181</v>
      </c>
      <c r="E270" s="50">
        <f>IFERROR((_xlfn.XLOOKUP(D271,[2]主线关卡!E$20:E$319,[2]主线关卡!$D$20:$D$319)-1-6)*30,E269)</f>
        <v>4890</v>
      </c>
      <c r="F270" s="50">
        <f t="shared" si="6"/>
        <v>350</v>
      </c>
      <c r="G270" s="50">
        <f t="shared" si="7"/>
        <v>320</v>
      </c>
      <c r="H270" s="50">
        <v>0</v>
      </c>
      <c r="I270" s="15">
        <f>MATCH(SUM($F$90:F270),基因升级!$AF$141:$AF$500,1)</f>
        <v>167</v>
      </c>
    </row>
    <row r="271" spans="4:9">
      <c r="D271" s="50">
        <v>182</v>
      </c>
      <c r="E271" s="50">
        <f>IFERROR((_xlfn.XLOOKUP(D272,[2]主线关卡!E$20:E$319,[2]主线关卡!$D$20:$D$319)-1-6)*30,E270)</f>
        <v>4890</v>
      </c>
      <c r="F271" s="50">
        <f t="shared" si="6"/>
        <v>320</v>
      </c>
      <c r="G271" s="50">
        <f t="shared" si="7"/>
        <v>320</v>
      </c>
      <c r="H271" s="50">
        <v>0</v>
      </c>
      <c r="I271" s="15">
        <f>MATCH(SUM($F$90:F271),基因升级!$AF$141:$AF$500,1)</f>
        <v>168</v>
      </c>
    </row>
    <row r="272" spans="4:9">
      <c r="D272" s="50">
        <v>183</v>
      </c>
      <c r="E272" s="50">
        <f>IFERROR((_xlfn.XLOOKUP(D273,[2]主线关卡!E$20:E$319,[2]主线关卡!$D$20:$D$319)-1-6)*30,E271)</f>
        <v>4920</v>
      </c>
      <c r="F272" s="50">
        <f t="shared" si="6"/>
        <v>350</v>
      </c>
      <c r="G272" s="50">
        <f t="shared" si="7"/>
        <v>320</v>
      </c>
      <c r="H272" s="50">
        <v>0</v>
      </c>
      <c r="I272" s="15">
        <f>MATCH(SUM($F$90:F272),基因升级!$AF$141:$AF$500,1)</f>
        <v>168</v>
      </c>
    </row>
    <row r="273" spans="4:9">
      <c r="D273" s="50">
        <v>184</v>
      </c>
      <c r="E273" s="50">
        <f>IFERROR((_xlfn.XLOOKUP(D274,[2]主线关卡!E$20:E$319,[2]主线关卡!$D$20:$D$319)-1-6)*30,E272)</f>
        <v>4920</v>
      </c>
      <c r="F273" s="50">
        <f t="shared" si="6"/>
        <v>320</v>
      </c>
      <c r="G273" s="50">
        <f t="shared" si="7"/>
        <v>320</v>
      </c>
      <c r="H273" s="50">
        <v>0</v>
      </c>
      <c r="I273" s="15">
        <f>MATCH(SUM($F$90:F273),基因升级!$AF$141:$AF$500,1)</f>
        <v>168</v>
      </c>
    </row>
    <row r="274" spans="4:9">
      <c r="D274" s="50">
        <v>185</v>
      </c>
      <c r="E274" s="50">
        <f>IFERROR((_xlfn.XLOOKUP(D275,[2]主线关卡!E$20:E$319,[2]主线关卡!$D$20:$D$319)-1-6)*30,E273)</f>
        <v>4950</v>
      </c>
      <c r="F274" s="50">
        <f t="shared" si="6"/>
        <v>350</v>
      </c>
      <c r="G274" s="50">
        <f t="shared" si="7"/>
        <v>320</v>
      </c>
      <c r="H274" s="50">
        <v>0</v>
      </c>
      <c r="I274" s="15">
        <f>MATCH(SUM($F$90:F274),基因升级!$AF$141:$AF$500,1)</f>
        <v>169</v>
      </c>
    </row>
    <row r="275" spans="4:9">
      <c r="D275" s="50">
        <v>186</v>
      </c>
      <c r="E275" s="50">
        <f>IFERROR((_xlfn.XLOOKUP(D276,[2]主线关卡!E$20:E$319,[2]主线关卡!$D$20:$D$319)-1-6)*30,E274)</f>
        <v>4950</v>
      </c>
      <c r="F275" s="50">
        <f t="shared" si="6"/>
        <v>320</v>
      </c>
      <c r="G275" s="50">
        <f t="shared" si="7"/>
        <v>320</v>
      </c>
      <c r="H275" s="50">
        <v>0</v>
      </c>
      <c r="I275" s="15">
        <f>MATCH(SUM($F$90:F275),基因升级!$AF$141:$AF$500,1)</f>
        <v>169</v>
      </c>
    </row>
    <row r="276" spans="4:9">
      <c r="D276" s="50">
        <v>187</v>
      </c>
      <c r="E276" s="50">
        <f>IFERROR((_xlfn.XLOOKUP(D277,[2]主线关卡!E$20:E$319,[2]主线关卡!$D$20:$D$319)-1-6)*30,E275)</f>
        <v>4980</v>
      </c>
      <c r="F276" s="50">
        <f t="shared" si="6"/>
        <v>350</v>
      </c>
      <c r="G276" s="50">
        <f t="shared" si="7"/>
        <v>320</v>
      </c>
      <c r="H276" s="50">
        <v>0</v>
      </c>
      <c r="I276" s="15">
        <f>MATCH(SUM($F$90:F276),基因升级!$AF$141:$AF$500,1)</f>
        <v>170</v>
      </c>
    </row>
    <row r="277" spans="4:9">
      <c r="D277" s="50">
        <v>188</v>
      </c>
      <c r="E277" s="50">
        <f>IFERROR((_xlfn.XLOOKUP(D278,[2]主线关卡!E$20:E$319,[2]主线关卡!$D$20:$D$319)-1-6)*30,E276)</f>
        <v>4980</v>
      </c>
      <c r="F277" s="50">
        <f t="shared" si="6"/>
        <v>320</v>
      </c>
      <c r="G277" s="50">
        <f t="shared" si="7"/>
        <v>320</v>
      </c>
      <c r="H277" s="50">
        <v>0</v>
      </c>
      <c r="I277" s="15">
        <f>MATCH(SUM($F$90:F277),基因升级!$AF$141:$AF$500,1)</f>
        <v>170</v>
      </c>
    </row>
    <row r="278" spans="4:9">
      <c r="D278" s="50">
        <v>189</v>
      </c>
      <c r="E278" s="50">
        <f>IFERROR((_xlfn.XLOOKUP(D279,[2]主线关卡!E$20:E$319,[2]主线关卡!$D$20:$D$319)-1-6)*30,E277)</f>
        <v>4980</v>
      </c>
      <c r="F278" s="50">
        <f t="shared" si="6"/>
        <v>320</v>
      </c>
      <c r="G278" s="50">
        <f t="shared" si="7"/>
        <v>320</v>
      </c>
      <c r="H278" s="50">
        <v>0</v>
      </c>
      <c r="I278" s="15">
        <f>MATCH(SUM($F$90:F278),基因升级!$AF$141:$AF$500,1)</f>
        <v>171</v>
      </c>
    </row>
    <row r="279" spans="4:9">
      <c r="D279" s="50">
        <v>190</v>
      </c>
      <c r="E279" s="50">
        <f>IFERROR((_xlfn.XLOOKUP(D280,[2]主线关卡!E$20:E$319,[2]主线关卡!$D$20:$D$319)-1-6)*30,E278)</f>
        <v>5010</v>
      </c>
      <c r="F279" s="50">
        <f t="shared" si="6"/>
        <v>350</v>
      </c>
      <c r="G279" s="50">
        <f t="shared" si="7"/>
        <v>320</v>
      </c>
      <c r="H279" s="50">
        <v>0</v>
      </c>
      <c r="I279" s="15">
        <f>MATCH(SUM($F$90:F279),基因升级!$AF$141:$AF$500,1)</f>
        <v>171</v>
      </c>
    </row>
    <row r="280" spans="4:9">
      <c r="D280" s="50">
        <v>191</v>
      </c>
      <c r="E280" s="50">
        <f>IFERROR((_xlfn.XLOOKUP(D281,[2]主线关卡!E$20:E$319,[2]主线关卡!$D$20:$D$319)-1-6)*30,E279)</f>
        <v>5010</v>
      </c>
      <c r="F280" s="50">
        <f t="shared" si="6"/>
        <v>320</v>
      </c>
      <c r="G280" s="50">
        <f t="shared" si="7"/>
        <v>320</v>
      </c>
      <c r="H280" s="50">
        <v>0</v>
      </c>
      <c r="I280" s="15">
        <f>MATCH(SUM($F$90:F280),基因升级!$AF$141:$AF$500,1)</f>
        <v>171</v>
      </c>
    </row>
    <row r="281" spans="4:9">
      <c r="D281" s="50">
        <v>192</v>
      </c>
      <c r="E281" s="50">
        <f>IFERROR((_xlfn.XLOOKUP(D282,[2]主线关卡!E$20:E$319,[2]主线关卡!$D$20:$D$319)-1-6)*30,E280)</f>
        <v>5010</v>
      </c>
      <c r="F281" s="50">
        <f t="shared" si="6"/>
        <v>320</v>
      </c>
      <c r="G281" s="50">
        <f t="shared" si="7"/>
        <v>320</v>
      </c>
      <c r="H281" s="50">
        <v>0</v>
      </c>
      <c r="I281" s="15">
        <f>MATCH(SUM($F$90:F281),基因升级!$AF$141:$AF$500,1)</f>
        <v>172</v>
      </c>
    </row>
    <row r="282" spans="4:9">
      <c r="D282" s="50">
        <v>193</v>
      </c>
      <c r="E282" s="50">
        <f>IFERROR((_xlfn.XLOOKUP(D283,[2]主线关卡!E$20:E$319,[2]主线关卡!$D$20:$D$319)-1-6)*30,E281)</f>
        <v>5040</v>
      </c>
      <c r="F282" s="50">
        <f t="shared" si="6"/>
        <v>350</v>
      </c>
      <c r="G282" s="50">
        <f t="shared" si="7"/>
        <v>320</v>
      </c>
      <c r="H282" s="50">
        <v>0</v>
      </c>
      <c r="I282" s="15">
        <f>MATCH(SUM($F$90:F282),基因升级!$AF$141:$AF$500,1)</f>
        <v>172</v>
      </c>
    </row>
    <row r="283" spans="4:9">
      <c r="D283" s="50">
        <v>194</v>
      </c>
      <c r="E283" s="50">
        <f>IFERROR((_xlfn.XLOOKUP(D284,[2]主线关卡!E$20:E$319,[2]主线关卡!$D$20:$D$319)-1-6)*30,E282)</f>
        <v>5040</v>
      </c>
      <c r="F283" s="50">
        <f t="shared" ref="F283:F346" si="8">E283-E282+H283+G283</f>
        <v>320</v>
      </c>
      <c r="G283" s="50">
        <f t="shared" ref="G283:G346" si="9">($F$26+24)*$E$26</f>
        <v>320</v>
      </c>
      <c r="H283" s="50">
        <v>0</v>
      </c>
      <c r="I283" s="15">
        <f>MATCH(SUM($F$90:F283),基因升级!$AF$141:$AF$500,1)</f>
        <v>173</v>
      </c>
    </row>
    <row r="284" spans="4:9">
      <c r="D284" s="50">
        <v>195</v>
      </c>
      <c r="E284" s="50">
        <f>IFERROR((_xlfn.XLOOKUP(D285,[2]主线关卡!E$20:E$319,[2]主线关卡!$D$20:$D$319)-1-6)*30,E283)</f>
        <v>5040</v>
      </c>
      <c r="F284" s="50">
        <f t="shared" si="8"/>
        <v>320</v>
      </c>
      <c r="G284" s="50">
        <f t="shared" si="9"/>
        <v>320</v>
      </c>
      <c r="H284" s="50">
        <v>0</v>
      </c>
      <c r="I284" s="15">
        <f>MATCH(SUM($F$90:F284),基因升级!$AF$141:$AF$500,1)</f>
        <v>173</v>
      </c>
    </row>
    <row r="285" spans="4:9">
      <c r="D285" s="50">
        <v>196</v>
      </c>
      <c r="E285" s="50">
        <f>IFERROR((_xlfn.XLOOKUP(D286,[2]主线关卡!E$20:E$319,[2]主线关卡!$D$20:$D$319)-1-6)*30,E284)</f>
        <v>5070</v>
      </c>
      <c r="F285" s="50">
        <f t="shared" si="8"/>
        <v>350</v>
      </c>
      <c r="G285" s="50">
        <f t="shared" si="9"/>
        <v>320</v>
      </c>
      <c r="H285" s="50">
        <v>0</v>
      </c>
      <c r="I285" s="15">
        <f>MATCH(SUM($F$90:F285),基因升级!$AF$141:$AF$500,1)</f>
        <v>173</v>
      </c>
    </row>
    <row r="286" spans="4:9">
      <c r="D286" s="50">
        <v>197</v>
      </c>
      <c r="E286" s="50">
        <f>IFERROR((_xlfn.XLOOKUP(D287,[2]主线关卡!E$20:E$319,[2]主线关卡!$D$20:$D$319)-1-6)*30,E285)</f>
        <v>5070</v>
      </c>
      <c r="F286" s="50">
        <f t="shared" si="8"/>
        <v>320</v>
      </c>
      <c r="G286" s="50">
        <f t="shared" si="9"/>
        <v>320</v>
      </c>
      <c r="H286" s="50">
        <v>0</v>
      </c>
      <c r="I286" s="15">
        <f>MATCH(SUM($F$90:F286),基因升级!$AF$141:$AF$500,1)</f>
        <v>174</v>
      </c>
    </row>
    <row r="287" spans="4:9">
      <c r="D287" s="50">
        <v>198</v>
      </c>
      <c r="E287" s="50">
        <f>IFERROR((_xlfn.XLOOKUP(D288,[2]主线关卡!E$20:E$319,[2]主线关卡!$D$20:$D$319)-1-6)*30,E286)</f>
        <v>5070</v>
      </c>
      <c r="F287" s="50">
        <f t="shared" si="8"/>
        <v>320</v>
      </c>
      <c r="G287" s="50">
        <f t="shared" si="9"/>
        <v>320</v>
      </c>
      <c r="H287" s="50">
        <v>0</v>
      </c>
      <c r="I287" s="15">
        <f>MATCH(SUM($F$90:F287),基因升级!$AF$141:$AF$500,1)</f>
        <v>174</v>
      </c>
    </row>
    <row r="288" spans="4:9">
      <c r="D288" s="50">
        <v>199</v>
      </c>
      <c r="E288" s="50">
        <f>IFERROR((_xlfn.XLOOKUP(D289,[2]主线关卡!E$20:E$319,[2]主线关卡!$D$20:$D$319)-1-6)*30,E287)</f>
        <v>5100</v>
      </c>
      <c r="F288" s="50">
        <f t="shared" si="8"/>
        <v>350</v>
      </c>
      <c r="G288" s="50">
        <f t="shared" si="9"/>
        <v>320</v>
      </c>
      <c r="H288" s="50">
        <v>0</v>
      </c>
      <c r="I288" s="15">
        <f>MATCH(SUM($F$90:F288),基因升级!$AF$141:$AF$500,1)</f>
        <v>175</v>
      </c>
    </row>
    <row r="289" spans="4:9">
      <c r="D289" s="50">
        <v>200</v>
      </c>
      <c r="E289" s="50">
        <f>IFERROR((_xlfn.XLOOKUP(D290,[2]主线关卡!E$20:E$319,[2]主线关卡!$D$20:$D$319)-1-6)*30,E288)</f>
        <v>5100</v>
      </c>
      <c r="F289" s="50">
        <f t="shared" si="8"/>
        <v>320</v>
      </c>
      <c r="G289" s="50">
        <f t="shared" si="9"/>
        <v>320</v>
      </c>
      <c r="H289" s="50">
        <v>0</v>
      </c>
      <c r="I289" s="15">
        <f>MATCH(SUM($F$90:F289),基因升级!$AF$141:$AF$500,1)</f>
        <v>175</v>
      </c>
    </row>
    <row r="290" spans="4:9">
      <c r="D290" s="50">
        <v>201</v>
      </c>
      <c r="E290" s="50">
        <f>IFERROR((_xlfn.XLOOKUP(D291,[2]主线关卡!E$20:E$319,[2]主线关卡!$D$20:$D$319)-1-6)*30,E289)</f>
        <v>5100</v>
      </c>
      <c r="F290" s="50">
        <f t="shared" si="8"/>
        <v>320</v>
      </c>
      <c r="G290" s="50">
        <f t="shared" si="9"/>
        <v>320</v>
      </c>
      <c r="H290" s="50">
        <v>0</v>
      </c>
      <c r="I290" s="15">
        <f>MATCH(SUM($F$90:F290),基因升级!$AF$141:$AF$500,1)</f>
        <v>175</v>
      </c>
    </row>
    <row r="291" spans="4:9">
      <c r="D291" s="50">
        <v>202</v>
      </c>
      <c r="E291" s="50">
        <f>IFERROR((_xlfn.XLOOKUP(D292,[2]主线关卡!E$20:E$319,[2]主线关卡!$D$20:$D$319)-1-6)*30,E290)</f>
        <v>5130</v>
      </c>
      <c r="F291" s="50">
        <f t="shared" si="8"/>
        <v>350</v>
      </c>
      <c r="G291" s="50">
        <f t="shared" si="9"/>
        <v>320</v>
      </c>
      <c r="H291" s="50">
        <v>0</v>
      </c>
      <c r="I291" s="15">
        <f>MATCH(SUM($F$90:F291),基因升级!$AF$141:$AF$500,1)</f>
        <v>176</v>
      </c>
    </row>
    <row r="292" spans="4:9">
      <c r="D292" s="50">
        <v>203</v>
      </c>
      <c r="E292" s="50">
        <f>IFERROR((_xlfn.XLOOKUP(D293,[2]主线关卡!E$20:E$319,[2]主线关卡!$D$20:$D$319)-1-6)*30,E291)</f>
        <v>5130</v>
      </c>
      <c r="F292" s="50">
        <f t="shared" si="8"/>
        <v>320</v>
      </c>
      <c r="G292" s="50">
        <f t="shared" si="9"/>
        <v>320</v>
      </c>
      <c r="H292" s="50">
        <v>0</v>
      </c>
      <c r="I292" s="15">
        <f>MATCH(SUM($F$90:F292),基因升级!$AF$141:$AF$500,1)</f>
        <v>176</v>
      </c>
    </row>
    <row r="293" spans="4:9">
      <c r="D293" s="50">
        <v>204</v>
      </c>
      <c r="E293" s="50">
        <f>IFERROR((_xlfn.XLOOKUP(D294,[2]主线关卡!E$20:E$319,[2]主线关卡!$D$20:$D$319)-1-6)*30,E292)</f>
        <v>5130</v>
      </c>
      <c r="F293" s="50">
        <f t="shared" si="8"/>
        <v>320</v>
      </c>
      <c r="G293" s="50">
        <f t="shared" si="9"/>
        <v>320</v>
      </c>
      <c r="H293" s="50">
        <v>0</v>
      </c>
      <c r="I293" s="15">
        <f>MATCH(SUM($F$90:F293),基因升级!$AF$141:$AF$500,1)</f>
        <v>177</v>
      </c>
    </row>
    <row r="294" spans="4:9">
      <c r="D294" s="50">
        <v>205</v>
      </c>
      <c r="E294" s="50">
        <f>IFERROR((_xlfn.XLOOKUP(D295,[2]主线关卡!E$20:E$319,[2]主线关卡!$D$20:$D$319)-1-6)*30,E293)</f>
        <v>5160</v>
      </c>
      <c r="F294" s="50">
        <f t="shared" si="8"/>
        <v>350</v>
      </c>
      <c r="G294" s="50">
        <f t="shared" si="9"/>
        <v>320</v>
      </c>
      <c r="H294" s="50">
        <v>0</v>
      </c>
      <c r="I294" s="15">
        <f>MATCH(SUM($F$90:F294),基因升级!$AF$141:$AF$500,1)</f>
        <v>177</v>
      </c>
    </row>
    <row r="295" spans="4:9">
      <c r="D295" s="50">
        <v>206</v>
      </c>
      <c r="E295" s="50">
        <f>IFERROR((_xlfn.XLOOKUP(D296,[2]主线关卡!E$20:E$319,[2]主线关卡!$D$20:$D$319)-1-6)*30,E294)</f>
        <v>5160</v>
      </c>
      <c r="F295" s="50">
        <f t="shared" si="8"/>
        <v>320</v>
      </c>
      <c r="G295" s="50">
        <f t="shared" si="9"/>
        <v>320</v>
      </c>
      <c r="H295" s="50">
        <v>0</v>
      </c>
      <c r="I295" s="15">
        <f>MATCH(SUM($F$90:F295),基因升级!$AF$141:$AF$500,1)</f>
        <v>177</v>
      </c>
    </row>
    <row r="296" spans="4:9">
      <c r="D296" s="50">
        <v>207</v>
      </c>
      <c r="E296" s="50">
        <f>IFERROR((_xlfn.XLOOKUP(D297,[2]主线关卡!E$20:E$319,[2]主线关卡!$D$20:$D$319)-1-6)*30,E295)</f>
        <v>5160</v>
      </c>
      <c r="F296" s="50">
        <f t="shared" si="8"/>
        <v>320</v>
      </c>
      <c r="G296" s="50">
        <f t="shared" si="9"/>
        <v>320</v>
      </c>
      <c r="H296" s="50">
        <v>0</v>
      </c>
      <c r="I296" s="15">
        <f>MATCH(SUM($F$90:F296),基因升级!$AF$141:$AF$500,1)</f>
        <v>178</v>
      </c>
    </row>
    <row r="297" spans="4:9">
      <c r="D297" s="50">
        <v>208</v>
      </c>
      <c r="E297" s="50">
        <f>IFERROR((_xlfn.XLOOKUP(D298,[2]主线关卡!E$20:E$319,[2]主线关卡!$D$20:$D$319)-1-6)*30,E296)</f>
        <v>5190</v>
      </c>
      <c r="F297" s="50">
        <f t="shared" si="8"/>
        <v>350</v>
      </c>
      <c r="G297" s="50">
        <f t="shared" si="9"/>
        <v>320</v>
      </c>
      <c r="H297" s="50">
        <v>0</v>
      </c>
      <c r="I297" s="15">
        <f>MATCH(SUM($F$90:F297),基因升级!$AF$141:$AF$500,1)</f>
        <v>178</v>
      </c>
    </row>
    <row r="298" spans="4:9">
      <c r="D298" s="50">
        <v>209</v>
      </c>
      <c r="E298" s="50">
        <f>IFERROR((_xlfn.XLOOKUP(D299,[2]主线关卡!E$20:E$319,[2]主线关卡!$D$20:$D$319)-1-6)*30,E297)</f>
        <v>5190</v>
      </c>
      <c r="F298" s="50">
        <f t="shared" si="8"/>
        <v>320</v>
      </c>
      <c r="G298" s="50">
        <f t="shared" si="9"/>
        <v>320</v>
      </c>
      <c r="H298" s="50">
        <v>0</v>
      </c>
      <c r="I298" s="15">
        <f>MATCH(SUM($F$90:F298),基因升级!$AF$141:$AF$500,1)</f>
        <v>179</v>
      </c>
    </row>
    <row r="299" spans="4:9">
      <c r="D299" s="50">
        <v>210</v>
      </c>
      <c r="E299" s="50">
        <f>IFERROR((_xlfn.XLOOKUP(D300,[2]主线关卡!E$20:E$319,[2]主线关卡!$D$20:$D$319)-1-6)*30,E298)</f>
        <v>5190</v>
      </c>
      <c r="F299" s="50">
        <f t="shared" si="8"/>
        <v>320</v>
      </c>
      <c r="G299" s="50">
        <f t="shared" si="9"/>
        <v>320</v>
      </c>
      <c r="H299" s="50">
        <v>0</v>
      </c>
      <c r="I299" s="15">
        <f>MATCH(SUM($F$90:F299),基因升级!$AF$141:$AF$500,1)</f>
        <v>179</v>
      </c>
    </row>
    <row r="300" spans="4:9">
      <c r="D300" s="50">
        <v>211</v>
      </c>
      <c r="E300" s="50">
        <f>IFERROR((_xlfn.XLOOKUP(D301,[2]主线关卡!E$20:E$319,[2]主线关卡!$D$20:$D$319)-1-6)*30,E299)</f>
        <v>5220</v>
      </c>
      <c r="F300" s="50">
        <f t="shared" si="8"/>
        <v>350</v>
      </c>
      <c r="G300" s="50">
        <f t="shared" si="9"/>
        <v>320</v>
      </c>
      <c r="H300" s="50">
        <v>0</v>
      </c>
      <c r="I300" s="15">
        <f>MATCH(SUM($F$90:F300),基因升级!$AF$141:$AF$500,1)</f>
        <v>179</v>
      </c>
    </row>
    <row r="301" spans="4:9">
      <c r="D301" s="50">
        <v>212</v>
      </c>
      <c r="E301" s="50">
        <f>IFERROR((_xlfn.XLOOKUP(D302,[2]主线关卡!E$20:E$319,[2]主线关卡!$D$20:$D$319)-1-6)*30,E300)</f>
        <v>5220</v>
      </c>
      <c r="F301" s="50">
        <f t="shared" si="8"/>
        <v>320</v>
      </c>
      <c r="G301" s="50">
        <f t="shared" si="9"/>
        <v>320</v>
      </c>
      <c r="H301" s="50">
        <v>0</v>
      </c>
      <c r="I301" s="15">
        <f>MATCH(SUM($F$90:F301),基因升级!$AF$141:$AF$500,1)</f>
        <v>180</v>
      </c>
    </row>
    <row r="302" spans="4:9">
      <c r="D302" s="50">
        <v>213</v>
      </c>
      <c r="E302" s="50">
        <f>IFERROR((_xlfn.XLOOKUP(D303,[2]主线关卡!E$20:E$319,[2]主线关卡!$D$20:$D$319)-1-6)*30,E301)</f>
        <v>5220</v>
      </c>
      <c r="F302" s="50">
        <f t="shared" si="8"/>
        <v>320</v>
      </c>
      <c r="G302" s="50">
        <f t="shared" si="9"/>
        <v>320</v>
      </c>
      <c r="H302" s="50">
        <v>0</v>
      </c>
      <c r="I302" s="15">
        <f>MATCH(SUM($F$90:F302),基因升级!$AF$141:$AF$500,1)</f>
        <v>180</v>
      </c>
    </row>
    <row r="303" spans="4:9">
      <c r="D303" s="50">
        <v>214</v>
      </c>
      <c r="E303" s="50">
        <f>IFERROR((_xlfn.XLOOKUP(D304,[2]主线关卡!E$20:E$319,[2]主线关卡!$D$20:$D$319)-1-6)*30,E302)</f>
        <v>5250</v>
      </c>
      <c r="F303" s="50">
        <f t="shared" si="8"/>
        <v>350</v>
      </c>
      <c r="G303" s="50">
        <f t="shared" si="9"/>
        <v>320</v>
      </c>
      <c r="H303" s="50">
        <v>0</v>
      </c>
      <c r="I303" s="15">
        <f>MATCH(SUM($F$90:F303),基因升级!$AF$141:$AF$500,1)</f>
        <v>180</v>
      </c>
    </row>
    <row r="304" spans="4:9">
      <c r="D304" s="50">
        <v>215</v>
      </c>
      <c r="E304" s="50">
        <f>IFERROR((_xlfn.XLOOKUP(D305,[2]主线关卡!E$20:E$319,[2]主线关卡!$D$20:$D$319)-1-6)*30,E303)</f>
        <v>5250</v>
      </c>
      <c r="F304" s="50">
        <f t="shared" si="8"/>
        <v>320</v>
      </c>
      <c r="G304" s="50">
        <f t="shared" si="9"/>
        <v>320</v>
      </c>
      <c r="H304" s="50">
        <v>0</v>
      </c>
      <c r="I304" s="15">
        <f>MATCH(SUM($F$90:F304),基因升级!$AF$141:$AF$500,1)</f>
        <v>181</v>
      </c>
    </row>
    <row r="305" spans="4:9">
      <c r="D305" s="50">
        <v>216</v>
      </c>
      <c r="E305" s="50">
        <f>IFERROR((_xlfn.XLOOKUP(D306,[2]主线关卡!E$20:E$319,[2]主线关卡!$D$20:$D$319)-1-6)*30,E304)</f>
        <v>5250</v>
      </c>
      <c r="F305" s="50">
        <f t="shared" si="8"/>
        <v>320</v>
      </c>
      <c r="G305" s="50">
        <f t="shared" si="9"/>
        <v>320</v>
      </c>
      <c r="H305" s="50">
        <v>0</v>
      </c>
      <c r="I305" s="15">
        <f>MATCH(SUM($F$90:F305),基因升级!$AF$141:$AF$500,1)</f>
        <v>181</v>
      </c>
    </row>
    <row r="306" spans="4:9">
      <c r="D306" s="50">
        <v>217</v>
      </c>
      <c r="E306" s="50">
        <f>IFERROR((_xlfn.XLOOKUP(D307,[2]主线关卡!E$20:E$319,[2]主线关卡!$D$20:$D$319)-1-6)*30,E305)</f>
        <v>5280</v>
      </c>
      <c r="F306" s="50">
        <f t="shared" si="8"/>
        <v>350</v>
      </c>
      <c r="G306" s="50">
        <f t="shared" si="9"/>
        <v>320</v>
      </c>
      <c r="H306" s="50">
        <v>0</v>
      </c>
      <c r="I306" s="15">
        <f>MATCH(SUM($F$90:F306),基因升级!$AF$141:$AF$500,1)</f>
        <v>182</v>
      </c>
    </row>
    <row r="307" spans="4:9">
      <c r="D307" s="50">
        <v>218</v>
      </c>
      <c r="E307" s="50">
        <f>IFERROR((_xlfn.XLOOKUP(D308,[2]主线关卡!E$20:E$319,[2]主线关卡!$D$20:$D$319)-1-6)*30,E306)</f>
        <v>5280</v>
      </c>
      <c r="F307" s="50">
        <f t="shared" si="8"/>
        <v>320</v>
      </c>
      <c r="G307" s="50">
        <f t="shared" si="9"/>
        <v>320</v>
      </c>
      <c r="H307" s="50">
        <v>0</v>
      </c>
      <c r="I307" s="15">
        <f>MATCH(SUM($F$90:F307),基因升级!$AF$141:$AF$500,1)</f>
        <v>182</v>
      </c>
    </row>
    <row r="308" spans="4:9">
      <c r="D308" s="50">
        <v>219</v>
      </c>
      <c r="E308" s="50">
        <f>IFERROR((_xlfn.XLOOKUP(D309,[2]主线关卡!E$20:E$319,[2]主线关卡!$D$20:$D$319)-1-6)*30,E307)</f>
        <v>5280</v>
      </c>
      <c r="F308" s="50">
        <f t="shared" si="8"/>
        <v>320</v>
      </c>
      <c r="G308" s="50">
        <f t="shared" si="9"/>
        <v>320</v>
      </c>
      <c r="H308" s="50">
        <v>0</v>
      </c>
      <c r="I308" s="15">
        <f>MATCH(SUM($F$90:F308),基因升级!$AF$141:$AF$500,1)</f>
        <v>182</v>
      </c>
    </row>
    <row r="309" spans="4:9">
      <c r="D309" s="50">
        <v>220</v>
      </c>
      <c r="E309" s="50">
        <f>IFERROR((_xlfn.XLOOKUP(D310,[2]主线关卡!E$20:E$319,[2]主线关卡!$D$20:$D$319)-1-6)*30,E308)</f>
        <v>5310</v>
      </c>
      <c r="F309" s="50">
        <f t="shared" si="8"/>
        <v>350</v>
      </c>
      <c r="G309" s="50">
        <f t="shared" si="9"/>
        <v>320</v>
      </c>
      <c r="H309" s="50">
        <v>0</v>
      </c>
      <c r="I309" s="15">
        <f>MATCH(SUM($F$90:F309),基因升级!$AF$141:$AF$500,1)</f>
        <v>183</v>
      </c>
    </row>
    <row r="310" spans="4:9">
      <c r="D310" s="50">
        <v>221</v>
      </c>
      <c r="E310" s="50">
        <f>IFERROR((_xlfn.XLOOKUP(D311,[2]主线关卡!E$20:E$319,[2]主线关卡!$D$20:$D$319)-1-6)*30,E309)</f>
        <v>5310</v>
      </c>
      <c r="F310" s="50">
        <f t="shared" si="8"/>
        <v>320</v>
      </c>
      <c r="G310" s="50">
        <f t="shared" si="9"/>
        <v>320</v>
      </c>
      <c r="H310" s="50">
        <v>0</v>
      </c>
      <c r="I310" s="15">
        <f>MATCH(SUM($F$90:F310),基因升级!$AF$141:$AF$500,1)</f>
        <v>183</v>
      </c>
    </row>
    <row r="311" spans="4:9">
      <c r="D311" s="50">
        <v>222</v>
      </c>
      <c r="E311" s="50">
        <f>IFERROR((_xlfn.XLOOKUP(D312,[2]主线关卡!E$20:E$319,[2]主线关卡!$D$20:$D$319)-1-6)*30,E310)</f>
        <v>5310</v>
      </c>
      <c r="F311" s="50">
        <f t="shared" si="8"/>
        <v>320</v>
      </c>
      <c r="G311" s="50">
        <f t="shared" si="9"/>
        <v>320</v>
      </c>
      <c r="H311" s="50">
        <v>0</v>
      </c>
      <c r="I311" s="15">
        <f>MATCH(SUM($F$90:F311),基因升级!$AF$141:$AF$500,1)</f>
        <v>183</v>
      </c>
    </row>
    <row r="312" spans="4:9">
      <c r="D312" s="50">
        <v>223</v>
      </c>
      <c r="E312" s="50">
        <f>IFERROR((_xlfn.XLOOKUP(D313,[2]主线关卡!E$20:E$319,[2]主线关卡!$D$20:$D$319)-1-6)*30,E311)</f>
        <v>5340</v>
      </c>
      <c r="F312" s="50">
        <f t="shared" si="8"/>
        <v>350</v>
      </c>
      <c r="G312" s="50">
        <f t="shared" si="9"/>
        <v>320</v>
      </c>
      <c r="H312" s="50">
        <v>0</v>
      </c>
      <c r="I312" s="15">
        <f>MATCH(SUM($F$90:F312),基因升级!$AF$141:$AF$500,1)</f>
        <v>184</v>
      </c>
    </row>
    <row r="313" spans="4:9">
      <c r="D313" s="50">
        <v>224</v>
      </c>
      <c r="E313" s="50">
        <f>IFERROR((_xlfn.XLOOKUP(D314,[2]主线关卡!E$20:E$319,[2]主线关卡!$D$20:$D$319)-1-6)*30,E312)</f>
        <v>5340</v>
      </c>
      <c r="F313" s="50">
        <f t="shared" si="8"/>
        <v>320</v>
      </c>
      <c r="G313" s="50">
        <f t="shared" si="9"/>
        <v>320</v>
      </c>
      <c r="H313" s="50">
        <v>0</v>
      </c>
      <c r="I313" s="15">
        <f>MATCH(SUM($F$90:F313),基因升级!$AF$141:$AF$500,1)</f>
        <v>184</v>
      </c>
    </row>
    <row r="314" spans="4:9">
      <c r="D314" s="50">
        <v>225</v>
      </c>
      <c r="E314" s="50">
        <f>IFERROR((_xlfn.XLOOKUP(D315,[2]主线关卡!E$20:E$319,[2]主线关卡!$D$20:$D$319)-1-6)*30,E313)</f>
        <v>5340</v>
      </c>
      <c r="F314" s="50">
        <f t="shared" si="8"/>
        <v>320</v>
      </c>
      <c r="G314" s="50">
        <f t="shared" si="9"/>
        <v>320</v>
      </c>
      <c r="H314" s="50">
        <v>0</v>
      </c>
      <c r="I314" s="15">
        <f>MATCH(SUM($F$90:F314),基因升级!$AF$141:$AF$500,1)</f>
        <v>185</v>
      </c>
    </row>
    <row r="315" spans="4:9">
      <c r="D315" s="50">
        <v>226</v>
      </c>
      <c r="E315" s="50">
        <f>IFERROR((_xlfn.XLOOKUP(D316,[2]主线关卡!E$20:E$319,[2]主线关卡!$D$20:$D$319)-1-6)*30,E314)</f>
        <v>5370</v>
      </c>
      <c r="F315" s="50">
        <f t="shared" si="8"/>
        <v>350</v>
      </c>
      <c r="G315" s="50">
        <f t="shared" si="9"/>
        <v>320</v>
      </c>
      <c r="H315" s="50">
        <v>0</v>
      </c>
      <c r="I315" s="15">
        <f>MATCH(SUM($F$90:F315),基因升级!$AF$141:$AF$500,1)</f>
        <v>185</v>
      </c>
    </row>
    <row r="316" spans="4:9">
      <c r="D316" s="50">
        <v>227</v>
      </c>
      <c r="E316" s="50">
        <f>IFERROR((_xlfn.XLOOKUP(D317,[2]主线关卡!E$20:E$319,[2]主线关卡!$D$20:$D$319)-1-6)*30,E315)</f>
        <v>5370</v>
      </c>
      <c r="F316" s="50">
        <f t="shared" si="8"/>
        <v>320</v>
      </c>
      <c r="G316" s="50">
        <f t="shared" si="9"/>
        <v>320</v>
      </c>
      <c r="H316" s="50">
        <v>0</v>
      </c>
      <c r="I316" s="15">
        <f>MATCH(SUM($F$90:F316),基因升级!$AF$141:$AF$500,1)</f>
        <v>185</v>
      </c>
    </row>
    <row r="317" spans="4:9">
      <c r="D317" s="50">
        <v>228</v>
      </c>
      <c r="E317" s="50">
        <f>IFERROR((_xlfn.XLOOKUP(D318,[2]主线关卡!E$20:E$319,[2]主线关卡!$D$20:$D$319)-1-6)*30,E316)</f>
        <v>5370</v>
      </c>
      <c r="F317" s="50">
        <f t="shared" si="8"/>
        <v>320</v>
      </c>
      <c r="G317" s="50">
        <f t="shared" si="9"/>
        <v>320</v>
      </c>
      <c r="H317" s="50">
        <v>0</v>
      </c>
      <c r="I317" s="15">
        <f>MATCH(SUM($F$90:F317),基因升级!$AF$141:$AF$500,1)</f>
        <v>186</v>
      </c>
    </row>
    <row r="318" spans="4:9">
      <c r="D318" s="50">
        <v>229</v>
      </c>
      <c r="E318" s="50">
        <f>IFERROR((_xlfn.XLOOKUP(D319,[2]主线关卡!E$20:E$319,[2]主线关卡!$D$20:$D$319)-1-6)*30,E317)</f>
        <v>5400</v>
      </c>
      <c r="F318" s="50">
        <f t="shared" si="8"/>
        <v>350</v>
      </c>
      <c r="G318" s="50">
        <f t="shared" si="9"/>
        <v>320</v>
      </c>
      <c r="H318" s="50">
        <v>0</v>
      </c>
      <c r="I318" s="15">
        <f>MATCH(SUM($F$90:F318),基因升级!$AF$141:$AF$500,1)</f>
        <v>186</v>
      </c>
    </row>
    <row r="319" spans="4:9">
      <c r="D319" s="50">
        <v>230</v>
      </c>
      <c r="E319" s="50">
        <f>IFERROR((_xlfn.XLOOKUP(D320,[2]主线关卡!E$20:E$319,[2]主线关卡!$D$20:$D$319)-1-6)*30,E318)</f>
        <v>5400</v>
      </c>
      <c r="F319" s="50">
        <f t="shared" si="8"/>
        <v>320</v>
      </c>
      <c r="G319" s="50">
        <f t="shared" si="9"/>
        <v>320</v>
      </c>
      <c r="H319" s="50">
        <v>0</v>
      </c>
      <c r="I319" s="15">
        <f>MATCH(SUM($F$90:F319),基因升级!$AF$141:$AF$500,1)</f>
        <v>186</v>
      </c>
    </row>
    <row r="320" spans="4:9">
      <c r="D320" s="50">
        <v>231</v>
      </c>
      <c r="E320" s="50">
        <f>IFERROR((_xlfn.XLOOKUP(D321,[2]主线关卡!E$20:E$319,[2]主线关卡!$D$20:$D$319)-1-6)*30,E319)</f>
        <v>5400</v>
      </c>
      <c r="F320" s="50">
        <f t="shared" si="8"/>
        <v>320</v>
      </c>
      <c r="G320" s="50">
        <f t="shared" si="9"/>
        <v>320</v>
      </c>
      <c r="H320" s="50">
        <v>0</v>
      </c>
      <c r="I320" s="15">
        <f>MATCH(SUM($F$90:F320),基因升级!$AF$141:$AF$500,1)</f>
        <v>187</v>
      </c>
    </row>
    <row r="321" spans="4:9">
      <c r="D321" s="50">
        <v>232</v>
      </c>
      <c r="E321" s="50">
        <f>IFERROR((_xlfn.XLOOKUP(D322,[2]主线关卡!E$20:E$319,[2]主线关卡!$D$20:$D$319)-1-6)*30,E320)</f>
        <v>5430</v>
      </c>
      <c r="F321" s="50">
        <f t="shared" si="8"/>
        <v>350</v>
      </c>
      <c r="G321" s="50">
        <f t="shared" si="9"/>
        <v>320</v>
      </c>
      <c r="H321" s="50">
        <v>0</v>
      </c>
      <c r="I321" s="15">
        <f>MATCH(SUM($F$90:F321),基因升级!$AF$141:$AF$500,1)</f>
        <v>187</v>
      </c>
    </row>
    <row r="322" spans="4:9">
      <c r="D322" s="50">
        <v>233</v>
      </c>
      <c r="E322" s="50">
        <f>IFERROR((_xlfn.XLOOKUP(D323,[2]主线关卡!E$20:E$319,[2]主线关卡!$D$20:$D$319)-1-6)*30,E321)</f>
        <v>5430</v>
      </c>
      <c r="F322" s="50">
        <f t="shared" si="8"/>
        <v>320</v>
      </c>
      <c r="G322" s="50">
        <f t="shared" si="9"/>
        <v>320</v>
      </c>
      <c r="H322" s="50">
        <v>0</v>
      </c>
      <c r="I322" s="15">
        <f>MATCH(SUM($F$90:F322),基因升级!$AF$141:$AF$500,1)</f>
        <v>188</v>
      </c>
    </row>
    <row r="323" spans="4:9">
      <c r="D323" s="50">
        <v>234</v>
      </c>
      <c r="E323" s="50">
        <f>IFERROR((_xlfn.XLOOKUP(D324,[2]主线关卡!E$20:E$319,[2]主线关卡!$D$20:$D$319)-1-6)*30,E322)</f>
        <v>5430</v>
      </c>
      <c r="F323" s="50">
        <f t="shared" si="8"/>
        <v>320</v>
      </c>
      <c r="G323" s="50">
        <f t="shared" si="9"/>
        <v>320</v>
      </c>
      <c r="H323" s="50">
        <v>0</v>
      </c>
      <c r="I323" s="15">
        <f>MATCH(SUM($F$90:F323),基因升级!$AF$141:$AF$500,1)</f>
        <v>188</v>
      </c>
    </row>
    <row r="324" spans="4:9">
      <c r="D324" s="50">
        <v>235</v>
      </c>
      <c r="E324" s="50">
        <f>IFERROR((_xlfn.XLOOKUP(D325,[2]主线关卡!E$20:E$319,[2]主线关卡!$D$20:$D$319)-1-6)*30,E323)</f>
        <v>5460</v>
      </c>
      <c r="F324" s="50">
        <f t="shared" si="8"/>
        <v>350</v>
      </c>
      <c r="G324" s="50">
        <f t="shared" si="9"/>
        <v>320</v>
      </c>
      <c r="H324" s="50">
        <v>0</v>
      </c>
      <c r="I324" s="15">
        <f>MATCH(SUM($F$90:F324),基因升级!$AF$141:$AF$500,1)</f>
        <v>188</v>
      </c>
    </row>
    <row r="325" spans="4:9">
      <c r="D325" s="50">
        <v>236</v>
      </c>
      <c r="E325" s="50">
        <f>IFERROR((_xlfn.XLOOKUP(D326,[2]主线关卡!E$20:E$319,[2]主线关卡!$D$20:$D$319)-1-6)*30,E324)</f>
        <v>5460</v>
      </c>
      <c r="F325" s="50">
        <f t="shared" si="8"/>
        <v>320</v>
      </c>
      <c r="G325" s="50">
        <f t="shared" si="9"/>
        <v>320</v>
      </c>
      <c r="H325" s="50">
        <v>0</v>
      </c>
      <c r="I325" s="15">
        <f>MATCH(SUM($F$90:F325),基因升级!$AF$141:$AF$500,1)</f>
        <v>189</v>
      </c>
    </row>
    <row r="326" spans="4:9">
      <c r="D326" s="50">
        <v>237</v>
      </c>
      <c r="E326" s="50">
        <f>IFERROR((_xlfn.XLOOKUP(D327,[2]主线关卡!E$20:E$319,[2]主线关卡!$D$20:$D$319)-1-6)*30,E325)</f>
        <v>5460</v>
      </c>
      <c r="F326" s="50">
        <f t="shared" si="8"/>
        <v>320</v>
      </c>
      <c r="G326" s="50">
        <f t="shared" si="9"/>
        <v>320</v>
      </c>
      <c r="H326" s="50">
        <v>0</v>
      </c>
      <c r="I326" s="15">
        <f>MATCH(SUM($F$90:F326),基因升级!$AF$141:$AF$500,1)</f>
        <v>189</v>
      </c>
    </row>
    <row r="327" spans="4:9">
      <c r="D327" s="50">
        <v>238</v>
      </c>
      <c r="E327" s="50">
        <f>IFERROR((_xlfn.XLOOKUP(D328,[2]主线关卡!E$20:E$319,[2]主线关卡!$D$20:$D$319)-1-6)*30,E326)</f>
        <v>5490</v>
      </c>
      <c r="F327" s="50">
        <f t="shared" si="8"/>
        <v>350</v>
      </c>
      <c r="G327" s="50">
        <f t="shared" si="9"/>
        <v>320</v>
      </c>
      <c r="H327" s="50">
        <v>0</v>
      </c>
      <c r="I327" s="15">
        <f>MATCH(SUM($F$90:F327),基因升级!$AF$141:$AF$500,1)</f>
        <v>189</v>
      </c>
    </row>
    <row r="328" spans="4:9">
      <c r="D328" s="50">
        <v>239</v>
      </c>
      <c r="E328" s="50">
        <f>IFERROR((_xlfn.XLOOKUP(D329,[2]主线关卡!E$20:E$319,[2]主线关卡!$D$20:$D$319)-1-6)*30,E327)</f>
        <v>5490</v>
      </c>
      <c r="F328" s="50">
        <f t="shared" si="8"/>
        <v>320</v>
      </c>
      <c r="G328" s="50">
        <f t="shared" si="9"/>
        <v>320</v>
      </c>
      <c r="H328" s="50">
        <v>0</v>
      </c>
      <c r="I328" s="15">
        <f>MATCH(SUM($F$90:F328),基因升级!$AF$141:$AF$500,1)</f>
        <v>190</v>
      </c>
    </row>
    <row r="329" spans="4:9">
      <c r="D329" s="50">
        <v>240</v>
      </c>
      <c r="E329" s="50">
        <f>IFERROR((_xlfn.XLOOKUP(D330,[2]主线关卡!E$20:E$319,[2]主线关卡!$D$20:$D$319)-1-6)*30,E328)</f>
        <v>5490</v>
      </c>
      <c r="F329" s="50">
        <f t="shared" si="8"/>
        <v>320</v>
      </c>
      <c r="G329" s="50">
        <f t="shared" si="9"/>
        <v>320</v>
      </c>
      <c r="H329" s="50">
        <v>0</v>
      </c>
      <c r="I329" s="15">
        <f>MATCH(SUM($F$90:F329),基因升级!$AF$141:$AF$500,1)</f>
        <v>190</v>
      </c>
    </row>
    <row r="330" spans="4:9">
      <c r="D330" s="50">
        <v>241</v>
      </c>
      <c r="E330" s="50">
        <f>IFERROR((_xlfn.XLOOKUP(D331,[2]主线关卡!E$20:E$319,[2]主线关卡!$D$20:$D$319)-1-6)*30,E329)</f>
        <v>5520</v>
      </c>
      <c r="F330" s="50">
        <f t="shared" si="8"/>
        <v>350</v>
      </c>
      <c r="G330" s="50">
        <f t="shared" si="9"/>
        <v>320</v>
      </c>
      <c r="H330" s="50">
        <v>0</v>
      </c>
      <c r="I330" s="15">
        <f>MATCH(SUM($F$90:F330),基因升级!$AF$141:$AF$500,1)</f>
        <v>191</v>
      </c>
    </row>
    <row r="331" spans="4:9">
      <c r="D331" s="50">
        <v>242</v>
      </c>
      <c r="E331" s="50">
        <f>IFERROR((_xlfn.XLOOKUP(D332,[2]主线关卡!E$20:E$319,[2]主线关卡!$D$20:$D$319)-1-6)*30,E330)</f>
        <v>5520</v>
      </c>
      <c r="F331" s="50">
        <f t="shared" si="8"/>
        <v>320</v>
      </c>
      <c r="G331" s="50">
        <f t="shared" si="9"/>
        <v>320</v>
      </c>
      <c r="H331" s="50">
        <v>0</v>
      </c>
      <c r="I331" s="15">
        <f>MATCH(SUM($F$90:F331),基因升级!$AF$141:$AF$500,1)</f>
        <v>191</v>
      </c>
    </row>
    <row r="332" spans="4:9">
      <c r="D332" s="50">
        <v>243</v>
      </c>
      <c r="E332" s="50">
        <f>IFERROR((_xlfn.XLOOKUP(D333,[2]主线关卡!E$20:E$319,[2]主线关卡!$D$20:$D$319)-1-6)*30,E331)</f>
        <v>5520</v>
      </c>
      <c r="F332" s="50">
        <f t="shared" si="8"/>
        <v>320</v>
      </c>
      <c r="G332" s="50">
        <f t="shared" si="9"/>
        <v>320</v>
      </c>
      <c r="H332" s="50">
        <v>0</v>
      </c>
      <c r="I332" s="15">
        <f>MATCH(SUM($F$90:F332),基因升级!$AF$141:$AF$500,1)</f>
        <v>191</v>
      </c>
    </row>
    <row r="333" spans="4:9">
      <c r="D333" s="50">
        <v>244</v>
      </c>
      <c r="E333" s="50">
        <f>IFERROR((_xlfn.XLOOKUP(D334,[2]主线关卡!E$20:E$319,[2]主线关卡!$D$20:$D$319)-1-6)*30,E332)</f>
        <v>5550</v>
      </c>
      <c r="F333" s="50">
        <f t="shared" si="8"/>
        <v>350</v>
      </c>
      <c r="G333" s="50">
        <f t="shared" si="9"/>
        <v>320</v>
      </c>
      <c r="H333" s="50">
        <v>0</v>
      </c>
      <c r="I333" s="15">
        <f>MATCH(SUM($F$90:F333),基因升级!$AF$141:$AF$500,1)</f>
        <v>192</v>
      </c>
    </row>
    <row r="334" spans="4:9">
      <c r="D334" s="50">
        <v>245</v>
      </c>
      <c r="E334" s="50">
        <f>IFERROR((_xlfn.XLOOKUP(D335,[2]主线关卡!E$20:E$319,[2]主线关卡!$D$20:$D$319)-1-6)*30,E333)</f>
        <v>5550</v>
      </c>
      <c r="F334" s="50">
        <f t="shared" si="8"/>
        <v>320</v>
      </c>
      <c r="G334" s="50">
        <f t="shared" si="9"/>
        <v>320</v>
      </c>
      <c r="H334" s="50">
        <v>0</v>
      </c>
      <c r="I334" s="15">
        <f>MATCH(SUM($F$90:F334),基因升级!$AF$141:$AF$500,1)</f>
        <v>192</v>
      </c>
    </row>
    <row r="335" spans="4:9">
      <c r="D335" s="50">
        <v>246</v>
      </c>
      <c r="E335" s="50">
        <f>IFERROR((_xlfn.XLOOKUP(D336,[2]主线关卡!E$20:E$319,[2]主线关卡!$D$20:$D$319)-1-6)*30,E334)</f>
        <v>5550</v>
      </c>
      <c r="F335" s="50">
        <f t="shared" si="8"/>
        <v>320</v>
      </c>
      <c r="G335" s="50">
        <f t="shared" si="9"/>
        <v>320</v>
      </c>
      <c r="H335" s="50">
        <v>0</v>
      </c>
      <c r="I335" s="15">
        <f>MATCH(SUM($F$90:F335),基因升级!$AF$141:$AF$500,1)</f>
        <v>192</v>
      </c>
    </row>
    <row r="336" spans="4:9">
      <c r="D336" s="50">
        <v>247</v>
      </c>
      <c r="E336" s="50">
        <f>IFERROR((_xlfn.XLOOKUP(D337,[2]主线关卡!E$20:E$319,[2]主线关卡!$D$20:$D$319)-1-6)*30,E335)</f>
        <v>5580</v>
      </c>
      <c r="F336" s="50">
        <f t="shared" si="8"/>
        <v>350</v>
      </c>
      <c r="G336" s="50">
        <f t="shared" si="9"/>
        <v>320</v>
      </c>
      <c r="H336" s="50">
        <v>0</v>
      </c>
      <c r="I336" s="15">
        <f>MATCH(SUM($F$90:F336),基因升级!$AF$141:$AF$500,1)</f>
        <v>193</v>
      </c>
    </row>
    <row r="337" spans="4:9">
      <c r="D337" s="50">
        <v>248</v>
      </c>
      <c r="E337" s="50">
        <f>IFERROR((_xlfn.XLOOKUP(D338,[2]主线关卡!E$20:E$319,[2]主线关卡!$D$20:$D$319)-1-6)*30,E336)</f>
        <v>5580</v>
      </c>
      <c r="F337" s="50">
        <f t="shared" si="8"/>
        <v>320</v>
      </c>
      <c r="G337" s="50">
        <f t="shared" si="9"/>
        <v>320</v>
      </c>
      <c r="H337" s="50">
        <v>0</v>
      </c>
      <c r="I337" s="15">
        <f>MATCH(SUM($F$90:F337),基因升级!$AF$141:$AF$500,1)</f>
        <v>193</v>
      </c>
    </row>
    <row r="338" spans="4:9">
      <c r="D338" s="50">
        <v>249</v>
      </c>
      <c r="E338" s="50">
        <f>IFERROR((_xlfn.XLOOKUP(D339,[2]主线关卡!E$20:E$319,[2]主线关卡!$D$20:$D$319)-1-6)*30,E337)</f>
        <v>5580</v>
      </c>
      <c r="F338" s="50">
        <f t="shared" si="8"/>
        <v>320</v>
      </c>
      <c r="G338" s="50">
        <f t="shared" si="9"/>
        <v>320</v>
      </c>
      <c r="H338" s="50">
        <v>0</v>
      </c>
      <c r="I338" s="15">
        <f>MATCH(SUM($F$90:F338),基因升级!$AF$141:$AF$500,1)</f>
        <v>193</v>
      </c>
    </row>
    <row r="339" spans="4:9">
      <c r="D339" s="50">
        <v>250</v>
      </c>
      <c r="E339" s="50">
        <f>IFERROR((_xlfn.XLOOKUP(D340,[2]主线关卡!E$20:E$319,[2]主线关卡!$D$20:$D$319)-1-6)*30,E338)</f>
        <v>5610</v>
      </c>
      <c r="F339" s="50">
        <f t="shared" si="8"/>
        <v>350</v>
      </c>
      <c r="G339" s="50">
        <f t="shared" si="9"/>
        <v>320</v>
      </c>
      <c r="H339" s="50">
        <v>0</v>
      </c>
      <c r="I339" s="15">
        <f>MATCH(SUM($F$90:F339),基因升级!$AF$141:$AF$500,1)</f>
        <v>194</v>
      </c>
    </row>
    <row r="340" spans="4:9">
      <c r="D340" s="50">
        <v>251</v>
      </c>
      <c r="E340" s="50">
        <f>IFERROR((_xlfn.XLOOKUP(D341,[2]主线关卡!E$20:E$319,[2]主线关卡!$D$20:$D$319)-1-6)*30,E339)</f>
        <v>5610</v>
      </c>
      <c r="F340" s="50">
        <f t="shared" si="8"/>
        <v>320</v>
      </c>
      <c r="G340" s="50">
        <f t="shared" si="9"/>
        <v>320</v>
      </c>
      <c r="H340" s="50">
        <v>0</v>
      </c>
      <c r="I340" s="15">
        <f>MATCH(SUM($F$90:F340),基因升级!$AF$141:$AF$500,1)</f>
        <v>194</v>
      </c>
    </row>
    <row r="341" spans="4:9">
      <c r="D341" s="50">
        <v>252</v>
      </c>
      <c r="E341" s="50">
        <f>IFERROR((_xlfn.XLOOKUP(D342,[2]主线关卡!E$20:E$319,[2]主线关卡!$D$20:$D$319)-1-6)*30,E340)</f>
        <v>5610</v>
      </c>
      <c r="F341" s="50">
        <f t="shared" si="8"/>
        <v>320</v>
      </c>
      <c r="G341" s="50">
        <f t="shared" si="9"/>
        <v>320</v>
      </c>
      <c r="H341" s="50">
        <v>0</v>
      </c>
      <c r="I341" s="15">
        <f>MATCH(SUM($F$90:F341),基因升级!$AF$141:$AF$500,1)</f>
        <v>194</v>
      </c>
    </row>
    <row r="342" spans="4:9">
      <c r="D342" s="50">
        <v>253</v>
      </c>
      <c r="E342" s="50">
        <f>IFERROR((_xlfn.XLOOKUP(D343,[2]主线关卡!E$20:E$319,[2]主线关卡!$D$20:$D$319)-1-6)*30,E341)</f>
        <v>5640</v>
      </c>
      <c r="F342" s="50">
        <f t="shared" si="8"/>
        <v>350</v>
      </c>
      <c r="G342" s="50">
        <f t="shared" si="9"/>
        <v>320</v>
      </c>
      <c r="H342" s="50">
        <v>0</v>
      </c>
      <c r="I342" s="15">
        <f>MATCH(SUM($F$90:F342),基因升级!$AF$141:$AF$500,1)</f>
        <v>195</v>
      </c>
    </row>
    <row r="343" spans="4:9">
      <c r="D343" s="50">
        <v>254</v>
      </c>
      <c r="E343" s="50">
        <f>IFERROR((_xlfn.XLOOKUP(D344,[2]主线关卡!E$20:E$319,[2]主线关卡!$D$20:$D$319)-1-6)*30,E342)</f>
        <v>5640</v>
      </c>
      <c r="F343" s="50">
        <f t="shared" si="8"/>
        <v>320</v>
      </c>
      <c r="G343" s="50">
        <f t="shared" si="9"/>
        <v>320</v>
      </c>
      <c r="H343" s="50">
        <v>0</v>
      </c>
      <c r="I343" s="15">
        <f>MATCH(SUM($F$90:F343),基因升级!$AF$141:$AF$500,1)</f>
        <v>195</v>
      </c>
    </row>
    <row r="344" spans="4:9">
      <c r="D344" s="50">
        <v>255</v>
      </c>
      <c r="E344" s="50">
        <f>IFERROR((_xlfn.XLOOKUP(D345,[2]主线关卡!E$20:E$319,[2]主线关卡!$D$20:$D$319)-1-6)*30,E343)</f>
        <v>5640</v>
      </c>
      <c r="F344" s="50">
        <f t="shared" si="8"/>
        <v>320</v>
      </c>
      <c r="G344" s="50">
        <f t="shared" si="9"/>
        <v>320</v>
      </c>
      <c r="H344" s="50">
        <v>0</v>
      </c>
      <c r="I344" s="15">
        <f>MATCH(SUM($F$90:F344),基因升级!$AF$141:$AF$500,1)</f>
        <v>196</v>
      </c>
    </row>
    <row r="345" spans="4:9">
      <c r="D345" s="50">
        <v>256</v>
      </c>
      <c r="E345" s="50">
        <f>IFERROR((_xlfn.XLOOKUP(D346,[2]主线关卡!E$20:E$319,[2]主线关卡!$D$20:$D$319)-1-6)*30,E344)</f>
        <v>5670</v>
      </c>
      <c r="F345" s="50">
        <f t="shared" si="8"/>
        <v>350</v>
      </c>
      <c r="G345" s="50">
        <f t="shared" si="9"/>
        <v>320</v>
      </c>
      <c r="H345" s="50">
        <v>0</v>
      </c>
      <c r="I345" s="15">
        <f>MATCH(SUM($F$90:F345),基因升级!$AF$141:$AF$500,1)</f>
        <v>196</v>
      </c>
    </row>
    <row r="346" spans="4:9">
      <c r="D346" s="50">
        <v>257</v>
      </c>
      <c r="E346" s="50">
        <f>IFERROR((_xlfn.XLOOKUP(D347,[2]主线关卡!E$20:E$319,[2]主线关卡!$D$20:$D$319)-1-6)*30,E345)</f>
        <v>5670</v>
      </c>
      <c r="F346" s="50">
        <f t="shared" si="8"/>
        <v>320</v>
      </c>
      <c r="G346" s="50">
        <f t="shared" si="9"/>
        <v>320</v>
      </c>
      <c r="H346" s="50">
        <v>0</v>
      </c>
      <c r="I346" s="15">
        <f>MATCH(SUM($F$90:F346),基因升级!$AF$141:$AF$500,1)</f>
        <v>196</v>
      </c>
    </row>
    <row r="347" spans="4:9">
      <c r="D347" s="50">
        <v>258</v>
      </c>
      <c r="E347" s="50">
        <f>IFERROR((_xlfn.XLOOKUP(D348,[2]主线关卡!E$20:E$319,[2]主线关卡!$D$20:$D$319)-1-6)*30,E346)</f>
        <v>5670</v>
      </c>
      <c r="F347" s="50">
        <f t="shared" ref="F347:F389" si="10">E347-E346+H347+G347</f>
        <v>320</v>
      </c>
      <c r="G347" s="50">
        <f t="shared" ref="G347:G389" si="11">($F$26+24)*$E$26</f>
        <v>320</v>
      </c>
      <c r="H347" s="50">
        <v>0</v>
      </c>
      <c r="I347" s="15">
        <f>MATCH(SUM($F$90:F347),基因升级!$AF$141:$AF$500,1)</f>
        <v>197</v>
      </c>
    </row>
    <row r="348" spans="4:9">
      <c r="D348" s="50">
        <v>259</v>
      </c>
      <c r="E348" s="50">
        <f>IFERROR((_xlfn.XLOOKUP(D349,[2]主线关卡!E$20:E$319,[2]主线关卡!$D$20:$D$319)-1-6)*30,E347)</f>
        <v>5700</v>
      </c>
      <c r="F348" s="50">
        <f t="shared" si="10"/>
        <v>350</v>
      </c>
      <c r="G348" s="50">
        <f t="shared" si="11"/>
        <v>320</v>
      </c>
      <c r="H348" s="50">
        <v>0</v>
      </c>
      <c r="I348" s="15">
        <f>MATCH(SUM($F$90:F348),基因升级!$AF$141:$AF$500,1)</f>
        <v>197</v>
      </c>
    </row>
    <row r="349" spans="4:9">
      <c r="D349" s="50">
        <v>260</v>
      </c>
      <c r="E349" s="50">
        <f>IFERROR((_xlfn.XLOOKUP(D350,[2]主线关卡!E$20:E$319,[2]主线关卡!$D$20:$D$319)-1-6)*30,E348)</f>
        <v>5700</v>
      </c>
      <c r="F349" s="50">
        <f t="shared" si="10"/>
        <v>320</v>
      </c>
      <c r="G349" s="50">
        <f t="shared" si="11"/>
        <v>320</v>
      </c>
      <c r="H349" s="50">
        <v>0</v>
      </c>
      <c r="I349" s="15">
        <f>MATCH(SUM($F$90:F349),基因升级!$AF$141:$AF$500,1)</f>
        <v>197</v>
      </c>
    </row>
    <row r="350" spans="4:9">
      <c r="D350" s="50">
        <v>261</v>
      </c>
      <c r="E350" s="50">
        <f>IFERROR((_xlfn.XLOOKUP(D351,[2]主线关卡!E$20:E$319,[2]主线关卡!$D$20:$D$319)-1-6)*30,E349)</f>
        <v>5700</v>
      </c>
      <c r="F350" s="50">
        <f t="shared" si="10"/>
        <v>320</v>
      </c>
      <c r="G350" s="50">
        <f t="shared" si="11"/>
        <v>320</v>
      </c>
      <c r="H350" s="50">
        <v>0</v>
      </c>
      <c r="I350" s="15">
        <f>MATCH(SUM($F$90:F350),基因升级!$AF$141:$AF$500,1)</f>
        <v>198</v>
      </c>
    </row>
    <row r="351" spans="4:9">
      <c r="D351" s="50">
        <v>262</v>
      </c>
      <c r="E351" s="50">
        <f>IFERROR((_xlfn.XLOOKUP(D352,[2]主线关卡!E$20:E$319,[2]主线关卡!$D$20:$D$319)-1-6)*30,E350)</f>
        <v>5730</v>
      </c>
      <c r="F351" s="50">
        <f t="shared" si="10"/>
        <v>350</v>
      </c>
      <c r="G351" s="50">
        <f t="shared" si="11"/>
        <v>320</v>
      </c>
      <c r="H351" s="50">
        <v>0</v>
      </c>
      <c r="I351" s="15">
        <f>MATCH(SUM($F$90:F351),基因升级!$AF$141:$AF$500,1)</f>
        <v>198</v>
      </c>
    </row>
    <row r="352" spans="4:9">
      <c r="D352" s="50">
        <v>263</v>
      </c>
      <c r="E352" s="50">
        <f>IFERROR((_xlfn.XLOOKUP(D353,[2]主线关卡!E$20:E$319,[2]主线关卡!$D$20:$D$319)-1-6)*30,E351)</f>
        <v>5730</v>
      </c>
      <c r="F352" s="50">
        <f t="shared" si="10"/>
        <v>320</v>
      </c>
      <c r="G352" s="50">
        <f t="shared" si="11"/>
        <v>320</v>
      </c>
      <c r="H352" s="50">
        <v>0</v>
      </c>
      <c r="I352" s="15">
        <f>MATCH(SUM($F$90:F352),基因升级!$AF$141:$AF$500,1)</f>
        <v>198</v>
      </c>
    </row>
    <row r="353" spans="4:9">
      <c r="D353" s="50">
        <v>264</v>
      </c>
      <c r="E353" s="50">
        <f>IFERROR((_xlfn.XLOOKUP(D354,[2]主线关卡!E$20:E$319,[2]主线关卡!$D$20:$D$319)-1-6)*30,E352)</f>
        <v>5730</v>
      </c>
      <c r="F353" s="50">
        <f t="shared" si="10"/>
        <v>320</v>
      </c>
      <c r="G353" s="50">
        <f t="shared" si="11"/>
        <v>320</v>
      </c>
      <c r="H353" s="50">
        <v>0</v>
      </c>
      <c r="I353" s="15">
        <f>MATCH(SUM($F$90:F353),基因升级!$AF$141:$AF$500,1)</f>
        <v>199</v>
      </c>
    </row>
    <row r="354" spans="4:9">
      <c r="D354" s="50">
        <v>265</v>
      </c>
      <c r="E354" s="50">
        <f>IFERROR((_xlfn.XLOOKUP(D355,[2]主线关卡!E$20:E$319,[2]主线关卡!$D$20:$D$319)-1-6)*30,E353)</f>
        <v>5760</v>
      </c>
      <c r="F354" s="50">
        <f t="shared" si="10"/>
        <v>350</v>
      </c>
      <c r="G354" s="50">
        <f t="shared" si="11"/>
        <v>320</v>
      </c>
      <c r="H354" s="50">
        <v>0</v>
      </c>
      <c r="I354" s="15">
        <f>MATCH(SUM($F$90:F354),基因升级!$AF$141:$AF$500,1)</f>
        <v>199</v>
      </c>
    </row>
    <row r="355" spans="4:9">
      <c r="D355" s="50">
        <v>266</v>
      </c>
      <c r="E355" s="50">
        <f>IFERROR((_xlfn.XLOOKUP(D356,[2]主线关卡!E$20:E$319,[2]主线关卡!$D$20:$D$319)-1-6)*30,E354)</f>
        <v>5760</v>
      </c>
      <c r="F355" s="50">
        <f t="shared" si="10"/>
        <v>320</v>
      </c>
      <c r="G355" s="50">
        <f t="shared" si="11"/>
        <v>320</v>
      </c>
      <c r="H355" s="50">
        <v>0</v>
      </c>
      <c r="I355" s="15">
        <f>MATCH(SUM($F$90:F355),基因升级!$AF$141:$AF$500,1)</f>
        <v>199</v>
      </c>
    </row>
    <row r="356" spans="4:9">
      <c r="D356" s="50">
        <v>267</v>
      </c>
      <c r="E356" s="50">
        <f>IFERROR((_xlfn.XLOOKUP(D357,[2]主线关卡!E$20:E$319,[2]主线关卡!$D$20:$D$319)-1-6)*30,E355)</f>
        <v>5760</v>
      </c>
      <c r="F356" s="50">
        <f t="shared" si="10"/>
        <v>320</v>
      </c>
      <c r="G356" s="50">
        <f t="shared" si="11"/>
        <v>320</v>
      </c>
      <c r="H356" s="50">
        <v>0</v>
      </c>
      <c r="I356" s="15">
        <f>MATCH(SUM($F$90:F356),基因升级!$AF$141:$AF$500,1)</f>
        <v>200</v>
      </c>
    </row>
    <row r="357" spans="4:9">
      <c r="D357" s="50">
        <v>268</v>
      </c>
      <c r="E357" s="50">
        <f>IFERROR((_xlfn.XLOOKUP(D358,[2]主线关卡!E$20:E$319,[2]主线关卡!$D$20:$D$319)-1-6)*30,E356)</f>
        <v>5790</v>
      </c>
      <c r="F357" s="50">
        <f t="shared" si="10"/>
        <v>350</v>
      </c>
      <c r="G357" s="50">
        <f t="shared" si="11"/>
        <v>320</v>
      </c>
      <c r="H357" s="50">
        <v>0</v>
      </c>
      <c r="I357" s="15">
        <f>MATCH(SUM($F$90:F357),基因升级!$AF$141:$AF$500,1)</f>
        <v>200</v>
      </c>
    </row>
    <row r="358" spans="4:9">
      <c r="D358" s="50">
        <v>269</v>
      </c>
      <c r="E358" s="50">
        <f>IFERROR((_xlfn.XLOOKUP(D359,[2]主线关卡!E$20:E$319,[2]主线关卡!$D$20:$D$319)-1-6)*30,E357)</f>
        <v>5790</v>
      </c>
      <c r="F358" s="50">
        <f t="shared" si="10"/>
        <v>320</v>
      </c>
      <c r="G358" s="50">
        <f t="shared" si="11"/>
        <v>320</v>
      </c>
      <c r="H358" s="50">
        <v>0</v>
      </c>
      <c r="I358" s="15">
        <f>MATCH(SUM($F$90:F358),基因升级!$AF$141:$AF$500,1)</f>
        <v>200</v>
      </c>
    </row>
    <row r="359" spans="4:9">
      <c r="D359" s="50">
        <v>270</v>
      </c>
      <c r="E359" s="50">
        <f>IFERROR((_xlfn.XLOOKUP(D360,[2]主线关卡!E$20:E$319,[2]主线关卡!$D$20:$D$319)-1-6)*30,E358)</f>
        <v>5790</v>
      </c>
      <c r="F359" s="50">
        <f t="shared" si="10"/>
        <v>320</v>
      </c>
      <c r="G359" s="50">
        <f t="shared" si="11"/>
        <v>320</v>
      </c>
      <c r="H359" s="50">
        <v>0</v>
      </c>
      <c r="I359" s="15">
        <f>MATCH(SUM($F$90:F359),基因升级!$AF$141:$AF$500,1)</f>
        <v>201</v>
      </c>
    </row>
    <row r="360" spans="4:9">
      <c r="D360" s="50">
        <v>271</v>
      </c>
      <c r="E360" s="50">
        <f>IFERROR((_xlfn.XLOOKUP(D361,[2]主线关卡!E$20:E$319,[2]主线关卡!$D$20:$D$319)-1-6)*30,E359)</f>
        <v>5820</v>
      </c>
      <c r="F360" s="50">
        <f t="shared" si="10"/>
        <v>350</v>
      </c>
      <c r="G360" s="50">
        <f t="shared" si="11"/>
        <v>320</v>
      </c>
      <c r="H360" s="50">
        <v>0</v>
      </c>
      <c r="I360" s="15">
        <f>MATCH(SUM($F$90:F360),基因升级!$AF$141:$AF$500,1)</f>
        <v>201</v>
      </c>
    </row>
    <row r="361" spans="4:9">
      <c r="D361" s="50">
        <v>272</v>
      </c>
      <c r="E361" s="50">
        <f>IFERROR((_xlfn.XLOOKUP(D362,[2]主线关卡!E$20:E$319,[2]主线关卡!$D$20:$D$319)-1-6)*30,E360)</f>
        <v>5820</v>
      </c>
      <c r="F361" s="50">
        <f t="shared" si="10"/>
        <v>320</v>
      </c>
      <c r="G361" s="50">
        <f t="shared" si="11"/>
        <v>320</v>
      </c>
      <c r="H361" s="50">
        <v>0</v>
      </c>
      <c r="I361" s="15">
        <f>MATCH(SUM($F$90:F361),基因升级!$AF$141:$AF$500,1)</f>
        <v>201</v>
      </c>
    </row>
    <row r="362" spans="4:9">
      <c r="D362" s="50">
        <v>273</v>
      </c>
      <c r="E362" s="50">
        <f>IFERROR((_xlfn.XLOOKUP(D363,[2]主线关卡!E$20:E$319,[2]主线关卡!$D$20:$D$319)-1-6)*30,E361)</f>
        <v>5820</v>
      </c>
      <c r="F362" s="50">
        <f t="shared" si="10"/>
        <v>320</v>
      </c>
      <c r="G362" s="50">
        <f t="shared" si="11"/>
        <v>320</v>
      </c>
      <c r="H362" s="50">
        <v>0</v>
      </c>
      <c r="I362" s="15">
        <f>MATCH(SUM($F$90:F362),基因升级!$AF$141:$AF$500,1)</f>
        <v>202</v>
      </c>
    </row>
    <row r="363" spans="4:9">
      <c r="D363" s="50">
        <v>274</v>
      </c>
      <c r="E363" s="50">
        <f>IFERROR((_xlfn.XLOOKUP(D364,[2]主线关卡!E$20:E$319,[2]主线关卡!$D$20:$D$319)-1-6)*30,E362)</f>
        <v>5850</v>
      </c>
      <c r="F363" s="50">
        <f t="shared" si="10"/>
        <v>350</v>
      </c>
      <c r="G363" s="50">
        <f t="shared" si="11"/>
        <v>320</v>
      </c>
      <c r="H363" s="50">
        <v>0</v>
      </c>
      <c r="I363" s="15">
        <f>MATCH(SUM($F$90:F363),基因升级!$AF$141:$AF$500,1)</f>
        <v>202</v>
      </c>
    </row>
    <row r="364" spans="4:9">
      <c r="D364" s="50">
        <v>275</v>
      </c>
      <c r="E364" s="50">
        <f>IFERROR((_xlfn.XLOOKUP(D365,[2]主线关卡!E$20:E$319,[2]主线关卡!$D$20:$D$319)-1-6)*30,E363)</f>
        <v>5850</v>
      </c>
      <c r="F364" s="50">
        <f t="shared" si="10"/>
        <v>320</v>
      </c>
      <c r="G364" s="50">
        <f t="shared" si="11"/>
        <v>320</v>
      </c>
      <c r="H364" s="50">
        <v>0</v>
      </c>
      <c r="I364" s="15">
        <f>MATCH(SUM($F$90:F364),基因升级!$AF$141:$AF$500,1)</f>
        <v>203</v>
      </c>
    </row>
    <row r="365" spans="4:9">
      <c r="D365" s="50">
        <v>276</v>
      </c>
      <c r="E365" s="50">
        <f>IFERROR((_xlfn.XLOOKUP(D366,[2]主线关卡!E$20:E$319,[2]主线关卡!$D$20:$D$319)-1-6)*30,E364)</f>
        <v>5850</v>
      </c>
      <c r="F365" s="50">
        <f t="shared" si="10"/>
        <v>320</v>
      </c>
      <c r="G365" s="50">
        <f t="shared" si="11"/>
        <v>320</v>
      </c>
      <c r="H365" s="50">
        <v>0</v>
      </c>
      <c r="I365" s="15">
        <f>MATCH(SUM($F$90:F365),基因升级!$AF$141:$AF$500,1)</f>
        <v>203</v>
      </c>
    </row>
    <row r="366" spans="4:9">
      <c r="D366" s="50">
        <v>277</v>
      </c>
      <c r="E366" s="50">
        <f>IFERROR((_xlfn.XLOOKUP(D367,[2]主线关卡!E$20:E$319,[2]主线关卡!$D$20:$D$319)-1-6)*30,E365)</f>
        <v>5880</v>
      </c>
      <c r="F366" s="50">
        <f t="shared" si="10"/>
        <v>350</v>
      </c>
      <c r="G366" s="50">
        <f t="shared" si="11"/>
        <v>320</v>
      </c>
      <c r="H366" s="50">
        <v>0</v>
      </c>
      <c r="I366" s="15">
        <f>MATCH(SUM($F$90:F366),基因升级!$AF$141:$AF$500,1)</f>
        <v>203</v>
      </c>
    </row>
    <row r="367" spans="4:9">
      <c r="D367" s="50">
        <v>278</v>
      </c>
      <c r="E367" s="50">
        <f>IFERROR((_xlfn.XLOOKUP(D368,[2]主线关卡!E$20:E$319,[2]主线关卡!$D$20:$D$319)-1-6)*30,E366)</f>
        <v>5880</v>
      </c>
      <c r="F367" s="50">
        <f t="shared" si="10"/>
        <v>320</v>
      </c>
      <c r="G367" s="50">
        <f t="shared" si="11"/>
        <v>320</v>
      </c>
      <c r="H367" s="50">
        <v>0</v>
      </c>
      <c r="I367" s="15">
        <f>MATCH(SUM($F$90:F367),基因升级!$AF$141:$AF$500,1)</f>
        <v>204</v>
      </c>
    </row>
    <row r="368" spans="4:9">
      <c r="D368" s="50">
        <v>279</v>
      </c>
      <c r="E368" s="50">
        <f>IFERROR((_xlfn.XLOOKUP(D369,[2]主线关卡!E$20:E$319,[2]主线关卡!$D$20:$D$319)-1-6)*30,E367)</f>
        <v>5880</v>
      </c>
      <c r="F368" s="50">
        <f t="shared" si="10"/>
        <v>320</v>
      </c>
      <c r="G368" s="50">
        <f t="shared" si="11"/>
        <v>320</v>
      </c>
      <c r="H368" s="50">
        <v>0</v>
      </c>
      <c r="I368" s="15">
        <f>MATCH(SUM($F$90:F368),基因升级!$AF$141:$AF$500,1)</f>
        <v>204</v>
      </c>
    </row>
    <row r="369" spans="4:9">
      <c r="D369" s="50">
        <v>280</v>
      </c>
      <c r="E369" s="50">
        <f>IFERROR((_xlfn.XLOOKUP(D370,[2]主线关卡!E$20:E$319,[2]主线关卡!$D$20:$D$319)-1-6)*30,E368)</f>
        <v>5910</v>
      </c>
      <c r="F369" s="50">
        <f t="shared" si="10"/>
        <v>350</v>
      </c>
      <c r="G369" s="50">
        <f t="shared" si="11"/>
        <v>320</v>
      </c>
      <c r="H369" s="50">
        <v>0</v>
      </c>
      <c r="I369" s="15">
        <f>MATCH(SUM($F$90:F369),基因升级!$AF$141:$AF$500,1)</f>
        <v>204</v>
      </c>
    </row>
    <row r="370" spans="4:9">
      <c r="D370" s="50">
        <v>281</v>
      </c>
      <c r="E370" s="50">
        <f>IFERROR((_xlfn.XLOOKUP(D371,[2]主线关卡!E$20:E$319,[2]主线关卡!$D$20:$D$319)-1-6)*30,E369)</f>
        <v>5910</v>
      </c>
      <c r="F370" s="50">
        <f t="shared" si="10"/>
        <v>320</v>
      </c>
      <c r="G370" s="50">
        <f t="shared" si="11"/>
        <v>320</v>
      </c>
      <c r="H370" s="50">
        <v>0</v>
      </c>
      <c r="I370" s="15">
        <f>MATCH(SUM($F$90:F370),基因升级!$AF$141:$AF$500,1)</f>
        <v>205</v>
      </c>
    </row>
    <row r="371" spans="4:9">
      <c r="D371" s="50">
        <v>282</v>
      </c>
      <c r="E371" s="50">
        <f>IFERROR((_xlfn.XLOOKUP(D372,[2]主线关卡!E$20:E$319,[2]主线关卡!$D$20:$D$319)-1-6)*30,E370)</f>
        <v>5910</v>
      </c>
      <c r="F371" s="50">
        <f t="shared" si="10"/>
        <v>320</v>
      </c>
      <c r="G371" s="50">
        <f t="shared" si="11"/>
        <v>320</v>
      </c>
      <c r="H371" s="50">
        <v>0</v>
      </c>
      <c r="I371" s="15">
        <f>MATCH(SUM($F$90:F371),基因升级!$AF$141:$AF$500,1)</f>
        <v>205</v>
      </c>
    </row>
    <row r="372" spans="4:9">
      <c r="D372" s="50">
        <v>283</v>
      </c>
      <c r="E372" s="50">
        <f>IFERROR((_xlfn.XLOOKUP(D373,[2]主线关卡!E$20:E$319,[2]主线关卡!$D$20:$D$319)-1-6)*30,E371)</f>
        <v>5940</v>
      </c>
      <c r="F372" s="50">
        <f t="shared" si="10"/>
        <v>350</v>
      </c>
      <c r="G372" s="50">
        <f t="shared" si="11"/>
        <v>320</v>
      </c>
      <c r="H372" s="50">
        <v>0</v>
      </c>
      <c r="I372" s="15">
        <f>MATCH(SUM($F$90:F372),基因升级!$AF$141:$AF$500,1)</f>
        <v>205</v>
      </c>
    </row>
    <row r="373" spans="4:9">
      <c r="D373" s="50">
        <v>284</v>
      </c>
      <c r="E373" s="50">
        <f>IFERROR((_xlfn.XLOOKUP(D374,[2]主线关卡!E$20:E$319,[2]主线关卡!$D$20:$D$319)-1-6)*30,E372)</f>
        <v>5940</v>
      </c>
      <c r="F373" s="50">
        <f t="shared" si="10"/>
        <v>320</v>
      </c>
      <c r="G373" s="50">
        <f t="shared" si="11"/>
        <v>320</v>
      </c>
      <c r="H373" s="50">
        <v>0</v>
      </c>
      <c r="I373" s="15">
        <f>MATCH(SUM($F$90:F373),基因升级!$AF$141:$AF$500,1)</f>
        <v>206</v>
      </c>
    </row>
    <row r="374" spans="4:9">
      <c r="D374" s="50">
        <v>285</v>
      </c>
      <c r="E374" s="50">
        <f>IFERROR((_xlfn.XLOOKUP(D375,[2]主线关卡!E$20:E$319,[2]主线关卡!$D$20:$D$319)-1-6)*30,E373)</f>
        <v>5940</v>
      </c>
      <c r="F374" s="50">
        <f t="shared" si="10"/>
        <v>320</v>
      </c>
      <c r="G374" s="50">
        <f t="shared" si="11"/>
        <v>320</v>
      </c>
      <c r="H374" s="50">
        <v>0</v>
      </c>
      <c r="I374" s="15">
        <f>MATCH(SUM($F$90:F374),基因升级!$AF$141:$AF$500,1)</f>
        <v>206</v>
      </c>
    </row>
    <row r="375" spans="4:9">
      <c r="D375" s="50">
        <v>286</v>
      </c>
      <c r="E375" s="50">
        <f>IFERROR((_xlfn.XLOOKUP(D376,[2]主线关卡!E$20:E$319,[2]主线关卡!$D$20:$D$319)-1-6)*30,E374)</f>
        <v>5970</v>
      </c>
      <c r="F375" s="50">
        <f t="shared" si="10"/>
        <v>350</v>
      </c>
      <c r="G375" s="50">
        <f t="shared" si="11"/>
        <v>320</v>
      </c>
      <c r="H375" s="50">
        <v>0</v>
      </c>
      <c r="I375" s="15">
        <f>MATCH(SUM($F$90:F375),基因升级!$AF$141:$AF$500,1)</f>
        <v>206</v>
      </c>
    </row>
    <row r="376" spans="4:9">
      <c r="D376" s="50">
        <v>287</v>
      </c>
      <c r="E376" s="50">
        <f>IFERROR((_xlfn.XLOOKUP(D377,[2]主线关卡!E$20:E$319,[2]主线关卡!$D$20:$D$319)-1-6)*30,E375)</f>
        <v>5970</v>
      </c>
      <c r="F376" s="50">
        <f t="shared" si="10"/>
        <v>320</v>
      </c>
      <c r="G376" s="50">
        <f t="shared" si="11"/>
        <v>320</v>
      </c>
      <c r="H376" s="50">
        <v>0</v>
      </c>
      <c r="I376" s="15">
        <f>MATCH(SUM($F$90:F376),基因升级!$AF$141:$AF$500,1)</f>
        <v>207</v>
      </c>
    </row>
    <row r="377" spans="4:9">
      <c r="D377" s="50">
        <v>288</v>
      </c>
      <c r="E377" s="50">
        <f>IFERROR((_xlfn.XLOOKUP(D378,[2]主线关卡!E$20:E$319,[2]主线关卡!$D$20:$D$319)-1-6)*30,E376)</f>
        <v>5970</v>
      </c>
      <c r="F377" s="50">
        <f t="shared" si="10"/>
        <v>320</v>
      </c>
      <c r="G377" s="50">
        <f t="shared" si="11"/>
        <v>320</v>
      </c>
      <c r="H377" s="50">
        <v>0</v>
      </c>
      <c r="I377" s="15">
        <f>MATCH(SUM($F$90:F377),基因升级!$AF$141:$AF$500,1)</f>
        <v>207</v>
      </c>
    </row>
    <row r="378" spans="4:9">
      <c r="D378" s="50">
        <v>289</v>
      </c>
      <c r="E378" s="50">
        <f>IFERROR((_xlfn.XLOOKUP(D379,[2]主线关卡!E$20:E$319,[2]主线关卡!$D$20:$D$319)-1-6)*30,E377)</f>
        <v>6000</v>
      </c>
      <c r="F378" s="50">
        <f t="shared" si="10"/>
        <v>350</v>
      </c>
      <c r="G378" s="50">
        <f t="shared" si="11"/>
        <v>320</v>
      </c>
      <c r="H378" s="50">
        <v>0</v>
      </c>
      <c r="I378" s="15">
        <f>MATCH(SUM($F$90:F378),基因升级!$AF$141:$AF$500,1)</f>
        <v>207</v>
      </c>
    </row>
    <row r="379" spans="4:9">
      <c r="D379" s="50">
        <v>290</v>
      </c>
      <c r="E379" s="50">
        <f>IFERROR((_xlfn.XLOOKUP(D380,[2]主线关卡!E$20:E$319,[2]主线关卡!$D$20:$D$319)-1-6)*30,E378)</f>
        <v>6000</v>
      </c>
      <c r="F379" s="50">
        <f t="shared" si="10"/>
        <v>320</v>
      </c>
      <c r="G379" s="50">
        <f t="shared" si="11"/>
        <v>320</v>
      </c>
      <c r="H379" s="50">
        <v>0</v>
      </c>
      <c r="I379" s="15">
        <f>MATCH(SUM($F$90:F379),基因升级!$AF$141:$AF$500,1)</f>
        <v>208</v>
      </c>
    </row>
    <row r="380" spans="4:9">
      <c r="D380" s="50">
        <v>291</v>
      </c>
      <c r="E380" s="50">
        <f>IFERROR((_xlfn.XLOOKUP(D381,[2]主线关卡!E$20:E$319,[2]主线关卡!$D$20:$D$319)-1-6)*30,E379)</f>
        <v>6000</v>
      </c>
      <c r="F380" s="50">
        <f t="shared" si="10"/>
        <v>320</v>
      </c>
      <c r="G380" s="50">
        <f t="shared" si="11"/>
        <v>320</v>
      </c>
      <c r="H380" s="50">
        <v>0</v>
      </c>
      <c r="I380" s="15">
        <f>MATCH(SUM($F$90:F380),基因升级!$AF$141:$AF$500,1)</f>
        <v>208</v>
      </c>
    </row>
    <row r="381" spans="4:9">
      <c r="D381" s="50">
        <v>292</v>
      </c>
      <c r="E381" s="50">
        <f>IFERROR((_xlfn.XLOOKUP(D382,[2]主线关卡!E$20:E$319,[2]主线关卡!$D$20:$D$319)-1-6)*30,E380)</f>
        <v>6030</v>
      </c>
      <c r="F381" s="50">
        <f t="shared" si="10"/>
        <v>350</v>
      </c>
      <c r="G381" s="50">
        <f t="shared" si="11"/>
        <v>320</v>
      </c>
      <c r="H381" s="50">
        <v>0</v>
      </c>
      <c r="I381" s="15">
        <f>MATCH(SUM($F$90:F381),基因升级!$AF$141:$AF$500,1)</f>
        <v>208</v>
      </c>
    </row>
    <row r="382" spans="4:9">
      <c r="D382" s="50">
        <v>293</v>
      </c>
      <c r="E382" s="50">
        <f>IFERROR((_xlfn.XLOOKUP(D383,[2]主线关卡!E$20:E$319,[2]主线关卡!$D$20:$D$319)-1-6)*30,E381)</f>
        <v>6030</v>
      </c>
      <c r="F382" s="50">
        <f t="shared" si="10"/>
        <v>320</v>
      </c>
      <c r="G382" s="50">
        <f t="shared" si="11"/>
        <v>320</v>
      </c>
      <c r="H382" s="50">
        <v>0</v>
      </c>
      <c r="I382" s="15">
        <f>MATCH(SUM($F$90:F382),基因升级!$AF$141:$AF$500,1)</f>
        <v>209</v>
      </c>
    </row>
    <row r="383" spans="4:9">
      <c r="D383" s="50">
        <v>294</v>
      </c>
      <c r="E383" s="50">
        <f>IFERROR((_xlfn.XLOOKUP(D384,[2]主线关卡!E$20:E$319,[2]主线关卡!$D$20:$D$319)-1-6)*30,E382)</f>
        <v>6030</v>
      </c>
      <c r="F383" s="50">
        <f t="shared" si="10"/>
        <v>320</v>
      </c>
      <c r="G383" s="50">
        <f t="shared" si="11"/>
        <v>320</v>
      </c>
      <c r="H383" s="50">
        <v>0</v>
      </c>
      <c r="I383" s="15">
        <f>MATCH(SUM($F$90:F383),基因升级!$AF$141:$AF$500,1)</f>
        <v>209</v>
      </c>
    </row>
    <row r="384" spans="4:9">
      <c r="D384" s="50">
        <v>295</v>
      </c>
      <c r="E384" s="50">
        <f>IFERROR((_xlfn.XLOOKUP(D385,[2]主线关卡!E$20:E$319,[2]主线关卡!$D$20:$D$319)-1-6)*30,E383)</f>
        <v>6060</v>
      </c>
      <c r="F384" s="50">
        <f t="shared" si="10"/>
        <v>350</v>
      </c>
      <c r="G384" s="50">
        <f t="shared" si="11"/>
        <v>320</v>
      </c>
      <c r="H384" s="50">
        <v>0</v>
      </c>
      <c r="I384" s="15">
        <f>MATCH(SUM($F$90:F384),基因升级!$AF$141:$AF$500,1)</f>
        <v>209</v>
      </c>
    </row>
    <row r="385" spans="4:9">
      <c r="D385" s="50">
        <v>296</v>
      </c>
      <c r="E385" s="50">
        <f>IFERROR((_xlfn.XLOOKUP(D386,[2]主线关卡!E$20:E$319,[2]主线关卡!$D$20:$D$319)-1-6)*30,E384)</f>
        <v>6060</v>
      </c>
      <c r="F385" s="50">
        <f t="shared" si="10"/>
        <v>320</v>
      </c>
      <c r="G385" s="50">
        <f t="shared" si="11"/>
        <v>320</v>
      </c>
      <c r="H385" s="50">
        <v>0</v>
      </c>
      <c r="I385" s="15">
        <f>MATCH(SUM($F$90:F385),基因升级!$AF$141:$AF$500,1)</f>
        <v>210</v>
      </c>
    </row>
    <row r="386" spans="4:9">
      <c r="D386" s="50">
        <v>297</v>
      </c>
      <c r="E386" s="50">
        <f>IFERROR((_xlfn.XLOOKUP(D387,[2]主线关卡!E$20:E$319,[2]主线关卡!$D$20:$D$319)-1-6)*30,E385)</f>
        <v>6060</v>
      </c>
      <c r="F386" s="50">
        <f t="shared" si="10"/>
        <v>320</v>
      </c>
      <c r="G386" s="50">
        <f t="shared" si="11"/>
        <v>320</v>
      </c>
      <c r="H386" s="50">
        <v>0</v>
      </c>
      <c r="I386" s="15">
        <f>MATCH(SUM($F$90:F386),基因升级!$AF$141:$AF$500,1)</f>
        <v>210</v>
      </c>
    </row>
    <row r="387" spans="4:9">
      <c r="D387" s="50">
        <v>298</v>
      </c>
      <c r="E387" s="50">
        <f>IFERROR((_xlfn.XLOOKUP(D388,[2]主线关卡!E$20:E$319,[2]主线关卡!$D$20:$D$319)-1-6)*30,E386)</f>
        <v>6090</v>
      </c>
      <c r="F387" s="50">
        <f t="shared" si="10"/>
        <v>350</v>
      </c>
      <c r="G387" s="50">
        <f t="shared" si="11"/>
        <v>320</v>
      </c>
      <c r="H387" s="50">
        <v>0</v>
      </c>
      <c r="I387" s="15">
        <f>MATCH(SUM($F$90:F387),基因升级!$AF$141:$AF$500,1)</f>
        <v>210</v>
      </c>
    </row>
    <row r="388" spans="4:9">
      <c r="D388" s="50">
        <v>299</v>
      </c>
      <c r="E388" s="50">
        <f>IFERROR((_xlfn.XLOOKUP(D389,[2]主线关卡!E$20:E$319,[2]主线关卡!$D$20:$D$319)-1-6)*30,E387)</f>
        <v>6090</v>
      </c>
      <c r="F388" s="50">
        <f t="shared" si="10"/>
        <v>320</v>
      </c>
      <c r="G388" s="50">
        <f t="shared" si="11"/>
        <v>320</v>
      </c>
      <c r="H388" s="50">
        <v>0</v>
      </c>
      <c r="I388" s="15">
        <f>MATCH(SUM($F$90:F388),基因升级!$AF$141:$AF$500,1)</f>
        <v>211</v>
      </c>
    </row>
    <row r="389" spans="4:9">
      <c r="D389" s="50">
        <v>300</v>
      </c>
      <c r="E389" s="50">
        <f>IFERROR((_xlfn.XLOOKUP(D390,[2]主线关卡!E$20:E$319,[2]主线关卡!$D$20:$D$319)-1-6)*30,E388)</f>
        <v>6090</v>
      </c>
      <c r="F389" s="50">
        <f t="shared" si="10"/>
        <v>320</v>
      </c>
      <c r="G389" s="50">
        <f t="shared" si="11"/>
        <v>320</v>
      </c>
      <c r="H389" s="50">
        <v>0</v>
      </c>
      <c r="I389" s="15">
        <f>MATCH(SUM($F$90:F389),基因升级!$AF$141:$AF$500,1)</f>
        <v>211</v>
      </c>
    </row>
  </sheetData>
  <mergeCells count="16"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D6:D11"/>
    <mergeCell ref="D12:D17"/>
    <mergeCell ref="D18:D19"/>
  </mergeCells>
  <pageMargins left="0.75" right="0.75" top="1" bottom="1" header="0.5" footer="0.5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X310"/>
  <sheetViews>
    <sheetView topLeftCell="A4" workbookViewId="0">
      <selection activeCell="N137" sqref="N137"/>
    </sheetView>
  </sheetViews>
  <sheetFormatPr defaultColWidth="9.14285714285714" defaultRowHeight="12.75"/>
  <cols>
    <col min="2" max="2" width="15" customWidth="1"/>
    <col min="3" max="3" width="15.7142857142857" customWidth="1"/>
    <col min="4" max="4" width="14.8571428571429" customWidth="1"/>
    <col min="5" max="5" width="12.8571428571429"/>
    <col min="6" max="6" width="11.7142857142857" customWidth="1"/>
    <col min="7" max="7" width="14.8571428571429" customWidth="1"/>
    <col min="9" max="9" width="15.5714285714286" customWidth="1"/>
    <col min="10" max="11" width="13.8571428571429" customWidth="1"/>
    <col min="12" max="12" width="16.5714285714286" customWidth="1"/>
  </cols>
  <sheetData>
    <row r="2" ht="17.25" spans="1:24">
      <c r="A2" s="9" t="s">
        <v>370</v>
      </c>
      <c r="M2" s="9"/>
    </row>
    <row r="6" ht="18" spans="1:24">
      <c r="A6" s="10" t="s">
        <v>371</v>
      </c>
      <c r="B6" s="10" t="s">
        <v>372</v>
      </c>
      <c r="C6" s="11" t="s">
        <v>373</v>
      </c>
      <c r="D6" s="11" t="s">
        <v>374</v>
      </c>
      <c r="E6" s="12" t="s">
        <v>375</v>
      </c>
      <c r="F6" s="12" t="s">
        <v>376</v>
      </c>
      <c r="G6" s="12" t="s">
        <v>377</v>
      </c>
      <c r="H6" s="12" t="s">
        <v>378</v>
      </c>
      <c r="I6" s="12" t="s">
        <v>379</v>
      </c>
      <c r="J6" s="12" t="s">
        <v>380</v>
      </c>
      <c r="K6" s="13" t="s">
        <v>52</v>
      </c>
      <c r="L6" s="13" t="s">
        <v>29</v>
      </c>
      <c r="M6" s="13" t="s">
        <v>30</v>
      </c>
      <c r="N6" s="13" t="s">
        <v>31</v>
      </c>
      <c r="O6" s="13" t="s">
        <v>32</v>
      </c>
      <c r="R6" s="10" t="s">
        <v>141</v>
      </c>
      <c r="S6" s="10" t="s">
        <v>35</v>
      </c>
      <c r="T6" s="13" t="s">
        <v>52</v>
      </c>
      <c r="U6" s="13" t="s">
        <v>29</v>
      </c>
      <c r="V6" s="13" t="s">
        <v>30</v>
      </c>
      <c r="W6" s="13" t="s">
        <v>31</v>
      </c>
      <c r="X6" s="13" t="s">
        <v>32</v>
      </c>
    </row>
    <row r="7" ht="16.5" spans="1:24">
      <c r="A7" s="14">
        <v>1</v>
      </c>
      <c r="B7" s="4">
        <f>IFERROR(_xlfn.XLOOKUP(A7+1,基因升级!$E$141:$E$500,基因升级!$D$141:$D$500)-1,B6)</f>
        <v>15</v>
      </c>
      <c r="C7" s="4">
        <f>SUMIF(基因升级!$D$141:$D$500,"&lt;"&amp;$B7,基因升级!$U$141:$U$500)</f>
        <v>0</v>
      </c>
      <c r="D7" s="4"/>
      <c r="E7" s="4"/>
      <c r="F7" s="4"/>
      <c r="G7" s="4"/>
      <c r="H7" s="4"/>
      <c r="I7" s="4"/>
      <c r="J7" s="4"/>
      <c r="K7" s="4">
        <f>SUMIF(基因升级!$D$141:$D$500,"&lt;"&amp;$B7,基因升级!J$141:J$500)</f>
        <v>120</v>
      </c>
      <c r="L7" s="4">
        <f>SUMIF(基因升级!$D$141:$D$500,"&lt;"&amp;$B7,基因升级!K$141:K$500)</f>
        <v>0.2</v>
      </c>
      <c r="M7" s="4">
        <f>SUMIF(基因升级!$D$141:$D$500,"&lt;"&amp;$B7,基因升级!L$141:L$500)</f>
        <v>0.09</v>
      </c>
      <c r="N7" s="4">
        <f>SUMIF(基因升级!$D$141:$D$500,"&lt;"&amp;$B7,基因升级!M$141:M$500)</f>
        <v>0.006</v>
      </c>
      <c r="O7" s="4">
        <f>SUMIF(基因升级!$D$141:$D$500,"&lt;"&amp;$B7,基因升级!N$141:N$500)</f>
        <v>0.03</v>
      </c>
      <c r="R7" s="4">
        <v>1</v>
      </c>
      <c r="S7" s="4">
        <f>SUMIF(基因升级!$D$141:$D$500,"&lt;="&amp;$R7,基因升级!$U$141:$U$500)</f>
        <v>0</v>
      </c>
      <c r="T7" s="4">
        <f>SUMIF(基因升级!$D$141:$D$500,"&lt;="&amp;$R7,基因升级!J$141:J$500)</f>
        <v>6</v>
      </c>
      <c r="U7" s="4">
        <f>SUMIF(基因升级!$D$141:$D$500,"&lt;="&amp;$R7,基因升级!K$141:K$500)</f>
        <v>0.05</v>
      </c>
      <c r="V7" s="4">
        <f>SUMIF(基因升级!$D$141:$D$500,"&lt;="&amp;$R7,基因升级!L$141:L$500)</f>
        <v>0</v>
      </c>
      <c r="W7" s="4">
        <f>SUMIF(基因升级!$D$141:$D$500,"&lt;="&amp;$R7,基因升级!M$141:M$500)</f>
        <v>0</v>
      </c>
      <c r="X7" s="4">
        <f>SUMIF(基因升级!$D$141:$D$500,"&lt;="&amp;$R7,基因升级!N$141:N$500)</f>
        <v>0</v>
      </c>
    </row>
    <row r="8" ht="16.5" spans="1:24">
      <c r="A8" s="14">
        <v>2</v>
      </c>
      <c r="B8" s="4">
        <f>IFERROR(_xlfn.XLOOKUP(A8+1,基因升级!$E$141:$E$500,基因升级!$D$141:$D$500)-1,B7)</f>
        <v>19</v>
      </c>
      <c r="C8" s="4">
        <f>SUMIF(基因升级!$D$141:$D$500,"&lt;"&amp;$B8,基因升级!$U$141:$U$500)</f>
        <v>0</v>
      </c>
      <c r="D8" s="4"/>
      <c r="E8" s="4"/>
      <c r="F8" s="4"/>
      <c r="G8" s="4"/>
      <c r="H8" s="4"/>
      <c r="I8" s="4"/>
      <c r="J8" s="4"/>
      <c r="K8" s="4">
        <f>SUMIF(基因升级!$D$141:$D$500,"&lt;"&amp;$B8,基因升级!J$141:J$500)</f>
        <v>180</v>
      </c>
      <c r="L8" s="4">
        <f>SUMIF(基因升级!$D$141:$D$500,"&lt;"&amp;$B8,基因升级!K$141:K$500)</f>
        <v>0.25</v>
      </c>
      <c r="M8" s="4">
        <f>SUMIF(基因升级!$D$141:$D$500,"&lt;"&amp;$B8,基因升级!L$141:L$500)</f>
        <v>0.12</v>
      </c>
      <c r="N8" s="4">
        <f>SUMIF(基因升级!$D$141:$D$500,"&lt;"&amp;$B8,基因升级!M$141:M$500)</f>
        <v>0.008</v>
      </c>
      <c r="O8" s="4">
        <f>SUMIF(基因升级!$D$141:$D$500,"&lt;"&amp;$B8,基因升级!N$141:N$500)</f>
        <v>0.0375</v>
      </c>
      <c r="R8" s="4">
        <v>2</v>
      </c>
      <c r="S8" s="4">
        <f>SUMIF(基因升级!$D$141:$D$500,"&lt;="&amp;$R8,基因升级!$U$141:$U$500)</f>
        <v>0</v>
      </c>
      <c r="T8" s="4">
        <f>SUMIF(基因升级!$D$141:$D$500,"&lt;="&amp;$R8,基因升级!J$141:J$500)</f>
        <v>12</v>
      </c>
      <c r="U8" s="4">
        <f>SUMIF(基因升级!$D$141:$D$500,"&lt;="&amp;$R8,基因升级!K$141:K$500)</f>
        <v>0.05</v>
      </c>
      <c r="V8" s="4">
        <f>SUMIF(基因升级!$D$141:$D$500,"&lt;="&amp;$R8,基因升级!L$141:L$500)</f>
        <v>0</v>
      </c>
      <c r="W8" s="4">
        <f>SUMIF(基因升级!$D$141:$D$500,"&lt;="&amp;$R8,基因升级!M$141:M$500)</f>
        <v>0</v>
      </c>
      <c r="X8" s="4">
        <f>SUMIF(基因升级!$D$141:$D$500,"&lt;="&amp;$R8,基因升级!N$141:N$500)</f>
        <v>0.0075</v>
      </c>
    </row>
    <row r="9" ht="16.5" spans="1:24">
      <c r="A9" s="14">
        <v>3</v>
      </c>
      <c r="B9" s="4">
        <f>IFERROR(_xlfn.XLOOKUP(A9+1,基因升级!$E$141:$E$500,基因升级!$D$141:$D$500)-1,B8)</f>
        <v>22</v>
      </c>
      <c r="C9" s="4">
        <f>SUMIF(基因升级!$D$141:$D$500,"&lt;"&amp;$B9,基因升级!$U$141:$U$500)</f>
        <v>0</v>
      </c>
      <c r="D9" s="4"/>
      <c r="E9" s="4"/>
      <c r="F9" s="4"/>
      <c r="G9" s="4"/>
      <c r="H9" s="4"/>
      <c r="I9" s="4"/>
      <c r="J9" s="4"/>
      <c r="K9" s="4">
        <f>SUMIF(基因升级!$D$141:$D$500,"&lt;"&amp;$B9,基因升级!J$141:J$500)</f>
        <v>234</v>
      </c>
      <c r="L9" s="4">
        <f>SUMIF(基因升级!$D$141:$D$500,"&lt;"&amp;$B9,基因升级!K$141:K$500)</f>
        <v>0.3</v>
      </c>
      <c r="M9" s="4">
        <f>SUMIF(基因升级!$D$141:$D$500,"&lt;"&amp;$B9,基因升级!L$141:L$500)</f>
        <v>0.15</v>
      </c>
      <c r="N9" s="4">
        <f>SUMIF(基因升级!$D$141:$D$500,"&lt;"&amp;$B9,基因升级!M$141:M$500)</f>
        <v>0.01</v>
      </c>
      <c r="O9" s="4">
        <f>SUMIF(基因升级!$D$141:$D$500,"&lt;"&amp;$B9,基因升级!N$141:N$500)</f>
        <v>0.0375</v>
      </c>
      <c r="R9" s="4">
        <v>3</v>
      </c>
      <c r="S9" s="4">
        <f>SUMIF(基因升级!$D$141:$D$500,"&lt;="&amp;$R9,基因升级!$U$141:$U$500)</f>
        <v>0</v>
      </c>
      <c r="T9" s="4">
        <f>SUMIF(基因升级!$D$141:$D$500,"&lt;="&amp;$R9,基因升级!J$141:J$500)</f>
        <v>18</v>
      </c>
      <c r="U9" s="4">
        <f>SUMIF(基因升级!$D$141:$D$500,"&lt;="&amp;$R9,基因升级!K$141:K$500)</f>
        <v>0.05</v>
      </c>
      <c r="V9" s="4">
        <f>SUMIF(基因升级!$D$141:$D$500,"&lt;="&amp;$R9,基因升级!L$141:L$500)</f>
        <v>0</v>
      </c>
      <c r="W9" s="4">
        <f>SUMIF(基因升级!$D$141:$D$500,"&lt;="&amp;$R9,基因升级!M$141:M$500)</f>
        <v>0.002</v>
      </c>
      <c r="X9" s="4">
        <f>SUMIF(基因升级!$D$141:$D$500,"&lt;="&amp;$R9,基因升级!N$141:N$500)</f>
        <v>0.0075</v>
      </c>
    </row>
    <row r="10" ht="16.5" spans="1:24">
      <c r="A10" s="14">
        <v>4</v>
      </c>
      <c r="B10" s="4">
        <f>IFERROR(_xlfn.XLOOKUP(A10+1,基因升级!$E$141:$E$500,基因升级!$D$141:$D$500)-1,B9)</f>
        <v>25</v>
      </c>
      <c r="C10" s="4">
        <f>SUMIF(基因升级!$D$141:$D$500,"&lt;"&amp;$B10,基因升级!$U$141:$U$500)</f>
        <v>0</v>
      </c>
      <c r="D10" s="4"/>
      <c r="E10" s="4"/>
      <c r="F10" s="4"/>
      <c r="G10" s="4"/>
      <c r="H10" s="4"/>
      <c r="I10" s="4"/>
      <c r="J10" s="4"/>
      <c r="K10" s="4">
        <f>SUMIF(基因升级!$D$141:$D$500,"&lt;"&amp;$B10,基因升级!J$141:J$500)</f>
        <v>288</v>
      </c>
      <c r="L10" s="4">
        <f>SUMIF(基因升级!$D$141:$D$500,"&lt;"&amp;$B10,基因升级!K$141:K$500)</f>
        <v>0.3</v>
      </c>
      <c r="M10" s="4">
        <f>SUMIF(基因升级!$D$141:$D$500,"&lt;"&amp;$B10,基因升级!L$141:L$500)</f>
        <v>0.18</v>
      </c>
      <c r="N10" s="4">
        <f>SUMIF(基因升级!$D$141:$D$500,"&lt;"&amp;$B10,基因升级!M$141:M$500)</f>
        <v>0.012</v>
      </c>
      <c r="O10" s="4">
        <f>SUMIF(基因升级!$D$141:$D$500,"&lt;"&amp;$B10,基因升级!N$141:N$500)</f>
        <v>0.045</v>
      </c>
      <c r="R10" s="4">
        <v>4</v>
      </c>
      <c r="S10" s="4">
        <f>SUMIF(基因升级!$D$141:$D$500,"&lt;="&amp;$R10,基因升级!$U$141:$U$500)</f>
        <v>0</v>
      </c>
      <c r="T10" s="4">
        <f>SUMIF(基因升级!$D$141:$D$500,"&lt;="&amp;$R10,基因升级!J$141:J$500)</f>
        <v>24</v>
      </c>
      <c r="U10" s="4">
        <f>SUMIF(基因升级!$D$141:$D$500,"&lt;="&amp;$R10,基因升级!K$141:K$500)</f>
        <v>0.05</v>
      </c>
      <c r="V10" s="4">
        <f>SUMIF(基因升级!$D$141:$D$500,"&lt;="&amp;$R10,基因升级!L$141:L$500)</f>
        <v>0.03</v>
      </c>
      <c r="W10" s="4">
        <f>SUMIF(基因升级!$D$141:$D$500,"&lt;="&amp;$R10,基因升级!M$141:M$500)</f>
        <v>0.002</v>
      </c>
      <c r="X10" s="4">
        <f>SUMIF(基因升级!$D$141:$D$500,"&lt;="&amp;$R10,基因升级!N$141:N$500)</f>
        <v>0.0075</v>
      </c>
    </row>
    <row r="11" ht="16.5" spans="1:24">
      <c r="A11" s="14">
        <v>5</v>
      </c>
      <c r="B11" s="4">
        <f>IFERROR(_xlfn.XLOOKUP(A11+1,基因升级!$E$141:$E$500,基因升级!$D$141:$D$500)-1,B10)</f>
        <v>27</v>
      </c>
      <c r="C11" s="4">
        <f>SUMIF(基因升级!$D$141:$D$500,"&lt;"&amp;$B11,基因升级!$U$141:$U$500)</f>
        <v>0</v>
      </c>
      <c r="D11" s="4"/>
      <c r="E11" s="4"/>
      <c r="F11" s="4"/>
      <c r="G11" s="4"/>
      <c r="H11" s="4"/>
      <c r="I11" s="4"/>
      <c r="J11" s="4"/>
      <c r="K11" s="4">
        <f>SUMIF(基因升级!$D$141:$D$500,"&lt;"&amp;$B11,基因升级!J$141:J$500)</f>
        <v>336</v>
      </c>
      <c r="L11" s="4">
        <f>SUMIF(基因升级!$D$141:$D$500,"&lt;"&amp;$B11,基因升级!K$141:K$500)</f>
        <v>0.35</v>
      </c>
      <c r="M11" s="4">
        <f>SUMIF(基因升级!$D$141:$D$500,"&lt;"&amp;$B11,基因升级!L$141:L$500)</f>
        <v>0.18</v>
      </c>
      <c r="N11" s="4">
        <f>SUMIF(基因升级!$D$141:$D$500,"&lt;"&amp;$B11,基因升级!M$141:M$500)</f>
        <v>0.012</v>
      </c>
      <c r="O11" s="4">
        <f>SUMIF(基因升级!$D$141:$D$500,"&lt;"&amp;$B11,基因升级!N$141:N$500)</f>
        <v>0.0525</v>
      </c>
      <c r="R11" s="4">
        <v>5</v>
      </c>
      <c r="S11" s="4">
        <f>SUMIF(基因升级!$D$141:$D$500,"&lt;="&amp;$R11,基因升级!$U$141:$U$500)</f>
        <v>0</v>
      </c>
      <c r="T11" s="4">
        <f>SUMIF(基因升级!$D$141:$D$500,"&lt;="&amp;$R11,基因升级!J$141:J$500)</f>
        <v>30</v>
      </c>
      <c r="U11" s="4">
        <f>SUMIF(基因升级!$D$141:$D$500,"&lt;="&amp;$R11,基因升级!K$141:K$500)</f>
        <v>0.1</v>
      </c>
      <c r="V11" s="4">
        <f>SUMIF(基因升级!$D$141:$D$500,"&lt;="&amp;$R11,基因升级!L$141:L$500)</f>
        <v>0.03</v>
      </c>
      <c r="W11" s="4">
        <f>SUMIF(基因升级!$D$141:$D$500,"&lt;="&amp;$R11,基因升级!M$141:M$500)</f>
        <v>0.002</v>
      </c>
      <c r="X11" s="4">
        <f>SUMIF(基因升级!$D$141:$D$500,"&lt;="&amp;$R11,基因升级!N$141:N$500)</f>
        <v>0.0075</v>
      </c>
    </row>
    <row r="12" ht="16.5" spans="1:24">
      <c r="A12" s="14">
        <v>6</v>
      </c>
      <c r="B12" s="4">
        <f>IFERROR(_xlfn.XLOOKUP(A12+1,基因升级!$E$141:$E$500,基因升级!$D$141:$D$500)-1,B11)</f>
        <v>29</v>
      </c>
      <c r="C12" s="4">
        <f>SUMIF(基因升级!$D$141:$D$500,"&lt;"&amp;$B12,基因升级!$U$141:$U$500)</f>
        <v>0</v>
      </c>
      <c r="D12" s="4"/>
      <c r="E12" s="4"/>
      <c r="F12" s="4"/>
      <c r="G12" s="4"/>
      <c r="H12" s="4"/>
      <c r="I12" s="4"/>
      <c r="J12" s="4"/>
      <c r="K12" s="4">
        <f>SUMIF(基因升级!$D$141:$D$500,"&lt;"&amp;$B12,基因升级!J$141:J$500)</f>
        <v>384</v>
      </c>
      <c r="L12" s="4">
        <f>SUMIF(基因升级!$D$141:$D$500,"&lt;"&amp;$B12,基因升级!K$141:K$500)</f>
        <v>0.35</v>
      </c>
      <c r="M12" s="4">
        <f>SUMIF(基因升级!$D$141:$D$500,"&lt;"&amp;$B12,基因升级!L$141:L$500)</f>
        <v>0.21</v>
      </c>
      <c r="N12" s="4">
        <f>SUMIF(基因升级!$D$141:$D$500,"&lt;"&amp;$B12,基因升级!M$141:M$500)</f>
        <v>0.014</v>
      </c>
      <c r="O12" s="4">
        <f>SUMIF(基因升级!$D$141:$D$500,"&lt;"&amp;$B12,基因升级!N$141:N$500)</f>
        <v>0.0525</v>
      </c>
      <c r="R12" s="4">
        <v>6</v>
      </c>
      <c r="S12" s="4">
        <f>SUMIF(基因升级!$D$141:$D$500,"&lt;="&amp;$R12,基因升级!$U$141:$U$500)</f>
        <v>0</v>
      </c>
      <c r="T12" s="4">
        <f>SUMIF(基因升级!$D$141:$D$500,"&lt;="&amp;$R12,基因升级!J$141:J$500)</f>
        <v>36</v>
      </c>
      <c r="U12" s="4">
        <f>SUMIF(基因升级!$D$141:$D$500,"&lt;="&amp;$R12,基因升级!K$141:K$500)</f>
        <v>0.1</v>
      </c>
      <c r="V12" s="4">
        <f>SUMIF(基因升级!$D$141:$D$500,"&lt;="&amp;$R12,基因升级!L$141:L$500)</f>
        <v>0.03</v>
      </c>
      <c r="W12" s="4">
        <f>SUMIF(基因升级!$D$141:$D$500,"&lt;="&amp;$R12,基因升级!M$141:M$500)</f>
        <v>0.002</v>
      </c>
      <c r="X12" s="4">
        <f>SUMIF(基因升级!$D$141:$D$500,"&lt;="&amp;$R12,基因升级!N$141:N$500)</f>
        <v>0.015</v>
      </c>
    </row>
    <row r="13" ht="16.5" spans="1:24">
      <c r="A13" s="14">
        <v>7</v>
      </c>
      <c r="B13" s="4">
        <f>IFERROR(_xlfn.XLOOKUP(A13+1,基因升级!$E$141:$E$500,基因升级!$D$141:$D$500)-1,B12)</f>
        <v>30</v>
      </c>
      <c r="C13" s="4">
        <f>SUMIF(基因升级!$D$141:$D$500,"&lt;"&amp;$B13,基因升级!$U$141:$U$500)</f>
        <v>0</v>
      </c>
      <c r="D13" s="4"/>
      <c r="E13" s="4"/>
      <c r="F13" s="4"/>
      <c r="G13" s="4"/>
      <c r="H13" s="4"/>
      <c r="I13" s="4"/>
      <c r="J13" s="4"/>
      <c r="K13" s="4">
        <f>SUMIF(基因升级!$D$141:$D$500,"&lt;"&amp;$B13,基因升级!J$141:J$500)</f>
        <v>408</v>
      </c>
      <c r="L13" s="4">
        <f>SUMIF(基因升级!$D$141:$D$500,"&lt;"&amp;$B13,基因升级!K$141:K$500)</f>
        <v>0.4</v>
      </c>
      <c r="M13" s="4">
        <f>SUMIF(基因升级!$D$141:$D$500,"&lt;"&amp;$B13,基因升级!L$141:L$500)</f>
        <v>0.21</v>
      </c>
      <c r="N13" s="4">
        <f>SUMIF(基因升级!$D$141:$D$500,"&lt;"&amp;$B13,基因升级!M$141:M$500)</f>
        <v>0.014</v>
      </c>
      <c r="O13" s="4">
        <f>SUMIF(基因升级!$D$141:$D$500,"&lt;"&amp;$B13,基因升级!N$141:N$500)</f>
        <v>0.0525</v>
      </c>
      <c r="R13" s="4">
        <v>7</v>
      </c>
      <c r="S13" s="4">
        <f>SUMIF(基因升级!$D$141:$D$500,"&lt;="&amp;$R13,基因升级!$U$141:$U$500)</f>
        <v>0</v>
      </c>
      <c r="T13" s="4">
        <f>SUMIF(基因升级!$D$141:$D$500,"&lt;="&amp;$R13,基因升级!J$141:J$500)</f>
        <v>42</v>
      </c>
      <c r="U13" s="4">
        <f>SUMIF(基因升级!$D$141:$D$500,"&lt;="&amp;$R13,基因升级!K$141:K$500)</f>
        <v>0.1</v>
      </c>
      <c r="V13" s="4">
        <f>SUMIF(基因升级!$D$141:$D$500,"&lt;="&amp;$R13,基因升级!L$141:L$500)</f>
        <v>0.03</v>
      </c>
      <c r="W13" s="4">
        <f>SUMIF(基因升级!$D$141:$D$500,"&lt;="&amp;$R13,基因升级!M$141:M$500)</f>
        <v>0.004</v>
      </c>
      <c r="X13" s="4">
        <f>SUMIF(基因升级!$D$141:$D$500,"&lt;="&amp;$R13,基因升级!N$141:N$500)</f>
        <v>0.015</v>
      </c>
    </row>
    <row r="14" ht="16.5" spans="1:24">
      <c r="A14" s="14">
        <v>8</v>
      </c>
      <c r="B14" s="4">
        <f>IFERROR(_xlfn.XLOOKUP(A14+1,基因升级!$E$141:$E$500,基因升级!$D$141:$D$500)-1,B13)</f>
        <v>32</v>
      </c>
      <c r="C14" s="4">
        <f>SUMIF(基因升级!$D$141:$D$500,"&lt;"&amp;$B14,基因升级!$U$141:$U$500)</f>
        <v>0</v>
      </c>
      <c r="D14" s="4"/>
      <c r="E14" s="4"/>
      <c r="F14" s="4"/>
      <c r="G14" s="4"/>
      <c r="H14" s="4"/>
      <c r="I14" s="4"/>
      <c r="J14" s="4"/>
      <c r="K14" s="4">
        <f>SUMIF(基因升级!$D$141:$D$500,"&lt;"&amp;$B14,基因升级!J$141:J$500)</f>
        <v>456</v>
      </c>
      <c r="L14" s="4">
        <f>SUMIF(基因升级!$D$141:$D$500,"&lt;"&amp;$B14,基因升级!K$141:K$500)</f>
        <v>0.4</v>
      </c>
      <c r="M14" s="4">
        <f>SUMIF(基因升级!$D$141:$D$500,"&lt;"&amp;$B14,基因升级!L$141:L$500)</f>
        <v>0.21</v>
      </c>
      <c r="N14" s="4">
        <f>SUMIF(基因升级!$D$141:$D$500,"&lt;"&amp;$B14,基因升级!M$141:M$500)</f>
        <v>0.016</v>
      </c>
      <c r="O14" s="4">
        <f>SUMIF(基因升级!$D$141:$D$500,"&lt;"&amp;$B14,基因升级!N$141:N$500)</f>
        <v>0.06</v>
      </c>
      <c r="R14" s="4">
        <v>8</v>
      </c>
      <c r="S14" s="4">
        <f>SUMIF(基因升级!$D$141:$D$500,"&lt;="&amp;$R14,基因升级!$U$141:$U$500)</f>
        <v>0</v>
      </c>
      <c r="T14" s="4">
        <f>SUMIF(基因升级!$D$141:$D$500,"&lt;="&amp;$R14,基因升级!J$141:J$500)</f>
        <v>48</v>
      </c>
      <c r="U14" s="4">
        <f>SUMIF(基因升级!$D$141:$D$500,"&lt;="&amp;$R14,基因升级!K$141:K$500)</f>
        <v>0.1</v>
      </c>
      <c r="V14" s="4">
        <f>SUMIF(基因升级!$D$141:$D$500,"&lt;="&amp;$R14,基因升级!L$141:L$500)</f>
        <v>0.06</v>
      </c>
      <c r="W14" s="4">
        <f>SUMIF(基因升级!$D$141:$D$500,"&lt;="&amp;$R14,基因升级!M$141:M$500)</f>
        <v>0.004</v>
      </c>
      <c r="X14" s="4">
        <f>SUMIF(基因升级!$D$141:$D$500,"&lt;="&amp;$R14,基因升级!N$141:N$500)</f>
        <v>0.015</v>
      </c>
    </row>
    <row r="15" ht="16.5" spans="1:24">
      <c r="A15" s="14">
        <v>9</v>
      </c>
      <c r="B15" s="4">
        <f>IFERROR(_xlfn.XLOOKUP(A15+1,基因升级!$E$141:$E$500,基因升级!$D$141:$D$500)-1,B14)</f>
        <v>33</v>
      </c>
      <c r="C15" s="4">
        <f>SUMIF(基因升级!$D$141:$D$500,"&lt;"&amp;$B15,基因升级!$U$141:$U$500)</f>
        <v>0</v>
      </c>
      <c r="D15" s="4"/>
      <c r="E15" s="4"/>
      <c r="F15" s="4"/>
      <c r="G15" s="4"/>
      <c r="H15" s="4"/>
      <c r="I15" s="4"/>
      <c r="J15" s="4"/>
      <c r="K15" s="4">
        <f>SUMIF(基因升级!$D$141:$D$500,"&lt;"&amp;$B15,基因升级!J$141:J$500)</f>
        <v>480</v>
      </c>
      <c r="L15" s="4">
        <f>SUMIF(基因升级!$D$141:$D$500,"&lt;"&amp;$B15,基因升级!K$141:K$500)</f>
        <v>0.4</v>
      </c>
      <c r="M15" s="4">
        <f>SUMIF(基因升级!$D$141:$D$500,"&lt;"&amp;$B15,基因升级!L$141:L$500)</f>
        <v>0.24</v>
      </c>
      <c r="N15" s="4">
        <f>SUMIF(基因升级!$D$141:$D$500,"&lt;"&amp;$B15,基因升级!M$141:M$500)</f>
        <v>0.016</v>
      </c>
      <c r="O15" s="4">
        <f>SUMIF(基因升级!$D$141:$D$500,"&lt;"&amp;$B15,基因升级!N$141:N$500)</f>
        <v>0.06</v>
      </c>
      <c r="R15" s="4">
        <v>9</v>
      </c>
      <c r="S15" s="4">
        <f>SUMIF(基因升级!$D$141:$D$500,"&lt;="&amp;$R15,基因升级!$U$141:$U$500)</f>
        <v>0</v>
      </c>
      <c r="T15" s="4">
        <f>SUMIF(基因升级!$D$141:$D$500,"&lt;="&amp;$R15,基因升级!J$141:J$500)</f>
        <v>60</v>
      </c>
      <c r="U15" s="4">
        <f>SUMIF(基因升级!$D$141:$D$500,"&lt;="&amp;$R15,基因升级!K$141:K$500)</f>
        <v>0.15</v>
      </c>
      <c r="V15" s="4">
        <f>SUMIF(基因升级!$D$141:$D$500,"&lt;="&amp;$R15,基因升级!L$141:L$500)</f>
        <v>0.06</v>
      </c>
      <c r="W15" s="4">
        <f>SUMIF(基因升级!$D$141:$D$500,"&lt;="&amp;$R15,基因升级!M$141:M$500)</f>
        <v>0.004</v>
      </c>
      <c r="X15" s="4">
        <f>SUMIF(基因升级!$D$141:$D$500,"&lt;="&amp;$R15,基因升级!N$141:N$500)</f>
        <v>0.015</v>
      </c>
    </row>
    <row r="16" ht="16.5" spans="1:24">
      <c r="A16" s="14">
        <v>10</v>
      </c>
      <c r="B16" s="4">
        <f>IFERROR(_xlfn.XLOOKUP(A16+1,基因升级!$E$141:$E$500,基因升级!$D$141:$D$500)-1,B15)</f>
        <v>34</v>
      </c>
      <c r="C16" s="4">
        <f>SUMIF(基因升级!$D$141:$D$500,"&lt;"&amp;$B16,基因升级!$U$141:$U$500)</f>
        <v>0</v>
      </c>
      <c r="D16" s="4"/>
      <c r="E16" s="4"/>
      <c r="F16" s="4"/>
      <c r="G16" s="4"/>
      <c r="H16" s="4"/>
      <c r="I16" s="4"/>
      <c r="J16" s="4"/>
      <c r="K16" s="4">
        <f>SUMIF(基因升级!$D$141:$D$500,"&lt;"&amp;$B16,基因升级!J$141:J$500)</f>
        <v>510</v>
      </c>
      <c r="L16" s="4">
        <f>SUMIF(基因升级!$D$141:$D$500,"&lt;"&amp;$B16,基因升级!K$141:K$500)</f>
        <v>0.45</v>
      </c>
      <c r="M16" s="4">
        <f>SUMIF(基因升级!$D$141:$D$500,"&lt;"&amp;$B16,基因升级!L$141:L$500)</f>
        <v>0.24</v>
      </c>
      <c r="N16" s="4">
        <f>SUMIF(基因升级!$D$141:$D$500,"&lt;"&amp;$B16,基因升级!M$141:M$500)</f>
        <v>0.016</v>
      </c>
      <c r="O16" s="4">
        <f>SUMIF(基因升级!$D$141:$D$500,"&lt;"&amp;$B16,基因升级!N$141:N$500)</f>
        <v>0.06</v>
      </c>
      <c r="R16" s="4">
        <v>10</v>
      </c>
      <c r="S16" s="4">
        <f>SUMIF(基因升级!$D$141:$D$500,"&lt;="&amp;$R16,基因升级!$U$141:$U$500)</f>
        <v>0</v>
      </c>
      <c r="T16" s="4">
        <f>SUMIF(基因升级!$D$141:$D$500,"&lt;="&amp;$R16,基因升级!J$141:J$500)</f>
        <v>72</v>
      </c>
      <c r="U16" s="4">
        <f>SUMIF(基因升级!$D$141:$D$500,"&lt;="&amp;$R16,基因升级!K$141:K$500)</f>
        <v>0.15</v>
      </c>
      <c r="V16" s="4">
        <f>SUMIF(基因升级!$D$141:$D$500,"&lt;="&amp;$R16,基因升级!L$141:L$500)</f>
        <v>0.06</v>
      </c>
      <c r="W16" s="4">
        <f>SUMIF(基因升级!$D$141:$D$500,"&lt;="&amp;$R16,基因升级!M$141:M$500)</f>
        <v>0.004</v>
      </c>
      <c r="X16" s="4">
        <f>SUMIF(基因升级!$D$141:$D$500,"&lt;="&amp;$R16,基因升级!N$141:N$500)</f>
        <v>0.0225</v>
      </c>
    </row>
    <row r="17" ht="16.5" spans="1:24">
      <c r="A17" s="14">
        <v>11</v>
      </c>
      <c r="B17" s="4">
        <f>IFERROR(_xlfn.XLOOKUP(A17+1,基因升级!$E$141:$E$500,基因升级!$D$141:$D$500)-1,B16)</f>
        <v>36</v>
      </c>
      <c r="C17" s="4">
        <f>SUMIF(基因升级!$D$141:$D$500,"&lt;"&amp;$B17,基因升级!$U$141:$U$500)</f>
        <v>0</v>
      </c>
      <c r="D17" s="4"/>
      <c r="E17" s="4"/>
      <c r="F17" s="4"/>
      <c r="G17" s="4"/>
      <c r="H17" s="4"/>
      <c r="I17" s="4"/>
      <c r="J17" s="4"/>
      <c r="K17" s="4">
        <f>SUMIF(基因升级!$D$141:$D$500,"&lt;"&amp;$B17,基因升级!J$141:J$500)</f>
        <v>570</v>
      </c>
      <c r="L17" s="4">
        <f>SUMIF(基因升级!$D$141:$D$500,"&lt;"&amp;$B17,基因升级!K$141:K$500)</f>
        <v>0.45</v>
      </c>
      <c r="M17" s="4">
        <f>SUMIF(基因升级!$D$141:$D$500,"&lt;"&amp;$B17,基因升级!L$141:L$500)</f>
        <v>0.24</v>
      </c>
      <c r="N17" s="4">
        <f>SUMIF(基因升级!$D$141:$D$500,"&lt;"&amp;$B17,基因升级!M$141:M$500)</f>
        <v>0.018</v>
      </c>
      <c r="O17" s="4">
        <f>SUMIF(基因升级!$D$141:$D$500,"&lt;"&amp;$B17,基因升级!N$141:N$500)</f>
        <v>0.0675</v>
      </c>
      <c r="R17" s="4">
        <v>11</v>
      </c>
      <c r="S17" s="4">
        <f>SUMIF(基因升级!$D$141:$D$500,"&lt;="&amp;$R17,基因升级!$U$141:$U$500)</f>
        <v>0</v>
      </c>
      <c r="T17" s="4">
        <f>SUMIF(基因升级!$D$141:$D$500,"&lt;="&amp;$R17,基因升级!J$141:J$500)</f>
        <v>84</v>
      </c>
      <c r="U17" s="4">
        <f>SUMIF(基因升级!$D$141:$D$500,"&lt;="&amp;$R17,基因升级!K$141:K$500)</f>
        <v>0.15</v>
      </c>
      <c r="V17" s="4">
        <f>SUMIF(基因升级!$D$141:$D$500,"&lt;="&amp;$R17,基因升级!L$141:L$500)</f>
        <v>0.06</v>
      </c>
      <c r="W17" s="4">
        <f>SUMIF(基因升级!$D$141:$D$500,"&lt;="&amp;$R17,基因升级!M$141:M$500)</f>
        <v>0.006</v>
      </c>
      <c r="X17" s="4">
        <f>SUMIF(基因升级!$D$141:$D$500,"&lt;="&amp;$R17,基因升级!N$141:N$500)</f>
        <v>0.0225</v>
      </c>
    </row>
    <row r="18" ht="16.5" spans="1:24">
      <c r="A18" s="14">
        <v>12</v>
      </c>
      <c r="B18" s="4">
        <f>IFERROR(_xlfn.XLOOKUP(A18+1,基因升级!$E$141:$E$500,基因升级!$D$141:$D$500)-1,B17)</f>
        <v>37</v>
      </c>
      <c r="C18" s="4">
        <f>SUMIF(基因升级!$D$141:$D$500,"&lt;"&amp;$B18,基因升级!$U$141:$U$500)</f>
        <v>0</v>
      </c>
      <c r="D18" s="4"/>
      <c r="E18" s="4"/>
      <c r="F18" s="4"/>
      <c r="G18" s="4"/>
      <c r="H18" s="4"/>
      <c r="I18" s="4"/>
      <c r="J18" s="4"/>
      <c r="K18" s="4">
        <f>SUMIF(基因升级!$D$141:$D$500,"&lt;"&amp;$B18,基因升级!J$141:J$500)</f>
        <v>600</v>
      </c>
      <c r="L18" s="4">
        <f>SUMIF(基因升级!$D$141:$D$500,"&lt;"&amp;$B18,基因升级!K$141:K$500)</f>
        <v>0.45</v>
      </c>
      <c r="M18" s="4">
        <f>SUMIF(基因升级!$D$141:$D$500,"&lt;"&amp;$B18,基因升级!L$141:L$500)</f>
        <v>0.27</v>
      </c>
      <c r="N18" s="4">
        <f>SUMIF(基因升级!$D$141:$D$500,"&lt;"&amp;$B18,基因升级!M$141:M$500)</f>
        <v>0.018</v>
      </c>
      <c r="O18" s="4">
        <f>SUMIF(基因升级!$D$141:$D$500,"&lt;"&amp;$B18,基因升级!N$141:N$500)</f>
        <v>0.0675</v>
      </c>
      <c r="R18" s="4">
        <v>12</v>
      </c>
      <c r="S18" s="4">
        <f>SUMIF(基因升级!$D$141:$D$500,"&lt;="&amp;$R18,基因升级!$U$141:$U$500)</f>
        <v>0</v>
      </c>
      <c r="T18" s="4">
        <f>SUMIF(基因升级!$D$141:$D$500,"&lt;="&amp;$R18,基因升级!J$141:J$500)</f>
        <v>96</v>
      </c>
      <c r="U18" s="4">
        <f>SUMIF(基因升级!$D$141:$D$500,"&lt;="&amp;$R18,基因升级!K$141:K$500)</f>
        <v>0.15</v>
      </c>
      <c r="V18" s="4">
        <f>SUMIF(基因升级!$D$141:$D$500,"&lt;="&amp;$R18,基因升级!L$141:L$500)</f>
        <v>0.09</v>
      </c>
      <c r="W18" s="4">
        <f>SUMIF(基因升级!$D$141:$D$500,"&lt;="&amp;$R18,基因升级!M$141:M$500)</f>
        <v>0.006</v>
      </c>
      <c r="X18" s="4">
        <f>SUMIF(基因升级!$D$141:$D$500,"&lt;="&amp;$R18,基因升级!N$141:N$500)</f>
        <v>0.0225</v>
      </c>
    </row>
    <row r="19" ht="16.5" spans="1:24">
      <c r="A19" s="14">
        <v>13</v>
      </c>
      <c r="B19" s="4">
        <f>IFERROR(_xlfn.XLOOKUP(A19+1,基因升级!$E$141:$E$500,基因升级!$D$141:$D$500)-1,B18)</f>
        <v>38</v>
      </c>
      <c r="C19" s="4">
        <f>SUMIF(基因升级!$D$141:$D$500,"&lt;"&amp;$B19,基因升级!$U$141:$U$500)</f>
        <v>0</v>
      </c>
      <c r="D19" s="4"/>
      <c r="E19" s="4"/>
      <c r="F19" s="4"/>
      <c r="G19" s="4"/>
      <c r="H19" s="4"/>
      <c r="I19" s="4"/>
      <c r="J19" s="4"/>
      <c r="K19" s="4">
        <f>SUMIF(基因升级!$D$141:$D$500,"&lt;"&amp;$B19,基因升级!J$141:J$500)</f>
        <v>630</v>
      </c>
      <c r="L19" s="4">
        <f>SUMIF(基因升级!$D$141:$D$500,"&lt;"&amp;$B19,基因升级!K$141:K$500)</f>
        <v>0.5</v>
      </c>
      <c r="M19" s="4">
        <f>SUMIF(基因升级!$D$141:$D$500,"&lt;"&amp;$B19,基因升级!L$141:L$500)</f>
        <v>0.27</v>
      </c>
      <c r="N19" s="4">
        <f>SUMIF(基因升级!$D$141:$D$500,"&lt;"&amp;$B19,基因升级!M$141:M$500)</f>
        <v>0.018</v>
      </c>
      <c r="O19" s="4">
        <f>SUMIF(基因升级!$D$141:$D$500,"&lt;"&amp;$B19,基因升级!N$141:N$500)</f>
        <v>0.0675</v>
      </c>
      <c r="R19" s="4">
        <v>13</v>
      </c>
      <c r="S19" s="4">
        <f>SUMIF(基因升级!$D$141:$D$500,"&lt;="&amp;$R19,基因升级!$U$141:$U$500)</f>
        <v>0</v>
      </c>
      <c r="T19" s="4">
        <f>SUMIF(基因升级!$D$141:$D$500,"&lt;="&amp;$R19,基因升级!J$141:J$500)</f>
        <v>108</v>
      </c>
      <c r="U19" s="4">
        <f>SUMIF(基因升级!$D$141:$D$500,"&lt;="&amp;$R19,基因升级!K$141:K$500)</f>
        <v>0.2</v>
      </c>
      <c r="V19" s="4">
        <f>SUMIF(基因升级!$D$141:$D$500,"&lt;="&amp;$R19,基因升级!L$141:L$500)</f>
        <v>0.09</v>
      </c>
      <c r="W19" s="4">
        <f>SUMIF(基因升级!$D$141:$D$500,"&lt;="&amp;$R19,基因升级!M$141:M$500)</f>
        <v>0.006</v>
      </c>
      <c r="X19" s="4">
        <f>SUMIF(基因升级!$D$141:$D$500,"&lt;="&amp;$R19,基因升级!N$141:N$500)</f>
        <v>0.0225</v>
      </c>
    </row>
    <row r="20" ht="16.5" spans="1:24">
      <c r="A20" s="14">
        <v>14</v>
      </c>
      <c r="B20" s="4">
        <f>IFERROR(_xlfn.XLOOKUP(A20+1,基因升级!$E$141:$E$500,基因升级!$D$141:$D$500)-1,B19)</f>
        <v>39</v>
      </c>
      <c r="C20" s="4">
        <f>SUMIF(基因升级!$D$141:$D$500,"&lt;"&amp;$B20,基因升级!$U$141:$U$500)</f>
        <v>0</v>
      </c>
      <c r="D20" s="4"/>
      <c r="E20" s="4"/>
      <c r="F20" s="4"/>
      <c r="G20" s="4"/>
      <c r="H20" s="4"/>
      <c r="I20" s="4"/>
      <c r="J20" s="4"/>
      <c r="K20" s="4">
        <f>SUMIF(基因升级!$D$141:$D$500,"&lt;"&amp;$B20,基因升级!J$141:J$500)</f>
        <v>660</v>
      </c>
      <c r="L20" s="4">
        <f>SUMIF(基因升级!$D$141:$D$500,"&lt;"&amp;$B20,基因升级!K$141:K$500)</f>
        <v>0.5</v>
      </c>
      <c r="M20" s="4">
        <f>SUMIF(基因升级!$D$141:$D$500,"&lt;"&amp;$B20,基因升级!L$141:L$500)</f>
        <v>0.27</v>
      </c>
      <c r="N20" s="4">
        <f>SUMIF(基因升级!$D$141:$D$500,"&lt;"&amp;$B20,基因升级!M$141:M$500)</f>
        <v>0.018</v>
      </c>
      <c r="O20" s="4">
        <f>SUMIF(基因升级!$D$141:$D$500,"&lt;"&amp;$B20,基因升级!N$141:N$500)</f>
        <v>0.075</v>
      </c>
      <c r="R20" s="4">
        <v>14</v>
      </c>
      <c r="S20" s="4">
        <f>SUMIF(基因升级!$D$141:$D$500,"&lt;="&amp;$R20,基因升级!$U$141:$U$500)</f>
        <v>0</v>
      </c>
      <c r="T20" s="4">
        <f>SUMIF(基因升级!$D$141:$D$500,"&lt;="&amp;$R20,基因升级!J$141:J$500)</f>
        <v>120</v>
      </c>
      <c r="U20" s="4">
        <f>SUMIF(基因升级!$D$141:$D$500,"&lt;="&amp;$R20,基因升级!K$141:K$500)</f>
        <v>0.2</v>
      </c>
      <c r="V20" s="4">
        <f>SUMIF(基因升级!$D$141:$D$500,"&lt;="&amp;$R20,基因升级!L$141:L$500)</f>
        <v>0.09</v>
      </c>
      <c r="W20" s="4">
        <f>SUMIF(基因升级!$D$141:$D$500,"&lt;="&amp;$R20,基因升级!M$141:M$500)</f>
        <v>0.006</v>
      </c>
      <c r="X20" s="4">
        <f>SUMIF(基因升级!$D$141:$D$500,"&lt;="&amp;$R20,基因升级!N$141:N$500)</f>
        <v>0.03</v>
      </c>
    </row>
    <row r="21" ht="16.5" spans="1:24">
      <c r="A21" s="14">
        <v>15</v>
      </c>
      <c r="B21" s="4">
        <f>IFERROR(_xlfn.XLOOKUP(A21+1,基因升级!$E$141:$E$500,基因升级!$D$141:$D$500)-1,B20)</f>
        <v>40</v>
      </c>
      <c r="C21" s="4">
        <f>SUMIF(基因升级!$D$141:$D$500,"&lt;"&amp;$B21,基因升级!$U$141:$U$500)</f>
        <v>0</v>
      </c>
      <c r="D21" s="4"/>
      <c r="E21" s="4"/>
      <c r="F21" s="4"/>
      <c r="G21" s="4"/>
      <c r="H21" s="4"/>
      <c r="I21" s="4"/>
      <c r="J21" s="4"/>
      <c r="K21" s="4">
        <f>SUMIF(基因升级!$D$141:$D$500,"&lt;"&amp;$B21,基因升级!J$141:J$500)</f>
        <v>690</v>
      </c>
      <c r="L21" s="4">
        <f>SUMIF(基因升级!$D$141:$D$500,"&lt;"&amp;$B21,基因升级!K$141:K$500)</f>
        <v>0.5</v>
      </c>
      <c r="M21" s="4">
        <f>SUMIF(基因升级!$D$141:$D$500,"&lt;"&amp;$B21,基因升级!L$141:L$500)</f>
        <v>0.27</v>
      </c>
      <c r="N21" s="4">
        <f>SUMIF(基因升级!$D$141:$D$500,"&lt;"&amp;$B21,基因升级!M$141:M$500)</f>
        <v>0.02</v>
      </c>
      <c r="O21" s="4">
        <f>SUMIF(基因升级!$D$141:$D$500,"&lt;"&amp;$B21,基因升级!N$141:N$500)</f>
        <v>0.075</v>
      </c>
      <c r="R21" s="4">
        <v>15</v>
      </c>
      <c r="S21" s="4">
        <f>SUMIF(基因升级!$D$141:$D$500,"&lt;="&amp;$R21,基因升级!$U$141:$U$500)</f>
        <v>0</v>
      </c>
      <c r="T21" s="4">
        <f>SUMIF(基因升级!$D$141:$D$500,"&lt;="&amp;$R21,基因升级!J$141:J$500)</f>
        <v>132</v>
      </c>
      <c r="U21" s="4">
        <f>SUMIF(基因升级!$D$141:$D$500,"&lt;="&amp;$R21,基因升级!K$141:K$500)</f>
        <v>0.2</v>
      </c>
      <c r="V21" s="4">
        <f>SUMIF(基因升级!$D$141:$D$500,"&lt;="&amp;$R21,基因升级!L$141:L$500)</f>
        <v>0.09</v>
      </c>
      <c r="W21" s="4">
        <f>SUMIF(基因升级!$D$141:$D$500,"&lt;="&amp;$R21,基因升级!M$141:M$500)</f>
        <v>0.008</v>
      </c>
      <c r="X21" s="4">
        <f>SUMIF(基因升级!$D$141:$D$500,"&lt;="&amp;$R21,基因升级!N$141:N$500)</f>
        <v>0.03</v>
      </c>
    </row>
    <row r="22" ht="16.5" spans="1:24">
      <c r="A22" s="14">
        <v>16</v>
      </c>
      <c r="B22" s="4">
        <f>IFERROR(_xlfn.XLOOKUP(A22+1,基因升级!$E$141:$E$500,基因升级!$D$141:$D$500)-1,B21)</f>
        <v>41</v>
      </c>
      <c r="C22" s="4">
        <f>SUMIF(基因升级!$D$141:$D$500,"&lt;"&amp;$B22,基因升级!$U$141:$U$500)</f>
        <v>0</v>
      </c>
      <c r="D22" s="4"/>
      <c r="E22" s="4"/>
      <c r="F22" s="4"/>
      <c r="G22" s="4"/>
      <c r="H22" s="4"/>
      <c r="I22" s="4"/>
      <c r="J22" s="4"/>
      <c r="K22" s="4">
        <f>SUMIF(基因升级!$D$141:$D$500,"&lt;"&amp;$B22,基因升级!J$141:J$500)</f>
        <v>720</v>
      </c>
      <c r="L22" s="4">
        <f>SUMIF(基因升级!$D$141:$D$500,"&lt;"&amp;$B22,基因升级!K$141:K$500)</f>
        <v>0.5</v>
      </c>
      <c r="M22" s="4">
        <f>SUMIF(基因升级!$D$141:$D$500,"&lt;"&amp;$B22,基因升级!L$141:L$500)</f>
        <v>0.3</v>
      </c>
      <c r="N22" s="4">
        <f>SUMIF(基因升级!$D$141:$D$500,"&lt;"&amp;$B22,基因升级!M$141:M$500)</f>
        <v>0.02</v>
      </c>
      <c r="O22" s="4">
        <f>SUMIF(基因升级!$D$141:$D$500,"&lt;"&amp;$B22,基因升级!N$141:N$500)</f>
        <v>0.075</v>
      </c>
      <c r="R22" s="4">
        <v>16</v>
      </c>
      <c r="S22" s="4">
        <f>SUMIF(基因升级!$D$141:$D$500,"&lt;="&amp;$R22,基因升级!$U$141:$U$500)</f>
        <v>0</v>
      </c>
      <c r="T22" s="4">
        <f>SUMIF(基因升级!$D$141:$D$500,"&lt;="&amp;$R22,基因升级!J$141:J$500)</f>
        <v>144</v>
      </c>
      <c r="U22" s="4">
        <f>SUMIF(基因升级!$D$141:$D$500,"&lt;="&amp;$R22,基因升级!K$141:K$500)</f>
        <v>0.2</v>
      </c>
      <c r="V22" s="4">
        <f>SUMIF(基因升级!$D$141:$D$500,"&lt;="&amp;$R22,基因升级!L$141:L$500)</f>
        <v>0.12</v>
      </c>
      <c r="W22" s="4">
        <f>SUMIF(基因升级!$D$141:$D$500,"&lt;="&amp;$R22,基因升级!M$141:M$500)</f>
        <v>0.008</v>
      </c>
      <c r="X22" s="4">
        <f>SUMIF(基因升级!$D$141:$D$500,"&lt;="&amp;$R22,基因升级!N$141:N$500)</f>
        <v>0.03</v>
      </c>
    </row>
    <row r="23" ht="16.5" spans="1:24">
      <c r="A23" s="14">
        <v>17</v>
      </c>
      <c r="B23" s="4">
        <f>IFERROR(_xlfn.XLOOKUP(A23+1,基因升级!$E$141:$E$500,基因升级!$D$141:$D$500)-1,B22)</f>
        <v>41</v>
      </c>
      <c r="C23" s="4">
        <f>SUMIF(基因升级!$D$141:$D$500,"&lt;"&amp;$B23,基因升级!$U$141:$U$500)</f>
        <v>0</v>
      </c>
      <c r="D23" s="4"/>
      <c r="E23" s="4"/>
      <c r="F23" s="4"/>
      <c r="G23" s="4"/>
      <c r="H23" s="4"/>
      <c r="I23" s="4"/>
      <c r="J23" s="4"/>
      <c r="K23" s="4">
        <f>SUMIF(基因升级!$D$141:$D$500,"&lt;"&amp;$B23,基因升级!J$141:J$500)</f>
        <v>720</v>
      </c>
      <c r="L23" s="4">
        <f>SUMIF(基因升级!$D$141:$D$500,"&lt;"&amp;$B23,基因升级!K$141:K$500)</f>
        <v>0.5</v>
      </c>
      <c r="M23" s="4">
        <f>SUMIF(基因升级!$D$141:$D$500,"&lt;"&amp;$B23,基因升级!L$141:L$500)</f>
        <v>0.3</v>
      </c>
      <c r="N23" s="4">
        <f>SUMIF(基因升级!$D$141:$D$500,"&lt;"&amp;$B23,基因升级!M$141:M$500)</f>
        <v>0.02</v>
      </c>
      <c r="O23" s="4">
        <f>SUMIF(基因升级!$D$141:$D$500,"&lt;"&amp;$B23,基因升级!N$141:N$500)</f>
        <v>0.075</v>
      </c>
      <c r="R23" s="4">
        <v>17</v>
      </c>
      <c r="S23" s="4">
        <f>SUMIF(基因升级!$D$141:$D$500,"&lt;="&amp;$R23,基因升级!$U$141:$U$500)</f>
        <v>0</v>
      </c>
      <c r="T23" s="4">
        <f>SUMIF(基因升级!$D$141:$D$500,"&lt;="&amp;$R23,基因升级!J$141:J$500)</f>
        <v>162</v>
      </c>
      <c r="U23" s="4">
        <f>SUMIF(基因升级!$D$141:$D$500,"&lt;="&amp;$R23,基因升级!K$141:K$500)</f>
        <v>0.25</v>
      </c>
      <c r="V23" s="4">
        <f>SUMIF(基因升级!$D$141:$D$500,"&lt;="&amp;$R23,基因升级!L$141:L$500)</f>
        <v>0.12</v>
      </c>
      <c r="W23" s="4">
        <f>SUMIF(基因升级!$D$141:$D$500,"&lt;="&amp;$R23,基因升级!M$141:M$500)</f>
        <v>0.008</v>
      </c>
      <c r="X23" s="4">
        <f>SUMIF(基因升级!$D$141:$D$500,"&lt;="&amp;$R23,基因升级!N$141:N$500)</f>
        <v>0.03</v>
      </c>
    </row>
    <row r="24" ht="16.5" spans="1:24">
      <c r="A24" s="14">
        <v>18</v>
      </c>
      <c r="B24" s="4">
        <f>IFERROR(_xlfn.XLOOKUP(A24+1,基因升级!$E$141:$E$500,基因升级!$D$141:$D$500)-1,B23)</f>
        <v>42</v>
      </c>
      <c r="C24" s="4">
        <f>SUMIF(基因升级!$D$141:$D$500,"&lt;"&amp;$B24,基因升级!$U$141:$U$500)</f>
        <v>0</v>
      </c>
      <c r="D24" s="4"/>
      <c r="E24" s="4"/>
      <c r="F24" s="4"/>
      <c r="G24" s="4"/>
      <c r="H24" s="4"/>
      <c r="I24" s="4"/>
      <c r="J24" s="4"/>
      <c r="K24" s="4">
        <f>SUMIF(基因升级!$D$141:$D$500,"&lt;"&amp;$B24,基因升级!J$141:J$500)</f>
        <v>756</v>
      </c>
      <c r="L24" s="4">
        <f>SUMIF(基因升级!$D$141:$D$500,"&lt;"&amp;$B24,基因升级!K$141:K$500)</f>
        <v>0.55</v>
      </c>
      <c r="M24" s="4">
        <f>SUMIF(基因升级!$D$141:$D$500,"&lt;"&amp;$B24,基因升级!L$141:L$500)</f>
        <v>0.3</v>
      </c>
      <c r="N24" s="4">
        <f>SUMIF(基因升级!$D$141:$D$500,"&lt;"&amp;$B24,基因升级!M$141:M$500)</f>
        <v>0.02</v>
      </c>
      <c r="O24" s="4">
        <f>SUMIF(基因升级!$D$141:$D$500,"&lt;"&amp;$B24,基因升级!N$141:N$500)</f>
        <v>0.075</v>
      </c>
      <c r="R24" s="4">
        <v>18</v>
      </c>
      <c r="S24" s="4">
        <f>SUMIF(基因升级!$D$141:$D$500,"&lt;="&amp;$R24,基因升级!$U$141:$U$500)</f>
        <v>0</v>
      </c>
      <c r="T24" s="4">
        <f>SUMIF(基因升级!$D$141:$D$500,"&lt;="&amp;$R24,基因升级!J$141:J$500)</f>
        <v>180</v>
      </c>
      <c r="U24" s="4">
        <f>SUMIF(基因升级!$D$141:$D$500,"&lt;="&amp;$R24,基因升级!K$141:K$500)</f>
        <v>0.25</v>
      </c>
      <c r="V24" s="4">
        <f>SUMIF(基因升级!$D$141:$D$500,"&lt;="&amp;$R24,基因升级!L$141:L$500)</f>
        <v>0.12</v>
      </c>
      <c r="W24" s="4">
        <f>SUMIF(基因升级!$D$141:$D$500,"&lt;="&amp;$R24,基因升级!M$141:M$500)</f>
        <v>0.008</v>
      </c>
      <c r="X24" s="4">
        <f>SUMIF(基因升级!$D$141:$D$500,"&lt;="&amp;$R24,基因升级!N$141:N$500)</f>
        <v>0.0375</v>
      </c>
    </row>
    <row r="25" ht="16.5" spans="1:24">
      <c r="A25" s="14">
        <v>19</v>
      </c>
      <c r="B25" s="4">
        <f>IFERROR(_xlfn.XLOOKUP(A25+1,基因升级!$E$141:$E$500,基因升级!$D$141:$D$500)-1,B24)</f>
        <v>43</v>
      </c>
      <c r="C25" s="4">
        <f>SUMIF(基因升级!$D$141:$D$500,"&lt;"&amp;$B25,基因升级!$U$141:$U$500)</f>
        <v>0</v>
      </c>
      <c r="D25" s="4"/>
      <c r="E25" s="4"/>
      <c r="F25" s="4"/>
      <c r="G25" s="4"/>
      <c r="H25" s="4"/>
      <c r="I25" s="4"/>
      <c r="J25" s="4"/>
      <c r="K25" s="4">
        <f>SUMIF(基因升级!$D$141:$D$500,"&lt;"&amp;$B25,基因升级!J$141:J$500)</f>
        <v>792</v>
      </c>
      <c r="L25" s="4">
        <f>SUMIF(基因升级!$D$141:$D$500,"&lt;"&amp;$B25,基因升级!K$141:K$500)</f>
        <v>0.55</v>
      </c>
      <c r="M25" s="4">
        <f>SUMIF(基因升级!$D$141:$D$500,"&lt;"&amp;$B25,基因升级!L$141:L$500)</f>
        <v>0.3</v>
      </c>
      <c r="N25" s="4">
        <f>SUMIF(基因升级!$D$141:$D$500,"&lt;"&amp;$B25,基因升级!M$141:M$500)</f>
        <v>0.02</v>
      </c>
      <c r="O25" s="4">
        <f>SUMIF(基因升级!$D$141:$D$500,"&lt;"&amp;$B25,基因升级!N$141:N$500)</f>
        <v>0.0825</v>
      </c>
      <c r="R25" s="4">
        <v>19</v>
      </c>
      <c r="S25" s="4">
        <f>SUMIF(基因升级!$D$141:$D$500,"&lt;="&amp;$R25,基因升级!$U$141:$U$500)</f>
        <v>0</v>
      </c>
      <c r="T25" s="4">
        <f>SUMIF(基因升级!$D$141:$D$500,"&lt;="&amp;$R25,基因升级!J$141:J$500)</f>
        <v>198</v>
      </c>
      <c r="U25" s="4">
        <f>SUMIF(基因升级!$D$141:$D$500,"&lt;="&amp;$R25,基因升级!K$141:K$500)</f>
        <v>0.25</v>
      </c>
      <c r="V25" s="4">
        <f>SUMIF(基因升级!$D$141:$D$500,"&lt;="&amp;$R25,基因升级!L$141:L$500)</f>
        <v>0.12</v>
      </c>
      <c r="W25" s="4">
        <f>SUMIF(基因升级!$D$141:$D$500,"&lt;="&amp;$R25,基因升级!M$141:M$500)</f>
        <v>0.01</v>
      </c>
      <c r="X25" s="4">
        <f>SUMIF(基因升级!$D$141:$D$500,"&lt;="&amp;$R25,基因升级!N$141:N$500)</f>
        <v>0.0375</v>
      </c>
    </row>
    <row r="26" ht="16.5" spans="1:24">
      <c r="A26" s="14">
        <v>20</v>
      </c>
      <c r="B26" s="4">
        <f>IFERROR(_xlfn.XLOOKUP(A26+1,基因升级!$E$141:$E$500,基因升级!$D$141:$D$500)-1,B25)</f>
        <v>44</v>
      </c>
      <c r="C26" s="4">
        <f>SUMIF(基因升级!$D$141:$D$500,"&lt;"&amp;$B26,基因升级!$U$141:$U$500)</f>
        <v>0</v>
      </c>
      <c r="D26" s="4"/>
      <c r="E26" s="4"/>
      <c r="F26" s="4"/>
      <c r="G26" s="4"/>
      <c r="H26" s="4"/>
      <c r="I26" s="4"/>
      <c r="J26" s="4"/>
      <c r="K26" s="4">
        <f>SUMIF(基因升级!$D$141:$D$500,"&lt;"&amp;$B26,基因升级!J$141:J$500)</f>
        <v>828</v>
      </c>
      <c r="L26" s="4">
        <f>SUMIF(基因升级!$D$141:$D$500,"&lt;"&amp;$B26,基因升级!K$141:K$500)</f>
        <v>0.55</v>
      </c>
      <c r="M26" s="4">
        <f>SUMIF(基因升级!$D$141:$D$500,"&lt;"&amp;$B26,基因升级!L$141:L$500)</f>
        <v>0.3</v>
      </c>
      <c r="N26" s="4">
        <f>SUMIF(基因升级!$D$141:$D$500,"&lt;"&amp;$B26,基因升级!M$141:M$500)</f>
        <v>0.022</v>
      </c>
      <c r="O26" s="4">
        <f>SUMIF(基因升级!$D$141:$D$500,"&lt;"&amp;$B26,基因升级!N$141:N$500)</f>
        <v>0.0825</v>
      </c>
      <c r="R26" s="4">
        <v>20</v>
      </c>
      <c r="S26" s="4">
        <f>SUMIF(基因升级!$D$141:$D$500,"&lt;="&amp;$R26,基因升级!$U$141:$U$500)</f>
        <v>0</v>
      </c>
      <c r="T26" s="4">
        <f>SUMIF(基因升级!$D$141:$D$500,"&lt;="&amp;$R26,基因升级!J$141:J$500)</f>
        <v>216</v>
      </c>
      <c r="U26" s="4">
        <f>SUMIF(基因升级!$D$141:$D$500,"&lt;="&amp;$R26,基因升级!K$141:K$500)</f>
        <v>0.25</v>
      </c>
      <c r="V26" s="4">
        <f>SUMIF(基因升级!$D$141:$D$500,"&lt;="&amp;$R26,基因升级!L$141:L$500)</f>
        <v>0.15</v>
      </c>
      <c r="W26" s="4">
        <f>SUMIF(基因升级!$D$141:$D$500,"&lt;="&amp;$R26,基因升级!M$141:M$500)</f>
        <v>0.01</v>
      </c>
      <c r="X26" s="4">
        <f>SUMIF(基因升级!$D$141:$D$500,"&lt;="&amp;$R26,基因升级!N$141:N$500)</f>
        <v>0.0375</v>
      </c>
    </row>
    <row r="27" ht="16.5" spans="1:24">
      <c r="A27" s="14">
        <v>21</v>
      </c>
      <c r="B27" s="4">
        <f>IFERROR(_xlfn.XLOOKUP(A27+1,基因升级!$E$141:$E$500,基因升级!$D$141:$D$500)-1,B26)</f>
        <v>45</v>
      </c>
      <c r="C27" s="4">
        <f>SUMIF(基因升级!$D$141:$D$500,"&lt;"&amp;$B27,基因升级!$U$141:$U$500)</f>
        <v>0</v>
      </c>
      <c r="D27" s="4"/>
      <c r="E27" s="4"/>
      <c r="F27" s="4"/>
      <c r="G27" s="4"/>
      <c r="H27" s="4"/>
      <c r="I27" s="4"/>
      <c r="J27" s="4"/>
      <c r="K27" s="4">
        <f>SUMIF(基因升级!$D$141:$D$500,"&lt;"&amp;$B27,基因升级!J$141:J$500)</f>
        <v>864</v>
      </c>
      <c r="L27" s="4">
        <f>SUMIF(基因升级!$D$141:$D$500,"&lt;"&amp;$B27,基因升级!K$141:K$500)</f>
        <v>0.55</v>
      </c>
      <c r="M27" s="4">
        <f>SUMIF(基因升级!$D$141:$D$500,"&lt;"&amp;$B27,基因升级!L$141:L$500)</f>
        <v>0.33</v>
      </c>
      <c r="N27" s="4">
        <f>SUMIF(基因升级!$D$141:$D$500,"&lt;"&amp;$B27,基因升级!M$141:M$500)</f>
        <v>0.022</v>
      </c>
      <c r="O27" s="4">
        <f>SUMIF(基因升级!$D$141:$D$500,"&lt;"&amp;$B27,基因升级!N$141:N$500)</f>
        <v>0.0825</v>
      </c>
      <c r="R27" s="4">
        <v>21</v>
      </c>
      <c r="S27" s="4">
        <f>SUMIF(基因升级!$D$141:$D$500,"&lt;="&amp;$R27,基因升级!$U$141:$U$500)</f>
        <v>0</v>
      </c>
      <c r="T27" s="4">
        <f>SUMIF(基因升级!$D$141:$D$500,"&lt;="&amp;$R27,基因升级!J$141:J$500)</f>
        <v>234</v>
      </c>
      <c r="U27" s="4">
        <f>SUMIF(基因升级!$D$141:$D$500,"&lt;="&amp;$R27,基因升级!K$141:K$500)</f>
        <v>0.3</v>
      </c>
      <c r="V27" s="4">
        <f>SUMIF(基因升级!$D$141:$D$500,"&lt;="&amp;$R27,基因升级!L$141:L$500)</f>
        <v>0.15</v>
      </c>
      <c r="W27" s="4">
        <f>SUMIF(基因升级!$D$141:$D$500,"&lt;="&amp;$R27,基因升级!M$141:M$500)</f>
        <v>0.01</v>
      </c>
      <c r="X27" s="4">
        <f>SUMIF(基因升级!$D$141:$D$500,"&lt;="&amp;$R27,基因升级!N$141:N$500)</f>
        <v>0.0375</v>
      </c>
    </row>
    <row r="28" ht="16.5" spans="1:24">
      <c r="A28" s="14">
        <v>22</v>
      </c>
      <c r="B28" s="4">
        <f>IFERROR(_xlfn.XLOOKUP(A28+1,基因升级!$E$141:$E$500,基因升级!$D$141:$D$500)-1,B27)</f>
        <v>45</v>
      </c>
      <c r="C28" s="4">
        <f>SUMIF(基因升级!$D$141:$D$500,"&lt;"&amp;$B28,基因升级!$U$141:$U$500)</f>
        <v>0</v>
      </c>
      <c r="D28" s="4"/>
      <c r="E28" s="4"/>
      <c r="F28" s="4"/>
      <c r="G28" s="4"/>
      <c r="H28" s="4"/>
      <c r="I28" s="4"/>
      <c r="J28" s="4"/>
      <c r="K28" s="4">
        <f>SUMIF(基因升级!$D$141:$D$500,"&lt;"&amp;$B28,基因升级!J$141:J$500)</f>
        <v>864</v>
      </c>
      <c r="L28" s="4">
        <f>SUMIF(基因升级!$D$141:$D$500,"&lt;"&amp;$B28,基因升级!K$141:K$500)</f>
        <v>0.55</v>
      </c>
      <c r="M28" s="4">
        <f>SUMIF(基因升级!$D$141:$D$500,"&lt;"&amp;$B28,基因升级!L$141:L$500)</f>
        <v>0.33</v>
      </c>
      <c r="N28" s="4">
        <f>SUMIF(基因升级!$D$141:$D$500,"&lt;"&amp;$B28,基因升级!M$141:M$500)</f>
        <v>0.022</v>
      </c>
      <c r="O28" s="4">
        <f>SUMIF(基因升级!$D$141:$D$500,"&lt;"&amp;$B28,基因升级!N$141:N$500)</f>
        <v>0.0825</v>
      </c>
      <c r="R28" s="4">
        <v>22</v>
      </c>
      <c r="S28" s="4">
        <f>SUMIF(基因升级!$D$141:$D$500,"&lt;="&amp;$R28,基因升级!$U$141:$U$500)</f>
        <v>0</v>
      </c>
      <c r="T28" s="4">
        <f>SUMIF(基因升级!$D$141:$D$500,"&lt;="&amp;$R28,基因升级!J$141:J$500)</f>
        <v>252</v>
      </c>
      <c r="U28" s="4">
        <f>SUMIF(基因升级!$D$141:$D$500,"&lt;="&amp;$R28,基因升级!K$141:K$500)</f>
        <v>0.3</v>
      </c>
      <c r="V28" s="4">
        <f>SUMIF(基因升级!$D$141:$D$500,"&lt;="&amp;$R28,基因升级!L$141:L$500)</f>
        <v>0.15</v>
      </c>
      <c r="W28" s="4">
        <f>SUMIF(基因升级!$D$141:$D$500,"&lt;="&amp;$R28,基因升级!M$141:M$500)</f>
        <v>0.01</v>
      </c>
      <c r="X28" s="4">
        <f>SUMIF(基因升级!$D$141:$D$500,"&lt;="&amp;$R28,基因升级!N$141:N$500)</f>
        <v>0.045</v>
      </c>
    </row>
    <row r="29" ht="16.5" spans="1:24">
      <c r="A29" s="14">
        <v>23</v>
      </c>
      <c r="B29" s="4">
        <f>IFERROR(_xlfn.XLOOKUP(A29+1,基因升级!$E$141:$E$500,基因升级!$D$141:$D$500)-1,B28)</f>
        <v>46</v>
      </c>
      <c r="C29" s="4">
        <f>SUMIF(基因升级!$D$141:$D$500,"&lt;"&amp;$B29,基因升级!$U$141:$U$500)</f>
        <v>0</v>
      </c>
      <c r="D29" s="4"/>
      <c r="E29" s="4"/>
      <c r="F29" s="4"/>
      <c r="G29" s="4"/>
      <c r="H29" s="4"/>
      <c r="I29" s="4"/>
      <c r="J29" s="4"/>
      <c r="K29" s="4">
        <f>SUMIF(基因升级!$D$141:$D$500,"&lt;"&amp;$B29,基因升级!J$141:J$500)</f>
        <v>900</v>
      </c>
      <c r="L29" s="4">
        <f>SUMIF(基因升级!$D$141:$D$500,"&lt;"&amp;$B29,基因升级!K$141:K$500)</f>
        <v>0.6</v>
      </c>
      <c r="M29" s="4">
        <f>SUMIF(基因升级!$D$141:$D$500,"&lt;"&amp;$B29,基因升级!L$141:L$500)</f>
        <v>0.33</v>
      </c>
      <c r="N29" s="4">
        <f>SUMIF(基因升级!$D$141:$D$500,"&lt;"&amp;$B29,基因升级!M$141:M$500)</f>
        <v>0.022</v>
      </c>
      <c r="O29" s="4">
        <f>SUMIF(基因升级!$D$141:$D$500,"&lt;"&amp;$B29,基因升级!N$141:N$500)</f>
        <v>0.0825</v>
      </c>
      <c r="R29" s="4">
        <v>23</v>
      </c>
      <c r="S29" s="4">
        <f>SUMIF(基因升级!$D$141:$D$500,"&lt;="&amp;$R29,基因升级!$U$141:$U$500)</f>
        <v>0</v>
      </c>
      <c r="T29" s="4">
        <f>SUMIF(基因升级!$D$141:$D$500,"&lt;="&amp;$R29,基因升级!J$141:J$500)</f>
        <v>270</v>
      </c>
      <c r="U29" s="4">
        <f>SUMIF(基因升级!$D$141:$D$500,"&lt;="&amp;$R29,基因升级!K$141:K$500)</f>
        <v>0.3</v>
      </c>
      <c r="V29" s="4">
        <f>SUMIF(基因升级!$D$141:$D$500,"&lt;="&amp;$R29,基因升级!L$141:L$500)</f>
        <v>0.15</v>
      </c>
      <c r="W29" s="4">
        <f>SUMIF(基因升级!$D$141:$D$500,"&lt;="&amp;$R29,基因升级!M$141:M$500)</f>
        <v>0.012</v>
      </c>
      <c r="X29" s="4">
        <f>SUMIF(基因升级!$D$141:$D$500,"&lt;="&amp;$R29,基因升级!N$141:N$500)</f>
        <v>0.045</v>
      </c>
    </row>
    <row r="30" ht="16.5" spans="1:24">
      <c r="A30" s="14">
        <v>24</v>
      </c>
      <c r="B30" s="4">
        <f>IFERROR(_xlfn.XLOOKUP(A30+1,基因升级!$E$141:$E$500,基因升级!$D$141:$D$500)-1,B29)</f>
        <v>47</v>
      </c>
      <c r="C30" s="4">
        <f>SUMIF(基因升级!$D$141:$D$500,"&lt;"&amp;$B30,基因升级!$U$141:$U$500)</f>
        <v>0</v>
      </c>
      <c r="D30" s="4"/>
      <c r="E30" s="4"/>
      <c r="F30" s="4"/>
      <c r="G30" s="4"/>
      <c r="H30" s="4"/>
      <c r="I30" s="4"/>
      <c r="J30" s="4"/>
      <c r="K30" s="4">
        <f>SUMIF(基因升级!$D$141:$D$500,"&lt;"&amp;$B30,基因升级!J$141:J$500)</f>
        <v>936</v>
      </c>
      <c r="L30" s="4">
        <f>SUMIF(基因升级!$D$141:$D$500,"&lt;"&amp;$B30,基因升级!K$141:K$500)</f>
        <v>0.6</v>
      </c>
      <c r="M30" s="4">
        <f>SUMIF(基因升级!$D$141:$D$500,"&lt;"&amp;$B30,基因升级!L$141:L$500)</f>
        <v>0.33</v>
      </c>
      <c r="N30" s="4">
        <f>SUMIF(基因升级!$D$141:$D$500,"&lt;"&amp;$B30,基因升级!M$141:M$500)</f>
        <v>0.022</v>
      </c>
      <c r="O30" s="4">
        <f>SUMIF(基因升级!$D$141:$D$500,"&lt;"&amp;$B30,基因升级!N$141:N$500)</f>
        <v>0.09</v>
      </c>
      <c r="R30" s="4">
        <v>24</v>
      </c>
      <c r="S30" s="4">
        <f>SUMIF(基因升级!$D$141:$D$500,"&lt;="&amp;$R30,基因升级!$U$141:$U$500)</f>
        <v>0</v>
      </c>
      <c r="T30" s="4">
        <f>SUMIF(基因升级!$D$141:$D$500,"&lt;="&amp;$R30,基因升级!J$141:J$500)</f>
        <v>288</v>
      </c>
      <c r="U30" s="4">
        <f>SUMIF(基因升级!$D$141:$D$500,"&lt;="&amp;$R30,基因升级!K$141:K$500)</f>
        <v>0.3</v>
      </c>
      <c r="V30" s="4">
        <f>SUMIF(基因升级!$D$141:$D$500,"&lt;="&amp;$R30,基因升级!L$141:L$500)</f>
        <v>0.18</v>
      </c>
      <c r="W30" s="4">
        <f>SUMIF(基因升级!$D$141:$D$500,"&lt;="&amp;$R30,基因升级!M$141:M$500)</f>
        <v>0.012</v>
      </c>
      <c r="X30" s="4">
        <f>SUMIF(基因升级!$D$141:$D$500,"&lt;="&amp;$R30,基因升级!N$141:N$500)</f>
        <v>0.045</v>
      </c>
    </row>
    <row r="31" ht="16.5" spans="1:24">
      <c r="A31" s="14">
        <v>25</v>
      </c>
      <c r="B31" s="4">
        <f>IFERROR(_xlfn.XLOOKUP(A31+1,基因升级!$E$141:$E$500,基因升级!$D$141:$D$500)-1,B30)</f>
        <v>48</v>
      </c>
      <c r="C31" s="4">
        <f>SUMIF(基因升级!$D$141:$D$500,"&lt;"&amp;$B31,基因升级!$U$141:$U$500)</f>
        <v>0</v>
      </c>
      <c r="D31" s="4"/>
      <c r="E31" s="4"/>
      <c r="F31" s="4"/>
      <c r="G31" s="4"/>
      <c r="H31" s="4"/>
      <c r="I31" s="4"/>
      <c r="J31" s="4"/>
      <c r="K31" s="4">
        <f>SUMIF(基因升级!$D$141:$D$500,"&lt;"&amp;$B31,基因升级!J$141:J$500)</f>
        <v>972</v>
      </c>
      <c r="L31" s="4">
        <f>SUMIF(基因升级!$D$141:$D$500,"&lt;"&amp;$B31,基因升级!K$141:K$500)</f>
        <v>0.6</v>
      </c>
      <c r="M31" s="4">
        <f>SUMIF(基因升级!$D$141:$D$500,"&lt;"&amp;$B31,基因升级!L$141:L$500)</f>
        <v>0.33</v>
      </c>
      <c r="N31" s="4">
        <f>SUMIF(基因升级!$D$141:$D$500,"&lt;"&amp;$B31,基因升级!M$141:M$500)</f>
        <v>0.024</v>
      </c>
      <c r="O31" s="4">
        <f>SUMIF(基因升级!$D$141:$D$500,"&lt;"&amp;$B31,基因升级!N$141:N$500)</f>
        <v>0.09</v>
      </c>
      <c r="R31" s="4">
        <v>25</v>
      </c>
      <c r="S31" s="4">
        <f>SUMIF(基因升级!$D$141:$D$500,"&lt;="&amp;$R31,基因升级!$U$141:$U$500)</f>
        <v>0</v>
      </c>
      <c r="T31" s="4">
        <f>SUMIF(基因升级!$D$141:$D$500,"&lt;="&amp;$R31,基因升级!J$141:J$500)</f>
        <v>312</v>
      </c>
      <c r="U31" s="4">
        <f>SUMIF(基因升级!$D$141:$D$500,"&lt;="&amp;$R31,基因升级!K$141:K$500)</f>
        <v>0.35</v>
      </c>
      <c r="V31" s="4">
        <f>SUMIF(基因升级!$D$141:$D$500,"&lt;="&amp;$R31,基因升级!L$141:L$500)</f>
        <v>0.18</v>
      </c>
      <c r="W31" s="4">
        <f>SUMIF(基因升级!$D$141:$D$500,"&lt;="&amp;$R31,基因升级!M$141:M$500)</f>
        <v>0.012</v>
      </c>
      <c r="X31" s="4">
        <f>SUMIF(基因升级!$D$141:$D$500,"&lt;="&amp;$R31,基因升级!N$141:N$500)</f>
        <v>0.045</v>
      </c>
    </row>
    <row r="32" ht="16.5" spans="1:24">
      <c r="A32" s="14">
        <v>26</v>
      </c>
      <c r="B32" s="4">
        <f>IFERROR(_xlfn.XLOOKUP(A32+1,基因升级!$E$141:$E$500,基因升级!$D$141:$D$500)-1,B31)</f>
        <v>48</v>
      </c>
      <c r="C32" s="4">
        <f>SUMIF(基因升级!$D$141:$D$500,"&lt;"&amp;$B32,基因升级!$U$141:$U$500)</f>
        <v>0</v>
      </c>
      <c r="D32" s="4"/>
      <c r="E32" s="4"/>
      <c r="F32" s="4"/>
      <c r="G32" s="4"/>
      <c r="H32" s="4"/>
      <c r="I32" s="4"/>
      <c r="J32" s="4"/>
      <c r="K32" s="4">
        <f>SUMIF(基因升级!$D$141:$D$500,"&lt;"&amp;$B32,基因升级!J$141:J$500)</f>
        <v>972</v>
      </c>
      <c r="L32" s="4">
        <f>SUMIF(基因升级!$D$141:$D$500,"&lt;"&amp;$B32,基因升级!K$141:K$500)</f>
        <v>0.6</v>
      </c>
      <c r="M32" s="4">
        <f>SUMIF(基因升级!$D$141:$D$500,"&lt;"&amp;$B32,基因升级!L$141:L$500)</f>
        <v>0.33</v>
      </c>
      <c r="N32" s="4">
        <f>SUMIF(基因升级!$D$141:$D$500,"&lt;"&amp;$B32,基因升级!M$141:M$500)</f>
        <v>0.024</v>
      </c>
      <c r="O32" s="4">
        <f>SUMIF(基因升级!$D$141:$D$500,"&lt;"&amp;$B32,基因升级!N$141:N$500)</f>
        <v>0.09</v>
      </c>
      <c r="R32" s="4">
        <v>26</v>
      </c>
      <c r="S32" s="4">
        <f>SUMIF(基因升级!$D$141:$D$500,"&lt;="&amp;$R32,基因升级!$U$141:$U$500)</f>
        <v>0</v>
      </c>
      <c r="T32" s="4">
        <f>SUMIF(基因升级!$D$141:$D$500,"&lt;="&amp;$R32,基因升级!J$141:J$500)</f>
        <v>336</v>
      </c>
      <c r="U32" s="4">
        <f>SUMIF(基因升级!$D$141:$D$500,"&lt;="&amp;$R32,基因升级!K$141:K$500)</f>
        <v>0.35</v>
      </c>
      <c r="V32" s="4">
        <f>SUMIF(基因升级!$D$141:$D$500,"&lt;="&amp;$R32,基因升级!L$141:L$500)</f>
        <v>0.18</v>
      </c>
      <c r="W32" s="4">
        <f>SUMIF(基因升级!$D$141:$D$500,"&lt;="&amp;$R32,基因升级!M$141:M$500)</f>
        <v>0.012</v>
      </c>
      <c r="X32" s="4">
        <f>SUMIF(基因升级!$D$141:$D$500,"&lt;="&amp;$R32,基因升级!N$141:N$500)</f>
        <v>0.0525</v>
      </c>
    </row>
    <row r="33" ht="16.5" spans="1:24">
      <c r="A33" s="14">
        <v>27</v>
      </c>
      <c r="B33" s="4">
        <f>IFERROR(_xlfn.XLOOKUP(A33+1,基因升级!$E$141:$E$500,基因升级!$D$141:$D$500)-1,B32)</f>
        <v>49</v>
      </c>
      <c r="C33" s="4">
        <f>SUMIF(基因升级!$D$141:$D$500,"&lt;"&amp;$B33,基因升级!$U$141:$U$500)</f>
        <v>0</v>
      </c>
      <c r="D33" s="4"/>
      <c r="E33" s="4"/>
      <c r="F33" s="4"/>
      <c r="G33" s="4"/>
      <c r="H33" s="4"/>
      <c r="I33" s="4"/>
      <c r="J33" s="4"/>
      <c r="K33" s="4">
        <f>SUMIF(基因升级!$D$141:$D$500,"&lt;"&amp;$B33,基因升级!J$141:J$500)</f>
        <v>1008</v>
      </c>
      <c r="L33" s="4">
        <f>SUMIF(基因升级!$D$141:$D$500,"&lt;"&amp;$B33,基因升级!K$141:K$500)</f>
        <v>0.6</v>
      </c>
      <c r="M33" s="4">
        <f>SUMIF(基因升级!$D$141:$D$500,"&lt;"&amp;$B33,基因升级!L$141:L$500)</f>
        <v>0.36</v>
      </c>
      <c r="N33" s="4">
        <f>SUMIF(基因升级!$D$141:$D$500,"&lt;"&amp;$B33,基因升级!M$141:M$500)</f>
        <v>0.024</v>
      </c>
      <c r="O33" s="4">
        <f>SUMIF(基因升级!$D$141:$D$500,"&lt;"&amp;$B33,基因升级!N$141:N$500)</f>
        <v>0.09</v>
      </c>
      <c r="R33" s="4">
        <v>27</v>
      </c>
      <c r="S33" s="4">
        <f>SUMIF(基因升级!$D$141:$D$500,"&lt;="&amp;$R33,基因升级!$U$141:$U$500)</f>
        <v>0</v>
      </c>
      <c r="T33" s="4">
        <f>SUMIF(基因升级!$D$141:$D$500,"&lt;="&amp;$R33,基因升级!J$141:J$500)</f>
        <v>360</v>
      </c>
      <c r="U33" s="4">
        <f>SUMIF(基因升级!$D$141:$D$500,"&lt;="&amp;$R33,基因升级!K$141:K$500)</f>
        <v>0.35</v>
      </c>
      <c r="V33" s="4">
        <f>SUMIF(基因升级!$D$141:$D$500,"&lt;="&amp;$R33,基因升级!L$141:L$500)</f>
        <v>0.18</v>
      </c>
      <c r="W33" s="4">
        <f>SUMIF(基因升级!$D$141:$D$500,"&lt;="&amp;$R33,基因升级!M$141:M$500)</f>
        <v>0.014</v>
      </c>
      <c r="X33" s="4">
        <f>SUMIF(基因升级!$D$141:$D$500,"&lt;="&amp;$R33,基因升级!N$141:N$500)</f>
        <v>0.0525</v>
      </c>
    </row>
    <row r="34" ht="16.5" spans="1:24">
      <c r="A34" s="14">
        <v>28</v>
      </c>
      <c r="B34" s="4">
        <f>IFERROR(_xlfn.XLOOKUP(A34+1,基因升级!$E$141:$E$500,基因升级!$D$141:$D$500)-1,B33)</f>
        <v>49</v>
      </c>
      <c r="C34" s="4">
        <f>SUMIF(基因升级!$D$141:$D$500,"&lt;"&amp;$B34,基因升级!$U$141:$U$500)</f>
        <v>0</v>
      </c>
      <c r="D34" s="4"/>
      <c r="E34" s="4"/>
      <c r="F34" s="4"/>
      <c r="G34" s="4"/>
      <c r="H34" s="4"/>
      <c r="I34" s="4"/>
      <c r="J34" s="4"/>
      <c r="K34" s="4">
        <f>SUMIF(基因升级!$D$141:$D$500,"&lt;"&amp;$B34,基因升级!J$141:J$500)</f>
        <v>1008</v>
      </c>
      <c r="L34" s="4">
        <f>SUMIF(基因升级!$D$141:$D$500,"&lt;"&amp;$B34,基因升级!K$141:K$500)</f>
        <v>0.6</v>
      </c>
      <c r="M34" s="4">
        <f>SUMIF(基因升级!$D$141:$D$500,"&lt;"&amp;$B34,基因升级!L$141:L$500)</f>
        <v>0.36</v>
      </c>
      <c r="N34" s="4">
        <f>SUMIF(基因升级!$D$141:$D$500,"&lt;"&amp;$B34,基因升级!M$141:M$500)</f>
        <v>0.024</v>
      </c>
      <c r="O34" s="4">
        <f>SUMIF(基因升级!$D$141:$D$500,"&lt;"&amp;$B34,基因升级!N$141:N$500)</f>
        <v>0.09</v>
      </c>
      <c r="R34" s="4">
        <v>28</v>
      </c>
      <c r="S34" s="4">
        <f>SUMIF(基因升级!$D$141:$D$500,"&lt;="&amp;$R34,基因升级!$U$141:$U$500)</f>
        <v>0</v>
      </c>
      <c r="T34" s="4">
        <f>SUMIF(基因升级!$D$141:$D$500,"&lt;="&amp;$R34,基因升级!J$141:J$500)</f>
        <v>384</v>
      </c>
      <c r="U34" s="4">
        <f>SUMIF(基因升级!$D$141:$D$500,"&lt;="&amp;$R34,基因升级!K$141:K$500)</f>
        <v>0.35</v>
      </c>
      <c r="V34" s="4">
        <f>SUMIF(基因升级!$D$141:$D$500,"&lt;="&amp;$R34,基因升级!L$141:L$500)</f>
        <v>0.21</v>
      </c>
      <c r="W34" s="4">
        <f>SUMIF(基因升级!$D$141:$D$500,"&lt;="&amp;$R34,基因升级!M$141:M$500)</f>
        <v>0.014</v>
      </c>
      <c r="X34" s="4">
        <f>SUMIF(基因升级!$D$141:$D$500,"&lt;="&amp;$R34,基因升级!N$141:N$500)</f>
        <v>0.0525</v>
      </c>
    </row>
    <row r="35" ht="16.5" spans="1:24">
      <c r="A35" s="14">
        <v>29</v>
      </c>
      <c r="B35" s="4">
        <f>IFERROR(_xlfn.XLOOKUP(A35+1,基因升级!$E$141:$E$500,基因升级!$D$141:$D$500)-1,B34)</f>
        <v>50</v>
      </c>
      <c r="C35" s="4">
        <f>SUMIF(基因升级!$D$141:$D$500,"&lt;"&amp;$B35,基因升级!$U$141:$U$500)</f>
        <v>0</v>
      </c>
      <c r="D35" s="4"/>
      <c r="E35" s="4"/>
      <c r="F35" s="4"/>
      <c r="G35" s="4"/>
      <c r="H35" s="4"/>
      <c r="I35" s="4"/>
      <c r="J35" s="4"/>
      <c r="K35" s="4">
        <f>SUMIF(基因升级!$D$141:$D$500,"&lt;"&amp;$B35,基因升级!J$141:J$500)</f>
        <v>1050</v>
      </c>
      <c r="L35" s="4">
        <f>SUMIF(基因升级!$D$141:$D$500,"&lt;"&amp;$B35,基因升级!K$141:K$500)</f>
        <v>0.65</v>
      </c>
      <c r="M35" s="4">
        <f>SUMIF(基因升级!$D$141:$D$500,"&lt;"&amp;$B35,基因升级!L$141:L$500)</f>
        <v>0.36</v>
      </c>
      <c r="N35" s="4">
        <f>SUMIF(基因升级!$D$141:$D$500,"&lt;"&amp;$B35,基因升级!M$141:M$500)</f>
        <v>0.024</v>
      </c>
      <c r="O35" s="4">
        <f>SUMIF(基因升级!$D$141:$D$500,"&lt;"&amp;$B35,基因升级!N$141:N$500)</f>
        <v>0.09</v>
      </c>
      <c r="R35" s="4">
        <v>29</v>
      </c>
      <c r="S35" s="4">
        <f>SUMIF(基因升级!$D$141:$D$500,"&lt;="&amp;$R35,基因升级!$U$141:$U$500)</f>
        <v>0</v>
      </c>
      <c r="T35" s="4">
        <f>SUMIF(基因升级!$D$141:$D$500,"&lt;="&amp;$R35,基因升级!J$141:J$500)</f>
        <v>408</v>
      </c>
      <c r="U35" s="4">
        <f>SUMIF(基因升级!$D$141:$D$500,"&lt;="&amp;$R35,基因升级!K$141:K$500)</f>
        <v>0.4</v>
      </c>
      <c r="V35" s="4">
        <f>SUMIF(基因升级!$D$141:$D$500,"&lt;="&amp;$R35,基因升级!L$141:L$500)</f>
        <v>0.21</v>
      </c>
      <c r="W35" s="4">
        <f>SUMIF(基因升级!$D$141:$D$500,"&lt;="&amp;$R35,基因升级!M$141:M$500)</f>
        <v>0.014</v>
      </c>
      <c r="X35" s="4">
        <f>SUMIF(基因升级!$D$141:$D$500,"&lt;="&amp;$R35,基因升级!N$141:N$500)</f>
        <v>0.0525</v>
      </c>
    </row>
    <row r="36" ht="16.5" spans="1:24">
      <c r="A36" s="14">
        <v>30</v>
      </c>
      <c r="B36" s="4">
        <f>IFERROR(_xlfn.XLOOKUP(A36+1,基因升级!$E$141:$E$500,基因升级!$D$141:$D$500)-1,B35)</f>
        <v>51</v>
      </c>
      <c r="C36" s="4">
        <f>SUMIF(基因升级!$D$141:$D$500,"&lt;"&amp;$B36,基因升级!$U$141:$U$500)</f>
        <v>0</v>
      </c>
      <c r="D36" s="4"/>
      <c r="E36" s="4"/>
      <c r="F36" s="4"/>
      <c r="G36" s="4"/>
      <c r="H36" s="4"/>
      <c r="I36" s="4"/>
      <c r="J36" s="4"/>
      <c r="K36" s="4">
        <f>SUMIF(基因升级!$D$141:$D$500,"&lt;"&amp;$B36,基因升级!J$141:J$500)</f>
        <v>1092</v>
      </c>
      <c r="L36" s="4">
        <f>SUMIF(基因升级!$D$141:$D$500,"&lt;"&amp;$B36,基因升级!K$141:K$500)</f>
        <v>0.65</v>
      </c>
      <c r="M36" s="4">
        <f>SUMIF(基因升级!$D$141:$D$500,"&lt;"&amp;$B36,基因升级!L$141:L$500)</f>
        <v>0.36</v>
      </c>
      <c r="N36" s="4">
        <f>SUMIF(基因升级!$D$141:$D$500,"&lt;"&amp;$B36,基因升级!M$141:M$500)</f>
        <v>0.024</v>
      </c>
      <c r="O36" s="4">
        <f>SUMIF(基因升级!$D$141:$D$500,"&lt;"&amp;$B36,基因升级!N$141:N$500)</f>
        <v>0.0975</v>
      </c>
      <c r="R36" s="4">
        <v>30</v>
      </c>
      <c r="S36" s="4">
        <f>SUMIF(基因升级!$D$141:$D$500,"&lt;="&amp;$R36,基因升级!$U$141:$U$500)</f>
        <v>0</v>
      </c>
      <c r="T36" s="4">
        <f>SUMIF(基因升级!$D$141:$D$500,"&lt;="&amp;$R36,基因升级!J$141:J$500)</f>
        <v>432</v>
      </c>
      <c r="U36" s="4">
        <f>SUMIF(基因升级!$D$141:$D$500,"&lt;="&amp;$R36,基因升级!K$141:K$500)</f>
        <v>0.4</v>
      </c>
      <c r="V36" s="4">
        <f>SUMIF(基因升级!$D$141:$D$500,"&lt;="&amp;$R36,基因升级!L$141:L$500)</f>
        <v>0.21</v>
      </c>
      <c r="W36" s="4">
        <f>SUMIF(基因升级!$D$141:$D$500,"&lt;="&amp;$R36,基因升级!M$141:M$500)</f>
        <v>0.014</v>
      </c>
      <c r="X36" s="4">
        <f>SUMIF(基因升级!$D$141:$D$500,"&lt;="&amp;$R36,基因升级!N$141:N$500)</f>
        <v>0.06</v>
      </c>
    </row>
    <row r="37" ht="16.5" spans="1:24">
      <c r="A37" s="14">
        <v>31</v>
      </c>
      <c r="B37" s="4">
        <f>IFERROR(_xlfn.XLOOKUP(A37+1,基因升级!$E$141:$E$500,基因升级!$D$141:$D$500)-1,B36)</f>
        <v>51</v>
      </c>
      <c r="C37" s="4">
        <f>SUMIF(基因升级!$D$141:$D$500,"&lt;"&amp;$B37,基因升级!$U$141:$U$500)</f>
        <v>0</v>
      </c>
      <c r="D37" s="4"/>
      <c r="E37" s="4"/>
      <c r="F37" s="4"/>
      <c r="G37" s="4"/>
      <c r="H37" s="4"/>
      <c r="I37" s="4"/>
      <c r="J37" s="4"/>
      <c r="K37" s="4">
        <f>SUMIF(基因升级!$D$141:$D$500,"&lt;"&amp;$B37,基因升级!J$141:J$500)</f>
        <v>1092</v>
      </c>
      <c r="L37" s="4">
        <f>SUMIF(基因升级!$D$141:$D$500,"&lt;"&amp;$B37,基因升级!K$141:K$500)</f>
        <v>0.65</v>
      </c>
      <c r="M37" s="4">
        <f>SUMIF(基因升级!$D$141:$D$500,"&lt;"&amp;$B37,基因升级!L$141:L$500)</f>
        <v>0.36</v>
      </c>
      <c r="N37" s="4">
        <f>SUMIF(基因升级!$D$141:$D$500,"&lt;"&amp;$B37,基因升级!M$141:M$500)</f>
        <v>0.024</v>
      </c>
      <c r="O37" s="4">
        <f>SUMIF(基因升级!$D$141:$D$500,"&lt;"&amp;$B37,基因升级!N$141:N$500)</f>
        <v>0.0975</v>
      </c>
      <c r="R37" s="4">
        <v>31</v>
      </c>
      <c r="S37" s="4">
        <f>SUMIF(基因升级!$D$141:$D$500,"&lt;="&amp;$R37,基因升级!$U$141:$U$500)</f>
        <v>0</v>
      </c>
      <c r="T37" s="4">
        <f>SUMIF(基因升级!$D$141:$D$500,"&lt;="&amp;$R37,基因升级!J$141:J$500)</f>
        <v>456</v>
      </c>
      <c r="U37" s="4">
        <f>SUMIF(基因升级!$D$141:$D$500,"&lt;="&amp;$R37,基因升级!K$141:K$500)</f>
        <v>0.4</v>
      </c>
      <c r="V37" s="4">
        <f>SUMIF(基因升级!$D$141:$D$500,"&lt;="&amp;$R37,基因升级!L$141:L$500)</f>
        <v>0.21</v>
      </c>
      <c r="W37" s="4">
        <f>SUMIF(基因升级!$D$141:$D$500,"&lt;="&amp;$R37,基因升级!M$141:M$500)</f>
        <v>0.016</v>
      </c>
      <c r="X37" s="4">
        <f>SUMIF(基因升级!$D$141:$D$500,"&lt;="&amp;$R37,基因升级!N$141:N$500)</f>
        <v>0.06</v>
      </c>
    </row>
    <row r="38" ht="16.5" spans="1:24">
      <c r="A38" s="14">
        <v>32</v>
      </c>
      <c r="B38" s="4">
        <f>IFERROR(_xlfn.XLOOKUP(A38+1,基因升级!$E$141:$E$500,基因升级!$D$141:$D$500)-1,B37)</f>
        <v>52</v>
      </c>
      <c r="C38" s="4">
        <f>SUMIF(基因升级!$D$141:$D$500,"&lt;"&amp;$B38,基因升级!$U$141:$U$500)</f>
        <v>0</v>
      </c>
      <c r="D38" s="4"/>
      <c r="E38" s="4"/>
      <c r="F38" s="4"/>
      <c r="G38" s="4"/>
      <c r="H38" s="4"/>
      <c r="I38" s="4"/>
      <c r="J38" s="4"/>
      <c r="K38" s="4">
        <f>SUMIF(基因升级!$D$141:$D$500,"&lt;"&amp;$B38,基因升级!J$141:J$500)</f>
        <v>1134</v>
      </c>
      <c r="L38" s="4">
        <f>SUMIF(基因升级!$D$141:$D$500,"&lt;"&amp;$B38,基因升级!K$141:K$500)</f>
        <v>0.65</v>
      </c>
      <c r="M38" s="4">
        <f>SUMIF(基因升级!$D$141:$D$500,"&lt;"&amp;$B38,基因升级!L$141:L$500)</f>
        <v>0.36</v>
      </c>
      <c r="N38" s="4">
        <f>SUMIF(基因升级!$D$141:$D$500,"&lt;"&amp;$B38,基因升级!M$141:M$500)</f>
        <v>0.026</v>
      </c>
      <c r="O38" s="4">
        <f>SUMIF(基因升级!$D$141:$D$500,"&lt;"&amp;$B38,基因升级!N$141:N$500)</f>
        <v>0.0975</v>
      </c>
      <c r="R38" s="4">
        <v>32</v>
      </c>
      <c r="S38" s="4">
        <f>SUMIF(基因升级!$D$141:$D$500,"&lt;="&amp;$R38,基因升级!$U$141:$U$500)</f>
        <v>0</v>
      </c>
      <c r="T38" s="4">
        <f>SUMIF(基因升级!$D$141:$D$500,"&lt;="&amp;$R38,基因升级!J$141:J$500)</f>
        <v>480</v>
      </c>
      <c r="U38" s="4">
        <f>SUMIF(基因升级!$D$141:$D$500,"&lt;="&amp;$R38,基因升级!K$141:K$500)</f>
        <v>0.4</v>
      </c>
      <c r="V38" s="4">
        <f>SUMIF(基因升级!$D$141:$D$500,"&lt;="&amp;$R38,基因升级!L$141:L$500)</f>
        <v>0.24</v>
      </c>
      <c r="W38" s="4">
        <f>SUMIF(基因升级!$D$141:$D$500,"&lt;="&amp;$R38,基因升级!M$141:M$500)</f>
        <v>0.016</v>
      </c>
      <c r="X38" s="4">
        <f>SUMIF(基因升级!$D$141:$D$500,"&lt;="&amp;$R38,基因升级!N$141:N$500)</f>
        <v>0.06</v>
      </c>
    </row>
    <row r="39" ht="16.5" spans="1:24">
      <c r="A39" s="14">
        <v>33</v>
      </c>
      <c r="B39" s="4">
        <f>IFERROR(_xlfn.XLOOKUP(A39+1,基因升级!$E$141:$E$500,基因升级!$D$141:$D$500)-1,B38)</f>
        <v>52</v>
      </c>
      <c r="C39" s="4">
        <f>SUMIF(基因升级!$D$141:$D$500,"&lt;"&amp;$B39,基因升级!$U$141:$U$500)</f>
        <v>0</v>
      </c>
      <c r="D39" s="4"/>
      <c r="E39" s="4"/>
      <c r="F39" s="4"/>
      <c r="G39" s="4"/>
      <c r="H39" s="4"/>
      <c r="I39" s="4"/>
      <c r="J39" s="4"/>
      <c r="K39" s="4">
        <f>SUMIF(基因升级!$D$141:$D$500,"&lt;"&amp;$B39,基因升级!J$141:J$500)</f>
        <v>1134</v>
      </c>
      <c r="L39" s="4">
        <f>SUMIF(基因升级!$D$141:$D$500,"&lt;"&amp;$B39,基因升级!K$141:K$500)</f>
        <v>0.65</v>
      </c>
      <c r="M39" s="4">
        <f>SUMIF(基因升级!$D$141:$D$500,"&lt;"&amp;$B39,基因升级!L$141:L$500)</f>
        <v>0.36</v>
      </c>
      <c r="N39" s="4">
        <f>SUMIF(基因升级!$D$141:$D$500,"&lt;"&amp;$B39,基因升级!M$141:M$500)</f>
        <v>0.026</v>
      </c>
      <c r="O39" s="4">
        <f>SUMIF(基因升级!$D$141:$D$500,"&lt;"&amp;$B39,基因升级!N$141:N$500)</f>
        <v>0.0975</v>
      </c>
      <c r="R39" s="4">
        <v>33</v>
      </c>
      <c r="S39" s="4">
        <f>SUMIF(基因升级!$D$141:$D$500,"&lt;="&amp;$R39,基因升级!$U$141:$U$500)</f>
        <v>0</v>
      </c>
      <c r="T39" s="4">
        <f>SUMIF(基因升级!$D$141:$D$500,"&lt;="&amp;$R39,基因升级!J$141:J$500)</f>
        <v>510</v>
      </c>
      <c r="U39" s="4">
        <f>SUMIF(基因升级!$D$141:$D$500,"&lt;="&amp;$R39,基因升级!K$141:K$500)</f>
        <v>0.45</v>
      </c>
      <c r="V39" s="4">
        <f>SUMIF(基因升级!$D$141:$D$500,"&lt;="&amp;$R39,基因升级!L$141:L$500)</f>
        <v>0.24</v>
      </c>
      <c r="W39" s="4">
        <f>SUMIF(基因升级!$D$141:$D$500,"&lt;="&amp;$R39,基因升级!M$141:M$500)</f>
        <v>0.016</v>
      </c>
      <c r="X39" s="4">
        <f>SUMIF(基因升级!$D$141:$D$500,"&lt;="&amp;$R39,基因升级!N$141:N$500)</f>
        <v>0.06</v>
      </c>
    </row>
    <row r="40" ht="16.5" spans="1:24">
      <c r="A40" s="14">
        <v>34</v>
      </c>
      <c r="B40" s="4">
        <f>IFERROR(_xlfn.XLOOKUP(A40+1,基因升级!$E$141:$E$500,基因升级!$D$141:$D$500)-1,B39)</f>
        <v>53</v>
      </c>
      <c r="C40" s="4">
        <f>SUMIF(基因升级!$D$141:$D$500,"&lt;"&amp;$B40,基因升级!$U$141:$U$500)</f>
        <v>0</v>
      </c>
      <c r="D40" s="4"/>
      <c r="E40" s="4"/>
      <c r="F40" s="4"/>
      <c r="G40" s="4"/>
      <c r="H40" s="4"/>
      <c r="I40" s="4"/>
      <c r="J40" s="4"/>
      <c r="K40" s="4">
        <f>SUMIF(基因升级!$D$141:$D$500,"&lt;"&amp;$B40,基因升级!J$141:J$500)</f>
        <v>1176</v>
      </c>
      <c r="L40" s="4">
        <f>SUMIF(基因升级!$D$141:$D$500,"&lt;"&amp;$B40,基因升级!K$141:K$500)</f>
        <v>0.65</v>
      </c>
      <c r="M40" s="4">
        <f>SUMIF(基因升级!$D$141:$D$500,"&lt;"&amp;$B40,基因升级!L$141:L$500)</f>
        <v>0.39</v>
      </c>
      <c r="N40" s="4">
        <f>SUMIF(基因升级!$D$141:$D$500,"&lt;"&amp;$B40,基因升级!M$141:M$500)</f>
        <v>0.026</v>
      </c>
      <c r="O40" s="4">
        <f>SUMIF(基因升级!$D$141:$D$500,"&lt;"&amp;$B40,基因升级!N$141:N$500)</f>
        <v>0.0975</v>
      </c>
      <c r="R40" s="4">
        <v>34</v>
      </c>
      <c r="S40" s="4">
        <f>SUMIF(基因升级!$D$141:$D$500,"&lt;="&amp;$R40,基因升级!$U$141:$U$500)</f>
        <v>0</v>
      </c>
      <c r="T40" s="4">
        <f>SUMIF(基因升级!$D$141:$D$500,"&lt;="&amp;$R40,基因升级!J$141:J$500)</f>
        <v>540</v>
      </c>
      <c r="U40" s="4">
        <f>SUMIF(基因升级!$D$141:$D$500,"&lt;="&amp;$R40,基因升级!K$141:K$500)</f>
        <v>0.45</v>
      </c>
      <c r="V40" s="4">
        <f>SUMIF(基因升级!$D$141:$D$500,"&lt;="&amp;$R40,基因升级!L$141:L$500)</f>
        <v>0.24</v>
      </c>
      <c r="W40" s="4">
        <f>SUMIF(基因升级!$D$141:$D$500,"&lt;="&amp;$R40,基因升级!M$141:M$500)</f>
        <v>0.016</v>
      </c>
      <c r="X40" s="4">
        <f>SUMIF(基因升级!$D$141:$D$500,"&lt;="&amp;$R40,基因升级!N$141:N$500)</f>
        <v>0.0675</v>
      </c>
    </row>
    <row r="41" ht="16.5" spans="1:24">
      <c r="A41" s="14">
        <v>35</v>
      </c>
      <c r="B41" s="4">
        <f>IFERROR(_xlfn.XLOOKUP(A41+1,基因升级!$E$141:$E$500,基因升级!$D$141:$D$500)-1,B40)</f>
        <v>53</v>
      </c>
      <c r="C41" s="4">
        <f>SUMIF(基因升级!$D$141:$D$500,"&lt;"&amp;$B41,基因升级!$U$141:$U$500)</f>
        <v>0</v>
      </c>
      <c r="D41" s="4"/>
      <c r="E41" s="4"/>
      <c r="F41" s="4"/>
      <c r="G41" s="4"/>
      <c r="H41" s="4"/>
      <c r="I41" s="4"/>
      <c r="J41" s="4"/>
      <c r="K41" s="4">
        <f>SUMIF(基因升级!$D$141:$D$500,"&lt;"&amp;$B41,基因升级!J$141:J$500)</f>
        <v>1176</v>
      </c>
      <c r="L41" s="4">
        <f>SUMIF(基因升级!$D$141:$D$500,"&lt;"&amp;$B41,基因升级!K$141:K$500)</f>
        <v>0.65</v>
      </c>
      <c r="M41" s="4">
        <f>SUMIF(基因升级!$D$141:$D$500,"&lt;"&amp;$B41,基因升级!L$141:L$500)</f>
        <v>0.39</v>
      </c>
      <c r="N41" s="4">
        <f>SUMIF(基因升级!$D$141:$D$500,"&lt;"&amp;$B41,基因升级!M$141:M$500)</f>
        <v>0.026</v>
      </c>
      <c r="O41" s="4">
        <f>SUMIF(基因升级!$D$141:$D$500,"&lt;"&amp;$B41,基因升级!N$141:N$500)</f>
        <v>0.0975</v>
      </c>
      <c r="R41" s="4">
        <v>35</v>
      </c>
      <c r="S41" s="4">
        <f>SUMIF(基因升级!$D$141:$D$500,"&lt;="&amp;$R41,基因升级!$U$141:$U$500)</f>
        <v>0</v>
      </c>
      <c r="T41" s="4">
        <f>SUMIF(基因升级!$D$141:$D$500,"&lt;="&amp;$R41,基因升级!J$141:J$500)</f>
        <v>570</v>
      </c>
      <c r="U41" s="4">
        <f>SUMIF(基因升级!$D$141:$D$500,"&lt;="&amp;$R41,基因升级!K$141:K$500)</f>
        <v>0.45</v>
      </c>
      <c r="V41" s="4">
        <f>SUMIF(基因升级!$D$141:$D$500,"&lt;="&amp;$R41,基因升级!L$141:L$500)</f>
        <v>0.24</v>
      </c>
      <c r="W41" s="4">
        <f>SUMIF(基因升级!$D$141:$D$500,"&lt;="&amp;$R41,基因升级!M$141:M$500)</f>
        <v>0.018</v>
      </c>
      <c r="X41" s="4">
        <f>SUMIF(基因升级!$D$141:$D$500,"&lt;="&amp;$R41,基因升级!N$141:N$500)</f>
        <v>0.0675</v>
      </c>
    </row>
    <row r="42" ht="16.5" spans="1:24">
      <c r="A42" s="14">
        <v>36</v>
      </c>
      <c r="B42" s="4">
        <f>IFERROR(_xlfn.XLOOKUP(A42+1,基因升级!$E$141:$E$500,基因升级!$D$141:$D$500)-1,B41)</f>
        <v>54</v>
      </c>
      <c r="C42" s="4">
        <f>SUMIF(基因升级!$D$141:$D$500,"&lt;"&amp;$B42,基因升级!$U$141:$U$500)</f>
        <v>0</v>
      </c>
      <c r="D42" s="4"/>
      <c r="E42" s="4"/>
      <c r="F42" s="4"/>
      <c r="G42" s="4"/>
      <c r="H42" s="4"/>
      <c r="I42" s="4"/>
      <c r="J42" s="4"/>
      <c r="K42" s="4">
        <f>SUMIF(基因升级!$D$141:$D$500,"&lt;"&amp;$B42,基因升级!J$141:J$500)</f>
        <v>1218</v>
      </c>
      <c r="L42" s="4">
        <f>SUMIF(基因升级!$D$141:$D$500,"&lt;"&amp;$B42,基因升级!K$141:K$500)</f>
        <v>0.7</v>
      </c>
      <c r="M42" s="4">
        <f>SUMIF(基因升级!$D$141:$D$500,"&lt;"&amp;$B42,基因升级!L$141:L$500)</f>
        <v>0.39</v>
      </c>
      <c r="N42" s="4">
        <f>SUMIF(基因升级!$D$141:$D$500,"&lt;"&amp;$B42,基因升级!M$141:M$500)</f>
        <v>0.026</v>
      </c>
      <c r="O42" s="4">
        <f>SUMIF(基因升级!$D$141:$D$500,"&lt;"&amp;$B42,基因升级!N$141:N$500)</f>
        <v>0.0975</v>
      </c>
      <c r="R42" s="4">
        <v>36</v>
      </c>
      <c r="S42" s="4">
        <f>SUMIF(基因升级!$D$141:$D$500,"&lt;="&amp;$R42,基因升级!$U$141:$U$500)</f>
        <v>0</v>
      </c>
      <c r="T42" s="4">
        <f>SUMIF(基因升级!$D$141:$D$500,"&lt;="&amp;$R42,基因升级!J$141:J$500)</f>
        <v>600</v>
      </c>
      <c r="U42" s="4">
        <f>SUMIF(基因升级!$D$141:$D$500,"&lt;="&amp;$R42,基因升级!K$141:K$500)</f>
        <v>0.45</v>
      </c>
      <c r="V42" s="4">
        <f>SUMIF(基因升级!$D$141:$D$500,"&lt;="&amp;$R42,基因升级!L$141:L$500)</f>
        <v>0.27</v>
      </c>
      <c r="W42" s="4">
        <f>SUMIF(基因升级!$D$141:$D$500,"&lt;="&amp;$R42,基因升级!M$141:M$500)</f>
        <v>0.018</v>
      </c>
      <c r="X42" s="4">
        <f>SUMIF(基因升级!$D$141:$D$500,"&lt;="&amp;$R42,基因升级!N$141:N$500)</f>
        <v>0.0675</v>
      </c>
    </row>
    <row r="43" ht="16.5" spans="1:24">
      <c r="A43" s="14">
        <v>37</v>
      </c>
      <c r="B43" s="4">
        <f>IFERROR(_xlfn.XLOOKUP(A43+1,基因升级!$E$141:$E$500,基因升级!$D$141:$D$500)-1,B42)</f>
        <v>54</v>
      </c>
      <c r="C43" s="4">
        <f>SUMIF(基因升级!$D$141:$D$500,"&lt;"&amp;$B43,基因升级!$U$141:$U$500)</f>
        <v>0</v>
      </c>
      <c r="D43" s="4"/>
      <c r="E43" s="4"/>
      <c r="F43" s="4"/>
      <c r="G43" s="4"/>
      <c r="H43" s="4"/>
      <c r="I43" s="4"/>
      <c r="J43" s="4"/>
      <c r="K43" s="4">
        <f>SUMIF(基因升级!$D$141:$D$500,"&lt;"&amp;$B43,基因升级!J$141:J$500)</f>
        <v>1218</v>
      </c>
      <c r="L43" s="4">
        <f>SUMIF(基因升级!$D$141:$D$500,"&lt;"&amp;$B43,基因升级!K$141:K$500)</f>
        <v>0.7</v>
      </c>
      <c r="M43" s="4">
        <f>SUMIF(基因升级!$D$141:$D$500,"&lt;"&amp;$B43,基因升级!L$141:L$500)</f>
        <v>0.39</v>
      </c>
      <c r="N43" s="4">
        <f>SUMIF(基因升级!$D$141:$D$500,"&lt;"&amp;$B43,基因升级!M$141:M$500)</f>
        <v>0.026</v>
      </c>
      <c r="O43" s="4">
        <f>SUMIF(基因升级!$D$141:$D$500,"&lt;"&amp;$B43,基因升级!N$141:N$500)</f>
        <v>0.0975</v>
      </c>
      <c r="R43" s="4">
        <v>37</v>
      </c>
      <c r="S43" s="4">
        <f>SUMIF(基因升级!$D$141:$D$500,"&lt;="&amp;$R43,基因升级!$U$141:$U$500)</f>
        <v>0</v>
      </c>
      <c r="T43" s="4">
        <f>SUMIF(基因升级!$D$141:$D$500,"&lt;="&amp;$R43,基因升级!J$141:J$500)</f>
        <v>630</v>
      </c>
      <c r="U43" s="4">
        <f>SUMIF(基因升级!$D$141:$D$500,"&lt;="&amp;$R43,基因升级!K$141:K$500)</f>
        <v>0.5</v>
      </c>
      <c r="V43" s="4">
        <f>SUMIF(基因升级!$D$141:$D$500,"&lt;="&amp;$R43,基因升级!L$141:L$500)</f>
        <v>0.27</v>
      </c>
      <c r="W43" s="4">
        <f>SUMIF(基因升级!$D$141:$D$500,"&lt;="&amp;$R43,基因升级!M$141:M$500)</f>
        <v>0.018</v>
      </c>
      <c r="X43" s="4">
        <f>SUMIF(基因升级!$D$141:$D$500,"&lt;="&amp;$R43,基因升级!N$141:N$500)</f>
        <v>0.0675</v>
      </c>
    </row>
    <row r="44" ht="16.5" spans="1:24">
      <c r="A44" s="14">
        <v>38</v>
      </c>
      <c r="B44" s="4">
        <f>IFERROR(_xlfn.XLOOKUP(A44+1,基因升级!$E$141:$E$500,基因升级!$D$141:$D$500)-1,B43)</f>
        <v>55</v>
      </c>
      <c r="C44" s="4">
        <f>SUMIF(基因升级!$D$141:$D$500,"&lt;"&amp;$B44,基因升级!$U$141:$U$500)</f>
        <v>0</v>
      </c>
      <c r="D44" s="4"/>
      <c r="E44" s="4"/>
      <c r="F44" s="4"/>
      <c r="G44" s="4"/>
      <c r="H44" s="4"/>
      <c r="I44" s="4"/>
      <c r="J44" s="4"/>
      <c r="K44" s="4">
        <f>SUMIF(基因升级!$D$141:$D$500,"&lt;"&amp;$B44,基因升级!J$141:J$500)</f>
        <v>1260</v>
      </c>
      <c r="L44" s="4">
        <f>SUMIF(基因升级!$D$141:$D$500,"&lt;"&amp;$B44,基因升级!K$141:K$500)</f>
        <v>0.7</v>
      </c>
      <c r="M44" s="4">
        <f>SUMIF(基因升级!$D$141:$D$500,"&lt;"&amp;$B44,基因升级!L$141:L$500)</f>
        <v>0.39</v>
      </c>
      <c r="N44" s="4">
        <f>SUMIF(基因升级!$D$141:$D$500,"&lt;"&amp;$B44,基因升级!M$141:M$500)</f>
        <v>0.026</v>
      </c>
      <c r="O44" s="4">
        <f>SUMIF(基因升级!$D$141:$D$500,"&lt;"&amp;$B44,基因升级!N$141:N$500)</f>
        <v>0.105</v>
      </c>
      <c r="R44" s="4">
        <v>38</v>
      </c>
      <c r="S44" s="4">
        <f>SUMIF(基因升级!$D$141:$D$500,"&lt;="&amp;$R44,基因升级!$U$141:$U$500)</f>
        <v>0</v>
      </c>
      <c r="T44" s="4">
        <f>SUMIF(基因升级!$D$141:$D$500,"&lt;="&amp;$R44,基因升级!J$141:J$500)</f>
        <v>660</v>
      </c>
      <c r="U44" s="4">
        <f>SUMIF(基因升级!$D$141:$D$500,"&lt;="&amp;$R44,基因升级!K$141:K$500)</f>
        <v>0.5</v>
      </c>
      <c r="V44" s="4">
        <f>SUMIF(基因升级!$D$141:$D$500,"&lt;="&amp;$R44,基因升级!L$141:L$500)</f>
        <v>0.27</v>
      </c>
      <c r="W44" s="4">
        <f>SUMIF(基因升级!$D$141:$D$500,"&lt;="&amp;$R44,基因升级!M$141:M$500)</f>
        <v>0.018</v>
      </c>
      <c r="X44" s="4">
        <f>SUMIF(基因升级!$D$141:$D$500,"&lt;="&amp;$R44,基因升级!N$141:N$500)</f>
        <v>0.075</v>
      </c>
    </row>
    <row r="45" ht="16.5" spans="1:24">
      <c r="A45" s="14">
        <v>39</v>
      </c>
      <c r="B45" s="4">
        <f>IFERROR(_xlfn.XLOOKUP(A45+1,基因升级!$E$141:$E$500,基因升级!$D$141:$D$500)-1,B44)</f>
        <v>55</v>
      </c>
      <c r="C45" s="4">
        <f>SUMIF(基因升级!$D$141:$D$500,"&lt;"&amp;$B45,基因升级!$U$141:$U$500)</f>
        <v>0</v>
      </c>
      <c r="D45" s="4"/>
      <c r="E45" s="4"/>
      <c r="F45" s="4"/>
      <c r="G45" s="4"/>
      <c r="H45" s="4"/>
      <c r="I45" s="4"/>
      <c r="J45" s="4"/>
      <c r="K45" s="4">
        <f>SUMIF(基因升级!$D$141:$D$500,"&lt;"&amp;$B45,基因升级!J$141:J$500)</f>
        <v>1260</v>
      </c>
      <c r="L45" s="4">
        <f>SUMIF(基因升级!$D$141:$D$500,"&lt;"&amp;$B45,基因升级!K$141:K$500)</f>
        <v>0.7</v>
      </c>
      <c r="M45" s="4">
        <f>SUMIF(基因升级!$D$141:$D$500,"&lt;"&amp;$B45,基因升级!L$141:L$500)</f>
        <v>0.39</v>
      </c>
      <c r="N45" s="4">
        <f>SUMIF(基因升级!$D$141:$D$500,"&lt;"&amp;$B45,基因升级!M$141:M$500)</f>
        <v>0.026</v>
      </c>
      <c r="O45" s="4">
        <f>SUMIF(基因升级!$D$141:$D$500,"&lt;"&amp;$B45,基因升级!N$141:N$500)</f>
        <v>0.105</v>
      </c>
      <c r="R45" s="4">
        <v>39</v>
      </c>
      <c r="S45" s="4">
        <f>SUMIF(基因升级!$D$141:$D$500,"&lt;="&amp;$R45,基因升级!$U$141:$U$500)</f>
        <v>0</v>
      </c>
      <c r="T45" s="4">
        <f>SUMIF(基因升级!$D$141:$D$500,"&lt;="&amp;$R45,基因升级!J$141:J$500)</f>
        <v>690</v>
      </c>
      <c r="U45" s="4">
        <f>SUMIF(基因升级!$D$141:$D$500,"&lt;="&amp;$R45,基因升级!K$141:K$500)</f>
        <v>0.5</v>
      </c>
      <c r="V45" s="4">
        <f>SUMIF(基因升级!$D$141:$D$500,"&lt;="&amp;$R45,基因升级!L$141:L$500)</f>
        <v>0.27</v>
      </c>
      <c r="W45" s="4">
        <f>SUMIF(基因升级!$D$141:$D$500,"&lt;="&amp;$R45,基因升级!M$141:M$500)</f>
        <v>0.02</v>
      </c>
      <c r="X45" s="4">
        <f>SUMIF(基因升级!$D$141:$D$500,"&lt;="&amp;$R45,基因升级!N$141:N$500)</f>
        <v>0.075</v>
      </c>
    </row>
    <row r="46" ht="16.5" spans="1:24">
      <c r="A46" s="14">
        <v>40</v>
      </c>
      <c r="B46" s="4">
        <f>IFERROR(_xlfn.XLOOKUP(A46+1,基因升级!$E$141:$E$500,基因升级!$D$141:$D$500)-1,B45)</f>
        <v>56</v>
      </c>
      <c r="C46" s="4">
        <f>SUMIF(基因升级!$D$141:$D$500,"&lt;"&amp;$B46,基因升级!$U$141:$U$500)</f>
        <v>0</v>
      </c>
      <c r="D46" s="4"/>
      <c r="E46" s="4"/>
      <c r="F46" s="4"/>
      <c r="G46" s="4"/>
      <c r="H46" s="4"/>
      <c r="I46" s="4"/>
      <c r="J46" s="4"/>
      <c r="K46" s="4">
        <f>SUMIF(基因升级!$D$141:$D$500,"&lt;"&amp;$B46,基因升级!J$141:J$500)</f>
        <v>1302</v>
      </c>
      <c r="L46" s="4">
        <f>SUMIF(基因升级!$D$141:$D$500,"&lt;"&amp;$B46,基因升级!K$141:K$500)</f>
        <v>0.7</v>
      </c>
      <c r="M46" s="4">
        <f>SUMIF(基因升级!$D$141:$D$500,"&lt;"&amp;$B46,基因升级!L$141:L$500)</f>
        <v>0.39</v>
      </c>
      <c r="N46" s="4">
        <f>SUMIF(基因升级!$D$141:$D$500,"&lt;"&amp;$B46,基因升级!M$141:M$500)</f>
        <v>0.028</v>
      </c>
      <c r="O46" s="4">
        <f>SUMIF(基因升级!$D$141:$D$500,"&lt;"&amp;$B46,基因升级!N$141:N$500)</f>
        <v>0.105</v>
      </c>
      <c r="R46" s="4">
        <v>40</v>
      </c>
      <c r="S46" s="4">
        <f>SUMIF(基因升级!$D$141:$D$500,"&lt;="&amp;$R46,基因升级!$U$141:$U$500)</f>
        <v>0</v>
      </c>
      <c r="T46" s="4">
        <f>SUMIF(基因升级!$D$141:$D$500,"&lt;="&amp;$R46,基因升级!J$141:J$500)</f>
        <v>720</v>
      </c>
      <c r="U46" s="4">
        <f>SUMIF(基因升级!$D$141:$D$500,"&lt;="&amp;$R46,基因升级!K$141:K$500)</f>
        <v>0.5</v>
      </c>
      <c r="V46" s="4">
        <f>SUMIF(基因升级!$D$141:$D$500,"&lt;="&amp;$R46,基因升级!L$141:L$500)</f>
        <v>0.3</v>
      </c>
      <c r="W46" s="4">
        <f>SUMIF(基因升级!$D$141:$D$500,"&lt;="&amp;$R46,基因升级!M$141:M$500)</f>
        <v>0.02</v>
      </c>
      <c r="X46" s="4">
        <f>SUMIF(基因升级!$D$141:$D$500,"&lt;="&amp;$R46,基因升级!N$141:N$500)</f>
        <v>0.075</v>
      </c>
    </row>
    <row r="47" ht="16.5" spans="1:24">
      <c r="A47" s="14">
        <v>41</v>
      </c>
      <c r="B47" s="4">
        <f>IFERROR(_xlfn.XLOOKUP(A47+1,基因升级!$E$141:$E$500,基因升级!$D$141:$D$500)-1,B46)</f>
        <v>56</v>
      </c>
      <c r="C47" s="4">
        <f>SUMIF(基因升级!$D$141:$D$500,"&lt;"&amp;$B47,基因升级!$U$141:$U$500)</f>
        <v>0</v>
      </c>
      <c r="D47" s="4"/>
      <c r="E47" s="4"/>
      <c r="F47" s="4"/>
      <c r="G47" s="4"/>
      <c r="H47" s="4"/>
      <c r="I47" s="4"/>
      <c r="J47" s="4"/>
      <c r="K47" s="4">
        <f>SUMIF(基因升级!$D$141:$D$500,"&lt;"&amp;$B47,基因升级!J$141:J$500)</f>
        <v>1302</v>
      </c>
      <c r="L47" s="4">
        <f>SUMIF(基因升级!$D$141:$D$500,"&lt;"&amp;$B47,基因升级!K$141:K$500)</f>
        <v>0.7</v>
      </c>
      <c r="M47" s="4">
        <f>SUMIF(基因升级!$D$141:$D$500,"&lt;"&amp;$B47,基因升级!L$141:L$500)</f>
        <v>0.39</v>
      </c>
      <c r="N47" s="4">
        <f>SUMIF(基因升级!$D$141:$D$500,"&lt;"&amp;$B47,基因升级!M$141:M$500)</f>
        <v>0.028</v>
      </c>
      <c r="O47" s="4">
        <f>SUMIF(基因升级!$D$141:$D$500,"&lt;"&amp;$B47,基因升级!N$141:N$500)</f>
        <v>0.105</v>
      </c>
      <c r="R47" s="4">
        <v>41</v>
      </c>
      <c r="S47" s="4">
        <f>SUMIF(基因升级!$D$141:$D$500,"&lt;="&amp;$R47,基因升级!$U$141:$U$500)</f>
        <v>0</v>
      </c>
      <c r="T47" s="4">
        <f>SUMIF(基因升级!$D$141:$D$500,"&lt;="&amp;$R47,基因升级!J$141:J$500)</f>
        <v>756</v>
      </c>
      <c r="U47" s="4">
        <f>SUMIF(基因升级!$D$141:$D$500,"&lt;="&amp;$R47,基因升级!K$141:K$500)</f>
        <v>0.55</v>
      </c>
      <c r="V47" s="4">
        <f>SUMIF(基因升级!$D$141:$D$500,"&lt;="&amp;$R47,基因升级!L$141:L$500)</f>
        <v>0.3</v>
      </c>
      <c r="W47" s="4">
        <f>SUMIF(基因升级!$D$141:$D$500,"&lt;="&amp;$R47,基因升级!M$141:M$500)</f>
        <v>0.02</v>
      </c>
      <c r="X47" s="4">
        <f>SUMIF(基因升级!$D$141:$D$500,"&lt;="&amp;$R47,基因升级!N$141:N$500)</f>
        <v>0.075</v>
      </c>
    </row>
    <row r="48" ht="16.5" spans="1:24">
      <c r="A48" s="14">
        <v>42</v>
      </c>
      <c r="B48" s="4">
        <f>IFERROR(_xlfn.XLOOKUP(A48+1,基因升级!$E$141:$E$500,基因升级!$D$141:$D$500)-1,B47)</f>
        <v>56</v>
      </c>
      <c r="C48" s="4">
        <f>SUMIF(基因升级!$D$141:$D$500,"&lt;"&amp;$B48,基因升级!$U$141:$U$500)</f>
        <v>0</v>
      </c>
      <c r="D48" s="4"/>
      <c r="E48" s="4"/>
      <c r="F48" s="4"/>
      <c r="G48" s="4"/>
      <c r="H48" s="4"/>
      <c r="I48" s="4"/>
      <c r="J48" s="4"/>
      <c r="K48" s="4">
        <f>SUMIF(基因升级!$D$141:$D$500,"&lt;"&amp;$B48,基因升级!J$141:J$500)</f>
        <v>1302</v>
      </c>
      <c r="L48" s="4">
        <f>SUMIF(基因升级!$D$141:$D$500,"&lt;"&amp;$B48,基因升级!K$141:K$500)</f>
        <v>0.7</v>
      </c>
      <c r="M48" s="4">
        <f>SUMIF(基因升级!$D$141:$D$500,"&lt;"&amp;$B48,基因升级!L$141:L$500)</f>
        <v>0.39</v>
      </c>
      <c r="N48" s="4">
        <f>SUMIF(基因升级!$D$141:$D$500,"&lt;"&amp;$B48,基因升级!M$141:M$500)</f>
        <v>0.028</v>
      </c>
      <c r="O48" s="4">
        <f>SUMIF(基因升级!$D$141:$D$500,"&lt;"&amp;$B48,基因升级!N$141:N$500)</f>
        <v>0.105</v>
      </c>
      <c r="R48" s="4">
        <v>42</v>
      </c>
      <c r="S48" s="4">
        <f>SUMIF(基因升级!$D$141:$D$500,"&lt;="&amp;$R48,基因升级!$U$141:$U$500)</f>
        <v>0</v>
      </c>
      <c r="T48" s="4">
        <f>SUMIF(基因升级!$D$141:$D$500,"&lt;="&amp;$R48,基因升级!J$141:J$500)</f>
        <v>792</v>
      </c>
      <c r="U48" s="4">
        <f>SUMIF(基因升级!$D$141:$D$500,"&lt;="&amp;$R48,基因升级!K$141:K$500)</f>
        <v>0.55</v>
      </c>
      <c r="V48" s="4">
        <f>SUMIF(基因升级!$D$141:$D$500,"&lt;="&amp;$R48,基因升级!L$141:L$500)</f>
        <v>0.3</v>
      </c>
      <c r="W48" s="4">
        <f>SUMIF(基因升级!$D$141:$D$500,"&lt;="&amp;$R48,基因升级!M$141:M$500)</f>
        <v>0.02</v>
      </c>
      <c r="X48" s="4">
        <f>SUMIF(基因升级!$D$141:$D$500,"&lt;="&amp;$R48,基因升级!N$141:N$500)</f>
        <v>0.0825</v>
      </c>
    </row>
    <row r="49" ht="16.5" spans="1:24">
      <c r="A49" s="14">
        <v>43</v>
      </c>
      <c r="B49" s="4">
        <f>IFERROR(_xlfn.XLOOKUP(A49+1,基因升级!$E$141:$E$500,基因升级!$D$141:$D$500)-1,B48)</f>
        <v>57</v>
      </c>
      <c r="C49" s="4">
        <f>SUMIF(基因升级!$D$141:$D$500,"&lt;"&amp;$B49,基因升级!$U$141:$U$500)</f>
        <v>0</v>
      </c>
      <c r="D49" s="4"/>
      <c r="E49" s="4"/>
      <c r="F49" s="4"/>
      <c r="G49" s="4"/>
      <c r="H49" s="4"/>
      <c r="I49" s="4"/>
      <c r="J49" s="4"/>
      <c r="K49" s="4">
        <f>SUMIF(基因升级!$D$141:$D$500,"&lt;"&amp;$B49,基因升级!J$141:J$500)</f>
        <v>1344</v>
      </c>
      <c r="L49" s="4">
        <f>SUMIF(基因升级!$D$141:$D$500,"&lt;"&amp;$B49,基因升级!K$141:K$500)</f>
        <v>0.7</v>
      </c>
      <c r="M49" s="4">
        <f>SUMIF(基因升级!$D$141:$D$500,"&lt;"&amp;$B49,基因升级!L$141:L$500)</f>
        <v>0.42</v>
      </c>
      <c r="N49" s="4">
        <f>SUMIF(基因升级!$D$141:$D$500,"&lt;"&amp;$B49,基因升级!M$141:M$500)</f>
        <v>0.028</v>
      </c>
      <c r="O49" s="4">
        <f>SUMIF(基因升级!$D$141:$D$500,"&lt;"&amp;$B49,基因升级!N$141:N$500)</f>
        <v>0.105</v>
      </c>
      <c r="R49" s="4">
        <v>43</v>
      </c>
      <c r="S49" s="4">
        <f>SUMIF(基因升级!$D$141:$D$500,"&lt;="&amp;$R49,基因升级!$U$141:$U$500)</f>
        <v>0</v>
      </c>
      <c r="T49" s="4">
        <f>SUMIF(基因升级!$D$141:$D$500,"&lt;="&amp;$R49,基因升级!J$141:J$500)</f>
        <v>828</v>
      </c>
      <c r="U49" s="4">
        <f>SUMIF(基因升级!$D$141:$D$500,"&lt;="&amp;$R49,基因升级!K$141:K$500)</f>
        <v>0.55</v>
      </c>
      <c r="V49" s="4">
        <f>SUMIF(基因升级!$D$141:$D$500,"&lt;="&amp;$R49,基因升级!L$141:L$500)</f>
        <v>0.3</v>
      </c>
      <c r="W49" s="4">
        <f>SUMIF(基因升级!$D$141:$D$500,"&lt;="&amp;$R49,基因升级!M$141:M$500)</f>
        <v>0.022</v>
      </c>
      <c r="X49" s="4">
        <f>SUMIF(基因升级!$D$141:$D$500,"&lt;="&amp;$R49,基因升级!N$141:N$500)</f>
        <v>0.0825</v>
      </c>
    </row>
    <row r="50" ht="16.5" spans="1:24">
      <c r="A50" s="14">
        <v>44</v>
      </c>
      <c r="B50" s="4">
        <f>IFERROR(_xlfn.XLOOKUP(A50+1,基因升级!$E$141:$E$500,基因升级!$D$141:$D$500)-1,B49)</f>
        <v>57</v>
      </c>
      <c r="C50" s="4">
        <f>SUMIF(基因升级!$D$141:$D$500,"&lt;"&amp;$B50,基因升级!$U$141:$U$500)</f>
        <v>0</v>
      </c>
      <c r="D50" s="4"/>
      <c r="E50" s="4"/>
      <c r="F50" s="4"/>
      <c r="G50" s="4"/>
      <c r="H50" s="4"/>
      <c r="I50" s="4"/>
      <c r="J50" s="4"/>
      <c r="K50" s="4">
        <f>SUMIF(基因升级!$D$141:$D$500,"&lt;"&amp;$B50,基因升级!J$141:J$500)</f>
        <v>1344</v>
      </c>
      <c r="L50" s="4">
        <f>SUMIF(基因升级!$D$141:$D$500,"&lt;"&amp;$B50,基因升级!K$141:K$500)</f>
        <v>0.7</v>
      </c>
      <c r="M50" s="4">
        <f>SUMIF(基因升级!$D$141:$D$500,"&lt;"&amp;$B50,基因升级!L$141:L$500)</f>
        <v>0.42</v>
      </c>
      <c r="N50" s="4">
        <f>SUMIF(基因升级!$D$141:$D$500,"&lt;"&amp;$B50,基因升级!M$141:M$500)</f>
        <v>0.028</v>
      </c>
      <c r="O50" s="4">
        <f>SUMIF(基因升级!$D$141:$D$500,"&lt;"&amp;$B50,基因升级!N$141:N$500)</f>
        <v>0.105</v>
      </c>
      <c r="R50" s="4">
        <v>44</v>
      </c>
      <c r="S50" s="4">
        <f>SUMIF(基因升级!$D$141:$D$500,"&lt;="&amp;$R50,基因升级!$U$141:$U$500)</f>
        <v>0</v>
      </c>
      <c r="T50" s="4">
        <f>SUMIF(基因升级!$D$141:$D$500,"&lt;="&amp;$R50,基因升级!J$141:J$500)</f>
        <v>864</v>
      </c>
      <c r="U50" s="4">
        <f>SUMIF(基因升级!$D$141:$D$500,"&lt;="&amp;$R50,基因升级!K$141:K$500)</f>
        <v>0.55</v>
      </c>
      <c r="V50" s="4">
        <f>SUMIF(基因升级!$D$141:$D$500,"&lt;="&amp;$R50,基因升级!L$141:L$500)</f>
        <v>0.33</v>
      </c>
      <c r="W50" s="4">
        <f>SUMIF(基因升级!$D$141:$D$500,"&lt;="&amp;$R50,基因升级!M$141:M$500)</f>
        <v>0.022</v>
      </c>
      <c r="X50" s="4">
        <f>SUMIF(基因升级!$D$141:$D$500,"&lt;="&amp;$R50,基因升级!N$141:N$500)</f>
        <v>0.0825</v>
      </c>
    </row>
    <row r="51" ht="16.5" spans="1:24">
      <c r="A51" s="14">
        <v>45</v>
      </c>
      <c r="B51" s="4">
        <f>IFERROR(_xlfn.XLOOKUP(A51+1,基因升级!$E$141:$E$500,基因升级!$D$141:$D$500)-1,B50)</f>
        <v>58</v>
      </c>
      <c r="C51" s="4">
        <f>SUMIF(基因升级!$D$141:$D$500,"&lt;"&amp;$B51,基因升级!$U$141:$U$500)</f>
        <v>0</v>
      </c>
      <c r="D51" s="4"/>
      <c r="E51" s="4"/>
      <c r="F51" s="4"/>
      <c r="G51" s="4"/>
      <c r="H51" s="4"/>
      <c r="I51" s="4"/>
      <c r="J51" s="4"/>
      <c r="K51" s="4">
        <f>SUMIF(基因升级!$D$141:$D$500,"&lt;"&amp;$B51,基因升级!J$141:J$500)</f>
        <v>1392</v>
      </c>
      <c r="L51" s="4">
        <f>SUMIF(基因升级!$D$141:$D$500,"&lt;"&amp;$B51,基因升级!K$141:K$500)</f>
        <v>0.75</v>
      </c>
      <c r="M51" s="4">
        <f>SUMIF(基因升级!$D$141:$D$500,"&lt;"&amp;$B51,基因升级!L$141:L$500)</f>
        <v>0.42</v>
      </c>
      <c r="N51" s="4">
        <f>SUMIF(基因升级!$D$141:$D$500,"&lt;"&amp;$B51,基因升级!M$141:M$500)</f>
        <v>0.028</v>
      </c>
      <c r="O51" s="4">
        <f>SUMIF(基因升级!$D$141:$D$500,"&lt;"&amp;$B51,基因升级!N$141:N$500)</f>
        <v>0.105</v>
      </c>
      <c r="R51" s="4">
        <v>45</v>
      </c>
      <c r="S51" s="4">
        <f>SUMIF(基因升级!$D$141:$D$500,"&lt;="&amp;$R51,基因升级!$U$141:$U$500)</f>
        <v>0</v>
      </c>
      <c r="T51" s="4">
        <f>SUMIF(基因升级!$D$141:$D$500,"&lt;="&amp;$R51,基因升级!J$141:J$500)</f>
        <v>900</v>
      </c>
      <c r="U51" s="4">
        <f>SUMIF(基因升级!$D$141:$D$500,"&lt;="&amp;$R51,基因升级!K$141:K$500)</f>
        <v>0.6</v>
      </c>
      <c r="V51" s="4">
        <f>SUMIF(基因升级!$D$141:$D$500,"&lt;="&amp;$R51,基因升级!L$141:L$500)</f>
        <v>0.33</v>
      </c>
      <c r="W51" s="4">
        <f>SUMIF(基因升级!$D$141:$D$500,"&lt;="&amp;$R51,基因升级!M$141:M$500)</f>
        <v>0.022</v>
      </c>
      <c r="X51" s="4">
        <f>SUMIF(基因升级!$D$141:$D$500,"&lt;="&amp;$R51,基因升级!N$141:N$500)</f>
        <v>0.0825</v>
      </c>
    </row>
    <row r="52" ht="16.5" spans="1:24">
      <c r="A52" s="14">
        <v>46</v>
      </c>
      <c r="B52" s="4">
        <f>IFERROR(_xlfn.XLOOKUP(A52+1,基因升级!$E$141:$E$500,基因升级!$D$141:$D$500)-1,B51)</f>
        <v>58</v>
      </c>
      <c r="C52" s="4">
        <f>SUMIF(基因升级!$D$141:$D$500,"&lt;"&amp;$B52,基因升级!$U$141:$U$500)</f>
        <v>0</v>
      </c>
      <c r="D52" s="4"/>
      <c r="E52" s="4"/>
      <c r="F52" s="4"/>
      <c r="G52" s="4"/>
      <c r="H52" s="4"/>
      <c r="I52" s="4"/>
      <c r="J52" s="4"/>
      <c r="K52" s="4">
        <f>SUMIF(基因升级!$D$141:$D$500,"&lt;"&amp;$B52,基因升级!J$141:J$500)</f>
        <v>1392</v>
      </c>
      <c r="L52" s="4">
        <f>SUMIF(基因升级!$D$141:$D$500,"&lt;"&amp;$B52,基因升级!K$141:K$500)</f>
        <v>0.75</v>
      </c>
      <c r="M52" s="4">
        <f>SUMIF(基因升级!$D$141:$D$500,"&lt;"&amp;$B52,基因升级!L$141:L$500)</f>
        <v>0.42</v>
      </c>
      <c r="N52" s="4">
        <f>SUMIF(基因升级!$D$141:$D$500,"&lt;"&amp;$B52,基因升级!M$141:M$500)</f>
        <v>0.028</v>
      </c>
      <c r="O52" s="4">
        <f>SUMIF(基因升级!$D$141:$D$500,"&lt;"&amp;$B52,基因升级!N$141:N$500)</f>
        <v>0.105</v>
      </c>
      <c r="R52" s="4">
        <v>46</v>
      </c>
      <c r="S52" s="4">
        <f>SUMIF(基因升级!$D$141:$D$500,"&lt;="&amp;$R52,基因升级!$U$141:$U$500)</f>
        <v>0</v>
      </c>
      <c r="T52" s="4">
        <f>SUMIF(基因升级!$D$141:$D$500,"&lt;="&amp;$R52,基因升级!J$141:J$500)</f>
        <v>936</v>
      </c>
      <c r="U52" s="4">
        <f>SUMIF(基因升级!$D$141:$D$500,"&lt;="&amp;$R52,基因升级!K$141:K$500)</f>
        <v>0.6</v>
      </c>
      <c r="V52" s="4">
        <f>SUMIF(基因升级!$D$141:$D$500,"&lt;="&amp;$R52,基因升级!L$141:L$500)</f>
        <v>0.33</v>
      </c>
      <c r="W52" s="4">
        <f>SUMIF(基因升级!$D$141:$D$500,"&lt;="&amp;$R52,基因升级!M$141:M$500)</f>
        <v>0.022</v>
      </c>
      <c r="X52" s="4">
        <f>SUMIF(基因升级!$D$141:$D$500,"&lt;="&amp;$R52,基因升级!N$141:N$500)</f>
        <v>0.09</v>
      </c>
    </row>
    <row r="53" ht="16.5" spans="1:24">
      <c r="A53" s="14">
        <v>47</v>
      </c>
      <c r="B53" s="4">
        <f>IFERROR(_xlfn.XLOOKUP(A53+1,基因升级!$E$141:$E$500,基因升级!$D$141:$D$500)-1,B52)</f>
        <v>58</v>
      </c>
      <c r="C53" s="4">
        <f>SUMIF(基因升级!$D$141:$D$500,"&lt;"&amp;$B53,基因升级!$U$141:$U$500)</f>
        <v>0</v>
      </c>
      <c r="D53" s="4"/>
      <c r="E53" s="4"/>
      <c r="F53" s="4"/>
      <c r="G53" s="4"/>
      <c r="H53" s="4"/>
      <c r="I53" s="4"/>
      <c r="J53" s="4"/>
      <c r="K53" s="4">
        <f>SUMIF(基因升级!$D$141:$D$500,"&lt;"&amp;$B53,基因升级!J$141:J$500)</f>
        <v>1392</v>
      </c>
      <c r="L53" s="4">
        <f>SUMIF(基因升级!$D$141:$D$500,"&lt;"&amp;$B53,基因升级!K$141:K$500)</f>
        <v>0.75</v>
      </c>
      <c r="M53" s="4">
        <f>SUMIF(基因升级!$D$141:$D$500,"&lt;"&amp;$B53,基因升级!L$141:L$500)</f>
        <v>0.42</v>
      </c>
      <c r="N53" s="4">
        <f>SUMIF(基因升级!$D$141:$D$500,"&lt;"&amp;$B53,基因升级!M$141:M$500)</f>
        <v>0.028</v>
      </c>
      <c r="O53" s="4">
        <f>SUMIF(基因升级!$D$141:$D$500,"&lt;"&amp;$B53,基因升级!N$141:N$500)</f>
        <v>0.105</v>
      </c>
      <c r="R53" s="4">
        <v>47</v>
      </c>
      <c r="S53" s="4">
        <f>SUMIF(基因升级!$D$141:$D$500,"&lt;="&amp;$R53,基因升级!$U$141:$U$500)</f>
        <v>0</v>
      </c>
      <c r="T53" s="4">
        <f>SUMIF(基因升级!$D$141:$D$500,"&lt;="&amp;$R53,基因升级!J$141:J$500)</f>
        <v>972</v>
      </c>
      <c r="U53" s="4">
        <f>SUMIF(基因升级!$D$141:$D$500,"&lt;="&amp;$R53,基因升级!K$141:K$500)</f>
        <v>0.6</v>
      </c>
      <c r="V53" s="4">
        <f>SUMIF(基因升级!$D$141:$D$500,"&lt;="&amp;$R53,基因升级!L$141:L$500)</f>
        <v>0.33</v>
      </c>
      <c r="W53" s="4">
        <f>SUMIF(基因升级!$D$141:$D$500,"&lt;="&amp;$R53,基因升级!M$141:M$500)</f>
        <v>0.024</v>
      </c>
      <c r="X53" s="4">
        <f>SUMIF(基因升级!$D$141:$D$500,"&lt;="&amp;$R53,基因升级!N$141:N$500)</f>
        <v>0.09</v>
      </c>
    </row>
    <row r="54" ht="16.5" spans="1:24">
      <c r="A54" s="14">
        <v>48</v>
      </c>
      <c r="B54" s="4">
        <f>IFERROR(_xlfn.XLOOKUP(A54+1,基因升级!$E$141:$E$500,基因升级!$D$141:$D$500)-1,B53)</f>
        <v>59</v>
      </c>
      <c r="C54" s="4">
        <f>SUMIF(基因升级!$D$141:$D$500,"&lt;"&amp;$B54,基因升级!$U$141:$U$500)</f>
        <v>0</v>
      </c>
      <c r="D54" s="4"/>
      <c r="E54" s="4"/>
      <c r="F54" s="4"/>
      <c r="G54" s="4"/>
      <c r="H54" s="4"/>
      <c r="I54" s="4"/>
      <c r="J54" s="4"/>
      <c r="K54" s="4">
        <f>SUMIF(基因升级!$D$141:$D$500,"&lt;"&amp;$B54,基因升级!J$141:J$500)</f>
        <v>1440</v>
      </c>
      <c r="L54" s="4">
        <f>SUMIF(基因升级!$D$141:$D$500,"&lt;"&amp;$B54,基因升级!K$141:K$500)</f>
        <v>0.75</v>
      </c>
      <c r="M54" s="4">
        <f>SUMIF(基因升级!$D$141:$D$500,"&lt;"&amp;$B54,基因升级!L$141:L$500)</f>
        <v>0.42</v>
      </c>
      <c r="N54" s="4">
        <f>SUMIF(基因升级!$D$141:$D$500,"&lt;"&amp;$B54,基因升级!M$141:M$500)</f>
        <v>0.028</v>
      </c>
      <c r="O54" s="4">
        <f>SUMIF(基因升级!$D$141:$D$500,"&lt;"&amp;$B54,基因升级!N$141:N$500)</f>
        <v>0.1125</v>
      </c>
      <c r="R54" s="4">
        <v>48</v>
      </c>
      <c r="S54" s="4">
        <f>SUMIF(基因升级!$D$141:$D$500,"&lt;="&amp;$R54,基因升级!$U$141:$U$500)</f>
        <v>0</v>
      </c>
      <c r="T54" s="4">
        <f>SUMIF(基因升级!$D$141:$D$500,"&lt;="&amp;$R54,基因升级!J$141:J$500)</f>
        <v>1008</v>
      </c>
      <c r="U54" s="4">
        <f>SUMIF(基因升级!$D$141:$D$500,"&lt;="&amp;$R54,基因升级!K$141:K$500)</f>
        <v>0.6</v>
      </c>
      <c r="V54" s="4">
        <f>SUMIF(基因升级!$D$141:$D$500,"&lt;="&amp;$R54,基因升级!L$141:L$500)</f>
        <v>0.36</v>
      </c>
      <c r="W54" s="4">
        <f>SUMIF(基因升级!$D$141:$D$500,"&lt;="&amp;$R54,基因升级!M$141:M$500)</f>
        <v>0.024</v>
      </c>
      <c r="X54" s="4">
        <f>SUMIF(基因升级!$D$141:$D$500,"&lt;="&amp;$R54,基因升级!N$141:N$500)</f>
        <v>0.09</v>
      </c>
    </row>
    <row r="55" ht="16.5" spans="1:24">
      <c r="A55" s="14">
        <v>49</v>
      </c>
      <c r="B55" s="4">
        <f>IFERROR(_xlfn.XLOOKUP(A55+1,基因升级!$E$141:$E$500,基因升级!$D$141:$D$500)-1,B54)</f>
        <v>59</v>
      </c>
      <c r="C55" s="4">
        <f>SUMIF(基因升级!$D$141:$D$500,"&lt;"&amp;$B55,基因升级!$U$141:$U$500)</f>
        <v>0</v>
      </c>
      <c r="D55" s="4"/>
      <c r="E55" s="4"/>
      <c r="F55" s="4"/>
      <c r="G55" s="4"/>
      <c r="H55" s="4"/>
      <c r="I55" s="4"/>
      <c r="J55" s="4"/>
      <c r="K55" s="4">
        <f>SUMIF(基因升级!$D$141:$D$500,"&lt;"&amp;$B55,基因升级!J$141:J$500)</f>
        <v>1440</v>
      </c>
      <c r="L55" s="4">
        <f>SUMIF(基因升级!$D$141:$D$500,"&lt;"&amp;$B55,基因升级!K$141:K$500)</f>
        <v>0.75</v>
      </c>
      <c r="M55" s="4">
        <f>SUMIF(基因升级!$D$141:$D$500,"&lt;"&amp;$B55,基因升级!L$141:L$500)</f>
        <v>0.42</v>
      </c>
      <c r="N55" s="4">
        <f>SUMIF(基因升级!$D$141:$D$500,"&lt;"&amp;$B55,基因升级!M$141:M$500)</f>
        <v>0.028</v>
      </c>
      <c r="O55" s="4">
        <f>SUMIF(基因升级!$D$141:$D$500,"&lt;"&amp;$B55,基因升级!N$141:N$500)</f>
        <v>0.1125</v>
      </c>
      <c r="R55" s="4">
        <v>49</v>
      </c>
      <c r="S55" s="4">
        <f>SUMIF(基因升级!$D$141:$D$500,"&lt;="&amp;$R55,基因升级!$U$141:$U$500)</f>
        <v>0</v>
      </c>
      <c r="T55" s="4">
        <f>SUMIF(基因升级!$D$141:$D$500,"&lt;="&amp;$R55,基因升级!J$141:J$500)</f>
        <v>1050</v>
      </c>
      <c r="U55" s="4">
        <f>SUMIF(基因升级!$D$141:$D$500,"&lt;="&amp;$R55,基因升级!K$141:K$500)</f>
        <v>0.65</v>
      </c>
      <c r="V55" s="4">
        <f>SUMIF(基因升级!$D$141:$D$500,"&lt;="&amp;$R55,基因升级!L$141:L$500)</f>
        <v>0.36</v>
      </c>
      <c r="W55" s="4">
        <f>SUMIF(基因升级!$D$141:$D$500,"&lt;="&amp;$R55,基因升级!M$141:M$500)</f>
        <v>0.024</v>
      </c>
      <c r="X55" s="4">
        <f>SUMIF(基因升级!$D$141:$D$500,"&lt;="&amp;$R55,基因升级!N$141:N$500)</f>
        <v>0.09</v>
      </c>
    </row>
    <row r="56" ht="16.5" spans="1:24">
      <c r="A56" s="14">
        <v>50</v>
      </c>
      <c r="B56" s="4">
        <f>IFERROR(_xlfn.XLOOKUP(A56+1,基因升级!$E$141:$E$500,基因升级!$D$141:$D$500)-1,B55)</f>
        <v>59</v>
      </c>
      <c r="C56" s="4">
        <f>SUMIF(基因升级!$D$141:$D$500,"&lt;"&amp;$B56,基因升级!$U$141:$U$500)</f>
        <v>0</v>
      </c>
      <c r="D56" s="4"/>
      <c r="E56" s="4"/>
      <c r="F56" s="4"/>
      <c r="G56" s="4"/>
      <c r="H56" s="4"/>
      <c r="I56" s="4"/>
      <c r="J56" s="4"/>
      <c r="K56" s="4">
        <f>SUMIF(基因升级!$D$141:$D$500,"&lt;"&amp;$B56,基因升级!J$141:J$500)</f>
        <v>1440</v>
      </c>
      <c r="L56" s="4">
        <f>SUMIF(基因升级!$D$141:$D$500,"&lt;"&amp;$B56,基因升级!K$141:K$500)</f>
        <v>0.75</v>
      </c>
      <c r="M56" s="4">
        <f>SUMIF(基因升级!$D$141:$D$500,"&lt;"&amp;$B56,基因升级!L$141:L$500)</f>
        <v>0.42</v>
      </c>
      <c r="N56" s="4">
        <f>SUMIF(基因升级!$D$141:$D$500,"&lt;"&amp;$B56,基因升级!M$141:M$500)</f>
        <v>0.028</v>
      </c>
      <c r="O56" s="4">
        <f>SUMIF(基因升级!$D$141:$D$500,"&lt;"&amp;$B56,基因升级!N$141:N$500)</f>
        <v>0.1125</v>
      </c>
      <c r="R56" s="4">
        <v>50</v>
      </c>
      <c r="S56" s="4">
        <f>SUMIF(基因升级!$D$141:$D$500,"&lt;="&amp;$R56,基因升级!$U$141:$U$500)</f>
        <v>0</v>
      </c>
      <c r="T56" s="4">
        <f>SUMIF(基因升级!$D$141:$D$500,"&lt;="&amp;$R56,基因升级!J$141:J$500)</f>
        <v>1092</v>
      </c>
      <c r="U56" s="4">
        <f>SUMIF(基因升级!$D$141:$D$500,"&lt;="&amp;$R56,基因升级!K$141:K$500)</f>
        <v>0.65</v>
      </c>
      <c r="V56" s="4">
        <f>SUMIF(基因升级!$D$141:$D$500,"&lt;="&amp;$R56,基因升级!L$141:L$500)</f>
        <v>0.36</v>
      </c>
      <c r="W56" s="4">
        <f>SUMIF(基因升级!$D$141:$D$500,"&lt;="&amp;$R56,基因升级!M$141:M$500)</f>
        <v>0.024</v>
      </c>
      <c r="X56" s="4">
        <f>SUMIF(基因升级!$D$141:$D$500,"&lt;="&amp;$R56,基因升级!N$141:N$500)</f>
        <v>0.0975</v>
      </c>
    </row>
    <row r="57" ht="16.5" spans="1:24">
      <c r="A57" s="14">
        <v>51</v>
      </c>
      <c r="B57" s="4">
        <f>IFERROR(_xlfn.XLOOKUP(A57+1,基因升级!$E$141:$E$500,基因升级!$D$141:$D$500)-1,B56)</f>
        <v>60</v>
      </c>
      <c r="C57" s="4">
        <f>SUMIF(基因升级!$D$141:$D$500,"&lt;"&amp;$B57,基因升级!$U$141:$U$500)</f>
        <v>0</v>
      </c>
      <c r="D57" s="4"/>
      <c r="E57" s="4"/>
      <c r="F57" s="4"/>
      <c r="G57" s="4"/>
      <c r="H57" s="4"/>
      <c r="I57" s="4"/>
      <c r="J57" s="4"/>
      <c r="K57" s="4">
        <f>SUMIF(基因升级!$D$141:$D$500,"&lt;"&amp;$B57,基因升级!J$141:J$500)</f>
        <v>1488</v>
      </c>
      <c r="L57" s="4">
        <f>SUMIF(基因升级!$D$141:$D$500,"&lt;"&amp;$B57,基因升级!K$141:K$500)</f>
        <v>0.75</v>
      </c>
      <c r="M57" s="4">
        <f>SUMIF(基因升级!$D$141:$D$500,"&lt;"&amp;$B57,基因升级!L$141:L$500)</f>
        <v>0.42</v>
      </c>
      <c r="N57" s="4">
        <f>SUMIF(基因升级!$D$141:$D$500,"&lt;"&amp;$B57,基因升级!M$141:M$500)</f>
        <v>0.03</v>
      </c>
      <c r="O57" s="4">
        <f>SUMIF(基因升级!$D$141:$D$500,"&lt;"&amp;$B57,基因升级!N$141:N$500)</f>
        <v>0.1125</v>
      </c>
      <c r="R57" s="4">
        <v>51</v>
      </c>
      <c r="S57" s="4">
        <f>SUMIF(基因升级!$D$141:$D$500,"&lt;="&amp;$R57,基因升级!$U$141:$U$500)</f>
        <v>0</v>
      </c>
      <c r="T57" s="4">
        <f>SUMIF(基因升级!$D$141:$D$500,"&lt;="&amp;$R57,基因升级!J$141:J$500)</f>
        <v>1134</v>
      </c>
      <c r="U57" s="4">
        <f>SUMIF(基因升级!$D$141:$D$500,"&lt;="&amp;$R57,基因升级!K$141:K$500)</f>
        <v>0.65</v>
      </c>
      <c r="V57" s="4">
        <f>SUMIF(基因升级!$D$141:$D$500,"&lt;="&amp;$R57,基因升级!L$141:L$500)</f>
        <v>0.36</v>
      </c>
      <c r="W57" s="4">
        <f>SUMIF(基因升级!$D$141:$D$500,"&lt;="&amp;$R57,基因升级!M$141:M$500)</f>
        <v>0.026</v>
      </c>
      <c r="X57" s="4">
        <f>SUMIF(基因升级!$D$141:$D$500,"&lt;="&amp;$R57,基因升级!N$141:N$500)</f>
        <v>0.0975</v>
      </c>
    </row>
    <row r="58" ht="16.5" spans="1:24">
      <c r="A58" s="14">
        <v>52</v>
      </c>
      <c r="B58" s="4">
        <f>IFERROR(_xlfn.XLOOKUP(A58+1,基因升级!$E$141:$E$500,基因升级!$D$141:$D$500)-1,B57)</f>
        <v>60</v>
      </c>
      <c r="C58" s="4">
        <f>SUMIF(基因升级!$D$141:$D$500,"&lt;"&amp;$B58,基因升级!$U$141:$U$500)</f>
        <v>0</v>
      </c>
      <c r="D58" s="4"/>
      <c r="E58" s="4"/>
      <c r="F58" s="4"/>
      <c r="G58" s="4"/>
      <c r="H58" s="4"/>
      <c r="I58" s="4"/>
      <c r="J58" s="4"/>
      <c r="K58" s="4">
        <f>SUMIF(基因升级!$D$141:$D$500,"&lt;"&amp;$B58,基因升级!J$141:J$500)</f>
        <v>1488</v>
      </c>
      <c r="L58" s="4">
        <f>SUMIF(基因升级!$D$141:$D$500,"&lt;"&amp;$B58,基因升级!K$141:K$500)</f>
        <v>0.75</v>
      </c>
      <c r="M58" s="4">
        <f>SUMIF(基因升级!$D$141:$D$500,"&lt;"&amp;$B58,基因升级!L$141:L$500)</f>
        <v>0.42</v>
      </c>
      <c r="N58" s="4">
        <f>SUMIF(基因升级!$D$141:$D$500,"&lt;"&amp;$B58,基因升级!M$141:M$500)</f>
        <v>0.03</v>
      </c>
      <c r="O58" s="4">
        <f>SUMIF(基因升级!$D$141:$D$500,"&lt;"&amp;$B58,基因升级!N$141:N$500)</f>
        <v>0.1125</v>
      </c>
      <c r="R58" s="4">
        <v>52</v>
      </c>
      <c r="S58" s="4">
        <f>SUMIF(基因升级!$D$141:$D$500,"&lt;="&amp;$R58,基因升级!$U$141:$U$500)</f>
        <v>0</v>
      </c>
      <c r="T58" s="4">
        <f>SUMIF(基因升级!$D$141:$D$500,"&lt;="&amp;$R58,基因升级!J$141:J$500)</f>
        <v>1176</v>
      </c>
      <c r="U58" s="4">
        <f>SUMIF(基因升级!$D$141:$D$500,"&lt;="&amp;$R58,基因升级!K$141:K$500)</f>
        <v>0.65</v>
      </c>
      <c r="V58" s="4">
        <f>SUMIF(基因升级!$D$141:$D$500,"&lt;="&amp;$R58,基因升级!L$141:L$500)</f>
        <v>0.39</v>
      </c>
      <c r="W58" s="4">
        <f>SUMIF(基因升级!$D$141:$D$500,"&lt;="&amp;$R58,基因升级!M$141:M$500)</f>
        <v>0.026</v>
      </c>
      <c r="X58" s="4">
        <f>SUMIF(基因升级!$D$141:$D$500,"&lt;="&amp;$R58,基因升级!N$141:N$500)</f>
        <v>0.0975</v>
      </c>
    </row>
    <row r="59" ht="16.5" spans="1:24">
      <c r="A59" s="14">
        <v>53</v>
      </c>
      <c r="B59" s="4">
        <f>IFERROR(_xlfn.XLOOKUP(A59+1,基因升级!$E$141:$E$500,基因升级!$D$141:$D$500)-1,B58)</f>
        <v>60</v>
      </c>
      <c r="C59" s="4">
        <f>SUMIF(基因升级!$D$141:$D$500,"&lt;"&amp;$B59,基因升级!$U$141:$U$500)</f>
        <v>0</v>
      </c>
      <c r="D59" s="4"/>
      <c r="E59" s="4"/>
      <c r="F59" s="4"/>
      <c r="G59" s="4"/>
      <c r="H59" s="4"/>
      <c r="I59" s="4"/>
      <c r="J59" s="4"/>
      <c r="K59" s="4">
        <f>SUMIF(基因升级!$D$141:$D$500,"&lt;"&amp;$B59,基因升级!J$141:J$500)</f>
        <v>1488</v>
      </c>
      <c r="L59" s="4">
        <f>SUMIF(基因升级!$D$141:$D$500,"&lt;"&amp;$B59,基因升级!K$141:K$500)</f>
        <v>0.75</v>
      </c>
      <c r="M59" s="4">
        <f>SUMIF(基因升级!$D$141:$D$500,"&lt;"&amp;$B59,基因升级!L$141:L$500)</f>
        <v>0.42</v>
      </c>
      <c r="N59" s="4">
        <f>SUMIF(基因升级!$D$141:$D$500,"&lt;"&amp;$B59,基因升级!M$141:M$500)</f>
        <v>0.03</v>
      </c>
      <c r="O59" s="4">
        <f>SUMIF(基因升级!$D$141:$D$500,"&lt;"&amp;$B59,基因升级!N$141:N$500)</f>
        <v>0.1125</v>
      </c>
      <c r="R59" s="4">
        <v>53</v>
      </c>
      <c r="S59" s="4">
        <f>SUMIF(基因升级!$D$141:$D$500,"&lt;="&amp;$R59,基因升级!$U$141:$U$500)</f>
        <v>0</v>
      </c>
      <c r="T59" s="4">
        <f>SUMIF(基因升级!$D$141:$D$500,"&lt;="&amp;$R59,基因升级!J$141:J$500)</f>
        <v>1218</v>
      </c>
      <c r="U59" s="4">
        <f>SUMIF(基因升级!$D$141:$D$500,"&lt;="&amp;$R59,基因升级!K$141:K$500)</f>
        <v>0.7</v>
      </c>
      <c r="V59" s="4">
        <f>SUMIF(基因升级!$D$141:$D$500,"&lt;="&amp;$R59,基因升级!L$141:L$500)</f>
        <v>0.39</v>
      </c>
      <c r="W59" s="4">
        <f>SUMIF(基因升级!$D$141:$D$500,"&lt;="&amp;$R59,基因升级!M$141:M$500)</f>
        <v>0.026</v>
      </c>
      <c r="X59" s="4">
        <f>SUMIF(基因升级!$D$141:$D$500,"&lt;="&amp;$R59,基因升级!N$141:N$500)</f>
        <v>0.0975</v>
      </c>
    </row>
    <row r="60" ht="16.5" spans="1:24">
      <c r="A60" s="14">
        <v>54</v>
      </c>
      <c r="B60" s="4">
        <f>IFERROR(_xlfn.XLOOKUP(A60+1,基因升级!$E$141:$E$500,基因升级!$D$141:$D$500)-1,B59)</f>
        <v>61</v>
      </c>
      <c r="C60" s="4">
        <f>SUMIF(基因升级!$D$141:$D$500,"&lt;"&amp;$B60,基因升级!$U$141:$U$500)</f>
        <v>0</v>
      </c>
      <c r="D60" s="4"/>
      <c r="E60" s="4"/>
      <c r="F60" s="4"/>
      <c r="G60" s="4"/>
      <c r="H60" s="4"/>
      <c r="I60" s="4"/>
      <c r="J60" s="4"/>
      <c r="K60" s="4">
        <f>SUMIF(基因升级!$D$141:$D$500,"&lt;"&amp;$B60,基因升级!J$141:J$500)</f>
        <v>1536</v>
      </c>
      <c r="L60" s="4">
        <f>SUMIF(基因升级!$D$141:$D$500,"&lt;"&amp;$B60,基因升级!K$141:K$500)</f>
        <v>0.75</v>
      </c>
      <c r="M60" s="4">
        <f>SUMIF(基因升级!$D$141:$D$500,"&lt;"&amp;$B60,基因升级!L$141:L$500)</f>
        <v>0.45</v>
      </c>
      <c r="N60" s="4">
        <f>SUMIF(基因升级!$D$141:$D$500,"&lt;"&amp;$B60,基因升级!M$141:M$500)</f>
        <v>0.03</v>
      </c>
      <c r="O60" s="4">
        <f>SUMIF(基因升级!$D$141:$D$500,"&lt;"&amp;$B60,基因升级!N$141:N$500)</f>
        <v>0.1125</v>
      </c>
      <c r="R60" s="4">
        <v>54</v>
      </c>
      <c r="S60" s="4">
        <f>SUMIF(基因升级!$D$141:$D$500,"&lt;="&amp;$R60,基因升级!$U$141:$U$500)</f>
        <v>0</v>
      </c>
      <c r="T60" s="4">
        <f>SUMIF(基因升级!$D$141:$D$500,"&lt;="&amp;$R60,基因升级!J$141:J$500)</f>
        <v>1260</v>
      </c>
      <c r="U60" s="4">
        <f>SUMIF(基因升级!$D$141:$D$500,"&lt;="&amp;$R60,基因升级!K$141:K$500)</f>
        <v>0.7</v>
      </c>
      <c r="V60" s="4">
        <f>SUMIF(基因升级!$D$141:$D$500,"&lt;="&amp;$R60,基因升级!L$141:L$500)</f>
        <v>0.39</v>
      </c>
      <c r="W60" s="4">
        <f>SUMIF(基因升级!$D$141:$D$500,"&lt;="&amp;$R60,基因升级!M$141:M$500)</f>
        <v>0.026</v>
      </c>
      <c r="X60" s="4">
        <f>SUMIF(基因升级!$D$141:$D$500,"&lt;="&amp;$R60,基因升级!N$141:N$500)</f>
        <v>0.105</v>
      </c>
    </row>
    <row r="61" ht="16.5" spans="1:24">
      <c r="A61" s="14">
        <v>55</v>
      </c>
      <c r="B61" s="4">
        <f>IFERROR(_xlfn.XLOOKUP(A61+1,基因升级!$E$141:$E$500,基因升级!$D$141:$D$500)-1,B60)</f>
        <v>61</v>
      </c>
      <c r="C61" s="4">
        <f>SUMIF(基因升级!$D$141:$D$500,"&lt;"&amp;$B61,基因升级!$U$141:$U$500)</f>
        <v>0</v>
      </c>
      <c r="D61" s="4"/>
      <c r="E61" s="4"/>
      <c r="F61" s="4"/>
      <c r="G61" s="4"/>
      <c r="H61" s="4"/>
      <c r="I61" s="4"/>
      <c r="J61" s="4"/>
      <c r="K61" s="4">
        <f>SUMIF(基因升级!$D$141:$D$500,"&lt;"&amp;$B61,基因升级!J$141:J$500)</f>
        <v>1536</v>
      </c>
      <c r="L61" s="4">
        <f>SUMIF(基因升级!$D$141:$D$500,"&lt;"&amp;$B61,基因升级!K$141:K$500)</f>
        <v>0.75</v>
      </c>
      <c r="M61" s="4">
        <f>SUMIF(基因升级!$D$141:$D$500,"&lt;"&amp;$B61,基因升级!L$141:L$500)</f>
        <v>0.45</v>
      </c>
      <c r="N61" s="4">
        <f>SUMIF(基因升级!$D$141:$D$500,"&lt;"&amp;$B61,基因升级!M$141:M$500)</f>
        <v>0.03</v>
      </c>
      <c r="O61" s="4">
        <f>SUMIF(基因升级!$D$141:$D$500,"&lt;"&amp;$B61,基因升级!N$141:N$500)</f>
        <v>0.1125</v>
      </c>
      <c r="R61" s="4">
        <v>55</v>
      </c>
      <c r="S61" s="4">
        <f>SUMIF(基因升级!$D$141:$D$500,"&lt;="&amp;$R61,基因升级!$U$141:$U$500)</f>
        <v>0</v>
      </c>
      <c r="T61" s="4">
        <f>SUMIF(基因升级!$D$141:$D$500,"&lt;="&amp;$R61,基因升级!J$141:J$500)</f>
        <v>1302</v>
      </c>
      <c r="U61" s="4">
        <f>SUMIF(基因升级!$D$141:$D$500,"&lt;="&amp;$R61,基因升级!K$141:K$500)</f>
        <v>0.7</v>
      </c>
      <c r="V61" s="4">
        <f>SUMIF(基因升级!$D$141:$D$500,"&lt;="&amp;$R61,基因升级!L$141:L$500)</f>
        <v>0.39</v>
      </c>
      <c r="W61" s="4">
        <f>SUMIF(基因升级!$D$141:$D$500,"&lt;="&amp;$R61,基因升级!M$141:M$500)</f>
        <v>0.028</v>
      </c>
      <c r="X61" s="4">
        <f>SUMIF(基因升级!$D$141:$D$500,"&lt;="&amp;$R61,基因升级!N$141:N$500)</f>
        <v>0.105</v>
      </c>
    </row>
    <row r="62" ht="16.5" spans="1:24">
      <c r="A62" s="14">
        <v>56</v>
      </c>
      <c r="B62" s="4">
        <f>IFERROR(_xlfn.XLOOKUP(A62+1,基因升级!$E$141:$E$500,基因升级!$D$141:$D$500)-1,B61)</f>
        <v>62</v>
      </c>
      <c r="C62" s="4">
        <f>SUMIF(基因升级!$D$141:$D$500,"&lt;"&amp;$B62,基因升级!$U$141:$U$500)</f>
        <v>0</v>
      </c>
      <c r="D62" s="4"/>
      <c r="E62" s="4"/>
      <c r="F62" s="4"/>
      <c r="G62" s="4"/>
      <c r="H62" s="4"/>
      <c r="I62" s="4"/>
      <c r="J62" s="4"/>
      <c r="K62" s="4">
        <f>SUMIF(基因升级!$D$141:$D$500,"&lt;"&amp;$B62,基因升级!J$141:J$500)</f>
        <v>1584</v>
      </c>
      <c r="L62" s="4">
        <f>SUMIF(基因升级!$D$141:$D$500,"&lt;"&amp;$B62,基因升级!K$141:K$500)</f>
        <v>0.8</v>
      </c>
      <c r="M62" s="4">
        <f>SUMIF(基因升级!$D$141:$D$500,"&lt;"&amp;$B62,基因升级!L$141:L$500)</f>
        <v>0.45</v>
      </c>
      <c r="N62" s="4">
        <f>SUMIF(基因升级!$D$141:$D$500,"&lt;"&amp;$B62,基因升级!M$141:M$500)</f>
        <v>0.03</v>
      </c>
      <c r="O62" s="4">
        <f>SUMIF(基因升级!$D$141:$D$500,"&lt;"&amp;$B62,基因升级!N$141:N$500)</f>
        <v>0.1125</v>
      </c>
      <c r="R62" s="4">
        <v>56</v>
      </c>
      <c r="S62" s="4">
        <f>SUMIF(基因升级!$D$141:$D$500,"&lt;="&amp;$R62,基因升级!$U$141:$U$500)</f>
        <v>0</v>
      </c>
      <c r="T62" s="4">
        <f>SUMIF(基因升级!$D$141:$D$500,"&lt;="&amp;$R62,基因升级!J$141:J$500)</f>
        <v>1344</v>
      </c>
      <c r="U62" s="4">
        <f>SUMIF(基因升级!$D$141:$D$500,"&lt;="&amp;$R62,基因升级!K$141:K$500)</f>
        <v>0.7</v>
      </c>
      <c r="V62" s="4">
        <f>SUMIF(基因升级!$D$141:$D$500,"&lt;="&amp;$R62,基因升级!L$141:L$500)</f>
        <v>0.42</v>
      </c>
      <c r="W62" s="4">
        <f>SUMIF(基因升级!$D$141:$D$500,"&lt;="&amp;$R62,基因升级!M$141:M$500)</f>
        <v>0.028</v>
      </c>
      <c r="X62" s="4">
        <f>SUMIF(基因升级!$D$141:$D$500,"&lt;="&amp;$R62,基因升级!N$141:N$500)</f>
        <v>0.105</v>
      </c>
    </row>
    <row r="63" ht="16.5" spans="1:24">
      <c r="A63" s="14">
        <v>57</v>
      </c>
      <c r="B63" s="4">
        <f>IFERROR(_xlfn.XLOOKUP(A63+1,基因升级!$E$141:$E$500,基因升级!$D$141:$D$500)-1,B62)</f>
        <v>62</v>
      </c>
      <c r="C63" s="4">
        <f>SUMIF(基因升级!$D$141:$D$500,"&lt;"&amp;$B63,基因升级!$U$141:$U$500)</f>
        <v>0</v>
      </c>
      <c r="D63" s="4"/>
      <c r="E63" s="4"/>
      <c r="F63" s="4"/>
      <c r="G63" s="4"/>
      <c r="H63" s="4"/>
      <c r="I63" s="4"/>
      <c r="J63" s="4"/>
      <c r="K63" s="4">
        <f>SUMIF(基因升级!$D$141:$D$500,"&lt;"&amp;$B63,基因升级!J$141:J$500)</f>
        <v>1584</v>
      </c>
      <c r="L63" s="4">
        <f>SUMIF(基因升级!$D$141:$D$500,"&lt;"&amp;$B63,基因升级!K$141:K$500)</f>
        <v>0.8</v>
      </c>
      <c r="M63" s="4">
        <f>SUMIF(基因升级!$D$141:$D$500,"&lt;"&amp;$B63,基因升级!L$141:L$500)</f>
        <v>0.45</v>
      </c>
      <c r="N63" s="4">
        <f>SUMIF(基因升级!$D$141:$D$500,"&lt;"&amp;$B63,基因升级!M$141:M$500)</f>
        <v>0.03</v>
      </c>
      <c r="O63" s="4">
        <f>SUMIF(基因升级!$D$141:$D$500,"&lt;"&amp;$B63,基因升级!N$141:N$500)</f>
        <v>0.1125</v>
      </c>
      <c r="R63" s="4">
        <v>57</v>
      </c>
      <c r="S63" s="4">
        <f>SUMIF(基因升级!$D$141:$D$500,"&lt;="&amp;$R63,基因升级!$U$141:$U$500)</f>
        <v>0</v>
      </c>
      <c r="T63" s="4">
        <f>SUMIF(基因升级!$D$141:$D$500,"&lt;="&amp;$R63,基因升级!J$141:J$500)</f>
        <v>1392</v>
      </c>
      <c r="U63" s="4">
        <f>SUMIF(基因升级!$D$141:$D$500,"&lt;="&amp;$R63,基因升级!K$141:K$500)</f>
        <v>0.75</v>
      </c>
      <c r="V63" s="4">
        <f>SUMIF(基因升级!$D$141:$D$500,"&lt;="&amp;$R63,基因升级!L$141:L$500)</f>
        <v>0.42</v>
      </c>
      <c r="W63" s="4">
        <f>SUMIF(基因升级!$D$141:$D$500,"&lt;="&amp;$R63,基因升级!M$141:M$500)</f>
        <v>0.028</v>
      </c>
      <c r="X63" s="4">
        <f>SUMIF(基因升级!$D$141:$D$500,"&lt;="&amp;$R63,基因升级!N$141:N$500)</f>
        <v>0.105</v>
      </c>
    </row>
    <row r="64" ht="16.5" spans="1:24">
      <c r="A64" s="14">
        <v>58</v>
      </c>
      <c r="B64" s="4">
        <f>IFERROR(_xlfn.XLOOKUP(A64+1,基因升级!$E$141:$E$500,基因升级!$D$141:$D$500)-1,B63)</f>
        <v>62</v>
      </c>
      <c r="C64" s="4">
        <f>SUMIF(基因升级!$D$141:$D$500,"&lt;"&amp;$B64,基因升级!$U$141:$U$500)</f>
        <v>0</v>
      </c>
      <c r="D64" s="4"/>
      <c r="E64" s="4"/>
      <c r="F64" s="4"/>
      <c r="G64" s="4"/>
      <c r="H64" s="4"/>
      <c r="I64" s="4"/>
      <c r="J64" s="4"/>
      <c r="K64" s="4">
        <f>SUMIF(基因升级!$D$141:$D$500,"&lt;"&amp;$B64,基因升级!J$141:J$500)</f>
        <v>1584</v>
      </c>
      <c r="L64" s="4">
        <f>SUMIF(基因升级!$D$141:$D$500,"&lt;"&amp;$B64,基因升级!K$141:K$500)</f>
        <v>0.8</v>
      </c>
      <c r="M64" s="4">
        <f>SUMIF(基因升级!$D$141:$D$500,"&lt;"&amp;$B64,基因升级!L$141:L$500)</f>
        <v>0.45</v>
      </c>
      <c r="N64" s="4">
        <f>SUMIF(基因升级!$D$141:$D$500,"&lt;"&amp;$B64,基因升级!M$141:M$500)</f>
        <v>0.03</v>
      </c>
      <c r="O64" s="4">
        <f>SUMIF(基因升级!$D$141:$D$500,"&lt;"&amp;$B64,基因升级!N$141:N$500)</f>
        <v>0.1125</v>
      </c>
      <c r="R64" s="4">
        <v>58</v>
      </c>
      <c r="S64" s="4">
        <f>SUMIF(基因升级!$D$141:$D$500,"&lt;="&amp;$R64,基因升级!$U$141:$U$500)</f>
        <v>0</v>
      </c>
      <c r="T64" s="4">
        <f>SUMIF(基因升级!$D$141:$D$500,"&lt;="&amp;$R64,基因升级!J$141:J$500)</f>
        <v>1440</v>
      </c>
      <c r="U64" s="4">
        <f>SUMIF(基因升级!$D$141:$D$500,"&lt;="&amp;$R64,基因升级!K$141:K$500)</f>
        <v>0.75</v>
      </c>
      <c r="V64" s="4">
        <f>SUMIF(基因升级!$D$141:$D$500,"&lt;="&amp;$R64,基因升级!L$141:L$500)</f>
        <v>0.42</v>
      </c>
      <c r="W64" s="4">
        <f>SUMIF(基因升级!$D$141:$D$500,"&lt;="&amp;$R64,基因升级!M$141:M$500)</f>
        <v>0.028</v>
      </c>
      <c r="X64" s="4">
        <f>SUMIF(基因升级!$D$141:$D$500,"&lt;="&amp;$R64,基因升级!N$141:N$500)</f>
        <v>0.1125</v>
      </c>
    </row>
    <row r="65" ht="16.5" spans="1:24">
      <c r="A65" s="14">
        <v>59</v>
      </c>
      <c r="B65" s="4">
        <f>IFERROR(_xlfn.XLOOKUP(A65+1,基因升级!$E$141:$E$500,基因升级!$D$141:$D$500)-1,B64)</f>
        <v>63</v>
      </c>
      <c r="C65" s="4">
        <f>SUMIF(基因升级!$D$141:$D$500,"&lt;"&amp;$B65,基因升级!$U$141:$U$500)</f>
        <v>0</v>
      </c>
      <c r="D65" s="4"/>
      <c r="E65" s="4"/>
      <c r="F65" s="4"/>
      <c r="G65" s="4"/>
      <c r="H65" s="4"/>
      <c r="I65" s="4"/>
      <c r="J65" s="4"/>
      <c r="K65" s="4">
        <f>SUMIF(基因升级!$D$141:$D$500,"&lt;"&amp;$B65,基因升级!J$141:J$500)</f>
        <v>1632</v>
      </c>
      <c r="L65" s="4">
        <f>SUMIF(基因升级!$D$141:$D$500,"&lt;"&amp;$B65,基因升级!K$141:K$500)</f>
        <v>0.8</v>
      </c>
      <c r="M65" s="4">
        <f>SUMIF(基因升级!$D$141:$D$500,"&lt;"&amp;$B65,基因升级!L$141:L$500)</f>
        <v>0.45</v>
      </c>
      <c r="N65" s="4">
        <f>SUMIF(基因升级!$D$141:$D$500,"&lt;"&amp;$B65,基因升级!M$141:M$500)</f>
        <v>0.03</v>
      </c>
      <c r="O65" s="4">
        <f>SUMIF(基因升级!$D$141:$D$500,"&lt;"&amp;$B65,基因升级!N$141:N$500)</f>
        <v>0.12</v>
      </c>
      <c r="R65" s="4">
        <v>59</v>
      </c>
      <c r="S65" s="4">
        <f>SUMIF(基因升级!$D$141:$D$500,"&lt;="&amp;$R65,基因升级!$U$141:$U$500)</f>
        <v>0</v>
      </c>
      <c r="T65" s="4">
        <f>SUMIF(基因升级!$D$141:$D$500,"&lt;="&amp;$R65,基因升级!J$141:J$500)</f>
        <v>1488</v>
      </c>
      <c r="U65" s="4">
        <f>SUMIF(基因升级!$D$141:$D$500,"&lt;="&amp;$R65,基因升级!K$141:K$500)</f>
        <v>0.75</v>
      </c>
      <c r="V65" s="4">
        <f>SUMIF(基因升级!$D$141:$D$500,"&lt;="&amp;$R65,基因升级!L$141:L$500)</f>
        <v>0.42</v>
      </c>
      <c r="W65" s="4">
        <f>SUMIF(基因升级!$D$141:$D$500,"&lt;="&amp;$R65,基因升级!M$141:M$500)</f>
        <v>0.03</v>
      </c>
      <c r="X65" s="4">
        <f>SUMIF(基因升级!$D$141:$D$500,"&lt;="&amp;$R65,基因升级!N$141:N$500)</f>
        <v>0.1125</v>
      </c>
    </row>
    <row r="66" ht="16.5" spans="1:24">
      <c r="A66" s="14">
        <v>60</v>
      </c>
      <c r="B66" s="4">
        <f>IFERROR(_xlfn.XLOOKUP(A66+1,基因升级!$E$141:$E$500,基因升级!$D$141:$D$500)-1,B65)</f>
        <v>63</v>
      </c>
      <c r="C66" s="4">
        <f>SUMIF(基因升级!$D$141:$D$500,"&lt;"&amp;$B66,基因升级!$U$141:$U$500)</f>
        <v>0</v>
      </c>
      <c r="D66" s="4"/>
      <c r="E66" s="4"/>
      <c r="F66" s="4"/>
      <c r="G66" s="4"/>
      <c r="H66" s="4"/>
      <c r="I66" s="4"/>
      <c r="J66" s="4"/>
      <c r="K66" s="4">
        <f>SUMIF(基因升级!$D$141:$D$500,"&lt;"&amp;$B66,基因升级!J$141:J$500)</f>
        <v>1632</v>
      </c>
      <c r="L66" s="4">
        <f>SUMIF(基因升级!$D$141:$D$500,"&lt;"&amp;$B66,基因升级!K$141:K$500)</f>
        <v>0.8</v>
      </c>
      <c r="M66" s="4">
        <f>SUMIF(基因升级!$D$141:$D$500,"&lt;"&amp;$B66,基因升级!L$141:L$500)</f>
        <v>0.45</v>
      </c>
      <c r="N66" s="4">
        <f>SUMIF(基因升级!$D$141:$D$500,"&lt;"&amp;$B66,基因升级!M$141:M$500)</f>
        <v>0.03</v>
      </c>
      <c r="O66" s="4">
        <f>SUMIF(基因升级!$D$141:$D$500,"&lt;"&amp;$B66,基因升级!N$141:N$500)</f>
        <v>0.12</v>
      </c>
      <c r="R66" s="4">
        <v>60</v>
      </c>
      <c r="S66" s="4">
        <f>SUMIF(基因升级!$D$141:$D$500,"&lt;="&amp;$R66,基因升级!$U$141:$U$500)</f>
        <v>0</v>
      </c>
      <c r="T66" s="4">
        <f>SUMIF(基因升级!$D$141:$D$500,"&lt;="&amp;$R66,基因升级!J$141:J$500)</f>
        <v>1536</v>
      </c>
      <c r="U66" s="4">
        <f>SUMIF(基因升级!$D$141:$D$500,"&lt;="&amp;$R66,基因升级!K$141:K$500)</f>
        <v>0.75</v>
      </c>
      <c r="V66" s="4">
        <f>SUMIF(基因升级!$D$141:$D$500,"&lt;="&amp;$R66,基因升级!L$141:L$500)</f>
        <v>0.45</v>
      </c>
      <c r="W66" s="4">
        <f>SUMIF(基因升级!$D$141:$D$500,"&lt;="&amp;$R66,基因升级!M$141:M$500)</f>
        <v>0.03</v>
      </c>
      <c r="X66" s="4">
        <f>SUMIF(基因升级!$D$141:$D$500,"&lt;="&amp;$R66,基因升级!N$141:N$500)</f>
        <v>0.1125</v>
      </c>
    </row>
    <row r="67" ht="16.5" spans="1:24">
      <c r="A67" s="14">
        <v>61</v>
      </c>
      <c r="B67" s="4">
        <f>IFERROR(_xlfn.XLOOKUP(A67+1,基因升级!$E$141:$E$500,基因升级!$D$141:$D$500)-1,B66)</f>
        <v>63</v>
      </c>
      <c r="C67" s="4">
        <f>SUMIF(基因升级!$D$141:$D$500,"&lt;"&amp;$B67,基因升级!$U$141:$U$500)</f>
        <v>0</v>
      </c>
      <c r="D67" s="4"/>
      <c r="E67" s="4"/>
      <c r="F67" s="4"/>
      <c r="G67" s="4"/>
      <c r="H67" s="4"/>
      <c r="I67" s="4"/>
      <c r="J67" s="4"/>
      <c r="K67" s="4">
        <f>SUMIF(基因升级!$D$141:$D$500,"&lt;"&amp;$B67,基因升级!J$141:J$500)</f>
        <v>1632</v>
      </c>
      <c r="L67" s="4">
        <f>SUMIF(基因升级!$D$141:$D$500,"&lt;"&amp;$B67,基因升级!K$141:K$500)</f>
        <v>0.8</v>
      </c>
      <c r="M67" s="4">
        <f>SUMIF(基因升级!$D$141:$D$500,"&lt;"&amp;$B67,基因升级!L$141:L$500)</f>
        <v>0.45</v>
      </c>
      <c r="N67" s="4">
        <f>SUMIF(基因升级!$D$141:$D$500,"&lt;"&amp;$B67,基因升级!M$141:M$500)</f>
        <v>0.03</v>
      </c>
      <c r="O67" s="4">
        <f>SUMIF(基因升级!$D$141:$D$500,"&lt;"&amp;$B67,基因升级!N$141:N$500)</f>
        <v>0.12</v>
      </c>
      <c r="R67" s="4">
        <v>61</v>
      </c>
      <c r="S67" s="4">
        <f>SUMIF(基因升级!$D$141:$D$500,"&lt;="&amp;$R67,基因升级!$U$141:$U$500)</f>
        <v>0</v>
      </c>
      <c r="T67" s="4">
        <f>SUMIF(基因升级!$D$141:$D$500,"&lt;="&amp;$R67,基因升级!J$141:J$500)</f>
        <v>1584</v>
      </c>
      <c r="U67" s="4">
        <f>SUMIF(基因升级!$D$141:$D$500,"&lt;="&amp;$R67,基因升级!K$141:K$500)</f>
        <v>0.8</v>
      </c>
      <c r="V67" s="4">
        <f>SUMIF(基因升级!$D$141:$D$500,"&lt;="&amp;$R67,基因升级!L$141:L$500)</f>
        <v>0.45</v>
      </c>
      <c r="W67" s="4">
        <f>SUMIF(基因升级!$D$141:$D$500,"&lt;="&amp;$R67,基因升级!M$141:M$500)</f>
        <v>0.03</v>
      </c>
      <c r="X67" s="4">
        <f>SUMIF(基因升级!$D$141:$D$500,"&lt;="&amp;$R67,基因升级!N$141:N$500)</f>
        <v>0.1125</v>
      </c>
    </row>
    <row r="68" ht="16.5" spans="1:24">
      <c r="A68" s="14">
        <v>62</v>
      </c>
      <c r="B68" s="4">
        <f>IFERROR(_xlfn.XLOOKUP(A68+1,基因升级!$E$141:$E$500,基因升级!$D$141:$D$500)-1,B67)</f>
        <v>63</v>
      </c>
      <c r="C68" s="4">
        <f>SUMIF(基因升级!$D$141:$D$500,"&lt;"&amp;$B68,基因升级!$U$141:$U$500)</f>
        <v>0</v>
      </c>
      <c r="D68" s="4"/>
      <c r="E68" s="4"/>
      <c r="F68" s="4"/>
      <c r="G68" s="4"/>
      <c r="H68" s="4"/>
      <c r="I68" s="4"/>
      <c r="J68" s="4"/>
      <c r="K68" s="4">
        <f>SUMIF(基因升级!$D$141:$D$500,"&lt;"&amp;$B68,基因升级!J$141:J$500)</f>
        <v>1632</v>
      </c>
      <c r="L68" s="4">
        <f>SUMIF(基因升级!$D$141:$D$500,"&lt;"&amp;$B68,基因升级!K$141:K$500)</f>
        <v>0.8</v>
      </c>
      <c r="M68" s="4">
        <f>SUMIF(基因升级!$D$141:$D$500,"&lt;"&amp;$B68,基因升级!L$141:L$500)</f>
        <v>0.45</v>
      </c>
      <c r="N68" s="4">
        <f>SUMIF(基因升级!$D$141:$D$500,"&lt;"&amp;$B68,基因升级!M$141:M$500)</f>
        <v>0.03</v>
      </c>
      <c r="O68" s="4">
        <f>SUMIF(基因升级!$D$141:$D$500,"&lt;"&amp;$B68,基因升级!N$141:N$500)</f>
        <v>0.12</v>
      </c>
      <c r="R68" s="4">
        <v>62</v>
      </c>
      <c r="S68" s="4">
        <f>SUMIF(基因升级!$D$141:$D$500,"&lt;="&amp;$R68,基因升级!$U$141:$U$500)</f>
        <v>0</v>
      </c>
      <c r="T68" s="4">
        <f>SUMIF(基因升级!$D$141:$D$500,"&lt;="&amp;$R68,基因升级!J$141:J$500)</f>
        <v>1632</v>
      </c>
      <c r="U68" s="4">
        <f>SUMIF(基因升级!$D$141:$D$500,"&lt;="&amp;$R68,基因升级!K$141:K$500)</f>
        <v>0.8</v>
      </c>
      <c r="V68" s="4">
        <f>SUMIF(基因升级!$D$141:$D$500,"&lt;="&amp;$R68,基因升级!L$141:L$500)</f>
        <v>0.45</v>
      </c>
      <c r="W68" s="4">
        <f>SUMIF(基因升级!$D$141:$D$500,"&lt;="&amp;$R68,基因升级!M$141:M$500)</f>
        <v>0.03</v>
      </c>
      <c r="X68" s="4">
        <f>SUMIF(基因升级!$D$141:$D$500,"&lt;="&amp;$R68,基因升级!N$141:N$500)</f>
        <v>0.12</v>
      </c>
    </row>
    <row r="69" ht="16.5" spans="1:24">
      <c r="A69" s="14">
        <v>63</v>
      </c>
      <c r="B69" s="4">
        <f>IFERROR(_xlfn.XLOOKUP(A69+1,基因升级!$E$141:$E$500,基因升级!$D$141:$D$500)-1,B68)</f>
        <v>64</v>
      </c>
      <c r="C69" s="4">
        <f>SUMIF(基因升级!$D$141:$D$500,"&lt;"&amp;$B69,基因升级!$U$141:$U$500)</f>
        <v>0</v>
      </c>
      <c r="D69" s="4"/>
      <c r="E69" s="4"/>
      <c r="F69" s="4"/>
      <c r="G69" s="4"/>
      <c r="H69" s="4"/>
      <c r="I69" s="4"/>
      <c r="J69" s="4"/>
      <c r="K69" s="4">
        <f>SUMIF(基因升级!$D$141:$D$500,"&lt;"&amp;$B69,基因升级!J$141:J$500)</f>
        <v>1680</v>
      </c>
      <c r="L69" s="4">
        <f>SUMIF(基因升级!$D$141:$D$500,"&lt;"&amp;$B69,基因升级!K$141:K$500)</f>
        <v>0.8</v>
      </c>
      <c r="M69" s="4">
        <f>SUMIF(基因升级!$D$141:$D$500,"&lt;"&amp;$B69,基因升级!L$141:L$500)</f>
        <v>0.45</v>
      </c>
      <c r="N69" s="4">
        <f>SUMIF(基因升级!$D$141:$D$500,"&lt;"&amp;$B69,基因升级!M$141:M$500)</f>
        <v>0.032</v>
      </c>
      <c r="O69" s="4">
        <f>SUMIF(基因升级!$D$141:$D$500,"&lt;"&amp;$B69,基因升级!N$141:N$500)</f>
        <v>0.12</v>
      </c>
      <c r="R69" s="4">
        <v>63</v>
      </c>
      <c r="S69" s="4">
        <f>SUMIF(基因升级!$D$141:$D$500,"&lt;="&amp;$R69,基因升级!$U$141:$U$500)</f>
        <v>0</v>
      </c>
      <c r="T69" s="4">
        <f>SUMIF(基因升级!$D$141:$D$500,"&lt;="&amp;$R69,基因升级!J$141:J$500)</f>
        <v>1680</v>
      </c>
      <c r="U69" s="4">
        <f>SUMIF(基因升级!$D$141:$D$500,"&lt;="&amp;$R69,基因升级!K$141:K$500)</f>
        <v>0.8</v>
      </c>
      <c r="V69" s="4">
        <f>SUMIF(基因升级!$D$141:$D$500,"&lt;="&amp;$R69,基因升级!L$141:L$500)</f>
        <v>0.45</v>
      </c>
      <c r="W69" s="4">
        <f>SUMIF(基因升级!$D$141:$D$500,"&lt;="&amp;$R69,基因升级!M$141:M$500)</f>
        <v>0.032</v>
      </c>
      <c r="X69" s="4">
        <f>SUMIF(基因升级!$D$141:$D$500,"&lt;="&amp;$R69,基因升级!N$141:N$500)</f>
        <v>0.12</v>
      </c>
    </row>
    <row r="70" ht="16.5" spans="1:24">
      <c r="A70" s="14">
        <v>64</v>
      </c>
      <c r="B70" s="4">
        <f>IFERROR(_xlfn.XLOOKUP(A70+1,基因升级!$E$141:$E$500,基因升级!$D$141:$D$500)-1,B69)</f>
        <v>64</v>
      </c>
      <c r="C70" s="4">
        <f>SUMIF(基因升级!$D$141:$D$500,"&lt;"&amp;$B70,基因升级!$U$141:$U$500)</f>
        <v>0</v>
      </c>
      <c r="D70" s="4"/>
      <c r="E70" s="4"/>
      <c r="F70" s="4"/>
      <c r="G70" s="4"/>
      <c r="H70" s="4"/>
      <c r="I70" s="4"/>
      <c r="J70" s="4"/>
      <c r="K70" s="4">
        <f>SUMIF(基因升级!$D$141:$D$500,"&lt;"&amp;$B70,基因升级!J$141:J$500)</f>
        <v>1680</v>
      </c>
      <c r="L70" s="4">
        <f>SUMIF(基因升级!$D$141:$D$500,"&lt;"&amp;$B70,基因升级!K$141:K$500)</f>
        <v>0.8</v>
      </c>
      <c r="M70" s="4">
        <f>SUMIF(基因升级!$D$141:$D$500,"&lt;"&amp;$B70,基因升级!L$141:L$500)</f>
        <v>0.45</v>
      </c>
      <c r="N70" s="4">
        <f>SUMIF(基因升级!$D$141:$D$500,"&lt;"&amp;$B70,基因升级!M$141:M$500)</f>
        <v>0.032</v>
      </c>
      <c r="O70" s="4">
        <f>SUMIF(基因升级!$D$141:$D$500,"&lt;"&amp;$B70,基因升级!N$141:N$500)</f>
        <v>0.12</v>
      </c>
      <c r="R70" s="4">
        <v>64</v>
      </c>
      <c r="S70" s="4">
        <f>SUMIF(基因升级!$D$141:$D$500,"&lt;="&amp;$R70,基因升级!$U$141:$U$500)</f>
        <v>0</v>
      </c>
      <c r="T70" s="4">
        <f>SUMIF(基因升级!$D$141:$D$500,"&lt;="&amp;$R70,基因升级!J$141:J$500)</f>
        <v>1728</v>
      </c>
      <c r="U70" s="4">
        <f>SUMIF(基因升级!$D$141:$D$500,"&lt;="&amp;$R70,基因升级!K$141:K$500)</f>
        <v>0.8</v>
      </c>
      <c r="V70" s="4">
        <f>SUMIF(基因升级!$D$141:$D$500,"&lt;="&amp;$R70,基因升级!L$141:L$500)</f>
        <v>0.48</v>
      </c>
      <c r="W70" s="4">
        <f>SUMIF(基因升级!$D$141:$D$500,"&lt;="&amp;$R70,基因升级!M$141:M$500)</f>
        <v>0.032</v>
      </c>
      <c r="X70" s="4">
        <f>SUMIF(基因升级!$D$141:$D$500,"&lt;="&amp;$R70,基因升级!N$141:N$500)</f>
        <v>0.12</v>
      </c>
    </row>
    <row r="71" ht="16.5" spans="1:24">
      <c r="A71" s="14">
        <v>65</v>
      </c>
      <c r="B71" s="4">
        <f>IFERROR(_xlfn.XLOOKUP(A71+1,基因升级!$E$141:$E$500,基因升级!$D$141:$D$500)-1,B70)</f>
        <v>64</v>
      </c>
      <c r="C71" s="4">
        <f>SUMIF(基因升级!$D$141:$D$500,"&lt;"&amp;$B71,基因升级!$U$141:$U$500)</f>
        <v>0</v>
      </c>
      <c r="D71" s="4"/>
      <c r="E71" s="4"/>
      <c r="F71" s="4"/>
      <c r="G71" s="4"/>
      <c r="H71" s="4"/>
      <c r="I71" s="4"/>
      <c r="J71" s="4"/>
      <c r="K71" s="4">
        <f>SUMIF(基因升级!$D$141:$D$500,"&lt;"&amp;$B71,基因升级!J$141:J$500)</f>
        <v>1680</v>
      </c>
      <c r="L71" s="4">
        <f>SUMIF(基因升级!$D$141:$D$500,"&lt;"&amp;$B71,基因升级!K$141:K$500)</f>
        <v>0.8</v>
      </c>
      <c r="M71" s="4">
        <f>SUMIF(基因升级!$D$141:$D$500,"&lt;"&amp;$B71,基因升级!L$141:L$500)</f>
        <v>0.45</v>
      </c>
      <c r="N71" s="4">
        <f>SUMIF(基因升级!$D$141:$D$500,"&lt;"&amp;$B71,基因升级!M$141:M$500)</f>
        <v>0.032</v>
      </c>
      <c r="O71" s="4">
        <f>SUMIF(基因升级!$D$141:$D$500,"&lt;"&amp;$B71,基因升级!N$141:N$500)</f>
        <v>0.12</v>
      </c>
      <c r="R71" s="4">
        <v>65</v>
      </c>
      <c r="S71" s="4">
        <f>SUMIF(基因升级!$D$141:$D$500,"&lt;="&amp;$R71,基因升级!$U$141:$U$500)</f>
        <v>0</v>
      </c>
      <c r="T71" s="4">
        <f>SUMIF(基因升级!$D$141:$D$500,"&lt;="&amp;$R71,基因升级!J$141:J$500)</f>
        <v>1782</v>
      </c>
      <c r="U71" s="4">
        <f>SUMIF(基因升级!$D$141:$D$500,"&lt;="&amp;$R71,基因升级!K$141:K$500)</f>
        <v>0.85</v>
      </c>
      <c r="V71" s="4">
        <f>SUMIF(基因升级!$D$141:$D$500,"&lt;="&amp;$R71,基因升级!L$141:L$500)</f>
        <v>0.48</v>
      </c>
      <c r="W71" s="4">
        <f>SUMIF(基因升级!$D$141:$D$500,"&lt;="&amp;$R71,基因升级!M$141:M$500)</f>
        <v>0.032</v>
      </c>
      <c r="X71" s="4">
        <f>SUMIF(基因升级!$D$141:$D$500,"&lt;="&amp;$R71,基因升级!N$141:N$500)</f>
        <v>0.12</v>
      </c>
    </row>
    <row r="72" ht="16.5" spans="1:24">
      <c r="A72" s="14">
        <v>66</v>
      </c>
      <c r="B72" s="4">
        <f>IFERROR(_xlfn.XLOOKUP(A72+1,基因升级!$E$141:$E$500,基因升级!$D$141:$D$500)-1,B71)</f>
        <v>65</v>
      </c>
      <c r="C72" s="4">
        <f>SUMIF(基因升级!$D$141:$D$500,"&lt;"&amp;$B72,基因升级!$U$141:$U$500)</f>
        <v>0</v>
      </c>
      <c r="D72" s="4"/>
      <c r="E72" s="4"/>
      <c r="F72" s="4"/>
      <c r="G72" s="4"/>
      <c r="H72" s="4"/>
      <c r="I72" s="4"/>
      <c r="J72" s="4"/>
      <c r="K72" s="4">
        <f>SUMIF(基因升级!$D$141:$D$500,"&lt;"&amp;$B72,基因升级!J$141:J$500)</f>
        <v>1728</v>
      </c>
      <c r="L72" s="4">
        <f>SUMIF(基因升级!$D$141:$D$500,"&lt;"&amp;$B72,基因升级!K$141:K$500)</f>
        <v>0.8</v>
      </c>
      <c r="M72" s="4">
        <f>SUMIF(基因升级!$D$141:$D$500,"&lt;"&amp;$B72,基因升级!L$141:L$500)</f>
        <v>0.48</v>
      </c>
      <c r="N72" s="4">
        <f>SUMIF(基因升级!$D$141:$D$500,"&lt;"&amp;$B72,基因升级!M$141:M$500)</f>
        <v>0.032</v>
      </c>
      <c r="O72" s="4">
        <f>SUMIF(基因升级!$D$141:$D$500,"&lt;"&amp;$B72,基因升级!N$141:N$500)</f>
        <v>0.12</v>
      </c>
      <c r="R72" s="4">
        <v>66</v>
      </c>
      <c r="S72" s="4">
        <f>SUMIF(基因升级!$D$141:$D$500,"&lt;="&amp;$R72,基因升级!$U$141:$U$500)</f>
        <v>0</v>
      </c>
      <c r="T72" s="4">
        <f>SUMIF(基因升级!$D$141:$D$500,"&lt;="&amp;$R72,基因升级!J$141:J$500)</f>
        <v>1836</v>
      </c>
      <c r="U72" s="4">
        <f>SUMIF(基因升级!$D$141:$D$500,"&lt;="&amp;$R72,基因升级!K$141:K$500)</f>
        <v>0.85</v>
      </c>
      <c r="V72" s="4">
        <f>SUMIF(基因升级!$D$141:$D$500,"&lt;="&amp;$R72,基因升级!L$141:L$500)</f>
        <v>0.48</v>
      </c>
      <c r="W72" s="4">
        <f>SUMIF(基因升级!$D$141:$D$500,"&lt;="&amp;$R72,基因升级!M$141:M$500)</f>
        <v>0.032</v>
      </c>
      <c r="X72" s="4">
        <f>SUMIF(基因升级!$D$141:$D$500,"&lt;="&amp;$R72,基因升级!N$141:N$500)</f>
        <v>0.1275</v>
      </c>
    </row>
    <row r="73" ht="16.5" spans="1:24">
      <c r="A73" s="14">
        <v>67</v>
      </c>
      <c r="B73" s="4">
        <f>IFERROR(_xlfn.XLOOKUP(A73+1,基因升级!$E$141:$E$500,基因升级!$D$141:$D$500)-1,B72)</f>
        <v>65</v>
      </c>
      <c r="C73" s="4">
        <f>SUMIF(基因升级!$D$141:$D$500,"&lt;"&amp;$B73,基因升级!$U$141:$U$500)</f>
        <v>0</v>
      </c>
      <c r="D73" s="4"/>
      <c r="E73" s="4"/>
      <c r="F73" s="4"/>
      <c r="G73" s="4"/>
      <c r="H73" s="4"/>
      <c r="I73" s="4"/>
      <c r="J73" s="4"/>
      <c r="K73" s="4">
        <f>SUMIF(基因升级!$D$141:$D$500,"&lt;"&amp;$B73,基因升级!J$141:J$500)</f>
        <v>1728</v>
      </c>
      <c r="L73" s="4">
        <f>SUMIF(基因升级!$D$141:$D$500,"&lt;"&amp;$B73,基因升级!K$141:K$500)</f>
        <v>0.8</v>
      </c>
      <c r="M73" s="4">
        <f>SUMIF(基因升级!$D$141:$D$500,"&lt;"&amp;$B73,基因升级!L$141:L$500)</f>
        <v>0.48</v>
      </c>
      <c r="N73" s="4">
        <f>SUMIF(基因升级!$D$141:$D$500,"&lt;"&amp;$B73,基因升级!M$141:M$500)</f>
        <v>0.032</v>
      </c>
      <c r="O73" s="4">
        <f>SUMIF(基因升级!$D$141:$D$500,"&lt;"&amp;$B73,基因升级!N$141:N$500)</f>
        <v>0.12</v>
      </c>
      <c r="R73" s="4">
        <v>67</v>
      </c>
      <c r="S73" s="4">
        <f>SUMIF(基因升级!$D$141:$D$500,"&lt;="&amp;$R73,基因升级!$U$141:$U$500)</f>
        <v>0</v>
      </c>
      <c r="T73" s="4">
        <f>SUMIF(基因升级!$D$141:$D$500,"&lt;="&amp;$R73,基因升级!J$141:J$500)</f>
        <v>1890</v>
      </c>
      <c r="U73" s="4">
        <f>SUMIF(基因升级!$D$141:$D$500,"&lt;="&amp;$R73,基因升级!K$141:K$500)</f>
        <v>0.85</v>
      </c>
      <c r="V73" s="4">
        <f>SUMIF(基因升级!$D$141:$D$500,"&lt;="&amp;$R73,基因升级!L$141:L$500)</f>
        <v>0.48</v>
      </c>
      <c r="W73" s="4">
        <f>SUMIF(基因升级!$D$141:$D$500,"&lt;="&amp;$R73,基因升级!M$141:M$500)</f>
        <v>0.034</v>
      </c>
      <c r="X73" s="4">
        <f>SUMIF(基因升级!$D$141:$D$500,"&lt;="&amp;$R73,基因升级!N$141:N$500)</f>
        <v>0.1275</v>
      </c>
    </row>
    <row r="74" ht="16.5" spans="1:24">
      <c r="A74" s="14">
        <v>68</v>
      </c>
      <c r="B74" s="4">
        <f>IFERROR(_xlfn.XLOOKUP(A74+1,基因升级!$E$141:$E$500,基因升级!$D$141:$D$500)-1,B73)</f>
        <v>65</v>
      </c>
      <c r="C74" s="4">
        <f>SUMIF(基因升级!$D$141:$D$500,"&lt;"&amp;$B74,基因升级!$U$141:$U$500)</f>
        <v>0</v>
      </c>
      <c r="D74" s="4"/>
      <c r="E74" s="4"/>
      <c r="F74" s="4"/>
      <c r="G74" s="4"/>
      <c r="H74" s="4"/>
      <c r="I74" s="4"/>
      <c r="J74" s="4"/>
      <c r="K74" s="4">
        <f>SUMIF(基因升级!$D$141:$D$500,"&lt;"&amp;$B74,基因升级!J$141:J$500)</f>
        <v>1728</v>
      </c>
      <c r="L74" s="4">
        <f>SUMIF(基因升级!$D$141:$D$500,"&lt;"&amp;$B74,基因升级!K$141:K$500)</f>
        <v>0.8</v>
      </c>
      <c r="M74" s="4">
        <f>SUMIF(基因升级!$D$141:$D$500,"&lt;"&amp;$B74,基因升级!L$141:L$500)</f>
        <v>0.48</v>
      </c>
      <c r="N74" s="4">
        <f>SUMIF(基因升级!$D$141:$D$500,"&lt;"&amp;$B74,基因升级!M$141:M$500)</f>
        <v>0.032</v>
      </c>
      <c r="O74" s="4">
        <f>SUMIF(基因升级!$D$141:$D$500,"&lt;"&amp;$B74,基因升级!N$141:N$500)</f>
        <v>0.12</v>
      </c>
      <c r="R74" s="4">
        <v>68</v>
      </c>
      <c r="S74" s="4">
        <f>SUMIF(基因升级!$D$141:$D$500,"&lt;="&amp;$R74,基因升级!$U$141:$U$500)</f>
        <v>0</v>
      </c>
      <c r="T74" s="4">
        <f>SUMIF(基因升级!$D$141:$D$500,"&lt;="&amp;$R74,基因升级!J$141:J$500)</f>
        <v>1944</v>
      </c>
      <c r="U74" s="4">
        <f>SUMIF(基因升级!$D$141:$D$500,"&lt;="&amp;$R74,基因升级!K$141:K$500)</f>
        <v>0.85</v>
      </c>
      <c r="V74" s="4">
        <f>SUMIF(基因升级!$D$141:$D$500,"&lt;="&amp;$R74,基因升级!L$141:L$500)</f>
        <v>0.51</v>
      </c>
      <c r="W74" s="4">
        <f>SUMIF(基因升级!$D$141:$D$500,"&lt;="&amp;$R74,基因升级!M$141:M$500)</f>
        <v>0.034</v>
      </c>
      <c r="X74" s="4">
        <f>SUMIF(基因升级!$D$141:$D$500,"&lt;="&amp;$R74,基因升级!N$141:N$500)</f>
        <v>0.1275</v>
      </c>
    </row>
    <row r="75" ht="16.5" spans="1:24">
      <c r="A75" s="14">
        <v>69</v>
      </c>
      <c r="B75" s="4">
        <f>IFERROR(_xlfn.XLOOKUP(A75+1,基因升级!$E$141:$E$500,基因升级!$D$141:$D$500)-1,B74)</f>
        <v>65</v>
      </c>
      <c r="C75" s="4">
        <f>SUMIF(基因升级!$D$141:$D$500,"&lt;"&amp;$B75,基因升级!$U$141:$U$500)</f>
        <v>0</v>
      </c>
      <c r="D75" s="4"/>
      <c r="E75" s="4"/>
      <c r="F75" s="4"/>
      <c r="G75" s="4"/>
      <c r="H75" s="4"/>
      <c r="I75" s="4"/>
      <c r="J75" s="4"/>
      <c r="K75" s="4">
        <f>SUMIF(基因升级!$D$141:$D$500,"&lt;"&amp;$B75,基因升级!J$141:J$500)</f>
        <v>1728</v>
      </c>
      <c r="L75" s="4">
        <f>SUMIF(基因升级!$D$141:$D$500,"&lt;"&amp;$B75,基因升级!K$141:K$500)</f>
        <v>0.8</v>
      </c>
      <c r="M75" s="4">
        <f>SUMIF(基因升级!$D$141:$D$500,"&lt;"&amp;$B75,基因升级!L$141:L$500)</f>
        <v>0.48</v>
      </c>
      <c r="N75" s="4">
        <f>SUMIF(基因升级!$D$141:$D$500,"&lt;"&amp;$B75,基因升级!M$141:M$500)</f>
        <v>0.032</v>
      </c>
      <c r="O75" s="4">
        <f>SUMIF(基因升级!$D$141:$D$500,"&lt;"&amp;$B75,基因升级!N$141:N$500)</f>
        <v>0.12</v>
      </c>
      <c r="R75" s="4">
        <v>69</v>
      </c>
      <c r="S75" s="4">
        <f>SUMIF(基因升级!$D$141:$D$500,"&lt;="&amp;$R75,基因升级!$U$141:$U$500)</f>
        <v>0</v>
      </c>
      <c r="T75" s="4">
        <f>SUMIF(基因升级!$D$141:$D$500,"&lt;="&amp;$R75,基因升级!J$141:J$500)</f>
        <v>1998</v>
      </c>
      <c r="U75" s="4">
        <f>SUMIF(基因升级!$D$141:$D$500,"&lt;="&amp;$R75,基因升级!K$141:K$500)</f>
        <v>0.9</v>
      </c>
      <c r="V75" s="4">
        <f>SUMIF(基因升级!$D$141:$D$500,"&lt;="&amp;$R75,基因升级!L$141:L$500)</f>
        <v>0.51</v>
      </c>
      <c r="W75" s="4">
        <f>SUMIF(基因升级!$D$141:$D$500,"&lt;="&amp;$R75,基因升级!M$141:M$500)</f>
        <v>0.034</v>
      </c>
      <c r="X75" s="4">
        <f>SUMIF(基因升级!$D$141:$D$500,"&lt;="&amp;$R75,基因升级!N$141:N$500)</f>
        <v>0.1275</v>
      </c>
    </row>
    <row r="76" ht="16.5" spans="1:24">
      <c r="A76" s="14">
        <v>70</v>
      </c>
      <c r="B76" s="4">
        <f>IFERROR(_xlfn.XLOOKUP(A76+1,基因升级!$E$141:$E$500,基因升级!$D$141:$D$500)-1,B75)</f>
        <v>66</v>
      </c>
      <c r="C76" s="4">
        <f>SUMIF(基因升级!$D$141:$D$500,"&lt;"&amp;$B76,基因升级!$U$141:$U$500)</f>
        <v>0</v>
      </c>
      <c r="D76" s="4"/>
      <c r="E76" s="4"/>
      <c r="F76" s="4"/>
      <c r="G76" s="4"/>
      <c r="H76" s="4"/>
      <c r="I76" s="4"/>
      <c r="J76" s="4"/>
      <c r="K76" s="4">
        <f>SUMIF(基因升级!$D$141:$D$500,"&lt;"&amp;$B76,基因升级!J$141:J$500)</f>
        <v>1782</v>
      </c>
      <c r="L76" s="4">
        <f>SUMIF(基因升级!$D$141:$D$500,"&lt;"&amp;$B76,基因升级!K$141:K$500)</f>
        <v>0.85</v>
      </c>
      <c r="M76" s="4">
        <f>SUMIF(基因升级!$D$141:$D$500,"&lt;"&amp;$B76,基因升级!L$141:L$500)</f>
        <v>0.48</v>
      </c>
      <c r="N76" s="4">
        <f>SUMIF(基因升级!$D$141:$D$500,"&lt;"&amp;$B76,基因升级!M$141:M$500)</f>
        <v>0.032</v>
      </c>
      <c r="O76" s="4">
        <f>SUMIF(基因升级!$D$141:$D$500,"&lt;"&amp;$B76,基因升级!N$141:N$500)</f>
        <v>0.12</v>
      </c>
      <c r="R76" s="4">
        <v>70</v>
      </c>
      <c r="S76" s="4">
        <f>SUMIF(基因升级!$D$141:$D$500,"&lt;="&amp;$R76,基因升级!$U$141:$U$500)</f>
        <v>0</v>
      </c>
      <c r="T76" s="4">
        <f>SUMIF(基因升级!$D$141:$D$500,"&lt;="&amp;$R76,基因升级!J$141:J$500)</f>
        <v>2052</v>
      </c>
      <c r="U76" s="4">
        <f>SUMIF(基因升级!$D$141:$D$500,"&lt;="&amp;$R76,基因升级!K$141:K$500)</f>
        <v>0.9</v>
      </c>
      <c r="V76" s="4">
        <f>SUMIF(基因升级!$D$141:$D$500,"&lt;="&amp;$R76,基因升级!L$141:L$500)</f>
        <v>0.51</v>
      </c>
      <c r="W76" s="4">
        <f>SUMIF(基因升级!$D$141:$D$500,"&lt;="&amp;$R76,基因升级!M$141:M$500)</f>
        <v>0.034</v>
      </c>
      <c r="X76" s="4">
        <f>SUMIF(基因升级!$D$141:$D$500,"&lt;="&amp;$R76,基因升级!N$141:N$500)</f>
        <v>0.135</v>
      </c>
    </row>
    <row r="77" ht="16.5" spans="1:24">
      <c r="A77" s="14">
        <v>71</v>
      </c>
      <c r="B77" s="4">
        <f>IFERROR(_xlfn.XLOOKUP(A77+1,基因升级!$E$141:$E$500,基因升级!$D$141:$D$500)-1,B76)</f>
        <v>66</v>
      </c>
      <c r="C77" s="4">
        <f>SUMIF(基因升级!$D$141:$D$500,"&lt;"&amp;$B77,基因升级!$U$141:$U$500)</f>
        <v>0</v>
      </c>
      <c r="D77" s="4"/>
      <c r="E77" s="4"/>
      <c r="F77" s="4"/>
      <c r="G77" s="4"/>
      <c r="H77" s="4"/>
      <c r="I77" s="4"/>
      <c r="J77" s="4"/>
      <c r="K77" s="4">
        <f>SUMIF(基因升级!$D$141:$D$500,"&lt;"&amp;$B77,基因升级!J$141:J$500)</f>
        <v>1782</v>
      </c>
      <c r="L77" s="4">
        <f>SUMIF(基因升级!$D$141:$D$500,"&lt;"&amp;$B77,基因升级!K$141:K$500)</f>
        <v>0.85</v>
      </c>
      <c r="M77" s="4">
        <f>SUMIF(基因升级!$D$141:$D$500,"&lt;"&amp;$B77,基因升级!L$141:L$500)</f>
        <v>0.48</v>
      </c>
      <c r="N77" s="4">
        <f>SUMIF(基因升级!$D$141:$D$500,"&lt;"&amp;$B77,基因升级!M$141:M$500)</f>
        <v>0.032</v>
      </c>
      <c r="O77" s="4">
        <f>SUMIF(基因升级!$D$141:$D$500,"&lt;"&amp;$B77,基因升级!N$141:N$500)</f>
        <v>0.12</v>
      </c>
      <c r="R77" s="4">
        <v>71</v>
      </c>
      <c r="S77" s="4">
        <f>SUMIF(基因升级!$D$141:$D$500,"&lt;="&amp;$R77,基因升级!$U$141:$U$500)</f>
        <v>0</v>
      </c>
      <c r="T77" s="4">
        <f>SUMIF(基因升级!$D$141:$D$500,"&lt;="&amp;$R77,基因升级!J$141:J$500)</f>
        <v>2106</v>
      </c>
      <c r="U77" s="4">
        <f>SUMIF(基因升级!$D$141:$D$500,"&lt;="&amp;$R77,基因升级!K$141:K$500)</f>
        <v>0.9</v>
      </c>
      <c r="V77" s="4">
        <f>SUMIF(基因升级!$D$141:$D$500,"&lt;="&amp;$R77,基因升级!L$141:L$500)</f>
        <v>0.51</v>
      </c>
      <c r="W77" s="4">
        <f>SUMIF(基因升级!$D$141:$D$500,"&lt;="&amp;$R77,基因升级!M$141:M$500)</f>
        <v>0.036</v>
      </c>
      <c r="X77" s="4">
        <f>SUMIF(基因升级!$D$141:$D$500,"&lt;="&amp;$R77,基因升级!N$141:N$500)</f>
        <v>0.135</v>
      </c>
    </row>
    <row r="78" ht="16.5" spans="1:24">
      <c r="A78" s="14">
        <v>72</v>
      </c>
      <c r="B78" s="4">
        <f>IFERROR(_xlfn.XLOOKUP(A78+1,基因升级!$E$141:$E$500,基因升级!$D$141:$D$500)-1,B77)</f>
        <v>66</v>
      </c>
      <c r="C78" s="4">
        <f>SUMIF(基因升级!$D$141:$D$500,"&lt;"&amp;$B78,基因升级!$U$141:$U$500)</f>
        <v>0</v>
      </c>
      <c r="D78" s="4"/>
      <c r="E78" s="4"/>
      <c r="F78" s="4"/>
      <c r="G78" s="4"/>
      <c r="H78" s="4"/>
      <c r="I78" s="4"/>
      <c r="J78" s="4"/>
      <c r="K78" s="4">
        <f>SUMIF(基因升级!$D$141:$D$500,"&lt;"&amp;$B78,基因升级!J$141:J$500)</f>
        <v>1782</v>
      </c>
      <c r="L78" s="4">
        <f>SUMIF(基因升级!$D$141:$D$500,"&lt;"&amp;$B78,基因升级!K$141:K$500)</f>
        <v>0.85</v>
      </c>
      <c r="M78" s="4">
        <f>SUMIF(基因升级!$D$141:$D$500,"&lt;"&amp;$B78,基因升级!L$141:L$500)</f>
        <v>0.48</v>
      </c>
      <c r="N78" s="4">
        <f>SUMIF(基因升级!$D$141:$D$500,"&lt;"&amp;$B78,基因升级!M$141:M$500)</f>
        <v>0.032</v>
      </c>
      <c r="O78" s="4">
        <f>SUMIF(基因升级!$D$141:$D$500,"&lt;"&amp;$B78,基因升级!N$141:N$500)</f>
        <v>0.12</v>
      </c>
      <c r="R78" s="4">
        <v>72</v>
      </c>
      <c r="S78" s="4">
        <f>SUMIF(基因升级!$D$141:$D$500,"&lt;="&amp;$R78,基因升级!$U$141:$U$500)</f>
        <v>0</v>
      </c>
      <c r="T78" s="4">
        <f>SUMIF(基因升级!$D$141:$D$500,"&lt;="&amp;$R78,基因升级!J$141:J$500)</f>
        <v>2160</v>
      </c>
      <c r="U78" s="4">
        <f>SUMIF(基因升级!$D$141:$D$500,"&lt;="&amp;$R78,基因升级!K$141:K$500)</f>
        <v>0.9</v>
      </c>
      <c r="V78" s="4">
        <f>SUMIF(基因升级!$D$141:$D$500,"&lt;="&amp;$R78,基因升级!L$141:L$500)</f>
        <v>0.54</v>
      </c>
      <c r="W78" s="4">
        <f>SUMIF(基因升级!$D$141:$D$500,"&lt;="&amp;$R78,基因升级!M$141:M$500)</f>
        <v>0.036</v>
      </c>
      <c r="X78" s="4">
        <f>SUMIF(基因升级!$D$141:$D$500,"&lt;="&amp;$R78,基因升级!N$141:N$500)</f>
        <v>0.135</v>
      </c>
    </row>
    <row r="79" ht="16.5" spans="1:24">
      <c r="A79" s="14">
        <v>73</v>
      </c>
      <c r="B79" s="4">
        <f>IFERROR(_xlfn.XLOOKUP(A79+1,基因升级!$E$141:$E$500,基因升级!$D$141:$D$500)-1,B78)</f>
        <v>66</v>
      </c>
      <c r="C79" s="4">
        <f>SUMIF(基因升级!$D$141:$D$500,"&lt;"&amp;$B79,基因升级!$U$141:$U$500)</f>
        <v>0</v>
      </c>
      <c r="D79" s="4"/>
      <c r="E79" s="4"/>
      <c r="F79" s="4"/>
      <c r="G79" s="4"/>
      <c r="H79" s="4"/>
      <c r="I79" s="4"/>
      <c r="J79" s="4"/>
      <c r="K79" s="4">
        <f>SUMIF(基因升级!$D$141:$D$500,"&lt;"&amp;$B79,基因升级!J$141:J$500)</f>
        <v>1782</v>
      </c>
      <c r="L79" s="4">
        <f>SUMIF(基因升级!$D$141:$D$500,"&lt;"&amp;$B79,基因升级!K$141:K$500)</f>
        <v>0.85</v>
      </c>
      <c r="M79" s="4">
        <f>SUMIF(基因升级!$D$141:$D$500,"&lt;"&amp;$B79,基因升级!L$141:L$500)</f>
        <v>0.48</v>
      </c>
      <c r="N79" s="4">
        <f>SUMIF(基因升级!$D$141:$D$500,"&lt;"&amp;$B79,基因升级!M$141:M$500)</f>
        <v>0.032</v>
      </c>
      <c r="O79" s="4">
        <f>SUMIF(基因升级!$D$141:$D$500,"&lt;"&amp;$B79,基因升级!N$141:N$500)</f>
        <v>0.12</v>
      </c>
      <c r="R79" s="4">
        <v>73</v>
      </c>
      <c r="S79" s="4">
        <f>SUMIF(基因升级!$D$141:$D$500,"&lt;="&amp;$R79,基因升级!$U$141:$U$500)</f>
        <v>0</v>
      </c>
      <c r="T79" s="4">
        <f>SUMIF(基因升级!$D$141:$D$500,"&lt;="&amp;$R79,基因升级!J$141:J$500)</f>
        <v>2218</v>
      </c>
      <c r="U79" s="4">
        <f>SUMIF(基因升级!$D$141:$D$500,"&lt;="&amp;$R79,基因升级!K$141:K$500)</f>
        <v>0.95</v>
      </c>
      <c r="V79" s="4">
        <f>SUMIF(基因升级!$D$141:$D$500,"&lt;="&amp;$R79,基因升级!L$141:L$500)</f>
        <v>0.54</v>
      </c>
      <c r="W79" s="4">
        <f>SUMIF(基因升级!$D$141:$D$500,"&lt;="&amp;$R79,基因升级!M$141:M$500)</f>
        <v>0.036</v>
      </c>
      <c r="X79" s="4">
        <f>SUMIF(基因升级!$D$141:$D$500,"&lt;="&amp;$R79,基因升级!N$141:N$500)</f>
        <v>0.135</v>
      </c>
    </row>
    <row r="80" ht="16.5" spans="1:24">
      <c r="A80" s="14">
        <v>74</v>
      </c>
      <c r="B80" s="4">
        <f>IFERROR(_xlfn.XLOOKUP(A80+1,基因升级!$E$141:$E$500,基因升级!$D$141:$D$500)-1,B79)</f>
        <v>67</v>
      </c>
      <c r="C80" s="4">
        <f>SUMIF(基因升级!$D$141:$D$500,"&lt;"&amp;$B80,基因升级!$U$141:$U$500)</f>
        <v>0</v>
      </c>
      <c r="D80" s="4"/>
      <c r="E80" s="4"/>
      <c r="F80" s="4"/>
      <c r="G80" s="4"/>
      <c r="H80" s="4"/>
      <c r="I80" s="4"/>
      <c r="J80" s="4"/>
      <c r="K80" s="4">
        <f>SUMIF(基因升级!$D$141:$D$500,"&lt;"&amp;$B80,基因升级!J$141:J$500)</f>
        <v>1836</v>
      </c>
      <c r="L80" s="4">
        <f>SUMIF(基因升级!$D$141:$D$500,"&lt;"&amp;$B80,基因升级!K$141:K$500)</f>
        <v>0.85</v>
      </c>
      <c r="M80" s="4">
        <f>SUMIF(基因升级!$D$141:$D$500,"&lt;"&amp;$B80,基因升级!L$141:L$500)</f>
        <v>0.48</v>
      </c>
      <c r="N80" s="4">
        <f>SUMIF(基因升级!$D$141:$D$500,"&lt;"&amp;$B80,基因升级!M$141:M$500)</f>
        <v>0.032</v>
      </c>
      <c r="O80" s="4">
        <f>SUMIF(基因升级!$D$141:$D$500,"&lt;"&amp;$B80,基因升级!N$141:N$500)</f>
        <v>0.1275</v>
      </c>
      <c r="R80" s="4">
        <v>74</v>
      </c>
      <c r="S80" s="4">
        <f>SUMIF(基因升级!$D$141:$D$500,"&lt;="&amp;$R80,基因升级!$U$141:$U$500)</f>
        <v>0</v>
      </c>
      <c r="T80" s="4">
        <f>SUMIF(基因升级!$D$141:$D$500,"&lt;="&amp;$R80,基因升级!J$141:J$500)</f>
        <v>2276</v>
      </c>
      <c r="U80" s="4">
        <f>SUMIF(基因升级!$D$141:$D$500,"&lt;="&amp;$R80,基因升级!K$141:K$500)</f>
        <v>0.95</v>
      </c>
      <c r="V80" s="4">
        <f>SUMIF(基因升级!$D$141:$D$500,"&lt;="&amp;$R80,基因升级!L$141:L$500)</f>
        <v>0.54</v>
      </c>
      <c r="W80" s="4">
        <f>SUMIF(基因升级!$D$141:$D$500,"&lt;="&amp;$R80,基因升级!M$141:M$500)</f>
        <v>0.036</v>
      </c>
      <c r="X80" s="4">
        <f>SUMIF(基因升级!$D$141:$D$500,"&lt;="&amp;$R80,基因升级!N$141:N$500)</f>
        <v>0.1425</v>
      </c>
    </row>
    <row r="81" ht="16.5" spans="1:24">
      <c r="A81" s="14">
        <v>75</v>
      </c>
      <c r="B81" s="4">
        <f>IFERROR(_xlfn.XLOOKUP(A81+1,基因升级!$E$141:$E$500,基因升级!$D$141:$D$500)-1,B80)</f>
        <v>67</v>
      </c>
      <c r="C81" s="4">
        <f>SUMIF(基因升级!$D$141:$D$500,"&lt;"&amp;$B81,基因升级!$U$141:$U$500)</f>
        <v>0</v>
      </c>
      <c r="D81" s="4"/>
      <c r="E81" s="4"/>
      <c r="F81" s="4"/>
      <c r="G81" s="4"/>
      <c r="H81" s="4"/>
      <c r="I81" s="4"/>
      <c r="J81" s="4"/>
      <c r="K81" s="4">
        <f>SUMIF(基因升级!$D$141:$D$500,"&lt;"&amp;$B81,基因升级!J$141:J$500)</f>
        <v>1836</v>
      </c>
      <c r="L81" s="4">
        <f>SUMIF(基因升级!$D$141:$D$500,"&lt;"&amp;$B81,基因升级!K$141:K$500)</f>
        <v>0.85</v>
      </c>
      <c r="M81" s="4">
        <f>SUMIF(基因升级!$D$141:$D$500,"&lt;"&amp;$B81,基因升级!L$141:L$500)</f>
        <v>0.48</v>
      </c>
      <c r="N81" s="4">
        <f>SUMIF(基因升级!$D$141:$D$500,"&lt;"&amp;$B81,基因升级!M$141:M$500)</f>
        <v>0.032</v>
      </c>
      <c r="O81" s="4">
        <f>SUMIF(基因升级!$D$141:$D$500,"&lt;"&amp;$B81,基因升级!N$141:N$500)</f>
        <v>0.1275</v>
      </c>
      <c r="R81" s="4">
        <v>75</v>
      </c>
      <c r="S81" s="4">
        <f>SUMIF(基因升级!$D$141:$D$500,"&lt;="&amp;$R81,基因升级!$U$141:$U$500)</f>
        <v>0</v>
      </c>
      <c r="T81" s="4">
        <f>SUMIF(基因升级!$D$141:$D$500,"&lt;="&amp;$R81,基因升级!J$141:J$500)</f>
        <v>2334</v>
      </c>
      <c r="U81" s="4">
        <f>SUMIF(基因升级!$D$141:$D$500,"&lt;="&amp;$R81,基因升级!K$141:K$500)</f>
        <v>0.95</v>
      </c>
      <c r="V81" s="4">
        <f>SUMIF(基因升级!$D$141:$D$500,"&lt;="&amp;$R81,基因升级!L$141:L$500)</f>
        <v>0.54</v>
      </c>
      <c r="W81" s="4">
        <f>SUMIF(基因升级!$D$141:$D$500,"&lt;="&amp;$R81,基因升级!M$141:M$500)</f>
        <v>0.038</v>
      </c>
      <c r="X81" s="4">
        <f>SUMIF(基因升级!$D$141:$D$500,"&lt;="&amp;$R81,基因升级!N$141:N$500)</f>
        <v>0.1425</v>
      </c>
    </row>
    <row r="82" ht="16.5" spans="1:24">
      <c r="A82" s="14">
        <v>76</v>
      </c>
      <c r="B82" s="4">
        <f>IFERROR(_xlfn.XLOOKUP(A82+1,基因升级!$E$141:$E$500,基因升级!$D$141:$D$500)-1,B81)</f>
        <v>67</v>
      </c>
      <c r="C82" s="4">
        <f>SUMIF(基因升级!$D$141:$D$500,"&lt;"&amp;$B82,基因升级!$U$141:$U$500)</f>
        <v>0</v>
      </c>
      <c r="D82" s="4"/>
      <c r="E82" s="4"/>
      <c r="F82" s="4"/>
      <c r="G82" s="4"/>
      <c r="H82" s="4"/>
      <c r="I82" s="4"/>
      <c r="J82" s="4"/>
      <c r="K82" s="4">
        <f>SUMIF(基因升级!$D$141:$D$500,"&lt;"&amp;$B82,基因升级!J$141:J$500)</f>
        <v>1836</v>
      </c>
      <c r="L82" s="4">
        <f>SUMIF(基因升级!$D$141:$D$500,"&lt;"&amp;$B82,基因升级!K$141:K$500)</f>
        <v>0.85</v>
      </c>
      <c r="M82" s="4">
        <f>SUMIF(基因升级!$D$141:$D$500,"&lt;"&amp;$B82,基因升级!L$141:L$500)</f>
        <v>0.48</v>
      </c>
      <c r="N82" s="4">
        <f>SUMIF(基因升级!$D$141:$D$500,"&lt;"&amp;$B82,基因升级!M$141:M$500)</f>
        <v>0.032</v>
      </c>
      <c r="O82" s="4">
        <f>SUMIF(基因升级!$D$141:$D$500,"&lt;"&amp;$B82,基因升级!N$141:N$500)</f>
        <v>0.1275</v>
      </c>
      <c r="R82" s="4">
        <v>76</v>
      </c>
      <c r="S82" s="4">
        <f>SUMIF(基因升级!$D$141:$D$500,"&lt;="&amp;$R82,基因升级!$U$141:$U$500)</f>
        <v>0</v>
      </c>
      <c r="T82" s="4">
        <f>SUMIF(基因升级!$D$141:$D$500,"&lt;="&amp;$R82,基因升级!J$141:J$500)</f>
        <v>2392</v>
      </c>
      <c r="U82" s="4">
        <f>SUMIF(基因升级!$D$141:$D$500,"&lt;="&amp;$R82,基因升级!K$141:K$500)</f>
        <v>0.95</v>
      </c>
      <c r="V82" s="4">
        <f>SUMIF(基因升级!$D$141:$D$500,"&lt;="&amp;$R82,基因升级!L$141:L$500)</f>
        <v>0.57</v>
      </c>
      <c r="W82" s="4">
        <f>SUMIF(基因升级!$D$141:$D$500,"&lt;="&amp;$R82,基因升级!M$141:M$500)</f>
        <v>0.038</v>
      </c>
      <c r="X82" s="4">
        <f>SUMIF(基因升级!$D$141:$D$500,"&lt;="&amp;$R82,基因升级!N$141:N$500)</f>
        <v>0.1425</v>
      </c>
    </row>
    <row r="83" ht="16.5" spans="1:24">
      <c r="A83" s="14">
        <v>77</v>
      </c>
      <c r="B83" s="4">
        <f>IFERROR(_xlfn.XLOOKUP(A83+1,基因升级!$E$141:$E$500,基因升级!$D$141:$D$500)-1,B82)</f>
        <v>68</v>
      </c>
      <c r="C83" s="4">
        <f>SUMIF(基因升级!$D$141:$D$500,"&lt;"&amp;$B83,基因升级!$U$141:$U$500)</f>
        <v>0</v>
      </c>
      <c r="D83" s="4"/>
      <c r="E83" s="4"/>
      <c r="F83" s="4"/>
      <c r="G83" s="4"/>
      <c r="H83" s="4"/>
      <c r="I83" s="4"/>
      <c r="J83" s="4"/>
      <c r="K83" s="4">
        <f>SUMIF(基因升级!$D$141:$D$500,"&lt;"&amp;$B83,基因升级!J$141:J$500)</f>
        <v>1890</v>
      </c>
      <c r="L83" s="4">
        <f>SUMIF(基因升级!$D$141:$D$500,"&lt;"&amp;$B83,基因升级!K$141:K$500)</f>
        <v>0.85</v>
      </c>
      <c r="M83" s="4">
        <f>SUMIF(基因升级!$D$141:$D$500,"&lt;"&amp;$B83,基因升级!L$141:L$500)</f>
        <v>0.48</v>
      </c>
      <c r="N83" s="4">
        <f>SUMIF(基因升级!$D$141:$D$500,"&lt;"&amp;$B83,基因升级!M$141:M$500)</f>
        <v>0.034</v>
      </c>
      <c r="O83" s="4">
        <f>SUMIF(基因升级!$D$141:$D$500,"&lt;"&amp;$B83,基因升级!N$141:N$500)</f>
        <v>0.1275</v>
      </c>
      <c r="R83" s="4">
        <v>77</v>
      </c>
      <c r="S83" s="4">
        <f>SUMIF(基因升级!$D$141:$D$500,"&lt;="&amp;$R83,基因升级!$U$141:$U$500)</f>
        <v>0</v>
      </c>
      <c r="T83" s="4">
        <f>SUMIF(基因升级!$D$141:$D$500,"&lt;="&amp;$R83,基因升级!J$141:J$500)</f>
        <v>2450</v>
      </c>
      <c r="U83" s="4">
        <f>SUMIF(基因升级!$D$141:$D$500,"&lt;="&amp;$R83,基因升级!K$141:K$500)</f>
        <v>1</v>
      </c>
      <c r="V83" s="4">
        <f>SUMIF(基因升级!$D$141:$D$500,"&lt;="&amp;$R83,基因升级!L$141:L$500)</f>
        <v>0.57</v>
      </c>
      <c r="W83" s="4">
        <f>SUMIF(基因升级!$D$141:$D$500,"&lt;="&amp;$R83,基因升级!M$141:M$500)</f>
        <v>0.038</v>
      </c>
      <c r="X83" s="4">
        <f>SUMIF(基因升级!$D$141:$D$500,"&lt;="&amp;$R83,基因升级!N$141:N$500)</f>
        <v>0.1425</v>
      </c>
    </row>
    <row r="84" ht="16.5" spans="1:24">
      <c r="A84" s="14">
        <v>78</v>
      </c>
      <c r="B84" s="4">
        <f>IFERROR(_xlfn.XLOOKUP(A84+1,基因升级!$E$141:$E$500,基因升级!$D$141:$D$500)-1,B83)</f>
        <v>68</v>
      </c>
      <c r="C84" s="4">
        <f>SUMIF(基因升级!$D$141:$D$500,"&lt;"&amp;$B84,基因升级!$U$141:$U$500)</f>
        <v>0</v>
      </c>
      <c r="D84" s="4"/>
      <c r="E84" s="4"/>
      <c r="F84" s="4"/>
      <c r="G84" s="4"/>
      <c r="H84" s="4"/>
      <c r="I84" s="4"/>
      <c r="J84" s="4"/>
      <c r="K84" s="4">
        <f>SUMIF(基因升级!$D$141:$D$500,"&lt;"&amp;$B84,基因升级!J$141:J$500)</f>
        <v>1890</v>
      </c>
      <c r="L84" s="4">
        <f>SUMIF(基因升级!$D$141:$D$500,"&lt;"&amp;$B84,基因升级!K$141:K$500)</f>
        <v>0.85</v>
      </c>
      <c r="M84" s="4">
        <f>SUMIF(基因升级!$D$141:$D$500,"&lt;"&amp;$B84,基因升级!L$141:L$500)</f>
        <v>0.48</v>
      </c>
      <c r="N84" s="4">
        <f>SUMIF(基因升级!$D$141:$D$500,"&lt;"&amp;$B84,基因升级!M$141:M$500)</f>
        <v>0.034</v>
      </c>
      <c r="O84" s="4">
        <f>SUMIF(基因升级!$D$141:$D$500,"&lt;"&amp;$B84,基因升级!N$141:N$500)</f>
        <v>0.1275</v>
      </c>
      <c r="R84" s="4">
        <v>78</v>
      </c>
      <c r="S84" s="4">
        <f>SUMIF(基因升级!$D$141:$D$500,"&lt;="&amp;$R84,基因升级!$U$141:$U$500)</f>
        <v>0</v>
      </c>
      <c r="T84" s="4">
        <f>SUMIF(基因升级!$D$141:$D$500,"&lt;="&amp;$R84,基因升级!J$141:J$500)</f>
        <v>2508</v>
      </c>
      <c r="U84" s="4">
        <f>SUMIF(基因升级!$D$141:$D$500,"&lt;="&amp;$R84,基因升级!K$141:K$500)</f>
        <v>1</v>
      </c>
      <c r="V84" s="4">
        <f>SUMIF(基因升级!$D$141:$D$500,"&lt;="&amp;$R84,基因升级!L$141:L$500)</f>
        <v>0.57</v>
      </c>
      <c r="W84" s="4">
        <f>SUMIF(基因升级!$D$141:$D$500,"&lt;="&amp;$R84,基因升级!M$141:M$500)</f>
        <v>0.038</v>
      </c>
      <c r="X84" s="4">
        <f>SUMIF(基因升级!$D$141:$D$500,"&lt;="&amp;$R84,基因升级!N$141:N$500)</f>
        <v>0.15</v>
      </c>
    </row>
    <row r="85" ht="16.5" spans="1:24">
      <c r="A85" s="14">
        <v>79</v>
      </c>
      <c r="B85" s="4">
        <f>IFERROR(_xlfn.XLOOKUP(A85+1,基因升级!$E$141:$E$500,基因升级!$D$141:$D$500)-1,B84)</f>
        <v>68</v>
      </c>
      <c r="C85" s="4">
        <f>SUMIF(基因升级!$D$141:$D$500,"&lt;"&amp;$B85,基因升级!$U$141:$U$500)</f>
        <v>0</v>
      </c>
      <c r="D85" s="4"/>
      <c r="E85" s="4"/>
      <c r="F85" s="4"/>
      <c r="G85" s="4"/>
      <c r="H85" s="4"/>
      <c r="I85" s="4"/>
      <c r="J85" s="4"/>
      <c r="K85" s="4">
        <f>SUMIF(基因升级!$D$141:$D$500,"&lt;"&amp;$B85,基因升级!J$141:J$500)</f>
        <v>1890</v>
      </c>
      <c r="L85" s="4">
        <f>SUMIF(基因升级!$D$141:$D$500,"&lt;"&amp;$B85,基因升级!K$141:K$500)</f>
        <v>0.85</v>
      </c>
      <c r="M85" s="4">
        <f>SUMIF(基因升级!$D$141:$D$500,"&lt;"&amp;$B85,基因升级!L$141:L$500)</f>
        <v>0.48</v>
      </c>
      <c r="N85" s="4">
        <f>SUMIF(基因升级!$D$141:$D$500,"&lt;"&amp;$B85,基因升级!M$141:M$500)</f>
        <v>0.034</v>
      </c>
      <c r="O85" s="4">
        <f>SUMIF(基因升级!$D$141:$D$500,"&lt;"&amp;$B85,基因升级!N$141:N$500)</f>
        <v>0.1275</v>
      </c>
      <c r="R85" s="4">
        <v>79</v>
      </c>
      <c r="S85" s="4">
        <f>SUMIF(基因升级!$D$141:$D$500,"&lt;="&amp;$R85,基因升级!$U$141:$U$500)</f>
        <v>0</v>
      </c>
      <c r="T85" s="4">
        <f>SUMIF(基因升级!$D$141:$D$500,"&lt;="&amp;$R85,基因升级!J$141:J$500)</f>
        <v>2566</v>
      </c>
      <c r="U85" s="4">
        <f>SUMIF(基因升级!$D$141:$D$500,"&lt;="&amp;$R85,基因升级!K$141:K$500)</f>
        <v>1</v>
      </c>
      <c r="V85" s="4">
        <f>SUMIF(基因升级!$D$141:$D$500,"&lt;="&amp;$R85,基因升级!L$141:L$500)</f>
        <v>0.57</v>
      </c>
      <c r="W85" s="4">
        <f>SUMIF(基因升级!$D$141:$D$500,"&lt;="&amp;$R85,基因升级!M$141:M$500)</f>
        <v>0.04</v>
      </c>
      <c r="X85" s="4">
        <f>SUMIF(基因升级!$D$141:$D$500,"&lt;="&amp;$R85,基因升级!N$141:N$500)</f>
        <v>0.15</v>
      </c>
    </row>
    <row r="86" ht="16.5" spans="1:24">
      <c r="A86" s="14">
        <v>80</v>
      </c>
      <c r="B86" s="4">
        <f>IFERROR(_xlfn.XLOOKUP(A86+1,基因升级!$E$141:$E$500,基因升级!$D$141:$D$500)-1,B85)</f>
        <v>68</v>
      </c>
      <c r="C86" s="4">
        <f>SUMIF(基因升级!$D$141:$D$500,"&lt;"&amp;$B86,基因升级!$U$141:$U$500)</f>
        <v>0</v>
      </c>
      <c r="D86" s="4"/>
      <c r="E86" s="4"/>
      <c r="F86" s="4"/>
      <c r="G86" s="4"/>
      <c r="H86" s="4"/>
      <c r="I86" s="4"/>
      <c r="J86" s="4"/>
      <c r="K86" s="4">
        <f>SUMIF(基因升级!$D$141:$D$500,"&lt;"&amp;$B86,基因升级!J$141:J$500)</f>
        <v>1890</v>
      </c>
      <c r="L86" s="4">
        <f>SUMIF(基因升级!$D$141:$D$500,"&lt;"&amp;$B86,基因升级!K$141:K$500)</f>
        <v>0.85</v>
      </c>
      <c r="M86" s="4">
        <f>SUMIF(基因升级!$D$141:$D$500,"&lt;"&amp;$B86,基因升级!L$141:L$500)</f>
        <v>0.48</v>
      </c>
      <c r="N86" s="4">
        <f>SUMIF(基因升级!$D$141:$D$500,"&lt;"&amp;$B86,基因升级!M$141:M$500)</f>
        <v>0.034</v>
      </c>
      <c r="O86" s="4">
        <f>SUMIF(基因升级!$D$141:$D$500,"&lt;"&amp;$B86,基因升级!N$141:N$500)</f>
        <v>0.1275</v>
      </c>
      <c r="R86" s="4">
        <v>80</v>
      </c>
      <c r="S86" s="4">
        <f>SUMIF(基因升级!$D$141:$D$500,"&lt;="&amp;$R86,基因升级!$U$141:$U$500)</f>
        <v>0</v>
      </c>
      <c r="T86" s="4">
        <f>SUMIF(基因升级!$D$141:$D$500,"&lt;="&amp;$R86,基因升级!J$141:J$500)</f>
        <v>2624</v>
      </c>
      <c r="U86" s="4">
        <f>SUMIF(基因升级!$D$141:$D$500,"&lt;="&amp;$R86,基因升级!K$141:K$500)</f>
        <v>1</v>
      </c>
      <c r="V86" s="4">
        <f>SUMIF(基因升级!$D$141:$D$500,"&lt;="&amp;$R86,基因升级!L$141:L$500)</f>
        <v>0.6</v>
      </c>
      <c r="W86" s="4">
        <f>SUMIF(基因升级!$D$141:$D$500,"&lt;="&amp;$R86,基因升级!M$141:M$500)</f>
        <v>0.04</v>
      </c>
      <c r="X86" s="4">
        <f>SUMIF(基因升级!$D$141:$D$500,"&lt;="&amp;$R86,基因升级!N$141:N$500)</f>
        <v>0.15</v>
      </c>
    </row>
    <row r="87" ht="16.5" spans="1:24">
      <c r="A87" s="14">
        <v>81</v>
      </c>
      <c r="B87" s="4">
        <f>IFERROR(_xlfn.XLOOKUP(A87+1,基因升级!$E$141:$E$500,基因升级!$D$141:$D$500)-1,B86)</f>
        <v>69</v>
      </c>
      <c r="C87" s="4">
        <f>SUMIF(基因升级!$D$141:$D$500,"&lt;"&amp;$B87,基因升级!$U$141:$U$500)</f>
        <v>0</v>
      </c>
      <c r="D87" s="4"/>
      <c r="E87" s="4"/>
      <c r="F87" s="4"/>
      <c r="G87" s="4"/>
      <c r="H87" s="4"/>
      <c r="I87" s="4"/>
      <c r="J87" s="4"/>
      <c r="K87" s="4">
        <f>SUMIF(基因升级!$D$141:$D$500,"&lt;"&amp;$B87,基因升级!J$141:J$500)</f>
        <v>1944</v>
      </c>
      <c r="L87" s="4">
        <f>SUMIF(基因升级!$D$141:$D$500,"&lt;"&amp;$B87,基因升级!K$141:K$500)</f>
        <v>0.85</v>
      </c>
      <c r="M87" s="4">
        <f>SUMIF(基因升级!$D$141:$D$500,"&lt;"&amp;$B87,基因升级!L$141:L$500)</f>
        <v>0.51</v>
      </c>
      <c r="N87" s="4">
        <f>SUMIF(基因升级!$D$141:$D$500,"&lt;"&amp;$B87,基因升级!M$141:M$500)</f>
        <v>0.034</v>
      </c>
      <c r="O87" s="4">
        <f>SUMIF(基因升级!$D$141:$D$500,"&lt;"&amp;$B87,基因升级!N$141:N$500)</f>
        <v>0.1275</v>
      </c>
      <c r="R87" s="4">
        <v>81</v>
      </c>
      <c r="S87" s="4">
        <f>SUMIF(基因升级!$D$141:$D$500,"&lt;="&amp;$R87,基因升级!$U$141:$U$500)</f>
        <v>0</v>
      </c>
      <c r="T87" s="4">
        <f>SUMIF(基因升级!$D$141:$D$500,"&lt;="&amp;$R87,基因升级!J$141:J$500)</f>
        <v>2688</v>
      </c>
      <c r="U87" s="4">
        <f>SUMIF(基因升级!$D$141:$D$500,"&lt;="&amp;$R87,基因升级!K$141:K$500)</f>
        <v>1.05</v>
      </c>
      <c r="V87" s="4">
        <f>SUMIF(基因升级!$D$141:$D$500,"&lt;="&amp;$R87,基因升级!L$141:L$500)</f>
        <v>0.6</v>
      </c>
      <c r="W87" s="4">
        <f>SUMIF(基因升级!$D$141:$D$500,"&lt;="&amp;$R87,基因升级!M$141:M$500)</f>
        <v>0.04</v>
      </c>
      <c r="X87" s="4">
        <f>SUMIF(基因升级!$D$141:$D$500,"&lt;="&amp;$R87,基因升级!N$141:N$500)</f>
        <v>0.15</v>
      </c>
    </row>
    <row r="88" ht="16.5" spans="1:24">
      <c r="A88" s="14">
        <v>82</v>
      </c>
      <c r="B88" s="4">
        <f>IFERROR(_xlfn.XLOOKUP(A88+1,基因升级!$E$141:$E$500,基因升级!$D$141:$D$500)-1,B87)</f>
        <v>69</v>
      </c>
      <c r="C88" s="4">
        <f>SUMIF(基因升级!$D$141:$D$500,"&lt;"&amp;$B88,基因升级!$U$141:$U$500)</f>
        <v>0</v>
      </c>
      <c r="D88" s="4"/>
      <c r="E88" s="4"/>
      <c r="F88" s="4"/>
      <c r="G88" s="4"/>
      <c r="H88" s="4"/>
      <c r="I88" s="4"/>
      <c r="J88" s="4"/>
      <c r="K88" s="4">
        <f>SUMIF(基因升级!$D$141:$D$500,"&lt;"&amp;$B88,基因升级!J$141:J$500)</f>
        <v>1944</v>
      </c>
      <c r="L88" s="4">
        <f>SUMIF(基因升级!$D$141:$D$500,"&lt;"&amp;$B88,基因升级!K$141:K$500)</f>
        <v>0.85</v>
      </c>
      <c r="M88" s="4">
        <f>SUMIF(基因升级!$D$141:$D$500,"&lt;"&amp;$B88,基因升级!L$141:L$500)</f>
        <v>0.51</v>
      </c>
      <c r="N88" s="4">
        <f>SUMIF(基因升级!$D$141:$D$500,"&lt;"&amp;$B88,基因升级!M$141:M$500)</f>
        <v>0.034</v>
      </c>
      <c r="O88" s="4">
        <f>SUMIF(基因升级!$D$141:$D$500,"&lt;"&amp;$B88,基因升级!N$141:N$500)</f>
        <v>0.1275</v>
      </c>
      <c r="R88" s="4">
        <v>82</v>
      </c>
      <c r="S88" s="4">
        <f>SUMIF(基因升级!$D$141:$D$500,"&lt;="&amp;$R88,基因升级!$U$141:$U$500)</f>
        <v>0</v>
      </c>
      <c r="T88" s="4">
        <f>SUMIF(基因升级!$D$141:$D$500,"&lt;="&amp;$R88,基因升级!J$141:J$500)</f>
        <v>2752</v>
      </c>
      <c r="U88" s="4">
        <f>SUMIF(基因升级!$D$141:$D$500,"&lt;="&amp;$R88,基因升级!K$141:K$500)</f>
        <v>1.05</v>
      </c>
      <c r="V88" s="4">
        <f>SUMIF(基因升级!$D$141:$D$500,"&lt;="&amp;$R88,基因升级!L$141:L$500)</f>
        <v>0.6</v>
      </c>
      <c r="W88" s="4">
        <f>SUMIF(基因升级!$D$141:$D$500,"&lt;="&amp;$R88,基因升级!M$141:M$500)</f>
        <v>0.04</v>
      </c>
      <c r="X88" s="4">
        <f>SUMIF(基因升级!$D$141:$D$500,"&lt;="&amp;$R88,基因升级!N$141:N$500)</f>
        <v>0.1575</v>
      </c>
    </row>
    <row r="89" ht="16.5" spans="1:24">
      <c r="A89" s="14">
        <v>83</v>
      </c>
      <c r="B89" s="4">
        <f>IFERROR(_xlfn.XLOOKUP(A89+1,基因升级!$E$141:$E$500,基因升级!$D$141:$D$500)-1,B88)</f>
        <v>69</v>
      </c>
      <c r="C89" s="4">
        <f>SUMIF(基因升级!$D$141:$D$500,"&lt;"&amp;$B89,基因升级!$U$141:$U$500)</f>
        <v>0</v>
      </c>
      <c r="D89" s="4"/>
      <c r="E89" s="4"/>
      <c r="F89" s="4"/>
      <c r="G89" s="4"/>
      <c r="H89" s="4"/>
      <c r="I89" s="4"/>
      <c r="J89" s="4"/>
      <c r="K89" s="4">
        <f>SUMIF(基因升级!$D$141:$D$500,"&lt;"&amp;$B89,基因升级!J$141:J$500)</f>
        <v>1944</v>
      </c>
      <c r="L89" s="4">
        <f>SUMIF(基因升级!$D$141:$D$500,"&lt;"&amp;$B89,基因升级!K$141:K$500)</f>
        <v>0.85</v>
      </c>
      <c r="M89" s="4">
        <f>SUMIF(基因升级!$D$141:$D$500,"&lt;"&amp;$B89,基因升级!L$141:L$500)</f>
        <v>0.51</v>
      </c>
      <c r="N89" s="4">
        <f>SUMIF(基因升级!$D$141:$D$500,"&lt;"&amp;$B89,基因升级!M$141:M$500)</f>
        <v>0.034</v>
      </c>
      <c r="O89" s="4">
        <f>SUMIF(基因升级!$D$141:$D$500,"&lt;"&amp;$B89,基因升级!N$141:N$500)</f>
        <v>0.1275</v>
      </c>
      <c r="R89" s="4">
        <v>83</v>
      </c>
      <c r="S89" s="4">
        <f>SUMIF(基因升级!$D$141:$D$500,"&lt;="&amp;$R89,基因升级!$U$141:$U$500)</f>
        <v>0</v>
      </c>
      <c r="T89" s="4">
        <f>SUMIF(基因升级!$D$141:$D$500,"&lt;="&amp;$R89,基因升级!J$141:J$500)</f>
        <v>2816</v>
      </c>
      <c r="U89" s="4">
        <f>SUMIF(基因升级!$D$141:$D$500,"&lt;="&amp;$R89,基因升级!K$141:K$500)</f>
        <v>1.05</v>
      </c>
      <c r="V89" s="4">
        <f>SUMIF(基因升级!$D$141:$D$500,"&lt;="&amp;$R89,基因升级!L$141:L$500)</f>
        <v>0.6</v>
      </c>
      <c r="W89" s="4">
        <f>SUMIF(基因升级!$D$141:$D$500,"&lt;="&amp;$R89,基因升级!M$141:M$500)</f>
        <v>0.042</v>
      </c>
      <c r="X89" s="4">
        <f>SUMIF(基因升级!$D$141:$D$500,"&lt;="&amp;$R89,基因升级!N$141:N$500)</f>
        <v>0.1575</v>
      </c>
    </row>
    <row r="90" ht="16.5" spans="1:24">
      <c r="A90" s="14">
        <v>84</v>
      </c>
      <c r="B90" s="4">
        <f>IFERROR(_xlfn.XLOOKUP(A90+1,基因升级!$E$141:$E$500,基因升级!$D$141:$D$500)-1,B89)</f>
        <v>69</v>
      </c>
      <c r="C90" s="4">
        <f>SUMIF(基因升级!$D$141:$D$500,"&lt;"&amp;$B90,基因升级!$U$141:$U$500)</f>
        <v>0</v>
      </c>
      <c r="D90" s="4"/>
      <c r="E90" s="4"/>
      <c r="F90" s="4"/>
      <c r="G90" s="4"/>
      <c r="H90" s="4"/>
      <c r="I90" s="4"/>
      <c r="J90" s="4"/>
      <c r="K90" s="4">
        <f>SUMIF(基因升级!$D$141:$D$500,"&lt;"&amp;$B90,基因升级!J$141:J$500)</f>
        <v>1944</v>
      </c>
      <c r="L90" s="4">
        <f>SUMIF(基因升级!$D$141:$D$500,"&lt;"&amp;$B90,基因升级!K$141:K$500)</f>
        <v>0.85</v>
      </c>
      <c r="M90" s="4">
        <f>SUMIF(基因升级!$D$141:$D$500,"&lt;"&amp;$B90,基因升级!L$141:L$500)</f>
        <v>0.51</v>
      </c>
      <c r="N90" s="4">
        <f>SUMIF(基因升级!$D$141:$D$500,"&lt;"&amp;$B90,基因升级!M$141:M$500)</f>
        <v>0.034</v>
      </c>
      <c r="O90" s="4">
        <f>SUMIF(基因升级!$D$141:$D$500,"&lt;"&amp;$B90,基因升级!N$141:N$500)</f>
        <v>0.1275</v>
      </c>
      <c r="R90" s="4">
        <v>84</v>
      </c>
      <c r="S90" s="4">
        <f>SUMIF(基因升级!$D$141:$D$500,"&lt;="&amp;$R90,基因升级!$U$141:$U$500)</f>
        <v>0</v>
      </c>
      <c r="T90" s="4">
        <f>SUMIF(基因升级!$D$141:$D$500,"&lt;="&amp;$R90,基因升级!J$141:J$500)</f>
        <v>2880</v>
      </c>
      <c r="U90" s="4">
        <f>SUMIF(基因升级!$D$141:$D$500,"&lt;="&amp;$R90,基因升级!K$141:K$500)</f>
        <v>1.05</v>
      </c>
      <c r="V90" s="4">
        <f>SUMIF(基因升级!$D$141:$D$500,"&lt;="&amp;$R90,基因升级!L$141:L$500)</f>
        <v>0.63</v>
      </c>
      <c r="W90" s="4">
        <f>SUMIF(基因升级!$D$141:$D$500,"&lt;="&amp;$R90,基因升级!M$141:M$500)</f>
        <v>0.042</v>
      </c>
      <c r="X90" s="4">
        <f>SUMIF(基因升级!$D$141:$D$500,"&lt;="&amp;$R90,基因升级!N$141:N$500)</f>
        <v>0.1575</v>
      </c>
    </row>
    <row r="91" ht="16.5" spans="1:24">
      <c r="A91" s="14">
        <v>85</v>
      </c>
      <c r="B91" s="4">
        <f>IFERROR(_xlfn.XLOOKUP(A91+1,基因升级!$E$141:$E$500,基因升级!$D$141:$D$500)-1,B90)</f>
        <v>70</v>
      </c>
      <c r="C91" s="4">
        <f>SUMIF(基因升级!$D$141:$D$500,"&lt;"&amp;$B91,基因升级!$U$141:$U$500)</f>
        <v>0</v>
      </c>
      <c r="D91" s="4"/>
      <c r="E91" s="4"/>
      <c r="F91" s="4"/>
      <c r="G91" s="4"/>
      <c r="H91" s="4"/>
      <c r="I91" s="4"/>
      <c r="J91" s="4"/>
      <c r="K91" s="4">
        <f>SUMIF(基因升级!$D$141:$D$500,"&lt;"&amp;$B91,基因升级!J$141:J$500)</f>
        <v>1998</v>
      </c>
      <c r="L91" s="4">
        <f>SUMIF(基因升级!$D$141:$D$500,"&lt;"&amp;$B91,基因升级!K$141:K$500)</f>
        <v>0.9</v>
      </c>
      <c r="M91" s="4">
        <f>SUMIF(基因升级!$D$141:$D$500,"&lt;"&amp;$B91,基因升级!L$141:L$500)</f>
        <v>0.51</v>
      </c>
      <c r="N91" s="4">
        <f>SUMIF(基因升级!$D$141:$D$500,"&lt;"&amp;$B91,基因升级!M$141:M$500)</f>
        <v>0.034</v>
      </c>
      <c r="O91" s="4">
        <f>SUMIF(基因升级!$D$141:$D$500,"&lt;"&amp;$B91,基因升级!N$141:N$500)</f>
        <v>0.1275</v>
      </c>
      <c r="R91" s="4">
        <v>85</v>
      </c>
      <c r="S91" s="4">
        <f>SUMIF(基因升级!$D$141:$D$500,"&lt;="&amp;$R91,基因升级!$U$141:$U$500)</f>
        <v>0</v>
      </c>
      <c r="T91" s="4">
        <f>SUMIF(基因升级!$D$141:$D$500,"&lt;="&amp;$R91,基因升级!J$141:J$500)</f>
        <v>2944</v>
      </c>
      <c r="U91" s="4">
        <f>SUMIF(基因升级!$D$141:$D$500,"&lt;="&amp;$R91,基因升级!K$141:K$500)</f>
        <v>1.1</v>
      </c>
      <c r="V91" s="4">
        <f>SUMIF(基因升级!$D$141:$D$500,"&lt;="&amp;$R91,基因升级!L$141:L$500)</f>
        <v>0.63</v>
      </c>
      <c r="W91" s="4">
        <f>SUMIF(基因升级!$D$141:$D$500,"&lt;="&amp;$R91,基因升级!M$141:M$500)</f>
        <v>0.042</v>
      </c>
      <c r="X91" s="4">
        <f>SUMIF(基因升级!$D$141:$D$500,"&lt;="&amp;$R91,基因升级!N$141:N$500)</f>
        <v>0.1575</v>
      </c>
    </row>
    <row r="92" ht="16.5" spans="1:24">
      <c r="A92" s="14">
        <v>86</v>
      </c>
      <c r="B92" s="4">
        <f>IFERROR(_xlfn.XLOOKUP(A92+1,基因升级!$E$141:$E$500,基因升级!$D$141:$D$500)-1,B91)</f>
        <v>70</v>
      </c>
      <c r="C92" s="4">
        <f>SUMIF(基因升级!$D$141:$D$500,"&lt;"&amp;$B92,基因升级!$U$141:$U$500)</f>
        <v>0</v>
      </c>
      <c r="D92" s="4"/>
      <c r="E92" s="4"/>
      <c r="F92" s="4"/>
      <c r="G92" s="4"/>
      <c r="H92" s="4"/>
      <c r="I92" s="4"/>
      <c r="J92" s="4"/>
      <c r="K92" s="4">
        <f>SUMIF(基因升级!$D$141:$D$500,"&lt;"&amp;$B92,基因升级!J$141:J$500)</f>
        <v>1998</v>
      </c>
      <c r="L92" s="4">
        <f>SUMIF(基因升级!$D$141:$D$500,"&lt;"&amp;$B92,基因升级!K$141:K$500)</f>
        <v>0.9</v>
      </c>
      <c r="M92" s="4">
        <f>SUMIF(基因升级!$D$141:$D$500,"&lt;"&amp;$B92,基因升级!L$141:L$500)</f>
        <v>0.51</v>
      </c>
      <c r="N92" s="4">
        <f>SUMIF(基因升级!$D$141:$D$500,"&lt;"&amp;$B92,基因升级!M$141:M$500)</f>
        <v>0.034</v>
      </c>
      <c r="O92" s="4">
        <f>SUMIF(基因升级!$D$141:$D$500,"&lt;"&amp;$B92,基因升级!N$141:N$500)</f>
        <v>0.1275</v>
      </c>
      <c r="R92" s="4">
        <v>86</v>
      </c>
      <c r="S92" s="4">
        <f>SUMIF(基因升级!$D$141:$D$500,"&lt;="&amp;$R92,基因升级!$U$141:$U$500)</f>
        <v>0</v>
      </c>
      <c r="T92" s="4">
        <f>SUMIF(基因升级!$D$141:$D$500,"&lt;="&amp;$R92,基因升级!J$141:J$500)</f>
        <v>3008</v>
      </c>
      <c r="U92" s="4">
        <f>SUMIF(基因升级!$D$141:$D$500,"&lt;="&amp;$R92,基因升级!K$141:K$500)</f>
        <v>1.1</v>
      </c>
      <c r="V92" s="4">
        <f>SUMIF(基因升级!$D$141:$D$500,"&lt;="&amp;$R92,基因升级!L$141:L$500)</f>
        <v>0.63</v>
      </c>
      <c r="W92" s="4">
        <f>SUMIF(基因升级!$D$141:$D$500,"&lt;="&amp;$R92,基因升级!M$141:M$500)</f>
        <v>0.042</v>
      </c>
      <c r="X92" s="4">
        <f>SUMIF(基因升级!$D$141:$D$500,"&lt;="&amp;$R92,基因升级!N$141:N$500)</f>
        <v>0.165</v>
      </c>
    </row>
    <row r="93" ht="16.5" spans="1:24">
      <c r="A93" s="14">
        <v>87</v>
      </c>
      <c r="B93" s="4">
        <f>IFERROR(_xlfn.XLOOKUP(A93+1,基因升级!$E$141:$E$500,基因升级!$D$141:$D$500)-1,B92)</f>
        <v>70</v>
      </c>
      <c r="C93" s="4">
        <f>SUMIF(基因升级!$D$141:$D$500,"&lt;"&amp;$B93,基因升级!$U$141:$U$500)</f>
        <v>0</v>
      </c>
      <c r="D93" s="4"/>
      <c r="E93" s="4"/>
      <c r="F93" s="4"/>
      <c r="G93" s="4"/>
      <c r="H93" s="4"/>
      <c r="I93" s="4"/>
      <c r="J93" s="4"/>
      <c r="K93" s="4">
        <f>SUMIF(基因升级!$D$141:$D$500,"&lt;"&amp;$B93,基因升级!J$141:J$500)</f>
        <v>1998</v>
      </c>
      <c r="L93" s="4">
        <f>SUMIF(基因升级!$D$141:$D$500,"&lt;"&amp;$B93,基因升级!K$141:K$500)</f>
        <v>0.9</v>
      </c>
      <c r="M93" s="4">
        <f>SUMIF(基因升级!$D$141:$D$500,"&lt;"&amp;$B93,基因升级!L$141:L$500)</f>
        <v>0.51</v>
      </c>
      <c r="N93" s="4">
        <f>SUMIF(基因升级!$D$141:$D$500,"&lt;"&amp;$B93,基因升级!M$141:M$500)</f>
        <v>0.034</v>
      </c>
      <c r="O93" s="4">
        <f>SUMIF(基因升级!$D$141:$D$500,"&lt;"&amp;$B93,基因升级!N$141:N$500)</f>
        <v>0.1275</v>
      </c>
      <c r="R93" s="4">
        <v>87</v>
      </c>
      <c r="S93" s="4">
        <f>SUMIF(基因升级!$D$141:$D$500,"&lt;="&amp;$R93,基因升级!$U$141:$U$500)</f>
        <v>0</v>
      </c>
      <c r="T93" s="4">
        <f>SUMIF(基因升级!$D$141:$D$500,"&lt;="&amp;$R93,基因升级!J$141:J$500)</f>
        <v>3072</v>
      </c>
      <c r="U93" s="4">
        <f>SUMIF(基因升级!$D$141:$D$500,"&lt;="&amp;$R93,基因升级!K$141:K$500)</f>
        <v>1.1</v>
      </c>
      <c r="V93" s="4">
        <f>SUMIF(基因升级!$D$141:$D$500,"&lt;="&amp;$R93,基因升级!L$141:L$500)</f>
        <v>0.63</v>
      </c>
      <c r="W93" s="4">
        <f>SUMIF(基因升级!$D$141:$D$500,"&lt;="&amp;$R93,基因升级!M$141:M$500)</f>
        <v>0.044</v>
      </c>
      <c r="X93" s="4">
        <f>SUMIF(基因升级!$D$141:$D$500,"&lt;="&amp;$R93,基因升级!N$141:N$500)</f>
        <v>0.165</v>
      </c>
    </row>
    <row r="94" ht="16.5" spans="1:24">
      <c r="A94" s="14">
        <v>88</v>
      </c>
      <c r="B94" s="4">
        <f>IFERROR(_xlfn.XLOOKUP(A94+1,基因升级!$E$141:$E$500,基因升级!$D$141:$D$500)-1,B93)</f>
        <v>70</v>
      </c>
      <c r="C94" s="4">
        <f>SUMIF(基因升级!$D$141:$D$500,"&lt;"&amp;$B94,基因升级!$U$141:$U$500)</f>
        <v>0</v>
      </c>
      <c r="D94" s="4"/>
      <c r="E94" s="4"/>
      <c r="F94" s="4"/>
      <c r="G94" s="4"/>
      <c r="H94" s="4"/>
      <c r="I94" s="4"/>
      <c r="J94" s="4"/>
      <c r="K94" s="4">
        <f>SUMIF(基因升级!$D$141:$D$500,"&lt;"&amp;$B94,基因升级!J$141:J$500)</f>
        <v>1998</v>
      </c>
      <c r="L94" s="4">
        <f>SUMIF(基因升级!$D$141:$D$500,"&lt;"&amp;$B94,基因升级!K$141:K$500)</f>
        <v>0.9</v>
      </c>
      <c r="M94" s="4">
        <f>SUMIF(基因升级!$D$141:$D$500,"&lt;"&amp;$B94,基因升级!L$141:L$500)</f>
        <v>0.51</v>
      </c>
      <c r="N94" s="4">
        <f>SUMIF(基因升级!$D$141:$D$500,"&lt;"&amp;$B94,基因升级!M$141:M$500)</f>
        <v>0.034</v>
      </c>
      <c r="O94" s="4">
        <f>SUMIF(基因升级!$D$141:$D$500,"&lt;"&amp;$B94,基因升级!N$141:N$500)</f>
        <v>0.1275</v>
      </c>
      <c r="R94" s="4">
        <v>88</v>
      </c>
      <c r="S94" s="4">
        <f>SUMIF(基因升级!$D$141:$D$500,"&lt;="&amp;$R94,基因升级!$U$141:$U$500)</f>
        <v>0</v>
      </c>
      <c r="T94" s="4">
        <f>SUMIF(基因升级!$D$141:$D$500,"&lt;="&amp;$R94,基因升级!J$141:J$500)</f>
        <v>3136</v>
      </c>
      <c r="U94" s="4">
        <f>SUMIF(基因升级!$D$141:$D$500,"&lt;="&amp;$R94,基因升级!K$141:K$500)</f>
        <v>1.1</v>
      </c>
      <c r="V94" s="4">
        <f>SUMIF(基因升级!$D$141:$D$500,"&lt;="&amp;$R94,基因升级!L$141:L$500)</f>
        <v>0.66</v>
      </c>
      <c r="W94" s="4">
        <f>SUMIF(基因升级!$D$141:$D$500,"&lt;="&amp;$R94,基因升级!M$141:M$500)</f>
        <v>0.044</v>
      </c>
      <c r="X94" s="4">
        <f>SUMIF(基因升级!$D$141:$D$500,"&lt;="&amp;$R94,基因升级!N$141:N$500)</f>
        <v>0.165</v>
      </c>
    </row>
    <row r="95" ht="16.5" spans="1:24">
      <c r="A95" s="14">
        <v>89</v>
      </c>
      <c r="B95" s="4">
        <f>IFERROR(_xlfn.XLOOKUP(A95+1,基因升级!$E$141:$E$500,基因升级!$D$141:$D$500)-1,B94)</f>
        <v>71</v>
      </c>
      <c r="C95" s="4">
        <f>SUMIF(基因升级!$D$141:$D$500,"&lt;"&amp;$B95,基因升级!$U$141:$U$500)</f>
        <v>0</v>
      </c>
      <c r="D95" s="4"/>
      <c r="E95" s="4"/>
      <c r="F95" s="4"/>
      <c r="G95" s="4"/>
      <c r="H95" s="4"/>
      <c r="I95" s="4"/>
      <c r="J95" s="4"/>
      <c r="K95" s="4">
        <f>SUMIF(基因升级!$D$141:$D$500,"&lt;"&amp;$B95,基因升级!J$141:J$500)</f>
        <v>2052</v>
      </c>
      <c r="L95" s="4">
        <f>SUMIF(基因升级!$D$141:$D$500,"&lt;"&amp;$B95,基因升级!K$141:K$500)</f>
        <v>0.9</v>
      </c>
      <c r="M95" s="4">
        <f>SUMIF(基因升级!$D$141:$D$500,"&lt;"&amp;$B95,基因升级!L$141:L$500)</f>
        <v>0.51</v>
      </c>
      <c r="N95" s="4">
        <f>SUMIF(基因升级!$D$141:$D$500,"&lt;"&amp;$B95,基因升级!M$141:M$500)</f>
        <v>0.034</v>
      </c>
      <c r="O95" s="4">
        <f>SUMIF(基因升级!$D$141:$D$500,"&lt;"&amp;$B95,基因升级!N$141:N$500)</f>
        <v>0.135</v>
      </c>
      <c r="R95" s="4">
        <v>89</v>
      </c>
      <c r="S95" s="4">
        <f>SUMIF(基因升级!$D$141:$D$500,"&lt;="&amp;$R95,基因升级!$U$141:$U$500)</f>
        <v>0</v>
      </c>
      <c r="T95" s="4">
        <f>SUMIF(基因升级!$D$141:$D$500,"&lt;="&amp;$R95,基因升级!J$141:J$500)</f>
        <v>3206</v>
      </c>
      <c r="U95" s="4">
        <f>SUMIF(基因升级!$D$141:$D$500,"&lt;="&amp;$R95,基因升级!K$141:K$500)</f>
        <v>1.15</v>
      </c>
      <c r="V95" s="4">
        <f>SUMIF(基因升级!$D$141:$D$500,"&lt;="&amp;$R95,基因升级!L$141:L$500)</f>
        <v>0.66</v>
      </c>
      <c r="W95" s="4">
        <f>SUMIF(基因升级!$D$141:$D$500,"&lt;="&amp;$R95,基因升级!M$141:M$500)</f>
        <v>0.044</v>
      </c>
      <c r="X95" s="4">
        <f>SUMIF(基因升级!$D$141:$D$500,"&lt;="&amp;$R95,基因升级!N$141:N$500)</f>
        <v>0.165</v>
      </c>
    </row>
    <row r="96" ht="16.5" spans="1:24">
      <c r="A96" s="14">
        <v>90</v>
      </c>
      <c r="B96" s="4">
        <f>IFERROR(_xlfn.XLOOKUP(A96+1,基因升级!$E$141:$E$500,基因升级!$D$141:$D$500)-1,B95)</f>
        <v>71</v>
      </c>
      <c r="C96" s="4">
        <f>SUMIF(基因升级!$D$141:$D$500,"&lt;"&amp;$B96,基因升级!$U$141:$U$500)</f>
        <v>0</v>
      </c>
      <c r="D96" s="4"/>
      <c r="E96" s="4"/>
      <c r="F96" s="4"/>
      <c r="G96" s="4"/>
      <c r="H96" s="4"/>
      <c r="I96" s="4"/>
      <c r="J96" s="4"/>
      <c r="K96" s="4">
        <f>SUMIF(基因升级!$D$141:$D$500,"&lt;"&amp;$B96,基因升级!J$141:J$500)</f>
        <v>2052</v>
      </c>
      <c r="L96" s="4">
        <f>SUMIF(基因升级!$D$141:$D$500,"&lt;"&amp;$B96,基因升级!K$141:K$500)</f>
        <v>0.9</v>
      </c>
      <c r="M96" s="4">
        <f>SUMIF(基因升级!$D$141:$D$500,"&lt;"&amp;$B96,基因升级!L$141:L$500)</f>
        <v>0.51</v>
      </c>
      <c r="N96" s="4">
        <f>SUMIF(基因升级!$D$141:$D$500,"&lt;"&amp;$B96,基因升级!M$141:M$500)</f>
        <v>0.034</v>
      </c>
      <c r="O96" s="4">
        <f>SUMIF(基因升级!$D$141:$D$500,"&lt;"&amp;$B96,基因升级!N$141:N$500)</f>
        <v>0.135</v>
      </c>
      <c r="R96" s="4">
        <v>90</v>
      </c>
      <c r="S96" s="4">
        <f>SUMIF(基因升级!$D$141:$D$500,"&lt;="&amp;$R96,基因升级!$U$141:$U$500)</f>
        <v>0</v>
      </c>
      <c r="T96" s="4">
        <f>SUMIF(基因升级!$D$141:$D$500,"&lt;="&amp;$R96,基因升级!J$141:J$500)</f>
        <v>3276</v>
      </c>
      <c r="U96" s="4">
        <f>SUMIF(基因升级!$D$141:$D$500,"&lt;="&amp;$R96,基因升级!K$141:K$500)</f>
        <v>1.15</v>
      </c>
      <c r="V96" s="4">
        <f>SUMIF(基因升级!$D$141:$D$500,"&lt;="&amp;$R96,基因升级!L$141:L$500)</f>
        <v>0.66</v>
      </c>
      <c r="W96" s="4">
        <f>SUMIF(基因升级!$D$141:$D$500,"&lt;="&amp;$R96,基因升级!M$141:M$500)</f>
        <v>0.044</v>
      </c>
      <c r="X96" s="4">
        <f>SUMIF(基因升级!$D$141:$D$500,"&lt;="&amp;$R96,基因升级!N$141:N$500)</f>
        <v>0.1725</v>
      </c>
    </row>
    <row r="97" ht="16.5" spans="1:24">
      <c r="A97" s="14">
        <v>91</v>
      </c>
      <c r="B97" s="4">
        <f>IFERROR(_xlfn.XLOOKUP(A97+1,基因升级!$E$141:$E$500,基因升级!$D$141:$D$500)-1,B96)</f>
        <v>71</v>
      </c>
      <c r="C97" s="4">
        <f>SUMIF(基因升级!$D$141:$D$500,"&lt;"&amp;$B97,基因升级!$U$141:$U$500)</f>
        <v>0</v>
      </c>
      <c r="D97" s="4"/>
      <c r="E97" s="4"/>
      <c r="F97" s="4"/>
      <c r="G97" s="4"/>
      <c r="H97" s="4"/>
      <c r="I97" s="4"/>
      <c r="J97" s="4"/>
      <c r="K97" s="4">
        <f>SUMIF(基因升级!$D$141:$D$500,"&lt;"&amp;$B97,基因升级!J$141:J$500)</f>
        <v>2052</v>
      </c>
      <c r="L97" s="4">
        <f>SUMIF(基因升级!$D$141:$D$500,"&lt;"&amp;$B97,基因升级!K$141:K$500)</f>
        <v>0.9</v>
      </c>
      <c r="M97" s="4">
        <f>SUMIF(基因升级!$D$141:$D$500,"&lt;"&amp;$B97,基因升级!L$141:L$500)</f>
        <v>0.51</v>
      </c>
      <c r="N97" s="4">
        <f>SUMIF(基因升级!$D$141:$D$500,"&lt;"&amp;$B97,基因升级!M$141:M$500)</f>
        <v>0.034</v>
      </c>
      <c r="O97" s="4">
        <f>SUMIF(基因升级!$D$141:$D$500,"&lt;"&amp;$B97,基因升级!N$141:N$500)</f>
        <v>0.135</v>
      </c>
      <c r="R97" s="4">
        <v>91</v>
      </c>
      <c r="S97" s="4">
        <f>SUMIF(基因升级!$D$141:$D$500,"&lt;="&amp;$R97,基因升级!$U$141:$U$500)</f>
        <v>0</v>
      </c>
      <c r="T97" s="4">
        <f>SUMIF(基因升级!$D$141:$D$500,"&lt;="&amp;$R97,基因升级!J$141:J$500)</f>
        <v>3346</v>
      </c>
      <c r="U97" s="4">
        <f>SUMIF(基因升级!$D$141:$D$500,"&lt;="&amp;$R97,基因升级!K$141:K$500)</f>
        <v>1.15</v>
      </c>
      <c r="V97" s="4">
        <f>SUMIF(基因升级!$D$141:$D$500,"&lt;="&amp;$R97,基因升级!L$141:L$500)</f>
        <v>0.66</v>
      </c>
      <c r="W97" s="4">
        <f>SUMIF(基因升级!$D$141:$D$500,"&lt;="&amp;$R97,基因升级!M$141:M$500)</f>
        <v>0.046</v>
      </c>
      <c r="X97" s="4">
        <f>SUMIF(基因升级!$D$141:$D$500,"&lt;="&amp;$R97,基因升级!N$141:N$500)</f>
        <v>0.1725</v>
      </c>
    </row>
    <row r="98" ht="16.5" spans="1:24">
      <c r="A98" s="14">
        <v>92</v>
      </c>
      <c r="B98" s="4">
        <f>IFERROR(_xlfn.XLOOKUP(A98+1,基因升级!$E$141:$E$500,基因升级!$D$141:$D$500)-1,B97)</f>
        <v>71</v>
      </c>
      <c r="C98" s="4">
        <f>SUMIF(基因升级!$D$141:$D$500,"&lt;"&amp;$B98,基因升级!$U$141:$U$500)</f>
        <v>0</v>
      </c>
      <c r="D98" s="4"/>
      <c r="E98" s="4"/>
      <c r="F98" s="4"/>
      <c r="G98" s="4"/>
      <c r="H98" s="4"/>
      <c r="I98" s="4"/>
      <c r="J98" s="4"/>
      <c r="K98" s="4">
        <f>SUMIF(基因升级!$D$141:$D$500,"&lt;"&amp;$B98,基因升级!J$141:J$500)</f>
        <v>2052</v>
      </c>
      <c r="L98" s="4">
        <f>SUMIF(基因升级!$D$141:$D$500,"&lt;"&amp;$B98,基因升级!K$141:K$500)</f>
        <v>0.9</v>
      </c>
      <c r="M98" s="4">
        <f>SUMIF(基因升级!$D$141:$D$500,"&lt;"&amp;$B98,基因升级!L$141:L$500)</f>
        <v>0.51</v>
      </c>
      <c r="N98" s="4">
        <f>SUMIF(基因升级!$D$141:$D$500,"&lt;"&amp;$B98,基因升级!M$141:M$500)</f>
        <v>0.034</v>
      </c>
      <c r="O98" s="4">
        <f>SUMIF(基因升级!$D$141:$D$500,"&lt;"&amp;$B98,基因升级!N$141:N$500)</f>
        <v>0.135</v>
      </c>
      <c r="R98" s="4">
        <v>92</v>
      </c>
      <c r="S98" s="4">
        <f>SUMIF(基因升级!$D$141:$D$500,"&lt;="&amp;$R98,基因升级!$U$141:$U$500)</f>
        <v>0</v>
      </c>
      <c r="T98" s="4">
        <f>SUMIF(基因升级!$D$141:$D$500,"&lt;="&amp;$R98,基因升级!J$141:J$500)</f>
        <v>3416</v>
      </c>
      <c r="U98" s="4">
        <f>SUMIF(基因升级!$D$141:$D$500,"&lt;="&amp;$R98,基因升级!K$141:K$500)</f>
        <v>1.15</v>
      </c>
      <c r="V98" s="4">
        <f>SUMIF(基因升级!$D$141:$D$500,"&lt;="&amp;$R98,基因升级!L$141:L$500)</f>
        <v>0.69</v>
      </c>
      <c r="W98" s="4">
        <f>SUMIF(基因升级!$D$141:$D$500,"&lt;="&amp;$R98,基因升级!M$141:M$500)</f>
        <v>0.046</v>
      </c>
      <c r="X98" s="4">
        <f>SUMIF(基因升级!$D$141:$D$500,"&lt;="&amp;$R98,基因升级!N$141:N$500)</f>
        <v>0.1725</v>
      </c>
    </row>
    <row r="99" ht="16.5" spans="1:24">
      <c r="A99" s="14">
        <v>93</v>
      </c>
      <c r="B99" s="4">
        <f>IFERROR(_xlfn.XLOOKUP(A99+1,基因升级!$E$141:$E$500,基因升级!$D$141:$D$500)-1,B98)</f>
        <v>71</v>
      </c>
      <c r="C99" s="4">
        <f>SUMIF(基因升级!$D$141:$D$500,"&lt;"&amp;$B99,基因升级!$U$141:$U$500)</f>
        <v>0</v>
      </c>
      <c r="D99" s="4"/>
      <c r="E99" s="4"/>
      <c r="F99" s="4"/>
      <c r="G99" s="4"/>
      <c r="H99" s="4"/>
      <c r="I99" s="4"/>
      <c r="J99" s="4"/>
      <c r="K99" s="4">
        <f>SUMIF(基因升级!$D$141:$D$500,"&lt;"&amp;$B99,基因升级!J$141:J$500)</f>
        <v>2052</v>
      </c>
      <c r="L99" s="4">
        <f>SUMIF(基因升级!$D$141:$D$500,"&lt;"&amp;$B99,基因升级!K$141:K$500)</f>
        <v>0.9</v>
      </c>
      <c r="M99" s="4">
        <f>SUMIF(基因升级!$D$141:$D$500,"&lt;"&amp;$B99,基因升级!L$141:L$500)</f>
        <v>0.51</v>
      </c>
      <c r="N99" s="4">
        <f>SUMIF(基因升级!$D$141:$D$500,"&lt;"&amp;$B99,基因升级!M$141:M$500)</f>
        <v>0.034</v>
      </c>
      <c r="O99" s="4">
        <f>SUMIF(基因升级!$D$141:$D$500,"&lt;"&amp;$B99,基因升级!N$141:N$500)</f>
        <v>0.135</v>
      </c>
      <c r="R99" s="4">
        <v>93</v>
      </c>
      <c r="S99" s="4">
        <f>SUMIF(基因升级!$D$141:$D$500,"&lt;="&amp;$R99,基因升级!$U$141:$U$500)</f>
        <v>0</v>
      </c>
      <c r="T99" s="4">
        <f>SUMIF(基因升级!$D$141:$D$500,"&lt;="&amp;$R99,基因升级!J$141:J$500)</f>
        <v>3486</v>
      </c>
      <c r="U99" s="4">
        <f>SUMIF(基因升级!$D$141:$D$500,"&lt;="&amp;$R99,基因升级!K$141:K$500)</f>
        <v>1.2</v>
      </c>
      <c r="V99" s="4">
        <f>SUMIF(基因升级!$D$141:$D$500,"&lt;="&amp;$R99,基因升级!L$141:L$500)</f>
        <v>0.69</v>
      </c>
      <c r="W99" s="4">
        <f>SUMIF(基因升级!$D$141:$D$500,"&lt;="&amp;$R99,基因升级!M$141:M$500)</f>
        <v>0.046</v>
      </c>
      <c r="X99" s="4">
        <f>SUMIF(基因升级!$D$141:$D$500,"&lt;="&amp;$R99,基因升级!N$141:N$500)</f>
        <v>0.1725</v>
      </c>
    </row>
    <row r="100" ht="16.5" spans="1:24">
      <c r="A100" s="14">
        <v>94</v>
      </c>
      <c r="B100" s="4">
        <f>IFERROR(_xlfn.XLOOKUP(A100+1,基因升级!$E$141:$E$500,基因升级!$D$141:$D$500)-1,B99)</f>
        <v>72</v>
      </c>
      <c r="C100" s="4">
        <f>SUMIF(基因升级!$D$141:$D$500,"&lt;"&amp;$B100,基因升级!$U$141:$U$500)</f>
        <v>0</v>
      </c>
      <c r="D100" s="4"/>
      <c r="E100" s="4"/>
      <c r="F100" s="4"/>
      <c r="G100" s="4"/>
      <c r="H100" s="4"/>
      <c r="I100" s="4"/>
      <c r="J100" s="4"/>
      <c r="K100" s="4">
        <f>SUMIF(基因升级!$D$141:$D$500,"&lt;"&amp;$B100,基因升级!J$141:J$500)</f>
        <v>2106</v>
      </c>
      <c r="L100" s="4">
        <f>SUMIF(基因升级!$D$141:$D$500,"&lt;"&amp;$B100,基因升级!K$141:K$500)</f>
        <v>0.9</v>
      </c>
      <c r="M100" s="4">
        <f>SUMIF(基因升级!$D$141:$D$500,"&lt;"&amp;$B100,基因升级!L$141:L$500)</f>
        <v>0.51</v>
      </c>
      <c r="N100" s="4">
        <f>SUMIF(基因升级!$D$141:$D$500,"&lt;"&amp;$B100,基因升级!M$141:M$500)</f>
        <v>0.036</v>
      </c>
      <c r="O100" s="4">
        <f>SUMIF(基因升级!$D$141:$D$500,"&lt;"&amp;$B100,基因升级!N$141:N$500)</f>
        <v>0.135</v>
      </c>
      <c r="R100" s="4">
        <v>94</v>
      </c>
      <c r="S100" s="4">
        <f>SUMIF(基因升级!$D$141:$D$500,"&lt;="&amp;$R100,基因升级!$U$141:$U$500)</f>
        <v>0</v>
      </c>
      <c r="T100" s="4">
        <f>SUMIF(基因升级!$D$141:$D$500,"&lt;="&amp;$R100,基因升级!J$141:J$500)</f>
        <v>3556</v>
      </c>
      <c r="U100" s="4">
        <f>SUMIF(基因升级!$D$141:$D$500,"&lt;="&amp;$R100,基因升级!K$141:K$500)</f>
        <v>1.2</v>
      </c>
      <c r="V100" s="4">
        <f>SUMIF(基因升级!$D$141:$D$500,"&lt;="&amp;$R100,基因升级!L$141:L$500)</f>
        <v>0.69</v>
      </c>
      <c r="W100" s="4">
        <f>SUMIF(基因升级!$D$141:$D$500,"&lt;="&amp;$R100,基因升级!M$141:M$500)</f>
        <v>0.046</v>
      </c>
      <c r="X100" s="4">
        <f>SUMIF(基因升级!$D$141:$D$500,"&lt;="&amp;$R100,基因升级!N$141:N$500)</f>
        <v>0.18</v>
      </c>
    </row>
    <row r="101" ht="16.5" spans="1:24">
      <c r="A101" s="14">
        <v>95</v>
      </c>
      <c r="B101" s="4">
        <f>IFERROR(_xlfn.XLOOKUP(A101+1,基因升级!$E$141:$E$500,基因升级!$D$141:$D$500)-1,B100)</f>
        <v>72</v>
      </c>
      <c r="C101" s="4">
        <f>SUMIF(基因升级!$D$141:$D$500,"&lt;"&amp;$B101,基因升级!$U$141:$U$500)</f>
        <v>0</v>
      </c>
      <c r="D101" s="4"/>
      <c r="E101" s="4"/>
      <c r="F101" s="4"/>
      <c r="G101" s="4"/>
      <c r="H101" s="4"/>
      <c r="I101" s="4"/>
      <c r="J101" s="4"/>
      <c r="K101" s="4">
        <f>SUMIF(基因升级!$D$141:$D$500,"&lt;"&amp;$B101,基因升级!J$141:J$500)</f>
        <v>2106</v>
      </c>
      <c r="L101" s="4">
        <f>SUMIF(基因升级!$D$141:$D$500,"&lt;"&amp;$B101,基因升级!K$141:K$500)</f>
        <v>0.9</v>
      </c>
      <c r="M101" s="4">
        <f>SUMIF(基因升级!$D$141:$D$500,"&lt;"&amp;$B101,基因升级!L$141:L$500)</f>
        <v>0.51</v>
      </c>
      <c r="N101" s="4">
        <f>SUMIF(基因升级!$D$141:$D$500,"&lt;"&amp;$B101,基因升级!M$141:M$500)</f>
        <v>0.036</v>
      </c>
      <c r="O101" s="4">
        <f>SUMIF(基因升级!$D$141:$D$500,"&lt;"&amp;$B101,基因升级!N$141:N$500)</f>
        <v>0.135</v>
      </c>
      <c r="R101" s="4">
        <v>95</v>
      </c>
      <c r="S101" s="4">
        <f>SUMIF(基因升级!$D$141:$D$500,"&lt;="&amp;$R101,基因升级!$U$141:$U$500)</f>
        <v>0</v>
      </c>
      <c r="T101" s="4">
        <f>SUMIF(基因升级!$D$141:$D$500,"&lt;="&amp;$R101,基因升级!J$141:J$500)</f>
        <v>3626</v>
      </c>
      <c r="U101" s="4">
        <f>SUMIF(基因升级!$D$141:$D$500,"&lt;="&amp;$R101,基因升级!K$141:K$500)</f>
        <v>1.2</v>
      </c>
      <c r="V101" s="4">
        <f>SUMIF(基因升级!$D$141:$D$500,"&lt;="&amp;$R101,基因升级!L$141:L$500)</f>
        <v>0.69</v>
      </c>
      <c r="W101" s="4">
        <f>SUMIF(基因升级!$D$141:$D$500,"&lt;="&amp;$R101,基因升级!M$141:M$500)</f>
        <v>0.048</v>
      </c>
      <c r="X101" s="4">
        <f>SUMIF(基因升级!$D$141:$D$500,"&lt;="&amp;$R101,基因升级!N$141:N$500)</f>
        <v>0.18</v>
      </c>
    </row>
    <row r="102" ht="16.5" spans="1:24">
      <c r="A102" s="14">
        <v>96</v>
      </c>
      <c r="B102" s="4">
        <f>IFERROR(_xlfn.XLOOKUP(A102+1,基因升级!$E$141:$E$500,基因升级!$D$141:$D$500)-1,B101)</f>
        <v>72</v>
      </c>
      <c r="C102" s="4">
        <f>SUMIF(基因升级!$D$141:$D$500,"&lt;"&amp;$B102,基因升级!$U$141:$U$500)</f>
        <v>0</v>
      </c>
      <c r="D102" s="4"/>
      <c r="E102" s="4"/>
      <c r="F102" s="4"/>
      <c r="G102" s="4"/>
      <c r="H102" s="4"/>
      <c r="I102" s="4"/>
      <c r="J102" s="4"/>
      <c r="K102" s="4">
        <f>SUMIF(基因升级!$D$141:$D$500,"&lt;"&amp;$B102,基因升级!J$141:J$500)</f>
        <v>2106</v>
      </c>
      <c r="L102" s="4">
        <f>SUMIF(基因升级!$D$141:$D$500,"&lt;"&amp;$B102,基因升级!K$141:K$500)</f>
        <v>0.9</v>
      </c>
      <c r="M102" s="4">
        <f>SUMIF(基因升级!$D$141:$D$500,"&lt;"&amp;$B102,基因升级!L$141:L$500)</f>
        <v>0.51</v>
      </c>
      <c r="N102" s="4">
        <f>SUMIF(基因升级!$D$141:$D$500,"&lt;"&amp;$B102,基因升级!M$141:M$500)</f>
        <v>0.036</v>
      </c>
      <c r="O102" s="4">
        <f>SUMIF(基因升级!$D$141:$D$500,"&lt;"&amp;$B102,基因升级!N$141:N$500)</f>
        <v>0.135</v>
      </c>
      <c r="R102" s="4">
        <v>96</v>
      </c>
      <c r="S102" s="4">
        <f>SUMIF(基因升级!$D$141:$D$500,"&lt;="&amp;$R102,基因升级!$U$141:$U$500)</f>
        <v>0</v>
      </c>
      <c r="T102" s="4">
        <f>SUMIF(基因升级!$D$141:$D$500,"&lt;="&amp;$R102,基因升级!J$141:J$500)</f>
        <v>3696</v>
      </c>
      <c r="U102" s="4">
        <f>SUMIF(基因升级!$D$141:$D$500,"&lt;="&amp;$R102,基因升级!K$141:K$500)</f>
        <v>1.2</v>
      </c>
      <c r="V102" s="4">
        <f>SUMIF(基因升级!$D$141:$D$500,"&lt;="&amp;$R102,基因升级!L$141:L$500)</f>
        <v>0.72</v>
      </c>
      <c r="W102" s="4">
        <f>SUMIF(基因升级!$D$141:$D$500,"&lt;="&amp;$R102,基因升级!M$141:M$500)</f>
        <v>0.048</v>
      </c>
      <c r="X102" s="4">
        <f>SUMIF(基因升级!$D$141:$D$500,"&lt;="&amp;$R102,基因升级!N$141:N$500)</f>
        <v>0.18</v>
      </c>
    </row>
    <row r="103" ht="16.5" spans="1:24">
      <c r="A103" s="14">
        <v>97</v>
      </c>
      <c r="B103" s="4">
        <f>IFERROR(_xlfn.XLOOKUP(A103+1,基因升级!$E$141:$E$500,基因升级!$D$141:$D$500)-1,B102)</f>
        <v>72</v>
      </c>
      <c r="C103" s="4">
        <f>SUMIF(基因升级!$D$141:$D$500,"&lt;"&amp;$B103,基因升级!$U$141:$U$500)</f>
        <v>0</v>
      </c>
      <c r="D103" s="4"/>
      <c r="E103" s="4"/>
      <c r="F103" s="4"/>
      <c r="G103" s="4"/>
      <c r="H103" s="4"/>
      <c r="I103" s="4"/>
      <c r="J103" s="4"/>
      <c r="K103" s="4">
        <f>SUMIF(基因升级!$D$141:$D$500,"&lt;"&amp;$B103,基因升级!J$141:J$500)</f>
        <v>2106</v>
      </c>
      <c r="L103" s="4">
        <f>SUMIF(基因升级!$D$141:$D$500,"&lt;"&amp;$B103,基因升级!K$141:K$500)</f>
        <v>0.9</v>
      </c>
      <c r="M103" s="4">
        <f>SUMIF(基因升级!$D$141:$D$500,"&lt;"&amp;$B103,基因升级!L$141:L$500)</f>
        <v>0.51</v>
      </c>
      <c r="N103" s="4">
        <f>SUMIF(基因升级!$D$141:$D$500,"&lt;"&amp;$B103,基因升级!M$141:M$500)</f>
        <v>0.036</v>
      </c>
      <c r="O103" s="4">
        <f>SUMIF(基因升级!$D$141:$D$500,"&lt;"&amp;$B103,基因升级!N$141:N$500)</f>
        <v>0.135</v>
      </c>
      <c r="R103" s="4">
        <v>97</v>
      </c>
      <c r="S103" s="4">
        <f>SUMIF(基因升级!$D$141:$D$500,"&lt;="&amp;$R103,基因升级!$U$141:$U$500)</f>
        <v>0</v>
      </c>
      <c r="T103" s="4">
        <f>SUMIF(基因升级!$D$141:$D$500,"&lt;="&amp;$R103,基因升级!J$141:J$500)</f>
        <v>3772</v>
      </c>
      <c r="U103" s="4">
        <f>SUMIF(基因升级!$D$141:$D$500,"&lt;="&amp;$R103,基因升级!K$141:K$500)</f>
        <v>1.25</v>
      </c>
      <c r="V103" s="4">
        <f>SUMIF(基因升级!$D$141:$D$500,"&lt;="&amp;$R103,基因升级!L$141:L$500)</f>
        <v>0.72</v>
      </c>
      <c r="W103" s="4">
        <f>SUMIF(基因升级!$D$141:$D$500,"&lt;="&amp;$R103,基因升级!M$141:M$500)</f>
        <v>0.048</v>
      </c>
      <c r="X103" s="4">
        <f>SUMIF(基因升级!$D$141:$D$500,"&lt;="&amp;$R103,基因升级!N$141:N$500)</f>
        <v>0.18</v>
      </c>
    </row>
    <row r="104" ht="16.5" spans="1:24">
      <c r="A104" s="14">
        <v>98</v>
      </c>
      <c r="B104" s="4">
        <f>IFERROR(_xlfn.XLOOKUP(A104+1,基因升级!$E$141:$E$500,基因升级!$D$141:$D$500)-1,B103)</f>
        <v>72</v>
      </c>
      <c r="C104" s="4">
        <f>SUMIF(基因升级!$D$141:$D$500,"&lt;"&amp;$B104,基因升级!$U$141:$U$500)</f>
        <v>0</v>
      </c>
      <c r="D104" s="4"/>
      <c r="E104" s="4"/>
      <c r="F104" s="4"/>
      <c r="G104" s="4"/>
      <c r="H104" s="4"/>
      <c r="I104" s="4"/>
      <c r="J104" s="4"/>
      <c r="K104" s="4">
        <f>SUMIF(基因升级!$D$141:$D$500,"&lt;"&amp;$B104,基因升级!J$141:J$500)</f>
        <v>2106</v>
      </c>
      <c r="L104" s="4">
        <f>SUMIF(基因升级!$D$141:$D$500,"&lt;"&amp;$B104,基因升级!K$141:K$500)</f>
        <v>0.9</v>
      </c>
      <c r="M104" s="4">
        <f>SUMIF(基因升级!$D$141:$D$500,"&lt;"&amp;$B104,基因升级!L$141:L$500)</f>
        <v>0.51</v>
      </c>
      <c r="N104" s="4">
        <f>SUMIF(基因升级!$D$141:$D$500,"&lt;"&amp;$B104,基因升级!M$141:M$500)</f>
        <v>0.036</v>
      </c>
      <c r="O104" s="4">
        <f>SUMIF(基因升级!$D$141:$D$500,"&lt;"&amp;$B104,基因升级!N$141:N$500)</f>
        <v>0.135</v>
      </c>
      <c r="R104" s="4">
        <v>98</v>
      </c>
      <c r="S104" s="4">
        <f>SUMIF(基因升级!$D$141:$D$500,"&lt;="&amp;$R104,基因升级!$U$141:$U$500)</f>
        <v>0</v>
      </c>
      <c r="T104" s="4">
        <f>SUMIF(基因升级!$D$141:$D$500,"&lt;="&amp;$R104,基因升级!J$141:J$500)</f>
        <v>3848</v>
      </c>
      <c r="U104" s="4">
        <f>SUMIF(基因升级!$D$141:$D$500,"&lt;="&amp;$R104,基因升级!K$141:K$500)</f>
        <v>1.25</v>
      </c>
      <c r="V104" s="4">
        <f>SUMIF(基因升级!$D$141:$D$500,"&lt;="&amp;$R104,基因升级!L$141:L$500)</f>
        <v>0.72</v>
      </c>
      <c r="W104" s="4">
        <f>SUMIF(基因升级!$D$141:$D$500,"&lt;="&amp;$R104,基因升级!M$141:M$500)</f>
        <v>0.048</v>
      </c>
      <c r="X104" s="4">
        <f>SUMIF(基因升级!$D$141:$D$500,"&lt;="&amp;$R104,基因升级!N$141:N$500)</f>
        <v>0.1875</v>
      </c>
    </row>
    <row r="105" ht="16.5" spans="1:24">
      <c r="A105" s="14">
        <v>99</v>
      </c>
      <c r="B105" s="4">
        <f>IFERROR(_xlfn.XLOOKUP(A105+1,基因升级!$E$141:$E$500,基因升级!$D$141:$D$500)-1,B104)</f>
        <v>73</v>
      </c>
      <c r="C105" s="4">
        <f>SUMIF(基因升级!$D$141:$D$500,"&lt;"&amp;$B105,基因升级!$U$141:$U$500)</f>
        <v>0</v>
      </c>
      <c r="D105" s="4"/>
      <c r="E105" s="4"/>
      <c r="F105" s="4"/>
      <c r="G105" s="4"/>
      <c r="H105" s="4"/>
      <c r="I105" s="4"/>
      <c r="J105" s="4"/>
      <c r="K105" s="4">
        <f>SUMIF(基因升级!$D$141:$D$500,"&lt;"&amp;$B105,基因升级!J$141:J$500)</f>
        <v>2160</v>
      </c>
      <c r="L105" s="4">
        <f>SUMIF(基因升级!$D$141:$D$500,"&lt;"&amp;$B105,基因升级!K$141:K$500)</f>
        <v>0.9</v>
      </c>
      <c r="M105" s="4">
        <f>SUMIF(基因升级!$D$141:$D$500,"&lt;"&amp;$B105,基因升级!L$141:L$500)</f>
        <v>0.54</v>
      </c>
      <c r="N105" s="4">
        <f>SUMIF(基因升级!$D$141:$D$500,"&lt;"&amp;$B105,基因升级!M$141:M$500)</f>
        <v>0.036</v>
      </c>
      <c r="O105" s="4">
        <f>SUMIF(基因升级!$D$141:$D$500,"&lt;"&amp;$B105,基因升级!N$141:N$500)</f>
        <v>0.135</v>
      </c>
      <c r="R105" s="4">
        <v>99</v>
      </c>
      <c r="S105" s="4">
        <f>SUMIF(基因升级!$D$141:$D$500,"&lt;="&amp;$R105,基因升级!$U$141:$U$500)</f>
        <v>0</v>
      </c>
      <c r="T105" s="4">
        <f>SUMIF(基因升级!$D$141:$D$500,"&lt;="&amp;$R105,基因升级!J$141:J$500)</f>
        <v>3924</v>
      </c>
      <c r="U105" s="4">
        <f>SUMIF(基因升级!$D$141:$D$500,"&lt;="&amp;$R105,基因升级!K$141:K$500)</f>
        <v>1.25</v>
      </c>
      <c r="V105" s="4">
        <f>SUMIF(基因升级!$D$141:$D$500,"&lt;="&amp;$R105,基因升级!L$141:L$500)</f>
        <v>0.72</v>
      </c>
      <c r="W105" s="4">
        <f>SUMIF(基因升级!$D$141:$D$500,"&lt;="&amp;$R105,基因升级!M$141:M$500)</f>
        <v>0.05</v>
      </c>
      <c r="X105" s="4">
        <f>SUMIF(基因升级!$D$141:$D$500,"&lt;="&amp;$R105,基因升级!N$141:N$500)</f>
        <v>0.1875</v>
      </c>
    </row>
    <row r="106" ht="16.5" spans="1:24">
      <c r="A106" s="14">
        <v>100</v>
      </c>
      <c r="B106" s="4">
        <f>IFERROR(_xlfn.XLOOKUP(A106+1,基因升级!$E$141:$E$500,基因升级!$D$141:$D$500)-1,B105)</f>
        <v>73</v>
      </c>
      <c r="C106" s="4">
        <f>SUMIF(基因升级!$D$141:$D$500,"&lt;"&amp;$B106,基因升级!$U$141:$U$500)</f>
        <v>0</v>
      </c>
      <c r="D106" s="4"/>
      <c r="E106" s="4"/>
      <c r="F106" s="4"/>
      <c r="G106" s="4"/>
      <c r="H106" s="4"/>
      <c r="I106" s="4"/>
      <c r="J106" s="4"/>
      <c r="K106" s="4">
        <f>SUMIF(基因升级!$D$141:$D$500,"&lt;"&amp;$B106,基因升级!J$141:J$500)</f>
        <v>2160</v>
      </c>
      <c r="L106" s="4">
        <f>SUMIF(基因升级!$D$141:$D$500,"&lt;"&amp;$B106,基因升级!K$141:K$500)</f>
        <v>0.9</v>
      </c>
      <c r="M106" s="4">
        <f>SUMIF(基因升级!$D$141:$D$500,"&lt;"&amp;$B106,基因升级!L$141:L$500)</f>
        <v>0.54</v>
      </c>
      <c r="N106" s="4">
        <f>SUMIF(基因升级!$D$141:$D$500,"&lt;"&amp;$B106,基因升级!M$141:M$500)</f>
        <v>0.036</v>
      </c>
      <c r="O106" s="4">
        <f>SUMIF(基因升级!$D$141:$D$500,"&lt;"&amp;$B106,基因升级!N$141:N$500)</f>
        <v>0.135</v>
      </c>
      <c r="R106" s="4">
        <v>100</v>
      </c>
      <c r="S106" s="4">
        <f>SUMIF(基因升级!$D$141:$D$500,"&lt;="&amp;$R106,基因升级!$U$141:$U$500)</f>
        <v>0</v>
      </c>
      <c r="T106" s="4">
        <f>SUMIF(基因升级!$D$141:$D$500,"&lt;="&amp;$R106,基因升级!J$141:J$500)</f>
        <v>4000</v>
      </c>
      <c r="U106" s="4">
        <f>SUMIF(基因升级!$D$141:$D$500,"&lt;="&amp;$R106,基因升级!K$141:K$500)</f>
        <v>1.25</v>
      </c>
      <c r="V106" s="4">
        <f>SUMIF(基因升级!$D$141:$D$500,"&lt;="&amp;$R106,基因升级!L$141:L$500)</f>
        <v>0.75</v>
      </c>
      <c r="W106" s="4">
        <f>SUMIF(基因升级!$D$141:$D$500,"&lt;="&amp;$R106,基因升级!M$141:M$500)</f>
        <v>0.05</v>
      </c>
      <c r="X106" s="4">
        <f>SUMIF(基因升级!$D$141:$D$500,"&lt;="&amp;$R106,基因升级!N$141:N$500)</f>
        <v>0.1875</v>
      </c>
    </row>
    <row r="107" ht="16.5" spans="1:24">
      <c r="A107" s="14">
        <v>101</v>
      </c>
      <c r="B107" s="4">
        <f>IFERROR(_xlfn.XLOOKUP(A107+1,基因升级!$E$141:$E$500,基因升级!$D$141:$D$500)-1,B106)</f>
        <v>73</v>
      </c>
      <c r="C107" s="4">
        <f>SUMIF(基因升级!$D$141:$D$500,"&lt;"&amp;$B107,基因升级!$U$141:$U$500)</f>
        <v>0</v>
      </c>
      <c r="D107" s="4"/>
      <c r="E107" s="4"/>
      <c r="F107" s="4"/>
      <c r="G107" s="4"/>
      <c r="H107" s="4"/>
      <c r="I107" s="4"/>
      <c r="J107" s="4"/>
      <c r="K107" s="4">
        <f>SUMIF(基因升级!$D$141:$D$500,"&lt;"&amp;$B107,基因升级!J$141:J$500)</f>
        <v>2160</v>
      </c>
      <c r="L107" s="4">
        <f>SUMIF(基因升级!$D$141:$D$500,"&lt;"&amp;$B107,基因升级!K$141:K$500)</f>
        <v>0.9</v>
      </c>
      <c r="M107" s="4">
        <f>SUMIF(基因升级!$D$141:$D$500,"&lt;"&amp;$B107,基因升级!L$141:L$500)</f>
        <v>0.54</v>
      </c>
      <c r="N107" s="4">
        <f>SUMIF(基因升级!$D$141:$D$500,"&lt;"&amp;$B107,基因升级!M$141:M$500)</f>
        <v>0.036</v>
      </c>
      <c r="O107" s="4">
        <f>SUMIF(基因升级!$D$141:$D$500,"&lt;"&amp;$B107,基因升级!N$141:N$500)</f>
        <v>0.135</v>
      </c>
      <c r="R107" s="4">
        <v>101</v>
      </c>
      <c r="S107" s="4">
        <f>SUMIF(基因升级!$D$141:$D$500,"&lt;="&amp;$R107,基因升级!$U$141:$U$500)</f>
        <v>0</v>
      </c>
      <c r="T107" s="4">
        <f>SUMIF(基因升级!$D$141:$D$500,"&lt;="&amp;$R107,基因升级!J$141:J$500)</f>
        <v>4076</v>
      </c>
      <c r="U107" s="4">
        <f>SUMIF(基因升级!$D$141:$D$500,"&lt;="&amp;$R107,基因升级!K$141:K$500)</f>
        <v>1.3</v>
      </c>
      <c r="V107" s="4">
        <f>SUMIF(基因升级!$D$141:$D$500,"&lt;="&amp;$R107,基因升级!L$141:L$500)</f>
        <v>0.75</v>
      </c>
      <c r="W107" s="4">
        <f>SUMIF(基因升级!$D$141:$D$500,"&lt;="&amp;$R107,基因升级!M$141:M$500)</f>
        <v>0.05</v>
      </c>
      <c r="X107" s="4">
        <f>SUMIF(基因升级!$D$141:$D$500,"&lt;="&amp;$R107,基因升级!N$141:N$500)</f>
        <v>0.1875</v>
      </c>
    </row>
    <row r="108" ht="16.5" spans="1:24">
      <c r="A108" s="14">
        <v>102</v>
      </c>
      <c r="B108" s="4">
        <f>IFERROR(_xlfn.XLOOKUP(A108+1,基因升级!$E$141:$E$500,基因升级!$D$141:$D$500)-1,B107)</f>
        <v>73</v>
      </c>
      <c r="C108" s="4">
        <f>SUMIF(基因升级!$D$141:$D$500,"&lt;"&amp;$B108,基因升级!$U$141:$U$500)</f>
        <v>0</v>
      </c>
      <c r="D108" s="4"/>
      <c r="E108" s="4"/>
      <c r="F108" s="4"/>
      <c r="G108" s="4"/>
      <c r="H108" s="4"/>
      <c r="I108" s="4"/>
      <c r="J108" s="4"/>
      <c r="K108" s="4">
        <f>SUMIF(基因升级!$D$141:$D$500,"&lt;"&amp;$B108,基因升级!J$141:J$500)</f>
        <v>2160</v>
      </c>
      <c r="L108" s="4">
        <f>SUMIF(基因升级!$D$141:$D$500,"&lt;"&amp;$B108,基因升级!K$141:K$500)</f>
        <v>0.9</v>
      </c>
      <c r="M108" s="4">
        <f>SUMIF(基因升级!$D$141:$D$500,"&lt;"&amp;$B108,基因升级!L$141:L$500)</f>
        <v>0.54</v>
      </c>
      <c r="N108" s="4">
        <f>SUMIF(基因升级!$D$141:$D$500,"&lt;"&amp;$B108,基因升级!M$141:M$500)</f>
        <v>0.036</v>
      </c>
      <c r="O108" s="4">
        <f>SUMIF(基因升级!$D$141:$D$500,"&lt;"&amp;$B108,基因升级!N$141:N$500)</f>
        <v>0.135</v>
      </c>
      <c r="R108" s="4">
        <v>102</v>
      </c>
      <c r="S108" s="4">
        <f>SUMIF(基因升级!$D$141:$D$500,"&lt;="&amp;$R108,基因升级!$U$141:$U$500)</f>
        <v>0</v>
      </c>
      <c r="T108" s="4">
        <f>SUMIF(基因升级!$D$141:$D$500,"&lt;="&amp;$R108,基因升级!J$141:J$500)</f>
        <v>4152</v>
      </c>
      <c r="U108" s="4">
        <f>SUMIF(基因升级!$D$141:$D$500,"&lt;="&amp;$R108,基因升级!K$141:K$500)</f>
        <v>1.3</v>
      </c>
      <c r="V108" s="4">
        <f>SUMIF(基因升级!$D$141:$D$500,"&lt;="&amp;$R108,基因升级!L$141:L$500)</f>
        <v>0.75</v>
      </c>
      <c r="W108" s="4">
        <f>SUMIF(基因升级!$D$141:$D$500,"&lt;="&amp;$R108,基因升级!M$141:M$500)</f>
        <v>0.05</v>
      </c>
      <c r="X108" s="4">
        <f>SUMIF(基因升级!$D$141:$D$500,"&lt;="&amp;$R108,基因升级!N$141:N$500)</f>
        <v>0.195</v>
      </c>
    </row>
    <row r="109" ht="16.5" spans="1:24">
      <c r="A109" s="14">
        <v>103</v>
      </c>
      <c r="B109" s="4">
        <f>IFERROR(_xlfn.XLOOKUP(A109+1,基因升级!$E$141:$E$500,基因升级!$D$141:$D$500)-1,B108)</f>
        <v>73</v>
      </c>
      <c r="C109" s="4">
        <f>SUMIF(基因升级!$D$141:$D$500,"&lt;"&amp;$B109,基因升级!$U$141:$U$500)</f>
        <v>0</v>
      </c>
      <c r="D109" s="4"/>
      <c r="E109" s="4"/>
      <c r="F109" s="4"/>
      <c r="G109" s="4"/>
      <c r="H109" s="4"/>
      <c r="I109" s="4"/>
      <c r="J109" s="4"/>
      <c r="K109" s="4">
        <f>SUMIF(基因升级!$D$141:$D$500,"&lt;"&amp;$B109,基因升级!J$141:J$500)</f>
        <v>2160</v>
      </c>
      <c r="L109" s="4">
        <f>SUMIF(基因升级!$D$141:$D$500,"&lt;"&amp;$B109,基因升级!K$141:K$500)</f>
        <v>0.9</v>
      </c>
      <c r="M109" s="4">
        <f>SUMIF(基因升级!$D$141:$D$500,"&lt;"&amp;$B109,基因升级!L$141:L$500)</f>
        <v>0.54</v>
      </c>
      <c r="N109" s="4">
        <f>SUMIF(基因升级!$D$141:$D$500,"&lt;"&amp;$B109,基因升级!M$141:M$500)</f>
        <v>0.036</v>
      </c>
      <c r="O109" s="4">
        <f>SUMIF(基因升级!$D$141:$D$500,"&lt;"&amp;$B109,基因升级!N$141:N$500)</f>
        <v>0.135</v>
      </c>
      <c r="R109" s="4">
        <v>103</v>
      </c>
      <c r="S109" s="4">
        <f>SUMIF(基因升级!$D$141:$D$500,"&lt;="&amp;$R109,基因升级!$U$141:$U$500)</f>
        <v>0</v>
      </c>
      <c r="T109" s="4">
        <f>SUMIF(基因升级!$D$141:$D$500,"&lt;="&amp;$R109,基因升级!J$141:J$500)</f>
        <v>4228</v>
      </c>
      <c r="U109" s="4">
        <f>SUMIF(基因升级!$D$141:$D$500,"&lt;="&amp;$R109,基因升级!K$141:K$500)</f>
        <v>1.3</v>
      </c>
      <c r="V109" s="4">
        <f>SUMIF(基因升级!$D$141:$D$500,"&lt;="&amp;$R109,基因升级!L$141:L$500)</f>
        <v>0.75</v>
      </c>
      <c r="W109" s="4">
        <f>SUMIF(基因升级!$D$141:$D$500,"&lt;="&amp;$R109,基因升级!M$141:M$500)</f>
        <v>0.052</v>
      </c>
      <c r="X109" s="4">
        <f>SUMIF(基因升级!$D$141:$D$500,"&lt;="&amp;$R109,基因升级!N$141:N$500)</f>
        <v>0.195</v>
      </c>
    </row>
    <row r="110" ht="16.5" spans="1:24">
      <c r="A110" s="14">
        <v>104</v>
      </c>
      <c r="B110" s="4">
        <f>IFERROR(_xlfn.XLOOKUP(A110+1,基因升级!$E$141:$E$500,基因升级!$D$141:$D$500)-1,B109)</f>
        <v>74</v>
      </c>
      <c r="C110" s="4">
        <f>SUMIF(基因升级!$D$141:$D$500,"&lt;"&amp;$B110,基因升级!$U$141:$U$500)</f>
        <v>0</v>
      </c>
      <c r="D110" s="4"/>
      <c r="E110" s="4"/>
      <c r="F110" s="4"/>
      <c r="G110" s="4"/>
      <c r="H110" s="4"/>
      <c r="I110" s="4"/>
      <c r="J110" s="4"/>
      <c r="K110" s="4">
        <f>SUMIF(基因升级!$D$141:$D$500,"&lt;"&amp;$B110,基因升级!J$141:J$500)</f>
        <v>2218</v>
      </c>
      <c r="L110" s="4">
        <f>SUMIF(基因升级!$D$141:$D$500,"&lt;"&amp;$B110,基因升级!K$141:K$500)</f>
        <v>0.95</v>
      </c>
      <c r="M110" s="4">
        <f>SUMIF(基因升级!$D$141:$D$500,"&lt;"&amp;$B110,基因升级!L$141:L$500)</f>
        <v>0.54</v>
      </c>
      <c r="N110" s="4">
        <f>SUMIF(基因升级!$D$141:$D$500,"&lt;"&amp;$B110,基因升级!M$141:M$500)</f>
        <v>0.036</v>
      </c>
      <c r="O110" s="4">
        <f>SUMIF(基因升级!$D$141:$D$500,"&lt;"&amp;$B110,基因升级!N$141:N$500)</f>
        <v>0.135</v>
      </c>
      <c r="R110" s="4">
        <v>104</v>
      </c>
      <c r="S110" s="4">
        <f>SUMIF(基因升级!$D$141:$D$500,"&lt;="&amp;$R110,基因升级!$U$141:$U$500)</f>
        <v>0</v>
      </c>
      <c r="T110" s="4">
        <f>SUMIF(基因升级!$D$141:$D$500,"&lt;="&amp;$R110,基因升级!J$141:J$500)</f>
        <v>4304</v>
      </c>
      <c r="U110" s="4">
        <f>SUMIF(基因升级!$D$141:$D$500,"&lt;="&amp;$R110,基因升级!K$141:K$500)</f>
        <v>1.3</v>
      </c>
      <c r="V110" s="4">
        <f>SUMIF(基因升级!$D$141:$D$500,"&lt;="&amp;$R110,基因升级!L$141:L$500)</f>
        <v>0.78</v>
      </c>
      <c r="W110" s="4">
        <f>SUMIF(基因升级!$D$141:$D$500,"&lt;="&amp;$R110,基因升级!M$141:M$500)</f>
        <v>0.052</v>
      </c>
      <c r="X110" s="4">
        <f>SUMIF(基因升级!$D$141:$D$500,"&lt;="&amp;$R110,基因升级!N$141:N$500)</f>
        <v>0.195</v>
      </c>
    </row>
    <row r="111" ht="16.5" spans="1:24">
      <c r="A111" s="14">
        <v>105</v>
      </c>
      <c r="B111" s="4">
        <f>IFERROR(_xlfn.XLOOKUP(A111+1,基因升级!$E$141:$E$500,基因升级!$D$141:$D$500)-1,B110)</f>
        <v>74</v>
      </c>
      <c r="C111" s="4">
        <f>SUMIF(基因升级!$D$141:$D$500,"&lt;"&amp;$B111,基因升级!$U$141:$U$500)</f>
        <v>0</v>
      </c>
      <c r="D111" s="4"/>
      <c r="E111" s="4"/>
      <c r="F111" s="4"/>
      <c r="G111" s="4"/>
      <c r="H111" s="4"/>
      <c r="I111" s="4"/>
      <c r="J111" s="4"/>
      <c r="K111" s="4">
        <f>SUMIF(基因升级!$D$141:$D$500,"&lt;"&amp;$B111,基因升级!J$141:J$500)</f>
        <v>2218</v>
      </c>
      <c r="L111" s="4">
        <f>SUMIF(基因升级!$D$141:$D$500,"&lt;"&amp;$B111,基因升级!K$141:K$500)</f>
        <v>0.95</v>
      </c>
      <c r="M111" s="4">
        <f>SUMIF(基因升级!$D$141:$D$500,"&lt;"&amp;$B111,基因升级!L$141:L$500)</f>
        <v>0.54</v>
      </c>
      <c r="N111" s="4">
        <f>SUMIF(基因升级!$D$141:$D$500,"&lt;"&amp;$B111,基因升级!M$141:M$500)</f>
        <v>0.036</v>
      </c>
      <c r="O111" s="4">
        <f>SUMIF(基因升级!$D$141:$D$500,"&lt;"&amp;$B111,基因升级!N$141:N$500)</f>
        <v>0.135</v>
      </c>
      <c r="R111" s="4">
        <v>105</v>
      </c>
      <c r="S111" s="4">
        <f>SUMIF(基因升级!$D$141:$D$500,"&lt;="&amp;$R111,基因升级!$U$141:$U$500)</f>
        <v>0</v>
      </c>
      <c r="T111" s="4">
        <f>SUMIF(基因升级!$D$141:$D$500,"&lt;="&amp;$R111,基因升级!J$141:J$500)</f>
        <v>4386</v>
      </c>
      <c r="U111" s="4">
        <f>SUMIF(基因升级!$D$141:$D$500,"&lt;="&amp;$R111,基因升级!K$141:K$500)</f>
        <v>1.35</v>
      </c>
      <c r="V111" s="4">
        <f>SUMIF(基因升级!$D$141:$D$500,"&lt;="&amp;$R111,基因升级!L$141:L$500)</f>
        <v>0.78</v>
      </c>
      <c r="W111" s="4">
        <f>SUMIF(基因升级!$D$141:$D$500,"&lt;="&amp;$R111,基因升级!M$141:M$500)</f>
        <v>0.052</v>
      </c>
      <c r="X111" s="4">
        <f>SUMIF(基因升级!$D$141:$D$500,"&lt;="&amp;$R111,基因升级!N$141:N$500)</f>
        <v>0.195</v>
      </c>
    </row>
    <row r="112" ht="16.5" spans="1:24">
      <c r="A112" s="14">
        <v>106</v>
      </c>
      <c r="B112" s="4">
        <f>IFERROR(_xlfn.XLOOKUP(A112+1,基因升级!$E$141:$E$500,基因升级!$D$141:$D$500)-1,B111)</f>
        <v>74</v>
      </c>
      <c r="C112" s="4">
        <f>SUMIF(基因升级!$D$141:$D$500,"&lt;"&amp;$B112,基因升级!$U$141:$U$500)</f>
        <v>0</v>
      </c>
      <c r="D112" s="4"/>
      <c r="E112" s="4"/>
      <c r="F112" s="4"/>
      <c r="G112" s="4"/>
      <c r="H112" s="4"/>
      <c r="I112" s="4"/>
      <c r="J112" s="4"/>
      <c r="K112" s="4">
        <f>SUMIF(基因升级!$D$141:$D$500,"&lt;"&amp;$B112,基因升级!J$141:J$500)</f>
        <v>2218</v>
      </c>
      <c r="L112" s="4">
        <f>SUMIF(基因升级!$D$141:$D$500,"&lt;"&amp;$B112,基因升级!K$141:K$500)</f>
        <v>0.95</v>
      </c>
      <c r="M112" s="4">
        <f>SUMIF(基因升级!$D$141:$D$500,"&lt;"&amp;$B112,基因升级!L$141:L$500)</f>
        <v>0.54</v>
      </c>
      <c r="N112" s="4">
        <f>SUMIF(基因升级!$D$141:$D$500,"&lt;"&amp;$B112,基因升级!M$141:M$500)</f>
        <v>0.036</v>
      </c>
      <c r="O112" s="4">
        <f>SUMIF(基因升级!$D$141:$D$500,"&lt;"&amp;$B112,基因升级!N$141:N$500)</f>
        <v>0.135</v>
      </c>
      <c r="R112" s="4">
        <v>106</v>
      </c>
      <c r="S112" s="4">
        <f>SUMIF(基因升级!$D$141:$D$500,"&lt;="&amp;$R112,基因升级!$U$141:$U$500)</f>
        <v>0</v>
      </c>
      <c r="T112" s="4">
        <f>SUMIF(基因升级!$D$141:$D$500,"&lt;="&amp;$R112,基因升级!J$141:J$500)</f>
        <v>4468</v>
      </c>
      <c r="U112" s="4">
        <f>SUMIF(基因升级!$D$141:$D$500,"&lt;="&amp;$R112,基因升级!K$141:K$500)</f>
        <v>1.35</v>
      </c>
      <c r="V112" s="4">
        <f>SUMIF(基因升级!$D$141:$D$500,"&lt;="&amp;$R112,基因升级!L$141:L$500)</f>
        <v>0.78</v>
      </c>
      <c r="W112" s="4">
        <f>SUMIF(基因升级!$D$141:$D$500,"&lt;="&amp;$R112,基因升级!M$141:M$500)</f>
        <v>0.052</v>
      </c>
      <c r="X112" s="4">
        <f>SUMIF(基因升级!$D$141:$D$500,"&lt;="&amp;$R112,基因升级!N$141:N$500)</f>
        <v>0.2025</v>
      </c>
    </row>
    <row r="113" ht="16.5" spans="1:24">
      <c r="A113" s="14">
        <v>107</v>
      </c>
      <c r="B113" s="4">
        <f>IFERROR(_xlfn.XLOOKUP(A113+1,基因升级!$E$141:$E$500,基因升级!$D$141:$D$500)-1,B112)</f>
        <v>74</v>
      </c>
      <c r="C113" s="4">
        <f>SUMIF(基因升级!$D$141:$D$500,"&lt;"&amp;$B113,基因升级!$U$141:$U$500)</f>
        <v>0</v>
      </c>
      <c r="D113" s="4"/>
      <c r="E113" s="4"/>
      <c r="F113" s="4"/>
      <c r="G113" s="4"/>
      <c r="H113" s="4"/>
      <c r="I113" s="4"/>
      <c r="J113" s="4"/>
      <c r="K113" s="4">
        <f>SUMIF(基因升级!$D$141:$D$500,"&lt;"&amp;$B113,基因升级!J$141:J$500)</f>
        <v>2218</v>
      </c>
      <c r="L113" s="4">
        <f>SUMIF(基因升级!$D$141:$D$500,"&lt;"&amp;$B113,基因升级!K$141:K$500)</f>
        <v>0.95</v>
      </c>
      <c r="M113" s="4">
        <f>SUMIF(基因升级!$D$141:$D$500,"&lt;"&amp;$B113,基因升级!L$141:L$500)</f>
        <v>0.54</v>
      </c>
      <c r="N113" s="4">
        <f>SUMIF(基因升级!$D$141:$D$500,"&lt;"&amp;$B113,基因升级!M$141:M$500)</f>
        <v>0.036</v>
      </c>
      <c r="O113" s="4">
        <f>SUMIF(基因升级!$D$141:$D$500,"&lt;"&amp;$B113,基因升级!N$141:N$500)</f>
        <v>0.135</v>
      </c>
      <c r="R113" s="4">
        <v>107</v>
      </c>
      <c r="S113" s="4">
        <f>SUMIF(基因升级!$D$141:$D$500,"&lt;="&amp;$R113,基因升级!$U$141:$U$500)</f>
        <v>0</v>
      </c>
      <c r="T113" s="4">
        <f>SUMIF(基因升级!$D$141:$D$500,"&lt;="&amp;$R113,基因升级!J$141:J$500)</f>
        <v>4550</v>
      </c>
      <c r="U113" s="4">
        <f>SUMIF(基因升级!$D$141:$D$500,"&lt;="&amp;$R113,基因升级!K$141:K$500)</f>
        <v>1.35</v>
      </c>
      <c r="V113" s="4">
        <f>SUMIF(基因升级!$D$141:$D$500,"&lt;="&amp;$R113,基因升级!L$141:L$500)</f>
        <v>0.78</v>
      </c>
      <c r="W113" s="4">
        <f>SUMIF(基因升级!$D$141:$D$500,"&lt;="&amp;$R113,基因升级!M$141:M$500)</f>
        <v>0.054</v>
      </c>
      <c r="X113" s="4">
        <f>SUMIF(基因升级!$D$141:$D$500,"&lt;="&amp;$R113,基因升级!N$141:N$500)</f>
        <v>0.2025</v>
      </c>
    </row>
    <row r="114" ht="16.5" spans="1:24">
      <c r="A114" s="14">
        <v>108</v>
      </c>
      <c r="B114" s="4">
        <f>IFERROR(_xlfn.XLOOKUP(A114+1,基因升级!$E$141:$E$500,基因升级!$D$141:$D$500)-1,B113)</f>
        <v>74</v>
      </c>
      <c r="C114" s="4">
        <f>SUMIF(基因升级!$D$141:$D$500,"&lt;"&amp;$B114,基因升级!$U$141:$U$500)</f>
        <v>0</v>
      </c>
      <c r="D114" s="4"/>
      <c r="E114" s="4"/>
      <c r="F114" s="4"/>
      <c r="G114" s="4"/>
      <c r="H114" s="4"/>
      <c r="I114" s="4"/>
      <c r="J114" s="4"/>
      <c r="K114" s="4">
        <f>SUMIF(基因升级!$D$141:$D$500,"&lt;"&amp;$B114,基因升级!J$141:J$500)</f>
        <v>2218</v>
      </c>
      <c r="L114" s="4">
        <f>SUMIF(基因升级!$D$141:$D$500,"&lt;"&amp;$B114,基因升级!K$141:K$500)</f>
        <v>0.95</v>
      </c>
      <c r="M114" s="4">
        <f>SUMIF(基因升级!$D$141:$D$500,"&lt;"&amp;$B114,基因升级!L$141:L$500)</f>
        <v>0.54</v>
      </c>
      <c r="N114" s="4">
        <f>SUMIF(基因升级!$D$141:$D$500,"&lt;"&amp;$B114,基因升级!M$141:M$500)</f>
        <v>0.036</v>
      </c>
      <c r="O114" s="4">
        <f>SUMIF(基因升级!$D$141:$D$500,"&lt;"&amp;$B114,基因升级!N$141:N$500)</f>
        <v>0.135</v>
      </c>
      <c r="R114" s="4">
        <v>108</v>
      </c>
      <c r="S114" s="4">
        <f>SUMIF(基因升级!$D$141:$D$500,"&lt;="&amp;$R114,基因升级!$U$141:$U$500)</f>
        <v>0</v>
      </c>
      <c r="T114" s="4">
        <f>SUMIF(基因升级!$D$141:$D$500,"&lt;="&amp;$R114,基因升级!J$141:J$500)</f>
        <v>4632</v>
      </c>
      <c r="U114" s="4">
        <f>SUMIF(基因升级!$D$141:$D$500,"&lt;="&amp;$R114,基因升级!K$141:K$500)</f>
        <v>1.35</v>
      </c>
      <c r="V114" s="4">
        <f>SUMIF(基因升级!$D$141:$D$500,"&lt;="&amp;$R114,基因升级!L$141:L$500)</f>
        <v>0.81</v>
      </c>
      <c r="W114" s="4">
        <f>SUMIF(基因升级!$D$141:$D$500,"&lt;="&amp;$R114,基因升级!M$141:M$500)</f>
        <v>0.054</v>
      </c>
      <c r="X114" s="4">
        <f>SUMIF(基因升级!$D$141:$D$500,"&lt;="&amp;$R114,基因升级!N$141:N$500)</f>
        <v>0.2025</v>
      </c>
    </row>
    <row r="115" ht="16.5" spans="1:24">
      <c r="A115" s="14">
        <v>109</v>
      </c>
      <c r="B115" s="4">
        <f>IFERROR(_xlfn.XLOOKUP(A115+1,基因升级!$E$141:$E$500,基因升级!$D$141:$D$500)-1,B114)</f>
        <v>75</v>
      </c>
      <c r="C115" s="4">
        <f>SUMIF(基因升级!$D$141:$D$500,"&lt;"&amp;$B115,基因升级!$U$141:$U$500)</f>
        <v>0</v>
      </c>
      <c r="D115" s="4"/>
      <c r="E115" s="4"/>
      <c r="F115" s="4"/>
      <c r="G115" s="4"/>
      <c r="H115" s="4"/>
      <c r="I115" s="4"/>
      <c r="J115" s="4"/>
      <c r="K115" s="4">
        <f>SUMIF(基因升级!$D$141:$D$500,"&lt;"&amp;$B115,基因升级!J$141:J$500)</f>
        <v>2276</v>
      </c>
      <c r="L115" s="4">
        <f>SUMIF(基因升级!$D$141:$D$500,"&lt;"&amp;$B115,基因升级!K$141:K$500)</f>
        <v>0.95</v>
      </c>
      <c r="M115" s="4">
        <f>SUMIF(基因升级!$D$141:$D$500,"&lt;"&amp;$B115,基因升级!L$141:L$500)</f>
        <v>0.54</v>
      </c>
      <c r="N115" s="4">
        <f>SUMIF(基因升级!$D$141:$D$500,"&lt;"&amp;$B115,基因升级!M$141:M$500)</f>
        <v>0.036</v>
      </c>
      <c r="O115" s="4">
        <f>SUMIF(基因升级!$D$141:$D$500,"&lt;"&amp;$B115,基因升级!N$141:N$500)</f>
        <v>0.1425</v>
      </c>
      <c r="R115" s="4">
        <v>109</v>
      </c>
      <c r="S115" s="4">
        <f>SUMIF(基因升级!$D$141:$D$500,"&lt;="&amp;$R115,基因升级!$U$141:$U$500)</f>
        <v>0</v>
      </c>
      <c r="T115" s="4">
        <f>SUMIF(基因升级!$D$141:$D$500,"&lt;="&amp;$R115,基因升级!J$141:J$500)</f>
        <v>4714</v>
      </c>
      <c r="U115" s="4">
        <f>SUMIF(基因升级!$D$141:$D$500,"&lt;="&amp;$R115,基因升级!K$141:K$500)</f>
        <v>1.4</v>
      </c>
      <c r="V115" s="4">
        <f>SUMIF(基因升级!$D$141:$D$500,"&lt;="&amp;$R115,基因升级!L$141:L$500)</f>
        <v>0.81</v>
      </c>
      <c r="W115" s="4">
        <f>SUMIF(基因升级!$D$141:$D$500,"&lt;="&amp;$R115,基因升级!M$141:M$500)</f>
        <v>0.054</v>
      </c>
      <c r="X115" s="4">
        <f>SUMIF(基因升级!$D$141:$D$500,"&lt;="&amp;$R115,基因升级!N$141:N$500)</f>
        <v>0.2025</v>
      </c>
    </row>
    <row r="116" ht="16.5" spans="1:24">
      <c r="A116" s="14">
        <v>110</v>
      </c>
      <c r="B116" s="4">
        <f>IFERROR(_xlfn.XLOOKUP(A116+1,基因升级!$E$141:$E$500,基因升级!$D$141:$D$500)-1,B115)</f>
        <v>75</v>
      </c>
      <c r="C116" s="4">
        <f>SUMIF(基因升级!$D$141:$D$500,"&lt;"&amp;$B116,基因升级!$U$141:$U$500)</f>
        <v>0</v>
      </c>
      <c r="D116" s="4"/>
      <c r="E116" s="4"/>
      <c r="F116" s="4"/>
      <c r="G116" s="4"/>
      <c r="H116" s="4"/>
      <c r="I116" s="4"/>
      <c r="J116" s="4"/>
      <c r="K116" s="4">
        <f>SUMIF(基因升级!$D$141:$D$500,"&lt;"&amp;$B116,基因升级!J$141:J$500)</f>
        <v>2276</v>
      </c>
      <c r="L116" s="4">
        <f>SUMIF(基因升级!$D$141:$D$500,"&lt;"&amp;$B116,基因升级!K$141:K$500)</f>
        <v>0.95</v>
      </c>
      <c r="M116" s="4">
        <f>SUMIF(基因升级!$D$141:$D$500,"&lt;"&amp;$B116,基因升级!L$141:L$500)</f>
        <v>0.54</v>
      </c>
      <c r="N116" s="4">
        <f>SUMIF(基因升级!$D$141:$D$500,"&lt;"&amp;$B116,基因升级!M$141:M$500)</f>
        <v>0.036</v>
      </c>
      <c r="O116" s="4">
        <f>SUMIF(基因升级!$D$141:$D$500,"&lt;"&amp;$B116,基因升级!N$141:N$500)</f>
        <v>0.1425</v>
      </c>
      <c r="R116" s="4">
        <v>110</v>
      </c>
      <c r="S116" s="4">
        <f>SUMIF(基因升级!$D$141:$D$500,"&lt;="&amp;$R116,基因升级!$U$141:$U$500)</f>
        <v>0</v>
      </c>
      <c r="T116" s="4">
        <f>SUMIF(基因升级!$D$141:$D$500,"&lt;="&amp;$R116,基因升级!J$141:J$500)</f>
        <v>4796</v>
      </c>
      <c r="U116" s="4">
        <f>SUMIF(基因升级!$D$141:$D$500,"&lt;="&amp;$R116,基因升级!K$141:K$500)</f>
        <v>1.4</v>
      </c>
      <c r="V116" s="4">
        <f>SUMIF(基因升级!$D$141:$D$500,"&lt;="&amp;$R116,基因升级!L$141:L$500)</f>
        <v>0.81</v>
      </c>
      <c r="W116" s="4">
        <f>SUMIF(基因升级!$D$141:$D$500,"&lt;="&amp;$R116,基因升级!M$141:M$500)</f>
        <v>0.054</v>
      </c>
      <c r="X116" s="4">
        <f>SUMIF(基因升级!$D$141:$D$500,"&lt;="&amp;$R116,基因升级!N$141:N$500)</f>
        <v>0.21</v>
      </c>
    </row>
    <row r="117" ht="16.5" spans="1:24">
      <c r="A117" s="14">
        <v>111</v>
      </c>
      <c r="B117" s="4">
        <f>IFERROR(_xlfn.XLOOKUP(A117+1,基因升级!$E$141:$E$500,基因升级!$D$141:$D$500)-1,B116)</f>
        <v>75</v>
      </c>
      <c r="C117" s="4">
        <f>SUMIF(基因升级!$D$141:$D$500,"&lt;"&amp;$B117,基因升级!$U$141:$U$500)</f>
        <v>0</v>
      </c>
      <c r="D117" s="4"/>
      <c r="E117" s="4"/>
      <c r="F117" s="4"/>
      <c r="G117" s="4"/>
      <c r="H117" s="4"/>
      <c r="I117" s="4"/>
      <c r="J117" s="4"/>
      <c r="K117" s="4">
        <f>SUMIF(基因升级!$D$141:$D$500,"&lt;"&amp;$B117,基因升级!J$141:J$500)</f>
        <v>2276</v>
      </c>
      <c r="L117" s="4">
        <f>SUMIF(基因升级!$D$141:$D$500,"&lt;"&amp;$B117,基因升级!K$141:K$500)</f>
        <v>0.95</v>
      </c>
      <c r="M117" s="4">
        <f>SUMIF(基因升级!$D$141:$D$500,"&lt;"&amp;$B117,基因升级!L$141:L$500)</f>
        <v>0.54</v>
      </c>
      <c r="N117" s="4">
        <f>SUMIF(基因升级!$D$141:$D$500,"&lt;"&amp;$B117,基因升级!M$141:M$500)</f>
        <v>0.036</v>
      </c>
      <c r="O117" s="4">
        <f>SUMIF(基因升级!$D$141:$D$500,"&lt;"&amp;$B117,基因升级!N$141:N$500)</f>
        <v>0.1425</v>
      </c>
      <c r="R117" s="4">
        <v>111</v>
      </c>
      <c r="S117" s="4">
        <f>SUMIF(基因升级!$D$141:$D$500,"&lt;="&amp;$R117,基因升级!$U$141:$U$500)</f>
        <v>0</v>
      </c>
      <c r="T117" s="4">
        <f>SUMIF(基因升级!$D$141:$D$500,"&lt;="&amp;$R117,基因升级!J$141:J$500)</f>
        <v>4878</v>
      </c>
      <c r="U117" s="4">
        <f>SUMIF(基因升级!$D$141:$D$500,"&lt;="&amp;$R117,基因升级!K$141:K$500)</f>
        <v>1.4</v>
      </c>
      <c r="V117" s="4">
        <f>SUMIF(基因升级!$D$141:$D$500,"&lt;="&amp;$R117,基因升级!L$141:L$500)</f>
        <v>0.81</v>
      </c>
      <c r="W117" s="4">
        <f>SUMIF(基因升级!$D$141:$D$500,"&lt;="&amp;$R117,基因升级!M$141:M$500)</f>
        <v>0.056</v>
      </c>
      <c r="X117" s="4">
        <f>SUMIF(基因升级!$D$141:$D$500,"&lt;="&amp;$R117,基因升级!N$141:N$500)</f>
        <v>0.21</v>
      </c>
    </row>
    <row r="118" ht="16.5" spans="1:24">
      <c r="A118" s="14">
        <v>112</v>
      </c>
      <c r="B118" s="4">
        <f>IFERROR(_xlfn.XLOOKUP(A118+1,基因升级!$E$141:$E$500,基因升级!$D$141:$D$500)-1,B117)</f>
        <v>75</v>
      </c>
      <c r="C118" s="4">
        <f>SUMIF(基因升级!$D$141:$D$500,"&lt;"&amp;$B118,基因升级!$U$141:$U$500)</f>
        <v>0</v>
      </c>
      <c r="D118" s="4"/>
      <c r="E118" s="4"/>
      <c r="F118" s="4"/>
      <c r="G118" s="4"/>
      <c r="H118" s="4"/>
      <c r="I118" s="4"/>
      <c r="J118" s="4"/>
      <c r="K118" s="4">
        <f>SUMIF(基因升级!$D$141:$D$500,"&lt;"&amp;$B118,基因升级!J$141:J$500)</f>
        <v>2276</v>
      </c>
      <c r="L118" s="4">
        <f>SUMIF(基因升级!$D$141:$D$500,"&lt;"&amp;$B118,基因升级!K$141:K$500)</f>
        <v>0.95</v>
      </c>
      <c r="M118" s="4">
        <f>SUMIF(基因升级!$D$141:$D$500,"&lt;"&amp;$B118,基因升级!L$141:L$500)</f>
        <v>0.54</v>
      </c>
      <c r="N118" s="4">
        <f>SUMIF(基因升级!$D$141:$D$500,"&lt;"&amp;$B118,基因升级!M$141:M$500)</f>
        <v>0.036</v>
      </c>
      <c r="O118" s="4">
        <f>SUMIF(基因升级!$D$141:$D$500,"&lt;"&amp;$B118,基因升级!N$141:N$500)</f>
        <v>0.1425</v>
      </c>
      <c r="R118" s="4">
        <v>112</v>
      </c>
      <c r="S118" s="4">
        <f>SUMIF(基因升级!$D$141:$D$500,"&lt;="&amp;$R118,基因升级!$U$141:$U$500)</f>
        <v>0</v>
      </c>
      <c r="T118" s="4">
        <f>SUMIF(基因升级!$D$141:$D$500,"&lt;="&amp;$R118,基因升级!J$141:J$500)</f>
        <v>4960</v>
      </c>
      <c r="U118" s="4">
        <f>SUMIF(基因升级!$D$141:$D$500,"&lt;="&amp;$R118,基因升级!K$141:K$500)</f>
        <v>1.4</v>
      </c>
      <c r="V118" s="4">
        <f>SUMIF(基因升级!$D$141:$D$500,"&lt;="&amp;$R118,基因升级!L$141:L$500)</f>
        <v>0.840000000000001</v>
      </c>
      <c r="W118" s="4">
        <f>SUMIF(基因升级!$D$141:$D$500,"&lt;="&amp;$R118,基因升级!M$141:M$500)</f>
        <v>0.056</v>
      </c>
      <c r="X118" s="4">
        <f>SUMIF(基因升级!$D$141:$D$500,"&lt;="&amp;$R118,基因升级!N$141:N$500)</f>
        <v>0.21</v>
      </c>
    </row>
    <row r="119" ht="16.5" spans="1:24">
      <c r="A119" s="14">
        <v>113</v>
      </c>
      <c r="B119" s="4">
        <f>IFERROR(_xlfn.XLOOKUP(A119+1,基因升级!$E$141:$E$500,基因升级!$D$141:$D$500)-1,B118)</f>
        <v>75</v>
      </c>
      <c r="C119" s="4">
        <f>SUMIF(基因升级!$D$141:$D$500,"&lt;"&amp;$B119,基因升级!$U$141:$U$500)</f>
        <v>0</v>
      </c>
      <c r="D119" s="4"/>
      <c r="E119" s="4"/>
      <c r="F119" s="4"/>
      <c r="G119" s="4"/>
      <c r="H119" s="4"/>
      <c r="I119" s="4"/>
      <c r="J119" s="4"/>
      <c r="K119" s="4">
        <f>SUMIF(基因升级!$D$141:$D$500,"&lt;"&amp;$B119,基因升级!J$141:J$500)</f>
        <v>2276</v>
      </c>
      <c r="L119" s="4">
        <f>SUMIF(基因升级!$D$141:$D$500,"&lt;"&amp;$B119,基因升级!K$141:K$500)</f>
        <v>0.95</v>
      </c>
      <c r="M119" s="4">
        <f>SUMIF(基因升级!$D$141:$D$500,"&lt;"&amp;$B119,基因升级!L$141:L$500)</f>
        <v>0.54</v>
      </c>
      <c r="N119" s="4">
        <f>SUMIF(基因升级!$D$141:$D$500,"&lt;"&amp;$B119,基因升级!M$141:M$500)</f>
        <v>0.036</v>
      </c>
      <c r="O119" s="4">
        <f>SUMIF(基因升级!$D$141:$D$500,"&lt;"&amp;$B119,基因升级!N$141:N$500)</f>
        <v>0.1425</v>
      </c>
      <c r="R119" s="4">
        <v>113</v>
      </c>
      <c r="S119" s="4">
        <f>SUMIF(基因升级!$D$141:$D$500,"&lt;="&amp;$R119,基因升级!$U$141:$U$500)</f>
        <v>0</v>
      </c>
      <c r="T119" s="4">
        <f>SUMIF(基因升级!$D$141:$D$500,"&lt;="&amp;$R119,基因升级!J$141:J$500)</f>
        <v>5048</v>
      </c>
      <c r="U119" s="4">
        <f>SUMIF(基因升级!$D$141:$D$500,"&lt;="&amp;$R119,基因升级!K$141:K$500)</f>
        <v>1.45</v>
      </c>
      <c r="V119" s="4">
        <f>SUMIF(基因升级!$D$141:$D$500,"&lt;="&amp;$R119,基因升级!L$141:L$500)</f>
        <v>0.840000000000001</v>
      </c>
      <c r="W119" s="4">
        <f>SUMIF(基因升级!$D$141:$D$500,"&lt;="&amp;$R119,基因升级!M$141:M$500)</f>
        <v>0.056</v>
      </c>
      <c r="X119" s="4">
        <f>SUMIF(基因升级!$D$141:$D$500,"&lt;="&amp;$R119,基因升级!N$141:N$500)</f>
        <v>0.21</v>
      </c>
    </row>
    <row r="120" ht="16.5" spans="1:24">
      <c r="A120" s="14">
        <v>114</v>
      </c>
      <c r="B120" s="4">
        <f>IFERROR(_xlfn.XLOOKUP(A120+1,基因升级!$E$141:$E$500,基因升级!$D$141:$D$500)-1,B119)</f>
        <v>76</v>
      </c>
      <c r="C120" s="4">
        <f>SUMIF(基因升级!$D$141:$D$500,"&lt;"&amp;$B120,基因升级!$U$141:$U$500)</f>
        <v>0</v>
      </c>
      <c r="D120" s="4"/>
      <c r="E120" s="4"/>
      <c r="F120" s="4"/>
      <c r="G120" s="4"/>
      <c r="H120" s="4"/>
      <c r="I120" s="4"/>
      <c r="J120" s="4"/>
      <c r="K120" s="4">
        <f>SUMIF(基因升级!$D$141:$D$500,"&lt;"&amp;$B120,基因升级!J$141:J$500)</f>
        <v>2334</v>
      </c>
      <c r="L120" s="4">
        <f>SUMIF(基因升级!$D$141:$D$500,"&lt;"&amp;$B120,基因升级!K$141:K$500)</f>
        <v>0.95</v>
      </c>
      <c r="M120" s="4">
        <f>SUMIF(基因升级!$D$141:$D$500,"&lt;"&amp;$B120,基因升级!L$141:L$500)</f>
        <v>0.54</v>
      </c>
      <c r="N120" s="4">
        <f>SUMIF(基因升级!$D$141:$D$500,"&lt;"&amp;$B120,基因升级!M$141:M$500)</f>
        <v>0.038</v>
      </c>
      <c r="O120" s="4">
        <f>SUMIF(基因升级!$D$141:$D$500,"&lt;"&amp;$B120,基因升级!N$141:N$500)</f>
        <v>0.1425</v>
      </c>
      <c r="R120" s="4">
        <v>114</v>
      </c>
      <c r="S120" s="4">
        <f>SUMIF(基因升级!$D$141:$D$500,"&lt;="&amp;$R120,基因升级!$U$141:$U$500)</f>
        <v>0</v>
      </c>
      <c r="T120" s="4">
        <f>SUMIF(基因升级!$D$141:$D$500,"&lt;="&amp;$R120,基因升级!J$141:J$500)</f>
        <v>5136</v>
      </c>
      <c r="U120" s="4">
        <f>SUMIF(基因升级!$D$141:$D$500,"&lt;="&amp;$R120,基因升级!K$141:K$500)</f>
        <v>1.45</v>
      </c>
      <c r="V120" s="4">
        <f>SUMIF(基因升级!$D$141:$D$500,"&lt;="&amp;$R120,基因升级!L$141:L$500)</f>
        <v>0.840000000000001</v>
      </c>
      <c r="W120" s="4">
        <f>SUMIF(基因升级!$D$141:$D$500,"&lt;="&amp;$R120,基因升级!M$141:M$500)</f>
        <v>0.056</v>
      </c>
      <c r="X120" s="4">
        <f>SUMIF(基因升级!$D$141:$D$500,"&lt;="&amp;$R120,基因升级!N$141:N$500)</f>
        <v>0.2175</v>
      </c>
    </row>
    <row r="121" ht="16.5" spans="1:24">
      <c r="A121" s="14">
        <v>115</v>
      </c>
      <c r="B121" s="4">
        <f>IFERROR(_xlfn.XLOOKUP(A121+1,基因升级!$E$141:$E$500,基因升级!$D$141:$D$500)-1,B120)</f>
        <v>76</v>
      </c>
      <c r="C121" s="4">
        <f>SUMIF(基因升级!$D$141:$D$500,"&lt;"&amp;$B121,基因升级!$U$141:$U$500)</f>
        <v>0</v>
      </c>
      <c r="D121" s="4"/>
      <c r="E121" s="4"/>
      <c r="F121" s="4"/>
      <c r="G121" s="4"/>
      <c r="H121" s="4"/>
      <c r="I121" s="4"/>
      <c r="J121" s="4"/>
      <c r="K121" s="4">
        <f>SUMIF(基因升级!$D$141:$D$500,"&lt;"&amp;$B121,基因升级!J$141:J$500)</f>
        <v>2334</v>
      </c>
      <c r="L121" s="4">
        <f>SUMIF(基因升级!$D$141:$D$500,"&lt;"&amp;$B121,基因升级!K$141:K$500)</f>
        <v>0.95</v>
      </c>
      <c r="M121" s="4">
        <f>SUMIF(基因升级!$D$141:$D$500,"&lt;"&amp;$B121,基因升级!L$141:L$500)</f>
        <v>0.54</v>
      </c>
      <c r="N121" s="4">
        <f>SUMIF(基因升级!$D$141:$D$500,"&lt;"&amp;$B121,基因升级!M$141:M$500)</f>
        <v>0.038</v>
      </c>
      <c r="O121" s="4">
        <f>SUMIF(基因升级!$D$141:$D$500,"&lt;"&amp;$B121,基因升级!N$141:N$500)</f>
        <v>0.1425</v>
      </c>
      <c r="R121" s="4">
        <v>115</v>
      </c>
      <c r="S121" s="4">
        <f>SUMIF(基因升级!$D$141:$D$500,"&lt;="&amp;$R121,基因升级!$U$141:$U$500)</f>
        <v>0</v>
      </c>
      <c r="T121" s="4">
        <f>SUMIF(基因升级!$D$141:$D$500,"&lt;="&amp;$R121,基因升级!J$141:J$500)</f>
        <v>5224</v>
      </c>
      <c r="U121" s="4">
        <f>SUMIF(基因升级!$D$141:$D$500,"&lt;="&amp;$R121,基因升级!K$141:K$500)</f>
        <v>1.45</v>
      </c>
      <c r="V121" s="4">
        <f>SUMIF(基因升级!$D$141:$D$500,"&lt;="&amp;$R121,基因升级!L$141:L$500)</f>
        <v>0.840000000000001</v>
      </c>
      <c r="W121" s="4">
        <f>SUMIF(基因升级!$D$141:$D$500,"&lt;="&amp;$R121,基因升级!M$141:M$500)</f>
        <v>0.058</v>
      </c>
      <c r="X121" s="4">
        <f>SUMIF(基因升级!$D$141:$D$500,"&lt;="&amp;$R121,基因升级!N$141:N$500)</f>
        <v>0.2175</v>
      </c>
    </row>
    <row r="122" ht="16.5" spans="1:24">
      <c r="A122" s="14">
        <v>116</v>
      </c>
      <c r="B122" s="4">
        <f>IFERROR(_xlfn.XLOOKUP(A122+1,基因升级!$E$141:$E$500,基因升级!$D$141:$D$500)-1,B121)</f>
        <v>76</v>
      </c>
      <c r="C122" s="4">
        <f>SUMIF(基因升级!$D$141:$D$500,"&lt;"&amp;$B122,基因升级!$U$141:$U$500)</f>
        <v>0</v>
      </c>
      <c r="D122" s="4"/>
      <c r="E122" s="4"/>
      <c r="F122" s="4"/>
      <c r="G122" s="4"/>
      <c r="H122" s="4"/>
      <c r="I122" s="4"/>
      <c r="J122" s="4"/>
      <c r="K122" s="4">
        <f>SUMIF(基因升级!$D$141:$D$500,"&lt;"&amp;$B122,基因升级!J$141:J$500)</f>
        <v>2334</v>
      </c>
      <c r="L122" s="4">
        <f>SUMIF(基因升级!$D$141:$D$500,"&lt;"&amp;$B122,基因升级!K$141:K$500)</f>
        <v>0.95</v>
      </c>
      <c r="M122" s="4">
        <f>SUMIF(基因升级!$D$141:$D$500,"&lt;"&amp;$B122,基因升级!L$141:L$500)</f>
        <v>0.54</v>
      </c>
      <c r="N122" s="4">
        <f>SUMIF(基因升级!$D$141:$D$500,"&lt;"&amp;$B122,基因升级!M$141:M$500)</f>
        <v>0.038</v>
      </c>
      <c r="O122" s="4">
        <f>SUMIF(基因升级!$D$141:$D$500,"&lt;"&amp;$B122,基因升级!N$141:N$500)</f>
        <v>0.1425</v>
      </c>
      <c r="R122" s="4">
        <v>116</v>
      </c>
      <c r="S122" s="4">
        <f>SUMIF(基因升级!$D$141:$D$500,"&lt;="&amp;$R122,基因升级!$U$141:$U$500)</f>
        <v>0</v>
      </c>
      <c r="T122" s="4">
        <f>SUMIF(基因升级!$D$141:$D$500,"&lt;="&amp;$R122,基因升级!J$141:J$500)</f>
        <v>5312</v>
      </c>
      <c r="U122" s="4">
        <f>SUMIF(基因升级!$D$141:$D$500,"&lt;="&amp;$R122,基因升级!K$141:K$500)</f>
        <v>1.45</v>
      </c>
      <c r="V122" s="4">
        <f>SUMIF(基因升级!$D$141:$D$500,"&lt;="&amp;$R122,基因升级!L$141:L$500)</f>
        <v>0.870000000000001</v>
      </c>
      <c r="W122" s="4">
        <f>SUMIF(基因升级!$D$141:$D$500,"&lt;="&amp;$R122,基因升级!M$141:M$500)</f>
        <v>0.058</v>
      </c>
      <c r="X122" s="4">
        <f>SUMIF(基因升级!$D$141:$D$500,"&lt;="&amp;$R122,基因升级!N$141:N$500)</f>
        <v>0.2175</v>
      </c>
    </row>
    <row r="123" ht="16.5" spans="1:24">
      <c r="A123" s="14">
        <v>117</v>
      </c>
      <c r="B123" s="4">
        <f>IFERROR(_xlfn.XLOOKUP(A123+1,基因升级!$E$141:$E$500,基因升级!$D$141:$D$500)-1,B122)</f>
        <v>76</v>
      </c>
      <c r="C123" s="4">
        <f>SUMIF(基因升级!$D$141:$D$500,"&lt;"&amp;$B123,基因升级!$U$141:$U$500)</f>
        <v>0</v>
      </c>
      <c r="D123" s="4"/>
      <c r="E123" s="4"/>
      <c r="F123" s="4"/>
      <c r="G123" s="4"/>
      <c r="H123" s="4"/>
      <c r="I123" s="4"/>
      <c r="J123" s="4"/>
      <c r="K123" s="4">
        <f>SUMIF(基因升级!$D$141:$D$500,"&lt;"&amp;$B123,基因升级!J$141:J$500)</f>
        <v>2334</v>
      </c>
      <c r="L123" s="4">
        <f>SUMIF(基因升级!$D$141:$D$500,"&lt;"&amp;$B123,基因升级!K$141:K$500)</f>
        <v>0.95</v>
      </c>
      <c r="M123" s="4">
        <f>SUMIF(基因升级!$D$141:$D$500,"&lt;"&amp;$B123,基因升级!L$141:L$500)</f>
        <v>0.54</v>
      </c>
      <c r="N123" s="4">
        <f>SUMIF(基因升级!$D$141:$D$500,"&lt;"&amp;$B123,基因升级!M$141:M$500)</f>
        <v>0.038</v>
      </c>
      <c r="O123" s="4">
        <f>SUMIF(基因升级!$D$141:$D$500,"&lt;"&amp;$B123,基因升级!N$141:N$500)</f>
        <v>0.1425</v>
      </c>
      <c r="R123" s="4">
        <v>117</v>
      </c>
      <c r="S123" s="4">
        <f>SUMIF(基因升级!$D$141:$D$500,"&lt;="&amp;$R123,基因升级!$U$141:$U$500)</f>
        <v>0</v>
      </c>
      <c r="T123" s="4">
        <f>SUMIF(基因升级!$D$141:$D$500,"&lt;="&amp;$R123,基因升级!J$141:J$500)</f>
        <v>5400</v>
      </c>
      <c r="U123" s="4">
        <f>SUMIF(基因升级!$D$141:$D$500,"&lt;="&amp;$R123,基因升级!K$141:K$500)</f>
        <v>1.5</v>
      </c>
      <c r="V123" s="4">
        <f>SUMIF(基因升级!$D$141:$D$500,"&lt;="&amp;$R123,基因升级!L$141:L$500)</f>
        <v>0.870000000000001</v>
      </c>
      <c r="W123" s="4">
        <f>SUMIF(基因升级!$D$141:$D$500,"&lt;="&amp;$R123,基因升级!M$141:M$500)</f>
        <v>0.058</v>
      </c>
      <c r="X123" s="4">
        <f>SUMIF(基因升级!$D$141:$D$500,"&lt;="&amp;$R123,基因升级!N$141:N$500)</f>
        <v>0.2175</v>
      </c>
    </row>
    <row r="124" ht="16.5" spans="1:24">
      <c r="A124" s="14">
        <v>118</v>
      </c>
      <c r="B124" s="4">
        <f>IFERROR(_xlfn.XLOOKUP(A124+1,基因升级!$E$141:$E$500,基因升级!$D$141:$D$500)-1,B123)</f>
        <v>76</v>
      </c>
      <c r="C124" s="4">
        <f>SUMIF(基因升级!$D$141:$D$500,"&lt;"&amp;$B124,基因升级!$U$141:$U$500)</f>
        <v>0</v>
      </c>
      <c r="D124" s="4"/>
      <c r="E124" s="4"/>
      <c r="F124" s="4"/>
      <c r="G124" s="4"/>
      <c r="H124" s="4"/>
      <c r="I124" s="4"/>
      <c r="J124" s="4"/>
      <c r="K124" s="4">
        <f>SUMIF(基因升级!$D$141:$D$500,"&lt;"&amp;$B124,基因升级!J$141:J$500)</f>
        <v>2334</v>
      </c>
      <c r="L124" s="4">
        <f>SUMIF(基因升级!$D$141:$D$500,"&lt;"&amp;$B124,基因升级!K$141:K$500)</f>
        <v>0.95</v>
      </c>
      <c r="M124" s="4">
        <f>SUMIF(基因升级!$D$141:$D$500,"&lt;"&amp;$B124,基因升级!L$141:L$500)</f>
        <v>0.54</v>
      </c>
      <c r="N124" s="4">
        <f>SUMIF(基因升级!$D$141:$D$500,"&lt;"&amp;$B124,基因升级!M$141:M$500)</f>
        <v>0.038</v>
      </c>
      <c r="O124" s="4">
        <f>SUMIF(基因升级!$D$141:$D$500,"&lt;"&amp;$B124,基因升级!N$141:N$500)</f>
        <v>0.1425</v>
      </c>
      <c r="R124" s="4">
        <v>118</v>
      </c>
      <c r="S124" s="4">
        <f>SUMIF(基因升级!$D$141:$D$500,"&lt;="&amp;$R124,基因升级!$U$141:$U$500)</f>
        <v>0</v>
      </c>
      <c r="T124" s="4">
        <f>SUMIF(基因升级!$D$141:$D$500,"&lt;="&amp;$R124,基因升级!J$141:J$500)</f>
        <v>5488</v>
      </c>
      <c r="U124" s="4">
        <f>SUMIF(基因升级!$D$141:$D$500,"&lt;="&amp;$R124,基因升级!K$141:K$500)</f>
        <v>1.5</v>
      </c>
      <c r="V124" s="4">
        <f>SUMIF(基因升级!$D$141:$D$500,"&lt;="&amp;$R124,基因升级!L$141:L$500)</f>
        <v>0.870000000000001</v>
      </c>
      <c r="W124" s="4">
        <f>SUMIF(基因升级!$D$141:$D$500,"&lt;="&amp;$R124,基因升级!M$141:M$500)</f>
        <v>0.058</v>
      </c>
      <c r="X124" s="4">
        <f>SUMIF(基因升级!$D$141:$D$500,"&lt;="&amp;$R124,基因升级!N$141:N$500)</f>
        <v>0.225</v>
      </c>
    </row>
    <row r="125" ht="16.5" spans="1:24">
      <c r="A125" s="14">
        <v>119</v>
      </c>
      <c r="B125" s="4">
        <f>IFERROR(_xlfn.XLOOKUP(A125+1,基因升级!$E$141:$E$500,基因升级!$D$141:$D$500)-1,B124)</f>
        <v>77</v>
      </c>
      <c r="C125" s="4">
        <f>SUMIF(基因升级!$D$141:$D$500,"&lt;"&amp;$B125,基因升级!$U$141:$U$500)</f>
        <v>0</v>
      </c>
      <c r="D125" s="4"/>
      <c r="E125" s="4"/>
      <c r="F125" s="4"/>
      <c r="G125" s="4"/>
      <c r="H125" s="4"/>
      <c r="I125" s="4"/>
      <c r="J125" s="4"/>
      <c r="K125" s="4">
        <f>SUMIF(基因升级!$D$141:$D$500,"&lt;"&amp;$B125,基因升级!J$141:J$500)</f>
        <v>2392</v>
      </c>
      <c r="L125" s="4">
        <f>SUMIF(基因升级!$D$141:$D$500,"&lt;"&amp;$B125,基因升级!K$141:K$500)</f>
        <v>0.95</v>
      </c>
      <c r="M125" s="4">
        <f>SUMIF(基因升级!$D$141:$D$500,"&lt;"&amp;$B125,基因升级!L$141:L$500)</f>
        <v>0.57</v>
      </c>
      <c r="N125" s="4">
        <f>SUMIF(基因升级!$D$141:$D$500,"&lt;"&amp;$B125,基因升级!M$141:M$500)</f>
        <v>0.038</v>
      </c>
      <c r="O125" s="4">
        <f>SUMIF(基因升级!$D$141:$D$500,"&lt;"&amp;$B125,基因升级!N$141:N$500)</f>
        <v>0.1425</v>
      </c>
      <c r="R125" s="4">
        <v>119</v>
      </c>
      <c r="S125" s="4">
        <f>SUMIF(基因升级!$D$141:$D$500,"&lt;="&amp;$R125,基因升级!$U$141:$U$500)</f>
        <v>0</v>
      </c>
      <c r="T125" s="4">
        <f>SUMIF(基因升级!$D$141:$D$500,"&lt;="&amp;$R125,基因升级!J$141:J$500)</f>
        <v>5576</v>
      </c>
      <c r="U125" s="4">
        <f>SUMIF(基因升级!$D$141:$D$500,"&lt;="&amp;$R125,基因升级!K$141:K$500)</f>
        <v>1.5</v>
      </c>
      <c r="V125" s="4">
        <f>SUMIF(基因升级!$D$141:$D$500,"&lt;="&amp;$R125,基因升级!L$141:L$500)</f>
        <v>0.870000000000001</v>
      </c>
      <c r="W125" s="4">
        <f>SUMIF(基因升级!$D$141:$D$500,"&lt;="&amp;$R125,基因升级!M$141:M$500)</f>
        <v>0.06</v>
      </c>
      <c r="X125" s="4">
        <f>SUMIF(基因升级!$D$141:$D$500,"&lt;="&amp;$R125,基因升级!N$141:N$500)</f>
        <v>0.225</v>
      </c>
    </row>
    <row r="126" ht="16.5" spans="1:24">
      <c r="A126" s="14">
        <v>120</v>
      </c>
      <c r="B126" s="4">
        <f>IFERROR(_xlfn.XLOOKUP(A126+1,基因升级!$E$141:$E$500,基因升级!$D$141:$D$500)-1,B125)</f>
        <v>77</v>
      </c>
      <c r="C126" s="4">
        <f>SUMIF(基因升级!$D$141:$D$500,"&lt;"&amp;$B126,基因升级!$U$141:$U$500)</f>
        <v>0</v>
      </c>
      <c r="D126" s="4"/>
      <c r="E126" s="4"/>
      <c r="F126" s="4"/>
      <c r="G126" s="4"/>
      <c r="H126" s="4"/>
      <c r="I126" s="4"/>
      <c r="J126" s="4"/>
      <c r="K126" s="4">
        <f>SUMIF(基因升级!$D$141:$D$500,"&lt;"&amp;$B126,基因升级!J$141:J$500)</f>
        <v>2392</v>
      </c>
      <c r="L126" s="4">
        <f>SUMIF(基因升级!$D$141:$D$500,"&lt;"&amp;$B126,基因升级!K$141:K$500)</f>
        <v>0.95</v>
      </c>
      <c r="M126" s="4">
        <f>SUMIF(基因升级!$D$141:$D$500,"&lt;"&amp;$B126,基因升级!L$141:L$500)</f>
        <v>0.57</v>
      </c>
      <c r="N126" s="4">
        <f>SUMIF(基因升级!$D$141:$D$500,"&lt;"&amp;$B126,基因升级!M$141:M$500)</f>
        <v>0.038</v>
      </c>
      <c r="O126" s="4">
        <f>SUMIF(基因升级!$D$141:$D$500,"&lt;"&amp;$B126,基因升级!N$141:N$500)</f>
        <v>0.1425</v>
      </c>
      <c r="R126" s="4">
        <v>120</v>
      </c>
      <c r="S126" s="4">
        <f>SUMIF(基因升级!$D$141:$D$500,"&lt;="&amp;$R126,基因升级!$U$141:$U$500)</f>
        <v>0</v>
      </c>
      <c r="T126" s="4">
        <f>SUMIF(基因升级!$D$141:$D$500,"&lt;="&amp;$R126,基因升级!J$141:J$500)</f>
        <v>5664</v>
      </c>
      <c r="U126" s="4">
        <f>SUMIF(基因升级!$D$141:$D$500,"&lt;="&amp;$R126,基因升级!K$141:K$500)</f>
        <v>1.5</v>
      </c>
      <c r="V126" s="4">
        <f>SUMIF(基因升级!$D$141:$D$500,"&lt;="&amp;$R126,基因升级!L$141:L$500)</f>
        <v>0.900000000000001</v>
      </c>
      <c r="W126" s="4">
        <f>SUMIF(基因升级!$D$141:$D$500,"&lt;="&amp;$R126,基因升级!M$141:M$500)</f>
        <v>0.06</v>
      </c>
      <c r="X126" s="4">
        <f>SUMIF(基因升级!$D$141:$D$500,"&lt;="&amp;$R126,基因升级!N$141:N$500)</f>
        <v>0.225</v>
      </c>
    </row>
    <row r="127" ht="16.5" spans="1:24">
      <c r="A127" s="14">
        <v>121</v>
      </c>
      <c r="B127" s="4">
        <f>IFERROR(_xlfn.XLOOKUP(A127+1,基因升级!$E$141:$E$500,基因升级!$D$141:$D$500)-1,B126)</f>
        <v>77</v>
      </c>
      <c r="C127" s="4">
        <f>SUMIF(基因升级!$D$141:$D$500,"&lt;"&amp;$B127,基因升级!$U$141:$U$500)</f>
        <v>0</v>
      </c>
      <c r="D127" s="4"/>
      <c r="E127" s="4"/>
      <c r="F127" s="4"/>
      <c r="G127" s="4"/>
      <c r="H127" s="4"/>
      <c r="I127" s="4"/>
      <c r="J127" s="4"/>
      <c r="K127" s="4">
        <f>SUMIF(基因升级!$D$141:$D$500,"&lt;"&amp;$B127,基因升级!J$141:J$500)</f>
        <v>2392</v>
      </c>
      <c r="L127" s="4">
        <f>SUMIF(基因升级!$D$141:$D$500,"&lt;"&amp;$B127,基因升级!K$141:K$500)</f>
        <v>0.95</v>
      </c>
      <c r="M127" s="4">
        <f>SUMIF(基因升级!$D$141:$D$500,"&lt;"&amp;$B127,基因升级!L$141:L$500)</f>
        <v>0.57</v>
      </c>
      <c r="N127" s="4">
        <f>SUMIF(基因升级!$D$141:$D$500,"&lt;"&amp;$B127,基因升级!M$141:M$500)</f>
        <v>0.038</v>
      </c>
      <c r="O127" s="4">
        <f>SUMIF(基因升级!$D$141:$D$500,"&lt;"&amp;$B127,基因升级!N$141:N$500)</f>
        <v>0.1425</v>
      </c>
      <c r="R127" s="4">
        <v>121</v>
      </c>
      <c r="S127" s="4">
        <f>SUMIF(基因升级!$D$141:$D$500,"&lt;="&amp;$R127,基因升级!$U$141:$U$500)</f>
        <v>0</v>
      </c>
      <c r="T127" s="4">
        <f>SUMIF(基因升级!$D$141:$D$500,"&lt;="&amp;$R127,基因升级!J$141:J$500)</f>
        <v>5758</v>
      </c>
      <c r="U127" s="4">
        <f>SUMIF(基因升级!$D$141:$D$500,"&lt;="&amp;$R127,基因升级!K$141:K$500)</f>
        <v>1.55</v>
      </c>
      <c r="V127" s="4">
        <f>SUMIF(基因升级!$D$141:$D$500,"&lt;="&amp;$R127,基因升级!L$141:L$500)</f>
        <v>0.900000000000001</v>
      </c>
      <c r="W127" s="4">
        <f>SUMIF(基因升级!$D$141:$D$500,"&lt;="&amp;$R127,基因升级!M$141:M$500)</f>
        <v>0.06</v>
      </c>
      <c r="X127" s="4">
        <f>SUMIF(基因升级!$D$141:$D$500,"&lt;="&amp;$R127,基因升级!N$141:N$500)</f>
        <v>0.225</v>
      </c>
    </row>
    <row r="128" ht="16.5" spans="1:24">
      <c r="A128" s="14">
        <v>122</v>
      </c>
      <c r="B128" s="4">
        <f>IFERROR(_xlfn.XLOOKUP(A128+1,基因升级!$E$141:$E$500,基因升级!$D$141:$D$500)-1,B127)</f>
        <v>77</v>
      </c>
      <c r="C128" s="4">
        <f>SUMIF(基因升级!$D$141:$D$500,"&lt;"&amp;$B128,基因升级!$U$141:$U$500)</f>
        <v>0</v>
      </c>
      <c r="D128" s="4"/>
      <c r="E128" s="4"/>
      <c r="F128" s="4"/>
      <c r="G128" s="4"/>
      <c r="H128" s="4"/>
      <c r="I128" s="4"/>
      <c r="J128" s="4"/>
      <c r="K128" s="4">
        <f>SUMIF(基因升级!$D$141:$D$500,"&lt;"&amp;$B128,基因升级!J$141:J$500)</f>
        <v>2392</v>
      </c>
      <c r="L128" s="4">
        <f>SUMIF(基因升级!$D$141:$D$500,"&lt;"&amp;$B128,基因升级!K$141:K$500)</f>
        <v>0.95</v>
      </c>
      <c r="M128" s="4">
        <f>SUMIF(基因升级!$D$141:$D$500,"&lt;"&amp;$B128,基因升级!L$141:L$500)</f>
        <v>0.57</v>
      </c>
      <c r="N128" s="4">
        <f>SUMIF(基因升级!$D$141:$D$500,"&lt;"&amp;$B128,基因升级!M$141:M$500)</f>
        <v>0.038</v>
      </c>
      <c r="O128" s="4">
        <f>SUMIF(基因升级!$D$141:$D$500,"&lt;"&amp;$B128,基因升级!N$141:N$500)</f>
        <v>0.1425</v>
      </c>
      <c r="R128" s="4">
        <v>122</v>
      </c>
      <c r="S128" s="4">
        <f>SUMIF(基因升级!$D$141:$D$500,"&lt;="&amp;$R128,基因升级!$U$141:$U$500)</f>
        <v>0</v>
      </c>
      <c r="T128" s="4">
        <f>SUMIF(基因升级!$D$141:$D$500,"&lt;="&amp;$R128,基因升级!J$141:J$500)</f>
        <v>5852</v>
      </c>
      <c r="U128" s="4">
        <f>SUMIF(基因升级!$D$141:$D$500,"&lt;="&amp;$R128,基因升级!K$141:K$500)</f>
        <v>1.55</v>
      </c>
      <c r="V128" s="4">
        <f>SUMIF(基因升级!$D$141:$D$500,"&lt;="&amp;$R128,基因升级!L$141:L$500)</f>
        <v>0.900000000000001</v>
      </c>
      <c r="W128" s="4">
        <f>SUMIF(基因升级!$D$141:$D$500,"&lt;="&amp;$R128,基因升级!M$141:M$500)</f>
        <v>0.06</v>
      </c>
      <c r="X128" s="4">
        <f>SUMIF(基因升级!$D$141:$D$500,"&lt;="&amp;$R128,基因升级!N$141:N$500)</f>
        <v>0.2325</v>
      </c>
    </row>
    <row r="129" ht="16.5" spans="1:24">
      <c r="A129" s="14">
        <v>123</v>
      </c>
      <c r="B129" s="4">
        <f>IFERROR(_xlfn.XLOOKUP(A129+1,基因升级!$E$141:$E$500,基因升级!$D$141:$D$500)-1,B128)</f>
        <v>77</v>
      </c>
      <c r="C129" s="4">
        <f>SUMIF(基因升级!$D$141:$D$500,"&lt;"&amp;$B129,基因升级!$U$141:$U$500)</f>
        <v>0</v>
      </c>
      <c r="D129" s="4"/>
      <c r="E129" s="4"/>
      <c r="F129" s="4"/>
      <c r="G129" s="4"/>
      <c r="H129" s="4"/>
      <c r="I129" s="4"/>
      <c r="J129" s="4"/>
      <c r="K129" s="4">
        <f>SUMIF(基因升级!$D$141:$D$500,"&lt;"&amp;$B129,基因升级!J$141:J$500)</f>
        <v>2392</v>
      </c>
      <c r="L129" s="4">
        <f>SUMIF(基因升级!$D$141:$D$500,"&lt;"&amp;$B129,基因升级!K$141:K$500)</f>
        <v>0.95</v>
      </c>
      <c r="M129" s="4">
        <f>SUMIF(基因升级!$D$141:$D$500,"&lt;"&amp;$B129,基因升级!L$141:L$500)</f>
        <v>0.57</v>
      </c>
      <c r="N129" s="4">
        <f>SUMIF(基因升级!$D$141:$D$500,"&lt;"&amp;$B129,基因升级!M$141:M$500)</f>
        <v>0.038</v>
      </c>
      <c r="O129" s="4">
        <f>SUMIF(基因升级!$D$141:$D$500,"&lt;"&amp;$B129,基因升级!N$141:N$500)</f>
        <v>0.1425</v>
      </c>
      <c r="R129" s="4">
        <v>123</v>
      </c>
      <c r="S129" s="4">
        <f>SUMIF(基因升级!$D$141:$D$500,"&lt;="&amp;$R129,基因升级!$U$141:$U$500)</f>
        <v>0</v>
      </c>
      <c r="T129" s="4">
        <f>SUMIF(基因升级!$D$141:$D$500,"&lt;="&amp;$R129,基因升级!J$141:J$500)</f>
        <v>5946</v>
      </c>
      <c r="U129" s="4">
        <f>SUMIF(基因升级!$D$141:$D$500,"&lt;="&amp;$R129,基因升级!K$141:K$500)</f>
        <v>1.55</v>
      </c>
      <c r="V129" s="4">
        <f>SUMIF(基因升级!$D$141:$D$500,"&lt;="&amp;$R129,基因升级!L$141:L$500)</f>
        <v>0.900000000000001</v>
      </c>
      <c r="W129" s="4">
        <f>SUMIF(基因升级!$D$141:$D$500,"&lt;="&amp;$R129,基因升级!M$141:M$500)</f>
        <v>0.062</v>
      </c>
      <c r="X129" s="4">
        <f>SUMIF(基因升级!$D$141:$D$500,"&lt;="&amp;$R129,基因升级!N$141:N$500)</f>
        <v>0.2325</v>
      </c>
    </row>
    <row r="130" ht="16.5" spans="1:24">
      <c r="A130" s="14">
        <v>124</v>
      </c>
      <c r="B130" s="4">
        <f>IFERROR(_xlfn.XLOOKUP(A130+1,基因升级!$E$141:$E$500,基因升级!$D$141:$D$500)-1,B129)</f>
        <v>77</v>
      </c>
      <c r="C130" s="4">
        <f>SUMIF(基因升级!$D$141:$D$500,"&lt;"&amp;$B130,基因升级!$U$141:$U$500)</f>
        <v>0</v>
      </c>
      <c r="D130" s="4"/>
      <c r="E130" s="4"/>
      <c r="F130" s="4"/>
      <c r="G130" s="4"/>
      <c r="H130" s="4"/>
      <c r="I130" s="4"/>
      <c r="J130" s="4"/>
      <c r="K130" s="4">
        <f>SUMIF(基因升级!$D$141:$D$500,"&lt;"&amp;$B130,基因升级!J$141:J$500)</f>
        <v>2392</v>
      </c>
      <c r="L130" s="4">
        <f>SUMIF(基因升级!$D$141:$D$500,"&lt;"&amp;$B130,基因升级!K$141:K$500)</f>
        <v>0.95</v>
      </c>
      <c r="M130" s="4">
        <f>SUMIF(基因升级!$D$141:$D$500,"&lt;"&amp;$B130,基因升级!L$141:L$500)</f>
        <v>0.57</v>
      </c>
      <c r="N130" s="4">
        <f>SUMIF(基因升级!$D$141:$D$500,"&lt;"&amp;$B130,基因升级!M$141:M$500)</f>
        <v>0.038</v>
      </c>
      <c r="O130" s="4">
        <f>SUMIF(基因升级!$D$141:$D$500,"&lt;"&amp;$B130,基因升级!N$141:N$500)</f>
        <v>0.1425</v>
      </c>
      <c r="R130" s="4">
        <v>124</v>
      </c>
      <c r="S130" s="4">
        <f>SUMIF(基因升级!$D$141:$D$500,"&lt;="&amp;$R130,基因升级!$U$141:$U$500)</f>
        <v>0</v>
      </c>
      <c r="T130" s="4">
        <f>SUMIF(基因升级!$D$141:$D$500,"&lt;="&amp;$R130,基因升级!J$141:J$500)</f>
        <v>6040</v>
      </c>
      <c r="U130" s="4">
        <f>SUMIF(基因升级!$D$141:$D$500,"&lt;="&amp;$R130,基因升级!K$141:K$500)</f>
        <v>1.55</v>
      </c>
      <c r="V130" s="4">
        <f>SUMIF(基因升级!$D$141:$D$500,"&lt;="&amp;$R130,基因升级!L$141:L$500)</f>
        <v>0.930000000000001</v>
      </c>
      <c r="W130" s="4">
        <f>SUMIF(基因升级!$D$141:$D$500,"&lt;="&amp;$R130,基因升级!M$141:M$500)</f>
        <v>0.062</v>
      </c>
      <c r="X130" s="4">
        <f>SUMIF(基因升级!$D$141:$D$500,"&lt;="&amp;$R130,基因升级!N$141:N$500)</f>
        <v>0.2325</v>
      </c>
    </row>
    <row r="131" ht="16.5" spans="1:24">
      <c r="A131" s="14">
        <v>125</v>
      </c>
      <c r="B131" s="4">
        <f>IFERROR(_xlfn.XLOOKUP(A131+1,基因升级!$E$141:$E$500,基因升级!$D$141:$D$500)-1,B130)</f>
        <v>78</v>
      </c>
      <c r="C131" s="4">
        <f>SUMIF(基因升级!$D$141:$D$500,"&lt;"&amp;$B131,基因升级!$U$141:$U$500)</f>
        <v>0</v>
      </c>
      <c r="D131" s="4"/>
      <c r="E131" s="4"/>
      <c r="F131" s="4"/>
      <c r="G131" s="4"/>
      <c r="H131" s="4"/>
      <c r="I131" s="4"/>
      <c r="J131" s="4"/>
      <c r="K131" s="4">
        <f>SUMIF(基因升级!$D$141:$D$500,"&lt;"&amp;$B131,基因升级!J$141:J$500)</f>
        <v>2450</v>
      </c>
      <c r="L131" s="4">
        <f>SUMIF(基因升级!$D$141:$D$500,"&lt;"&amp;$B131,基因升级!K$141:K$500)</f>
        <v>1</v>
      </c>
      <c r="M131" s="4">
        <f>SUMIF(基因升级!$D$141:$D$500,"&lt;"&amp;$B131,基因升级!L$141:L$500)</f>
        <v>0.57</v>
      </c>
      <c r="N131" s="4">
        <f>SUMIF(基因升级!$D$141:$D$500,"&lt;"&amp;$B131,基因升级!M$141:M$500)</f>
        <v>0.038</v>
      </c>
      <c r="O131" s="4">
        <f>SUMIF(基因升级!$D$141:$D$500,"&lt;"&amp;$B131,基因升级!N$141:N$500)</f>
        <v>0.1425</v>
      </c>
      <c r="R131" s="4">
        <v>125</v>
      </c>
      <c r="S131" s="4">
        <f>SUMIF(基因升级!$D$141:$D$500,"&lt;="&amp;$R131,基因升级!$U$141:$U$500)</f>
        <v>0</v>
      </c>
      <c r="T131" s="4">
        <f>SUMIF(基因升级!$D$141:$D$500,"&lt;="&amp;$R131,基因升级!J$141:J$500)</f>
        <v>6134</v>
      </c>
      <c r="U131" s="4">
        <f>SUMIF(基因升级!$D$141:$D$500,"&lt;="&amp;$R131,基因升级!K$141:K$500)</f>
        <v>1.6</v>
      </c>
      <c r="V131" s="4">
        <f>SUMIF(基因升级!$D$141:$D$500,"&lt;="&amp;$R131,基因升级!L$141:L$500)</f>
        <v>0.930000000000001</v>
      </c>
      <c r="W131" s="4">
        <f>SUMIF(基因升级!$D$141:$D$500,"&lt;="&amp;$R131,基因升级!M$141:M$500)</f>
        <v>0.062</v>
      </c>
      <c r="X131" s="4">
        <f>SUMIF(基因升级!$D$141:$D$500,"&lt;="&amp;$R131,基因升级!N$141:N$500)</f>
        <v>0.2325</v>
      </c>
    </row>
    <row r="132" ht="16.5" spans="1:24">
      <c r="A132" s="14">
        <v>126</v>
      </c>
      <c r="B132" s="4">
        <f>IFERROR(_xlfn.XLOOKUP(A132+1,基因升级!$E$141:$E$500,基因升级!$D$141:$D$500)-1,B131)</f>
        <v>78</v>
      </c>
      <c r="C132" s="4">
        <f>SUMIF(基因升级!$D$141:$D$500,"&lt;"&amp;$B132,基因升级!$U$141:$U$500)</f>
        <v>0</v>
      </c>
      <c r="D132" s="4"/>
      <c r="E132" s="4"/>
      <c r="F132" s="4"/>
      <c r="G132" s="4"/>
      <c r="H132" s="4"/>
      <c r="I132" s="4"/>
      <c r="J132" s="4"/>
      <c r="K132" s="4">
        <f>SUMIF(基因升级!$D$141:$D$500,"&lt;"&amp;$B132,基因升级!J$141:J$500)</f>
        <v>2450</v>
      </c>
      <c r="L132" s="4">
        <f>SUMIF(基因升级!$D$141:$D$500,"&lt;"&amp;$B132,基因升级!K$141:K$500)</f>
        <v>1</v>
      </c>
      <c r="M132" s="4">
        <f>SUMIF(基因升级!$D$141:$D$500,"&lt;"&amp;$B132,基因升级!L$141:L$500)</f>
        <v>0.57</v>
      </c>
      <c r="N132" s="4">
        <f>SUMIF(基因升级!$D$141:$D$500,"&lt;"&amp;$B132,基因升级!M$141:M$500)</f>
        <v>0.038</v>
      </c>
      <c r="O132" s="4">
        <f>SUMIF(基因升级!$D$141:$D$500,"&lt;"&amp;$B132,基因升级!N$141:N$500)</f>
        <v>0.1425</v>
      </c>
      <c r="R132" s="4">
        <v>126</v>
      </c>
      <c r="S132" s="4">
        <f>SUMIF(基因升级!$D$141:$D$500,"&lt;="&amp;$R132,基因升级!$U$141:$U$500)</f>
        <v>0</v>
      </c>
      <c r="T132" s="4">
        <f>SUMIF(基因升级!$D$141:$D$500,"&lt;="&amp;$R132,基因升级!J$141:J$500)</f>
        <v>6228</v>
      </c>
      <c r="U132" s="4">
        <f>SUMIF(基因升级!$D$141:$D$500,"&lt;="&amp;$R132,基因升级!K$141:K$500)</f>
        <v>1.6</v>
      </c>
      <c r="V132" s="4">
        <f>SUMIF(基因升级!$D$141:$D$500,"&lt;="&amp;$R132,基因升级!L$141:L$500)</f>
        <v>0.930000000000001</v>
      </c>
      <c r="W132" s="4">
        <f>SUMIF(基因升级!$D$141:$D$500,"&lt;="&amp;$R132,基因升级!M$141:M$500)</f>
        <v>0.062</v>
      </c>
      <c r="X132" s="4">
        <f>SUMIF(基因升级!$D$141:$D$500,"&lt;="&amp;$R132,基因升级!N$141:N$500)</f>
        <v>0.24</v>
      </c>
    </row>
    <row r="133" ht="16.5" spans="1:24">
      <c r="A133" s="14">
        <v>127</v>
      </c>
      <c r="B133" s="4">
        <f>IFERROR(_xlfn.XLOOKUP(A133+1,基因升级!$E$141:$E$500,基因升级!$D$141:$D$500)-1,B132)</f>
        <v>78</v>
      </c>
      <c r="C133" s="4">
        <f>SUMIF(基因升级!$D$141:$D$500,"&lt;"&amp;$B133,基因升级!$U$141:$U$500)</f>
        <v>0</v>
      </c>
      <c r="D133" s="4"/>
      <c r="E133" s="4"/>
      <c r="F133" s="4"/>
      <c r="G133" s="4"/>
      <c r="H133" s="4"/>
      <c r="I133" s="4"/>
      <c r="J133" s="4"/>
      <c r="K133" s="4">
        <f>SUMIF(基因升级!$D$141:$D$500,"&lt;"&amp;$B133,基因升级!J$141:J$500)</f>
        <v>2450</v>
      </c>
      <c r="L133" s="4">
        <f>SUMIF(基因升级!$D$141:$D$500,"&lt;"&amp;$B133,基因升级!K$141:K$500)</f>
        <v>1</v>
      </c>
      <c r="M133" s="4">
        <f>SUMIF(基因升级!$D$141:$D$500,"&lt;"&amp;$B133,基因升级!L$141:L$500)</f>
        <v>0.57</v>
      </c>
      <c r="N133" s="4">
        <f>SUMIF(基因升级!$D$141:$D$500,"&lt;"&amp;$B133,基因升级!M$141:M$500)</f>
        <v>0.038</v>
      </c>
      <c r="O133" s="4">
        <f>SUMIF(基因升级!$D$141:$D$500,"&lt;"&amp;$B133,基因升级!N$141:N$500)</f>
        <v>0.1425</v>
      </c>
      <c r="R133" s="4">
        <v>127</v>
      </c>
      <c r="S133" s="4">
        <f>SUMIF(基因升级!$D$141:$D$500,"&lt;="&amp;$R133,基因升级!$U$141:$U$500)</f>
        <v>0</v>
      </c>
      <c r="T133" s="4">
        <f>SUMIF(基因升级!$D$141:$D$500,"&lt;="&amp;$R133,基因升级!J$141:J$500)</f>
        <v>6322</v>
      </c>
      <c r="U133" s="4">
        <f>SUMIF(基因升级!$D$141:$D$500,"&lt;="&amp;$R133,基因升级!K$141:K$500)</f>
        <v>1.6</v>
      </c>
      <c r="V133" s="4">
        <f>SUMIF(基因升级!$D$141:$D$500,"&lt;="&amp;$R133,基因升级!L$141:L$500)</f>
        <v>0.930000000000001</v>
      </c>
      <c r="W133" s="4">
        <f>SUMIF(基因升级!$D$141:$D$500,"&lt;="&amp;$R133,基因升级!M$141:M$500)</f>
        <v>0.064</v>
      </c>
      <c r="X133" s="4">
        <f>SUMIF(基因升级!$D$141:$D$500,"&lt;="&amp;$R133,基因升级!N$141:N$500)</f>
        <v>0.24</v>
      </c>
    </row>
    <row r="134" ht="16.5" spans="1:24">
      <c r="A134" s="14">
        <v>128</v>
      </c>
      <c r="B134" s="4">
        <f>IFERROR(_xlfn.XLOOKUP(A134+1,基因升级!$E$141:$E$500,基因升级!$D$141:$D$500)-1,B133)</f>
        <v>78</v>
      </c>
      <c r="C134" s="4">
        <f>SUMIF(基因升级!$D$141:$D$500,"&lt;"&amp;$B134,基因升级!$U$141:$U$500)</f>
        <v>0</v>
      </c>
      <c r="D134" s="4"/>
      <c r="E134" s="4"/>
      <c r="F134" s="4"/>
      <c r="G134" s="4"/>
      <c r="H134" s="4"/>
      <c r="I134" s="4"/>
      <c r="J134" s="4"/>
      <c r="K134" s="4">
        <f>SUMIF(基因升级!$D$141:$D$500,"&lt;"&amp;$B134,基因升级!J$141:J$500)</f>
        <v>2450</v>
      </c>
      <c r="L134" s="4">
        <f>SUMIF(基因升级!$D$141:$D$500,"&lt;"&amp;$B134,基因升级!K$141:K$500)</f>
        <v>1</v>
      </c>
      <c r="M134" s="4">
        <f>SUMIF(基因升级!$D$141:$D$500,"&lt;"&amp;$B134,基因升级!L$141:L$500)</f>
        <v>0.57</v>
      </c>
      <c r="N134" s="4">
        <f>SUMIF(基因升级!$D$141:$D$500,"&lt;"&amp;$B134,基因升级!M$141:M$500)</f>
        <v>0.038</v>
      </c>
      <c r="O134" s="4">
        <f>SUMIF(基因升级!$D$141:$D$500,"&lt;"&amp;$B134,基因升级!N$141:N$500)</f>
        <v>0.1425</v>
      </c>
      <c r="R134" s="4">
        <v>128</v>
      </c>
      <c r="S134" s="4">
        <f>SUMIF(基因升级!$D$141:$D$500,"&lt;="&amp;$R134,基因升级!$U$141:$U$500)</f>
        <v>0</v>
      </c>
      <c r="T134" s="4">
        <f>SUMIF(基因升级!$D$141:$D$500,"&lt;="&amp;$R134,基因升级!J$141:J$500)</f>
        <v>6416</v>
      </c>
      <c r="U134" s="4">
        <f>SUMIF(基因升级!$D$141:$D$500,"&lt;="&amp;$R134,基因升级!K$141:K$500)</f>
        <v>1.6</v>
      </c>
      <c r="V134" s="4">
        <f>SUMIF(基因升级!$D$141:$D$500,"&lt;="&amp;$R134,基因升级!L$141:L$500)</f>
        <v>0.960000000000001</v>
      </c>
      <c r="W134" s="4">
        <f>SUMIF(基因升级!$D$141:$D$500,"&lt;="&amp;$R134,基因升级!M$141:M$500)</f>
        <v>0.064</v>
      </c>
      <c r="X134" s="4">
        <f>SUMIF(基因升级!$D$141:$D$500,"&lt;="&amp;$R134,基因升级!N$141:N$500)</f>
        <v>0.24</v>
      </c>
    </row>
    <row r="135" ht="16.5" spans="1:24">
      <c r="A135" s="14">
        <v>129</v>
      </c>
      <c r="B135" s="4">
        <f>IFERROR(_xlfn.XLOOKUP(A135+1,基因升级!$E$141:$E$500,基因升级!$D$141:$D$500)-1,B134)</f>
        <v>78</v>
      </c>
      <c r="C135" s="4">
        <f>SUMIF(基因升级!$D$141:$D$500,"&lt;"&amp;$B135,基因升级!$U$141:$U$500)</f>
        <v>0</v>
      </c>
      <c r="D135" s="4"/>
      <c r="E135" s="4"/>
      <c r="F135" s="4"/>
      <c r="G135" s="4"/>
      <c r="H135" s="4"/>
      <c r="I135" s="4"/>
      <c r="J135" s="4"/>
      <c r="K135" s="4">
        <f>SUMIF(基因升级!$D$141:$D$500,"&lt;"&amp;$B135,基因升级!J$141:J$500)</f>
        <v>2450</v>
      </c>
      <c r="L135" s="4">
        <f>SUMIF(基因升级!$D$141:$D$500,"&lt;"&amp;$B135,基因升级!K$141:K$500)</f>
        <v>1</v>
      </c>
      <c r="M135" s="4">
        <f>SUMIF(基因升级!$D$141:$D$500,"&lt;"&amp;$B135,基因升级!L$141:L$500)</f>
        <v>0.57</v>
      </c>
      <c r="N135" s="4">
        <f>SUMIF(基因升级!$D$141:$D$500,"&lt;"&amp;$B135,基因升级!M$141:M$500)</f>
        <v>0.038</v>
      </c>
      <c r="O135" s="4">
        <f>SUMIF(基因升级!$D$141:$D$500,"&lt;"&amp;$B135,基因升级!N$141:N$500)</f>
        <v>0.1425</v>
      </c>
      <c r="R135" s="4">
        <v>129</v>
      </c>
      <c r="S135" s="4">
        <f>SUMIF(基因升级!$D$141:$D$500,"&lt;="&amp;$R135,基因升级!$U$141:$U$500)</f>
        <v>0</v>
      </c>
      <c r="T135" s="4">
        <f>SUMIF(基因升级!$D$141:$D$500,"&lt;="&amp;$R135,基因升级!J$141:J$500)</f>
        <v>6510</v>
      </c>
      <c r="U135" s="4">
        <f>SUMIF(基因升级!$D$141:$D$500,"&lt;="&amp;$R135,基因升级!K$141:K$500)</f>
        <v>1.65</v>
      </c>
      <c r="V135" s="4">
        <f>SUMIF(基因升级!$D$141:$D$500,"&lt;="&amp;$R135,基因升级!L$141:L$500)</f>
        <v>0.960000000000001</v>
      </c>
      <c r="W135" s="4">
        <f>SUMIF(基因升级!$D$141:$D$500,"&lt;="&amp;$R135,基因升级!M$141:M$500)</f>
        <v>0.064</v>
      </c>
      <c r="X135" s="4">
        <f>SUMIF(基因升级!$D$141:$D$500,"&lt;="&amp;$R135,基因升级!N$141:N$500)</f>
        <v>0.24</v>
      </c>
    </row>
    <row r="136" ht="16.5" spans="1:24">
      <c r="A136" s="14">
        <v>130</v>
      </c>
      <c r="B136" s="4">
        <f>IFERROR(_xlfn.XLOOKUP(A136+1,基因升级!$E$141:$E$500,基因升级!$D$141:$D$500)-1,B135)</f>
        <v>79</v>
      </c>
      <c r="C136" s="4">
        <f>SUMIF(基因升级!$D$141:$D$500,"&lt;"&amp;$B136,基因升级!$U$141:$U$500)</f>
        <v>0</v>
      </c>
      <c r="D136" s="4"/>
      <c r="E136" s="4"/>
      <c r="F136" s="4"/>
      <c r="G136" s="4"/>
      <c r="H136" s="4"/>
      <c r="I136" s="4"/>
      <c r="J136" s="4"/>
      <c r="K136" s="4">
        <f>SUMIF(基因升级!$D$141:$D$500,"&lt;"&amp;$B136,基因升级!J$141:J$500)</f>
        <v>2508</v>
      </c>
      <c r="L136" s="4">
        <f>SUMIF(基因升级!$D$141:$D$500,"&lt;"&amp;$B136,基因升级!K$141:K$500)</f>
        <v>1</v>
      </c>
      <c r="M136" s="4">
        <f>SUMIF(基因升级!$D$141:$D$500,"&lt;"&amp;$B136,基因升级!L$141:L$500)</f>
        <v>0.57</v>
      </c>
      <c r="N136" s="4">
        <f>SUMIF(基因升级!$D$141:$D$500,"&lt;"&amp;$B136,基因升级!M$141:M$500)</f>
        <v>0.038</v>
      </c>
      <c r="O136" s="4">
        <f>SUMIF(基因升级!$D$141:$D$500,"&lt;"&amp;$B136,基因升级!N$141:N$500)</f>
        <v>0.15</v>
      </c>
      <c r="R136" s="4">
        <v>130</v>
      </c>
      <c r="S136" s="4">
        <f>SUMIF(基因升级!$D$141:$D$500,"&lt;="&amp;$R136,基因升级!$U$141:$U$500)</f>
        <v>0</v>
      </c>
      <c r="T136" s="4">
        <f>SUMIF(基因升级!$D$141:$D$500,"&lt;="&amp;$R136,基因升级!J$141:J$500)</f>
        <v>6604</v>
      </c>
      <c r="U136" s="4">
        <f>SUMIF(基因升级!$D$141:$D$500,"&lt;="&amp;$R136,基因升级!K$141:K$500)</f>
        <v>1.65</v>
      </c>
      <c r="V136" s="4">
        <f>SUMIF(基因升级!$D$141:$D$500,"&lt;="&amp;$R136,基因升级!L$141:L$500)</f>
        <v>0.960000000000001</v>
      </c>
      <c r="W136" s="4">
        <f>SUMIF(基因升级!$D$141:$D$500,"&lt;="&amp;$R136,基因升级!M$141:M$500)</f>
        <v>0.064</v>
      </c>
      <c r="X136" s="4">
        <f>SUMIF(基因升级!$D$141:$D$500,"&lt;="&amp;$R136,基因升级!N$141:N$500)</f>
        <v>0.2475</v>
      </c>
    </row>
    <row r="137" ht="16.5" spans="1:24">
      <c r="A137" s="14">
        <v>131</v>
      </c>
      <c r="B137" s="4">
        <f>IFERROR(_xlfn.XLOOKUP(A137+1,基因升级!$E$141:$E$500,基因升级!$D$141:$D$500)-1,B136)</f>
        <v>79</v>
      </c>
      <c r="C137" s="4">
        <f>SUMIF(基因升级!$D$141:$D$500,"&lt;"&amp;$B137,基因升级!$U$141:$U$500)</f>
        <v>0</v>
      </c>
      <c r="D137" s="4"/>
      <c r="E137" s="4"/>
      <c r="F137" s="4"/>
      <c r="G137" s="4"/>
      <c r="H137" s="4"/>
      <c r="I137" s="4"/>
      <c r="J137" s="4"/>
      <c r="K137" s="4">
        <f>SUMIF(基因升级!$D$141:$D$500,"&lt;"&amp;$B137,基因升级!J$141:J$500)</f>
        <v>2508</v>
      </c>
      <c r="L137" s="4">
        <f>SUMIF(基因升级!$D$141:$D$500,"&lt;"&amp;$B137,基因升级!K$141:K$500)</f>
        <v>1</v>
      </c>
      <c r="M137" s="4">
        <f>SUMIF(基因升级!$D$141:$D$500,"&lt;"&amp;$B137,基因升级!L$141:L$500)</f>
        <v>0.57</v>
      </c>
      <c r="N137" s="4">
        <f>SUMIF(基因升级!$D$141:$D$500,"&lt;"&amp;$B137,基因升级!M$141:M$500)</f>
        <v>0.038</v>
      </c>
      <c r="O137" s="4">
        <f>SUMIF(基因升级!$D$141:$D$500,"&lt;"&amp;$B137,基因升级!N$141:N$500)</f>
        <v>0.15</v>
      </c>
      <c r="R137" s="4">
        <v>131</v>
      </c>
      <c r="S137" s="4">
        <f>SUMIF(基因升级!$D$141:$D$500,"&lt;="&amp;$R137,基因升级!$U$141:$U$500)</f>
        <v>0</v>
      </c>
      <c r="T137" s="4">
        <f>SUMIF(基因升级!$D$141:$D$500,"&lt;="&amp;$R137,基因升级!J$141:J$500)</f>
        <v>6698</v>
      </c>
      <c r="U137" s="4">
        <f>SUMIF(基因升级!$D$141:$D$500,"&lt;="&amp;$R137,基因升级!K$141:K$500)</f>
        <v>1.65</v>
      </c>
      <c r="V137" s="4">
        <f>SUMIF(基因升级!$D$141:$D$500,"&lt;="&amp;$R137,基因升级!L$141:L$500)</f>
        <v>0.960000000000001</v>
      </c>
      <c r="W137" s="4">
        <f>SUMIF(基因升级!$D$141:$D$500,"&lt;="&amp;$R137,基因升级!M$141:M$500)</f>
        <v>0.066</v>
      </c>
      <c r="X137" s="4">
        <f>SUMIF(基因升级!$D$141:$D$500,"&lt;="&amp;$R137,基因升级!N$141:N$500)</f>
        <v>0.2475</v>
      </c>
    </row>
    <row r="138" ht="16.5" spans="1:24">
      <c r="A138" s="14">
        <v>132</v>
      </c>
      <c r="B138" s="4">
        <f>IFERROR(_xlfn.XLOOKUP(A138+1,基因升级!$E$141:$E$500,基因升级!$D$141:$D$500)-1,B137)</f>
        <v>79</v>
      </c>
      <c r="C138" s="4">
        <f>SUMIF(基因升级!$D$141:$D$500,"&lt;"&amp;$B138,基因升级!$U$141:$U$500)</f>
        <v>0</v>
      </c>
      <c r="D138" s="4"/>
      <c r="E138" s="4"/>
      <c r="F138" s="4"/>
      <c r="G138" s="4"/>
      <c r="H138" s="4"/>
      <c r="I138" s="4"/>
      <c r="J138" s="4"/>
      <c r="K138" s="4">
        <f>SUMIF(基因升级!$D$141:$D$500,"&lt;"&amp;$B138,基因升级!J$141:J$500)</f>
        <v>2508</v>
      </c>
      <c r="L138" s="4">
        <f>SUMIF(基因升级!$D$141:$D$500,"&lt;"&amp;$B138,基因升级!K$141:K$500)</f>
        <v>1</v>
      </c>
      <c r="M138" s="4">
        <f>SUMIF(基因升级!$D$141:$D$500,"&lt;"&amp;$B138,基因升级!L$141:L$500)</f>
        <v>0.57</v>
      </c>
      <c r="N138" s="4">
        <f>SUMIF(基因升级!$D$141:$D$500,"&lt;"&amp;$B138,基因升级!M$141:M$500)</f>
        <v>0.038</v>
      </c>
      <c r="O138" s="4">
        <f>SUMIF(基因升级!$D$141:$D$500,"&lt;"&amp;$B138,基因升级!N$141:N$500)</f>
        <v>0.15</v>
      </c>
      <c r="R138" s="4">
        <v>132</v>
      </c>
      <c r="S138" s="4">
        <f>SUMIF(基因升级!$D$141:$D$500,"&lt;="&amp;$R138,基因升级!$U$141:$U$500)</f>
        <v>0</v>
      </c>
      <c r="T138" s="4">
        <f>SUMIF(基因升级!$D$141:$D$500,"&lt;="&amp;$R138,基因升级!J$141:J$500)</f>
        <v>6792</v>
      </c>
      <c r="U138" s="4">
        <f>SUMIF(基因升级!$D$141:$D$500,"&lt;="&amp;$R138,基因升级!K$141:K$500)</f>
        <v>1.65</v>
      </c>
      <c r="V138" s="4">
        <f>SUMIF(基因升级!$D$141:$D$500,"&lt;="&amp;$R138,基因升级!L$141:L$500)</f>
        <v>0.990000000000001</v>
      </c>
      <c r="W138" s="4">
        <f>SUMIF(基因升级!$D$141:$D$500,"&lt;="&amp;$R138,基因升级!M$141:M$500)</f>
        <v>0.066</v>
      </c>
      <c r="X138" s="4">
        <f>SUMIF(基因升级!$D$141:$D$500,"&lt;="&amp;$R138,基因升级!N$141:N$500)</f>
        <v>0.2475</v>
      </c>
    </row>
    <row r="139" ht="16.5" spans="1:24">
      <c r="A139" s="14">
        <v>133</v>
      </c>
      <c r="B139" s="4">
        <f>IFERROR(_xlfn.XLOOKUP(A139+1,基因升级!$E$141:$E$500,基因升级!$D$141:$D$500)-1,B138)</f>
        <v>79</v>
      </c>
      <c r="C139" s="4">
        <f>SUMIF(基因升级!$D$141:$D$500,"&lt;"&amp;$B139,基因升级!$U$141:$U$500)</f>
        <v>0</v>
      </c>
      <c r="D139" s="4"/>
      <c r="E139" s="4"/>
      <c r="F139" s="4"/>
      <c r="G139" s="4"/>
      <c r="H139" s="4"/>
      <c r="I139" s="4"/>
      <c r="J139" s="4"/>
      <c r="K139" s="4">
        <f>SUMIF(基因升级!$D$141:$D$500,"&lt;"&amp;$B139,基因升级!J$141:J$500)</f>
        <v>2508</v>
      </c>
      <c r="L139" s="4">
        <f>SUMIF(基因升级!$D$141:$D$500,"&lt;"&amp;$B139,基因升级!K$141:K$500)</f>
        <v>1</v>
      </c>
      <c r="M139" s="4">
        <f>SUMIF(基因升级!$D$141:$D$500,"&lt;"&amp;$B139,基因升级!L$141:L$500)</f>
        <v>0.57</v>
      </c>
      <c r="N139" s="4">
        <f>SUMIF(基因升级!$D$141:$D$500,"&lt;"&amp;$B139,基因升级!M$141:M$500)</f>
        <v>0.038</v>
      </c>
      <c r="O139" s="4">
        <f>SUMIF(基因升级!$D$141:$D$500,"&lt;"&amp;$B139,基因升级!N$141:N$500)</f>
        <v>0.15</v>
      </c>
      <c r="R139" s="4">
        <v>133</v>
      </c>
      <c r="S139" s="4">
        <f>SUMIF(基因升级!$D$141:$D$500,"&lt;="&amp;$R139,基因升级!$U$141:$U$500)</f>
        <v>0</v>
      </c>
      <c r="T139" s="4">
        <f>SUMIF(基因升级!$D$141:$D$500,"&lt;="&amp;$R139,基因升级!J$141:J$500)</f>
        <v>6886</v>
      </c>
      <c r="U139" s="4">
        <f>SUMIF(基因升级!$D$141:$D$500,"&lt;="&amp;$R139,基因升级!K$141:K$500)</f>
        <v>1.7</v>
      </c>
      <c r="V139" s="4">
        <f>SUMIF(基因升级!$D$141:$D$500,"&lt;="&amp;$R139,基因升级!L$141:L$500)</f>
        <v>0.990000000000001</v>
      </c>
      <c r="W139" s="4">
        <f>SUMIF(基因升级!$D$141:$D$500,"&lt;="&amp;$R139,基因升级!M$141:M$500)</f>
        <v>0.066</v>
      </c>
      <c r="X139" s="4">
        <f>SUMIF(基因升级!$D$141:$D$500,"&lt;="&amp;$R139,基因升级!N$141:N$500)</f>
        <v>0.2475</v>
      </c>
    </row>
    <row r="140" ht="16.5" spans="1:24">
      <c r="A140" s="14">
        <v>134</v>
      </c>
      <c r="B140" s="4">
        <f>IFERROR(_xlfn.XLOOKUP(A140+1,基因升级!$E$141:$E$500,基因升级!$D$141:$D$500)-1,B139)</f>
        <v>79</v>
      </c>
      <c r="C140" s="4">
        <f>SUMIF(基因升级!$D$141:$D$500,"&lt;"&amp;$B140,基因升级!$U$141:$U$500)</f>
        <v>0</v>
      </c>
      <c r="D140" s="4"/>
      <c r="E140" s="4"/>
      <c r="F140" s="4"/>
      <c r="G140" s="4"/>
      <c r="H140" s="4"/>
      <c r="I140" s="4"/>
      <c r="J140" s="4"/>
      <c r="K140" s="4">
        <f>SUMIF(基因升级!$D$141:$D$500,"&lt;"&amp;$B140,基因升级!J$141:J$500)</f>
        <v>2508</v>
      </c>
      <c r="L140" s="4">
        <f>SUMIF(基因升级!$D$141:$D$500,"&lt;"&amp;$B140,基因升级!K$141:K$500)</f>
        <v>1</v>
      </c>
      <c r="M140" s="4">
        <f>SUMIF(基因升级!$D$141:$D$500,"&lt;"&amp;$B140,基因升级!L$141:L$500)</f>
        <v>0.57</v>
      </c>
      <c r="N140" s="4">
        <f>SUMIF(基因升级!$D$141:$D$500,"&lt;"&amp;$B140,基因升级!M$141:M$500)</f>
        <v>0.038</v>
      </c>
      <c r="O140" s="4">
        <f>SUMIF(基因升级!$D$141:$D$500,"&lt;"&amp;$B140,基因升级!N$141:N$500)</f>
        <v>0.15</v>
      </c>
      <c r="R140" s="4">
        <v>134</v>
      </c>
      <c r="S140" s="4">
        <f>SUMIF(基因升级!$D$141:$D$500,"&lt;="&amp;$R140,基因升级!$U$141:$U$500)</f>
        <v>0</v>
      </c>
      <c r="T140" s="4">
        <f>SUMIF(基因升级!$D$141:$D$500,"&lt;="&amp;$R140,基因升级!J$141:J$500)</f>
        <v>6980</v>
      </c>
      <c r="U140" s="4">
        <f>SUMIF(基因升级!$D$141:$D$500,"&lt;="&amp;$R140,基因升级!K$141:K$500)</f>
        <v>1.7</v>
      </c>
      <c r="V140" s="4">
        <f>SUMIF(基因升级!$D$141:$D$500,"&lt;="&amp;$R140,基因升级!L$141:L$500)</f>
        <v>0.990000000000001</v>
      </c>
      <c r="W140" s="4">
        <f>SUMIF(基因升级!$D$141:$D$500,"&lt;="&amp;$R140,基因升级!M$141:M$500)</f>
        <v>0.066</v>
      </c>
      <c r="X140" s="4">
        <f>SUMIF(基因升级!$D$141:$D$500,"&lt;="&amp;$R140,基因升级!N$141:N$500)</f>
        <v>0.255</v>
      </c>
    </row>
    <row r="141" ht="16.5" spans="1:24">
      <c r="A141" s="14">
        <v>135</v>
      </c>
      <c r="B141" s="4">
        <f>IFERROR(_xlfn.XLOOKUP(A141+1,基因升级!$E$141:$E$500,基因升级!$D$141:$D$500)-1,B140)</f>
        <v>79</v>
      </c>
      <c r="C141" s="4">
        <f>SUMIF(基因升级!$D$141:$D$500,"&lt;"&amp;$B141,基因升级!$U$141:$U$500)</f>
        <v>0</v>
      </c>
      <c r="D141" s="4"/>
      <c r="E141" s="4"/>
      <c r="F141" s="4"/>
      <c r="G141" s="4"/>
      <c r="H141" s="4"/>
      <c r="I141" s="4"/>
      <c r="J141" s="4"/>
      <c r="K141" s="4">
        <f>SUMIF(基因升级!$D$141:$D$500,"&lt;"&amp;$B141,基因升级!J$141:J$500)</f>
        <v>2508</v>
      </c>
      <c r="L141" s="4">
        <f>SUMIF(基因升级!$D$141:$D$500,"&lt;"&amp;$B141,基因升级!K$141:K$500)</f>
        <v>1</v>
      </c>
      <c r="M141" s="4">
        <f>SUMIF(基因升级!$D$141:$D$500,"&lt;"&amp;$B141,基因升级!L$141:L$500)</f>
        <v>0.57</v>
      </c>
      <c r="N141" s="4">
        <f>SUMIF(基因升级!$D$141:$D$500,"&lt;"&amp;$B141,基因升级!M$141:M$500)</f>
        <v>0.038</v>
      </c>
      <c r="O141" s="4">
        <f>SUMIF(基因升级!$D$141:$D$500,"&lt;"&amp;$B141,基因升级!N$141:N$500)</f>
        <v>0.15</v>
      </c>
      <c r="R141" s="4">
        <v>135</v>
      </c>
      <c r="S141" s="4">
        <f>SUMIF(基因升级!$D$141:$D$500,"&lt;="&amp;$R141,基因升级!$U$141:$U$500)</f>
        <v>0</v>
      </c>
      <c r="T141" s="4">
        <f>SUMIF(基因升级!$D$141:$D$500,"&lt;="&amp;$R141,基因升级!J$141:J$500)</f>
        <v>7074</v>
      </c>
      <c r="U141" s="4">
        <f>SUMIF(基因升级!$D$141:$D$500,"&lt;="&amp;$R141,基因升级!K$141:K$500)</f>
        <v>1.7</v>
      </c>
      <c r="V141" s="4">
        <f>SUMIF(基因升级!$D$141:$D$500,"&lt;="&amp;$R141,基因升级!L$141:L$500)</f>
        <v>0.990000000000001</v>
      </c>
      <c r="W141" s="4">
        <f>SUMIF(基因升级!$D$141:$D$500,"&lt;="&amp;$R141,基因升级!M$141:M$500)</f>
        <v>0.068</v>
      </c>
      <c r="X141" s="4">
        <f>SUMIF(基因升级!$D$141:$D$500,"&lt;="&amp;$R141,基因升级!N$141:N$500)</f>
        <v>0.255</v>
      </c>
    </row>
    <row r="142" ht="16.5" spans="1:24">
      <c r="A142" s="14">
        <v>136</v>
      </c>
      <c r="B142" s="4">
        <f>IFERROR(_xlfn.XLOOKUP(A142+1,基因升级!$E$141:$E$500,基因升级!$D$141:$D$500)-1,B141)</f>
        <v>79</v>
      </c>
      <c r="C142" s="4">
        <f>SUMIF(基因升级!$D$141:$D$500,"&lt;"&amp;$B142,基因升级!$U$141:$U$500)</f>
        <v>0</v>
      </c>
      <c r="D142" s="4"/>
      <c r="E142" s="4"/>
      <c r="F142" s="4"/>
      <c r="G142" s="4"/>
      <c r="H142" s="4"/>
      <c r="I142" s="4"/>
      <c r="J142" s="4"/>
      <c r="K142" s="4">
        <f>SUMIF(基因升级!$D$141:$D$500,"&lt;"&amp;$B142,基因升级!J$141:J$500)</f>
        <v>2508</v>
      </c>
      <c r="L142" s="4">
        <f>SUMIF(基因升级!$D$141:$D$500,"&lt;"&amp;$B142,基因升级!K$141:K$500)</f>
        <v>1</v>
      </c>
      <c r="M142" s="4">
        <f>SUMIF(基因升级!$D$141:$D$500,"&lt;"&amp;$B142,基因升级!L$141:L$500)</f>
        <v>0.57</v>
      </c>
      <c r="N142" s="4">
        <f>SUMIF(基因升级!$D$141:$D$500,"&lt;"&amp;$B142,基因升级!M$141:M$500)</f>
        <v>0.038</v>
      </c>
      <c r="O142" s="4">
        <f>SUMIF(基因升级!$D$141:$D$500,"&lt;"&amp;$B142,基因升级!N$141:N$500)</f>
        <v>0.15</v>
      </c>
      <c r="R142" s="4">
        <v>136</v>
      </c>
      <c r="S142" s="4">
        <f>SUMIF(基因升级!$D$141:$D$500,"&lt;="&amp;$R142,基因升级!$U$141:$U$500)</f>
        <v>0</v>
      </c>
      <c r="T142" s="4">
        <f>SUMIF(基因升级!$D$141:$D$500,"&lt;="&amp;$R142,基因升级!J$141:J$500)</f>
        <v>7168</v>
      </c>
      <c r="U142" s="4">
        <f>SUMIF(基因升级!$D$141:$D$500,"&lt;="&amp;$R142,基因升级!K$141:K$500)</f>
        <v>1.7</v>
      </c>
      <c r="V142" s="4">
        <f>SUMIF(基因升级!$D$141:$D$500,"&lt;="&amp;$R142,基因升级!L$141:L$500)</f>
        <v>1.02</v>
      </c>
      <c r="W142" s="4">
        <f>SUMIF(基因升级!$D$141:$D$500,"&lt;="&amp;$R142,基因升级!M$141:M$500)</f>
        <v>0.068</v>
      </c>
      <c r="X142" s="4">
        <f>SUMIF(基因升级!$D$141:$D$500,"&lt;="&amp;$R142,基因升级!N$141:N$500)</f>
        <v>0.255</v>
      </c>
    </row>
    <row r="143" ht="16.5" spans="1:24">
      <c r="A143" s="14">
        <v>137</v>
      </c>
      <c r="B143" s="4">
        <f>IFERROR(_xlfn.XLOOKUP(A143+1,基因升级!$E$141:$E$500,基因升级!$D$141:$D$500)-1,B142)</f>
        <v>80</v>
      </c>
      <c r="C143" s="4">
        <f>SUMIF(基因升级!$D$141:$D$500,"&lt;"&amp;$B143,基因升级!$U$141:$U$500)</f>
        <v>0</v>
      </c>
      <c r="D143" s="4"/>
      <c r="E143" s="4"/>
      <c r="F143" s="4"/>
      <c r="G143" s="4"/>
      <c r="H143" s="4"/>
      <c r="I143" s="4"/>
      <c r="J143" s="4"/>
      <c r="K143" s="4">
        <f>SUMIF(基因升级!$D$141:$D$500,"&lt;"&amp;$B143,基因升级!J$141:J$500)</f>
        <v>2566</v>
      </c>
      <c r="L143" s="4">
        <f>SUMIF(基因升级!$D$141:$D$500,"&lt;"&amp;$B143,基因升级!K$141:K$500)</f>
        <v>1</v>
      </c>
      <c r="M143" s="4">
        <f>SUMIF(基因升级!$D$141:$D$500,"&lt;"&amp;$B143,基因升级!L$141:L$500)</f>
        <v>0.57</v>
      </c>
      <c r="N143" s="4">
        <f>SUMIF(基因升级!$D$141:$D$500,"&lt;"&amp;$B143,基因升级!M$141:M$500)</f>
        <v>0.04</v>
      </c>
      <c r="O143" s="4">
        <f>SUMIF(基因升级!$D$141:$D$500,"&lt;"&amp;$B143,基因升级!N$141:N$500)</f>
        <v>0.15</v>
      </c>
      <c r="R143" s="4">
        <v>137</v>
      </c>
      <c r="S143" s="4">
        <f>SUMIF(基因升级!$D$141:$D$500,"&lt;="&amp;$R143,基因升级!$U$141:$U$500)</f>
        <v>0</v>
      </c>
      <c r="T143" s="4">
        <f>SUMIF(基因升级!$D$141:$D$500,"&lt;="&amp;$R143,基因升级!J$141:J$500)</f>
        <v>7268</v>
      </c>
      <c r="U143" s="4">
        <f>SUMIF(基因升级!$D$141:$D$500,"&lt;="&amp;$R143,基因升级!K$141:K$500)</f>
        <v>1.75</v>
      </c>
      <c r="V143" s="4">
        <f>SUMIF(基因升级!$D$141:$D$500,"&lt;="&amp;$R143,基因升级!L$141:L$500)</f>
        <v>1.02</v>
      </c>
      <c r="W143" s="4">
        <f>SUMIF(基因升级!$D$141:$D$500,"&lt;="&amp;$R143,基因升级!M$141:M$500)</f>
        <v>0.068</v>
      </c>
      <c r="X143" s="4">
        <f>SUMIF(基因升级!$D$141:$D$500,"&lt;="&amp;$R143,基因升级!N$141:N$500)</f>
        <v>0.255</v>
      </c>
    </row>
    <row r="144" ht="16.5" spans="1:24">
      <c r="A144" s="14">
        <v>138</v>
      </c>
      <c r="B144" s="4">
        <f>IFERROR(_xlfn.XLOOKUP(A144+1,基因升级!$E$141:$E$500,基因升级!$D$141:$D$500)-1,B143)</f>
        <v>80</v>
      </c>
      <c r="C144" s="4">
        <f>SUMIF(基因升级!$D$141:$D$500,"&lt;"&amp;$B144,基因升级!$U$141:$U$500)</f>
        <v>0</v>
      </c>
      <c r="D144" s="4"/>
      <c r="E144" s="4"/>
      <c r="F144" s="4"/>
      <c r="G144" s="4"/>
      <c r="H144" s="4"/>
      <c r="I144" s="4"/>
      <c r="J144" s="4"/>
      <c r="K144" s="4">
        <f>SUMIF(基因升级!$D$141:$D$500,"&lt;"&amp;$B144,基因升级!J$141:J$500)</f>
        <v>2566</v>
      </c>
      <c r="L144" s="4">
        <f>SUMIF(基因升级!$D$141:$D$500,"&lt;"&amp;$B144,基因升级!K$141:K$500)</f>
        <v>1</v>
      </c>
      <c r="M144" s="4">
        <f>SUMIF(基因升级!$D$141:$D$500,"&lt;"&amp;$B144,基因升级!L$141:L$500)</f>
        <v>0.57</v>
      </c>
      <c r="N144" s="4">
        <f>SUMIF(基因升级!$D$141:$D$500,"&lt;"&amp;$B144,基因升级!M$141:M$500)</f>
        <v>0.04</v>
      </c>
      <c r="O144" s="4">
        <f>SUMIF(基因升级!$D$141:$D$500,"&lt;"&amp;$B144,基因升级!N$141:N$500)</f>
        <v>0.15</v>
      </c>
      <c r="R144" s="4">
        <v>138</v>
      </c>
      <c r="S144" s="4">
        <f>SUMIF(基因升级!$D$141:$D$500,"&lt;="&amp;$R144,基因升级!$U$141:$U$500)</f>
        <v>0</v>
      </c>
      <c r="T144" s="4">
        <f>SUMIF(基因升级!$D$141:$D$500,"&lt;="&amp;$R144,基因升级!J$141:J$500)</f>
        <v>7368</v>
      </c>
      <c r="U144" s="4">
        <f>SUMIF(基因升级!$D$141:$D$500,"&lt;="&amp;$R144,基因升级!K$141:K$500)</f>
        <v>1.75</v>
      </c>
      <c r="V144" s="4">
        <f>SUMIF(基因升级!$D$141:$D$500,"&lt;="&amp;$R144,基因升级!L$141:L$500)</f>
        <v>1.02</v>
      </c>
      <c r="W144" s="4">
        <f>SUMIF(基因升级!$D$141:$D$500,"&lt;="&amp;$R144,基因升级!M$141:M$500)</f>
        <v>0.068</v>
      </c>
      <c r="X144" s="4">
        <f>SUMIF(基因升级!$D$141:$D$500,"&lt;="&amp;$R144,基因升级!N$141:N$500)</f>
        <v>0.2625</v>
      </c>
    </row>
    <row r="145" ht="16.5" spans="1:24">
      <c r="A145" s="14">
        <v>139</v>
      </c>
      <c r="B145" s="4">
        <f>IFERROR(_xlfn.XLOOKUP(A145+1,基因升级!$E$141:$E$500,基因升级!$D$141:$D$500)-1,B144)</f>
        <v>80</v>
      </c>
      <c r="C145" s="4">
        <f>SUMIF(基因升级!$D$141:$D$500,"&lt;"&amp;$B145,基因升级!$U$141:$U$500)</f>
        <v>0</v>
      </c>
      <c r="D145" s="4"/>
      <c r="E145" s="4"/>
      <c r="F145" s="4"/>
      <c r="G145" s="4"/>
      <c r="H145" s="4"/>
      <c r="I145" s="4"/>
      <c r="J145" s="4"/>
      <c r="K145" s="4">
        <f>SUMIF(基因升级!$D$141:$D$500,"&lt;"&amp;$B145,基因升级!J$141:J$500)</f>
        <v>2566</v>
      </c>
      <c r="L145" s="4">
        <f>SUMIF(基因升级!$D$141:$D$500,"&lt;"&amp;$B145,基因升级!K$141:K$500)</f>
        <v>1</v>
      </c>
      <c r="M145" s="4">
        <f>SUMIF(基因升级!$D$141:$D$500,"&lt;"&amp;$B145,基因升级!L$141:L$500)</f>
        <v>0.57</v>
      </c>
      <c r="N145" s="4">
        <f>SUMIF(基因升级!$D$141:$D$500,"&lt;"&amp;$B145,基因升级!M$141:M$500)</f>
        <v>0.04</v>
      </c>
      <c r="O145" s="4">
        <f>SUMIF(基因升级!$D$141:$D$500,"&lt;"&amp;$B145,基因升级!N$141:N$500)</f>
        <v>0.15</v>
      </c>
      <c r="R145" s="4">
        <v>139</v>
      </c>
      <c r="S145" s="4">
        <f>SUMIF(基因升级!$D$141:$D$500,"&lt;="&amp;$R145,基因升级!$U$141:$U$500)</f>
        <v>0</v>
      </c>
      <c r="T145" s="4">
        <f>SUMIF(基因升级!$D$141:$D$500,"&lt;="&amp;$R145,基因升级!J$141:J$500)</f>
        <v>7468</v>
      </c>
      <c r="U145" s="4">
        <f>SUMIF(基因升级!$D$141:$D$500,"&lt;="&amp;$R145,基因升级!K$141:K$500)</f>
        <v>1.75</v>
      </c>
      <c r="V145" s="4">
        <f>SUMIF(基因升级!$D$141:$D$500,"&lt;="&amp;$R145,基因升级!L$141:L$500)</f>
        <v>1.02</v>
      </c>
      <c r="W145" s="4">
        <f>SUMIF(基因升级!$D$141:$D$500,"&lt;="&amp;$R145,基因升级!M$141:M$500)</f>
        <v>0.07</v>
      </c>
      <c r="X145" s="4">
        <f>SUMIF(基因升级!$D$141:$D$500,"&lt;="&amp;$R145,基因升级!N$141:N$500)</f>
        <v>0.2625</v>
      </c>
    </row>
    <row r="146" ht="16.5" spans="1:24">
      <c r="A146" s="14">
        <v>140</v>
      </c>
      <c r="B146" s="4">
        <f>IFERROR(_xlfn.XLOOKUP(A146+1,基因升级!$E$141:$E$500,基因升级!$D$141:$D$500)-1,B145)</f>
        <v>80</v>
      </c>
      <c r="C146" s="4">
        <f>SUMIF(基因升级!$D$141:$D$500,"&lt;"&amp;$B146,基因升级!$U$141:$U$500)</f>
        <v>0</v>
      </c>
      <c r="D146" s="4"/>
      <c r="E146" s="4"/>
      <c r="F146" s="4"/>
      <c r="G146" s="4"/>
      <c r="H146" s="4"/>
      <c r="I146" s="4"/>
      <c r="J146" s="4"/>
      <c r="K146" s="4">
        <f>SUMIF(基因升级!$D$141:$D$500,"&lt;"&amp;$B146,基因升级!J$141:J$500)</f>
        <v>2566</v>
      </c>
      <c r="L146" s="4">
        <f>SUMIF(基因升级!$D$141:$D$500,"&lt;"&amp;$B146,基因升级!K$141:K$500)</f>
        <v>1</v>
      </c>
      <c r="M146" s="4">
        <f>SUMIF(基因升级!$D$141:$D$500,"&lt;"&amp;$B146,基因升级!L$141:L$500)</f>
        <v>0.57</v>
      </c>
      <c r="N146" s="4">
        <f>SUMIF(基因升级!$D$141:$D$500,"&lt;"&amp;$B146,基因升级!M$141:M$500)</f>
        <v>0.04</v>
      </c>
      <c r="O146" s="4">
        <f>SUMIF(基因升级!$D$141:$D$500,"&lt;"&amp;$B146,基因升级!N$141:N$500)</f>
        <v>0.15</v>
      </c>
      <c r="R146" s="4">
        <v>140</v>
      </c>
      <c r="S146" s="4">
        <f>SUMIF(基因升级!$D$141:$D$500,"&lt;="&amp;$R146,基因升级!$U$141:$U$500)</f>
        <v>0</v>
      </c>
      <c r="T146" s="4">
        <f>SUMIF(基因升级!$D$141:$D$500,"&lt;="&amp;$R146,基因升级!J$141:J$500)</f>
        <v>7568</v>
      </c>
      <c r="U146" s="4">
        <f>SUMIF(基因升级!$D$141:$D$500,"&lt;="&amp;$R146,基因升级!K$141:K$500)</f>
        <v>1.75</v>
      </c>
      <c r="V146" s="4">
        <f>SUMIF(基因升级!$D$141:$D$500,"&lt;="&amp;$R146,基因升级!L$141:L$500)</f>
        <v>1.05</v>
      </c>
      <c r="W146" s="4">
        <f>SUMIF(基因升级!$D$141:$D$500,"&lt;="&amp;$R146,基因升级!M$141:M$500)</f>
        <v>0.07</v>
      </c>
      <c r="X146" s="4">
        <f>SUMIF(基因升级!$D$141:$D$500,"&lt;="&amp;$R146,基因升级!N$141:N$500)</f>
        <v>0.2625</v>
      </c>
    </row>
    <row r="147" ht="16.5" spans="1:24">
      <c r="A147" s="14">
        <v>141</v>
      </c>
      <c r="B147" s="4">
        <f>IFERROR(_xlfn.XLOOKUP(A147+1,基因升级!$E$141:$E$500,基因升级!$D$141:$D$500)-1,B146)</f>
        <v>80</v>
      </c>
      <c r="C147" s="4">
        <f>SUMIF(基因升级!$D$141:$D$500,"&lt;"&amp;$B147,基因升级!$U$141:$U$500)</f>
        <v>0</v>
      </c>
      <c r="D147" s="4"/>
      <c r="E147" s="4"/>
      <c r="F147" s="4"/>
      <c r="G147" s="4"/>
      <c r="H147" s="4"/>
      <c r="I147" s="4"/>
      <c r="J147" s="4"/>
      <c r="K147" s="4">
        <f>SUMIF(基因升级!$D$141:$D$500,"&lt;"&amp;$B147,基因升级!J$141:J$500)</f>
        <v>2566</v>
      </c>
      <c r="L147" s="4">
        <f>SUMIF(基因升级!$D$141:$D$500,"&lt;"&amp;$B147,基因升级!K$141:K$500)</f>
        <v>1</v>
      </c>
      <c r="M147" s="4">
        <f>SUMIF(基因升级!$D$141:$D$500,"&lt;"&amp;$B147,基因升级!L$141:L$500)</f>
        <v>0.57</v>
      </c>
      <c r="N147" s="4">
        <f>SUMIF(基因升级!$D$141:$D$500,"&lt;"&amp;$B147,基因升级!M$141:M$500)</f>
        <v>0.04</v>
      </c>
      <c r="O147" s="4">
        <f>SUMIF(基因升级!$D$141:$D$500,"&lt;"&amp;$B147,基因升级!N$141:N$500)</f>
        <v>0.15</v>
      </c>
      <c r="R147" s="4">
        <v>141</v>
      </c>
      <c r="S147" s="4">
        <f>SUMIF(基因升级!$D$141:$D$500,"&lt;="&amp;$R147,基因升级!$U$141:$U$500)</f>
        <v>0</v>
      </c>
      <c r="T147" s="4">
        <f>SUMIF(基因升级!$D$141:$D$500,"&lt;="&amp;$R147,基因升级!J$141:J$500)</f>
        <v>7668</v>
      </c>
      <c r="U147" s="4">
        <f>SUMIF(基因升级!$D$141:$D$500,"&lt;="&amp;$R147,基因升级!K$141:K$500)</f>
        <v>1.8</v>
      </c>
      <c r="V147" s="4">
        <f>SUMIF(基因升级!$D$141:$D$500,"&lt;="&amp;$R147,基因升级!L$141:L$500)</f>
        <v>1.05</v>
      </c>
      <c r="W147" s="4">
        <f>SUMIF(基因升级!$D$141:$D$500,"&lt;="&amp;$R147,基因升级!M$141:M$500)</f>
        <v>0.07</v>
      </c>
      <c r="X147" s="4">
        <f>SUMIF(基因升级!$D$141:$D$500,"&lt;="&amp;$R147,基因升级!N$141:N$500)</f>
        <v>0.2625</v>
      </c>
    </row>
    <row r="148" ht="16.5" spans="1:24">
      <c r="A148" s="14">
        <v>142</v>
      </c>
      <c r="B148" s="4">
        <f>IFERROR(_xlfn.XLOOKUP(A148+1,基因升级!$E$141:$E$500,基因升级!$D$141:$D$500)-1,B147)</f>
        <v>80</v>
      </c>
      <c r="C148" s="4">
        <f>SUMIF(基因升级!$D$141:$D$500,"&lt;"&amp;$B148,基因升级!$U$141:$U$500)</f>
        <v>0</v>
      </c>
      <c r="D148" s="4"/>
      <c r="E148" s="4"/>
      <c r="F148" s="4"/>
      <c r="G148" s="4"/>
      <c r="H148" s="4"/>
      <c r="I148" s="4"/>
      <c r="J148" s="4"/>
      <c r="K148" s="4">
        <f>SUMIF(基因升级!$D$141:$D$500,"&lt;"&amp;$B148,基因升级!J$141:J$500)</f>
        <v>2566</v>
      </c>
      <c r="L148" s="4">
        <f>SUMIF(基因升级!$D$141:$D$500,"&lt;"&amp;$B148,基因升级!K$141:K$500)</f>
        <v>1</v>
      </c>
      <c r="M148" s="4">
        <f>SUMIF(基因升级!$D$141:$D$500,"&lt;"&amp;$B148,基因升级!L$141:L$500)</f>
        <v>0.57</v>
      </c>
      <c r="N148" s="4">
        <f>SUMIF(基因升级!$D$141:$D$500,"&lt;"&amp;$B148,基因升级!M$141:M$500)</f>
        <v>0.04</v>
      </c>
      <c r="O148" s="4">
        <f>SUMIF(基因升级!$D$141:$D$500,"&lt;"&amp;$B148,基因升级!N$141:N$500)</f>
        <v>0.15</v>
      </c>
      <c r="R148" s="4">
        <v>142</v>
      </c>
      <c r="S148" s="4">
        <f>SUMIF(基因升级!$D$141:$D$500,"&lt;="&amp;$R148,基因升级!$U$141:$U$500)</f>
        <v>0</v>
      </c>
      <c r="T148" s="4">
        <f>SUMIF(基因升级!$D$141:$D$500,"&lt;="&amp;$R148,基因升级!J$141:J$500)</f>
        <v>7768</v>
      </c>
      <c r="U148" s="4">
        <f>SUMIF(基因升级!$D$141:$D$500,"&lt;="&amp;$R148,基因升级!K$141:K$500)</f>
        <v>1.8</v>
      </c>
      <c r="V148" s="4">
        <f>SUMIF(基因升级!$D$141:$D$500,"&lt;="&amp;$R148,基因升级!L$141:L$500)</f>
        <v>1.05</v>
      </c>
      <c r="W148" s="4">
        <f>SUMIF(基因升级!$D$141:$D$500,"&lt;="&amp;$R148,基因升级!M$141:M$500)</f>
        <v>0.07</v>
      </c>
      <c r="X148" s="4">
        <f>SUMIF(基因升级!$D$141:$D$500,"&lt;="&amp;$R148,基因升级!N$141:N$500)</f>
        <v>0.27</v>
      </c>
    </row>
    <row r="149" ht="16.5" spans="1:24">
      <c r="A149" s="14">
        <v>143</v>
      </c>
      <c r="B149" s="4">
        <f>IFERROR(_xlfn.XLOOKUP(A149+1,基因升级!$E$141:$E$500,基因升级!$D$141:$D$500)-1,B148)</f>
        <v>81</v>
      </c>
      <c r="C149" s="4">
        <f>SUMIF(基因升级!$D$141:$D$500,"&lt;"&amp;$B149,基因升级!$U$141:$U$500)</f>
        <v>0</v>
      </c>
      <c r="D149" s="4"/>
      <c r="E149" s="4"/>
      <c r="F149" s="4"/>
      <c r="G149" s="4"/>
      <c r="H149" s="4"/>
      <c r="I149" s="4"/>
      <c r="J149" s="4"/>
      <c r="K149" s="4">
        <f>SUMIF(基因升级!$D$141:$D$500,"&lt;"&amp;$B149,基因升级!J$141:J$500)</f>
        <v>2624</v>
      </c>
      <c r="L149" s="4">
        <f>SUMIF(基因升级!$D$141:$D$500,"&lt;"&amp;$B149,基因升级!K$141:K$500)</f>
        <v>1</v>
      </c>
      <c r="M149" s="4">
        <f>SUMIF(基因升级!$D$141:$D$500,"&lt;"&amp;$B149,基因升级!L$141:L$500)</f>
        <v>0.6</v>
      </c>
      <c r="N149" s="4">
        <f>SUMIF(基因升级!$D$141:$D$500,"&lt;"&amp;$B149,基因升级!M$141:M$500)</f>
        <v>0.04</v>
      </c>
      <c r="O149" s="4">
        <f>SUMIF(基因升级!$D$141:$D$500,"&lt;"&amp;$B149,基因升级!N$141:N$500)</f>
        <v>0.15</v>
      </c>
      <c r="R149" s="4">
        <v>143</v>
      </c>
      <c r="S149" s="4">
        <f>SUMIF(基因升级!$D$141:$D$500,"&lt;="&amp;$R149,基因升级!$U$141:$U$500)</f>
        <v>0</v>
      </c>
      <c r="T149" s="4">
        <f>SUMIF(基因升级!$D$141:$D$500,"&lt;="&amp;$R149,基因升级!J$141:J$500)</f>
        <v>7868</v>
      </c>
      <c r="U149" s="4">
        <f>SUMIF(基因升级!$D$141:$D$500,"&lt;="&amp;$R149,基因升级!K$141:K$500)</f>
        <v>1.8</v>
      </c>
      <c r="V149" s="4">
        <f>SUMIF(基因升级!$D$141:$D$500,"&lt;="&amp;$R149,基因升级!L$141:L$500)</f>
        <v>1.05</v>
      </c>
      <c r="W149" s="4">
        <f>SUMIF(基因升级!$D$141:$D$500,"&lt;="&amp;$R149,基因升级!M$141:M$500)</f>
        <v>0.072</v>
      </c>
      <c r="X149" s="4">
        <f>SUMIF(基因升级!$D$141:$D$500,"&lt;="&amp;$R149,基因升级!N$141:N$500)</f>
        <v>0.27</v>
      </c>
    </row>
    <row r="150" ht="16.5" spans="1:24">
      <c r="A150" s="14">
        <v>144</v>
      </c>
      <c r="B150" s="4">
        <f>IFERROR(_xlfn.XLOOKUP(A150+1,基因升级!$E$141:$E$500,基因升级!$D$141:$D$500)-1,B149)</f>
        <v>81</v>
      </c>
      <c r="C150" s="4">
        <f>SUMIF(基因升级!$D$141:$D$500,"&lt;"&amp;$B150,基因升级!$U$141:$U$500)</f>
        <v>0</v>
      </c>
      <c r="D150" s="4"/>
      <c r="E150" s="4"/>
      <c r="F150" s="4"/>
      <c r="G150" s="4"/>
      <c r="H150" s="4"/>
      <c r="I150" s="4"/>
      <c r="J150" s="4"/>
      <c r="K150" s="4">
        <f>SUMIF(基因升级!$D$141:$D$500,"&lt;"&amp;$B150,基因升级!J$141:J$500)</f>
        <v>2624</v>
      </c>
      <c r="L150" s="4">
        <f>SUMIF(基因升级!$D$141:$D$500,"&lt;"&amp;$B150,基因升级!K$141:K$500)</f>
        <v>1</v>
      </c>
      <c r="M150" s="4">
        <f>SUMIF(基因升级!$D$141:$D$500,"&lt;"&amp;$B150,基因升级!L$141:L$500)</f>
        <v>0.6</v>
      </c>
      <c r="N150" s="4">
        <f>SUMIF(基因升级!$D$141:$D$500,"&lt;"&amp;$B150,基因升级!M$141:M$500)</f>
        <v>0.04</v>
      </c>
      <c r="O150" s="4">
        <f>SUMIF(基因升级!$D$141:$D$500,"&lt;"&amp;$B150,基因升级!N$141:N$500)</f>
        <v>0.15</v>
      </c>
      <c r="R150" s="4">
        <v>144</v>
      </c>
      <c r="S150" s="4">
        <f>SUMIF(基因升级!$D$141:$D$500,"&lt;="&amp;$R150,基因升级!$U$141:$U$500)</f>
        <v>0</v>
      </c>
      <c r="T150" s="4">
        <f>SUMIF(基因升级!$D$141:$D$500,"&lt;="&amp;$R150,基因升级!J$141:J$500)</f>
        <v>7968</v>
      </c>
      <c r="U150" s="4">
        <f>SUMIF(基因升级!$D$141:$D$500,"&lt;="&amp;$R150,基因升级!K$141:K$500)</f>
        <v>1.8</v>
      </c>
      <c r="V150" s="4">
        <f>SUMIF(基因升级!$D$141:$D$500,"&lt;="&amp;$R150,基因升级!L$141:L$500)</f>
        <v>1.08</v>
      </c>
      <c r="W150" s="4">
        <f>SUMIF(基因升级!$D$141:$D$500,"&lt;="&amp;$R150,基因升级!M$141:M$500)</f>
        <v>0.072</v>
      </c>
      <c r="X150" s="4">
        <f>SUMIF(基因升级!$D$141:$D$500,"&lt;="&amp;$R150,基因升级!N$141:N$500)</f>
        <v>0.27</v>
      </c>
    </row>
    <row r="151" ht="16.5" spans="1:24">
      <c r="A151" s="14">
        <v>145</v>
      </c>
      <c r="B151" s="4">
        <f>IFERROR(_xlfn.XLOOKUP(A151+1,基因升级!$E$141:$E$500,基因升级!$D$141:$D$500)-1,B150)</f>
        <v>81</v>
      </c>
      <c r="C151" s="4">
        <f>SUMIF(基因升级!$D$141:$D$500,"&lt;"&amp;$B151,基因升级!$U$141:$U$500)</f>
        <v>0</v>
      </c>
      <c r="D151" s="4"/>
      <c r="E151" s="4"/>
      <c r="F151" s="4"/>
      <c r="G151" s="4"/>
      <c r="H151" s="4"/>
      <c r="I151" s="4"/>
      <c r="J151" s="4"/>
      <c r="K151" s="4">
        <f>SUMIF(基因升级!$D$141:$D$500,"&lt;"&amp;$B151,基因升级!J$141:J$500)</f>
        <v>2624</v>
      </c>
      <c r="L151" s="4">
        <f>SUMIF(基因升级!$D$141:$D$500,"&lt;"&amp;$B151,基因升级!K$141:K$500)</f>
        <v>1</v>
      </c>
      <c r="M151" s="4">
        <f>SUMIF(基因升级!$D$141:$D$500,"&lt;"&amp;$B151,基因升级!L$141:L$500)</f>
        <v>0.6</v>
      </c>
      <c r="N151" s="4">
        <f>SUMIF(基因升级!$D$141:$D$500,"&lt;"&amp;$B151,基因升级!M$141:M$500)</f>
        <v>0.04</v>
      </c>
      <c r="O151" s="4">
        <f>SUMIF(基因升级!$D$141:$D$500,"&lt;"&amp;$B151,基因升级!N$141:N$500)</f>
        <v>0.15</v>
      </c>
      <c r="R151" s="4">
        <v>145</v>
      </c>
      <c r="S151" s="4">
        <f>SUMIF(基因升级!$D$141:$D$500,"&lt;="&amp;$R151,基因升级!$U$141:$U$500)</f>
        <v>0</v>
      </c>
      <c r="T151" s="4">
        <f>SUMIF(基因升级!$D$141:$D$500,"&lt;="&amp;$R151,基因升级!J$141:J$500)</f>
        <v>8068</v>
      </c>
      <c r="U151" s="4">
        <f>SUMIF(基因升级!$D$141:$D$500,"&lt;="&amp;$R151,基因升级!K$141:K$500)</f>
        <v>1.85</v>
      </c>
      <c r="V151" s="4">
        <f>SUMIF(基因升级!$D$141:$D$500,"&lt;="&amp;$R151,基因升级!L$141:L$500)</f>
        <v>1.08</v>
      </c>
      <c r="W151" s="4">
        <f>SUMIF(基因升级!$D$141:$D$500,"&lt;="&amp;$R151,基因升级!M$141:M$500)</f>
        <v>0.072</v>
      </c>
      <c r="X151" s="4">
        <f>SUMIF(基因升级!$D$141:$D$500,"&lt;="&amp;$R151,基因升级!N$141:N$500)</f>
        <v>0.27</v>
      </c>
    </row>
    <row r="152" ht="16.5" spans="1:24">
      <c r="A152" s="14">
        <v>146</v>
      </c>
      <c r="B152" s="4">
        <f>IFERROR(_xlfn.XLOOKUP(A152+1,基因升级!$E$141:$E$500,基因升级!$D$141:$D$500)-1,B151)</f>
        <v>81</v>
      </c>
      <c r="C152" s="4">
        <f>SUMIF(基因升级!$D$141:$D$500,"&lt;"&amp;$B152,基因升级!$U$141:$U$500)</f>
        <v>0</v>
      </c>
      <c r="D152" s="4"/>
      <c r="E152" s="4"/>
      <c r="F152" s="4"/>
      <c r="G152" s="4"/>
      <c r="H152" s="4"/>
      <c r="I152" s="4"/>
      <c r="J152" s="4"/>
      <c r="K152" s="4">
        <f>SUMIF(基因升级!$D$141:$D$500,"&lt;"&amp;$B152,基因升级!J$141:J$500)</f>
        <v>2624</v>
      </c>
      <c r="L152" s="4">
        <f>SUMIF(基因升级!$D$141:$D$500,"&lt;"&amp;$B152,基因升级!K$141:K$500)</f>
        <v>1</v>
      </c>
      <c r="M152" s="4">
        <f>SUMIF(基因升级!$D$141:$D$500,"&lt;"&amp;$B152,基因升级!L$141:L$500)</f>
        <v>0.6</v>
      </c>
      <c r="N152" s="4">
        <f>SUMIF(基因升级!$D$141:$D$500,"&lt;"&amp;$B152,基因升级!M$141:M$500)</f>
        <v>0.04</v>
      </c>
      <c r="O152" s="4">
        <f>SUMIF(基因升级!$D$141:$D$500,"&lt;"&amp;$B152,基因升级!N$141:N$500)</f>
        <v>0.15</v>
      </c>
      <c r="R152" s="4">
        <v>146</v>
      </c>
      <c r="S152" s="4">
        <f>SUMIF(基因升级!$D$141:$D$500,"&lt;="&amp;$R152,基因升级!$U$141:$U$500)</f>
        <v>0</v>
      </c>
      <c r="T152" s="4">
        <f>SUMIF(基因升级!$D$141:$D$500,"&lt;="&amp;$R152,基因升级!J$141:J$500)</f>
        <v>8168</v>
      </c>
      <c r="U152" s="4">
        <f>SUMIF(基因升级!$D$141:$D$500,"&lt;="&amp;$R152,基因升级!K$141:K$500)</f>
        <v>1.85</v>
      </c>
      <c r="V152" s="4">
        <f>SUMIF(基因升级!$D$141:$D$500,"&lt;="&amp;$R152,基因升级!L$141:L$500)</f>
        <v>1.08</v>
      </c>
      <c r="W152" s="4">
        <f>SUMIF(基因升级!$D$141:$D$500,"&lt;="&amp;$R152,基因升级!M$141:M$500)</f>
        <v>0.072</v>
      </c>
      <c r="X152" s="4">
        <f>SUMIF(基因升级!$D$141:$D$500,"&lt;="&amp;$R152,基因升级!N$141:N$500)</f>
        <v>0.2775</v>
      </c>
    </row>
    <row r="153" ht="16.5" spans="1:24">
      <c r="A153" s="14">
        <v>147</v>
      </c>
      <c r="B153" s="4">
        <f>IFERROR(_xlfn.XLOOKUP(A153+1,基因升级!$E$141:$E$500,基因升级!$D$141:$D$500)-1,B152)</f>
        <v>81</v>
      </c>
      <c r="C153" s="4">
        <f>SUMIF(基因升级!$D$141:$D$500,"&lt;"&amp;$B153,基因升级!$U$141:$U$500)</f>
        <v>0</v>
      </c>
      <c r="D153" s="4"/>
      <c r="E153" s="4"/>
      <c r="F153" s="4"/>
      <c r="G153" s="4"/>
      <c r="H153" s="4"/>
      <c r="I153" s="4"/>
      <c r="J153" s="4"/>
      <c r="K153" s="4">
        <f>SUMIF(基因升级!$D$141:$D$500,"&lt;"&amp;$B153,基因升级!J$141:J$500)</f>
        <v>2624</v>
      </c>
      <c r="L153" s="4">
        <f>SUMIF(基因升级!$D$141:$D$500,"&lt;"&amp;$B153,基因升级!K$141:K$500)</f>
        <v>1</v>
      </c>
      <c r="M153" s="4">
        <f>SUMIF(基因升级!$D$141:$D$500,"&lt;"&amp;$B153,基因升级!L$141:L$500)</f>
        <v>0.6</v>
      </c>
      <c r="N153" s="4">
        <f>SUMIF(基因升级!$D$141:$D$500,"&lt;"&amp;$B153,基因升级!M$141:M$500)</f>
        <v>0.04</v>
      </c>
      <c r="O153" s="4">
        <f>SUMIF(基因升级!$D$141:$D$500,"&lt;"&amp;$B153,基因升级!N$141:N$500)</f>
        <v>0.15</v>
      </c>
      <c r="R153" s="4">
        <v>147</v>
      </c>
      <c r="S153" s="4">
        <f>SUMIF(基因升级!$D$141:$D$500,"&lt;="&amp;$R153,基因升级!$U$141:$U$500)</f>
        <v>0</v>
      </c>
      <c r="T153" s="4">
        <f>SUMIF(基因升级!$D$141:$D$500,"&lt;="&amp;$R153,基因升级!J$141:J$500)</f>
        <v>8268</v>
      </c>
      <c r="U153" s="4">
        <f>SUMIF(基因升级!$D$141:$D$500,"&lt;="&amp;$R153,基因升级!K$141:K$500)</f>
        <v>1.85</v>
      </c>
      <c r="V153" s="4">
        <f>SUMIF(基因升级!$D$141:$D$500,"&lt;="&amp;$R153,基因升级!L$141:L$500)</f>
        <v>1.08</v>
      </c>
      <c r="W153" s="4">
        <f>SUMIF(基因升级!$D$141:$D$500,"&lt;="&amp;$R153,基因升级!M$141:M$500)</f>
        <v>0.0740000000000001</v>
      </c>
      <c r="X153" s="4">
        <f>SUMIF(基因升级!$D$141:$D$500,"&lt;="&amp;$R153,基因升级!N$141:N$500)</f>
        <v>0.2775</v>
      </c>
    </row>
    <row r="154" ht="16.5" spans="1:24">
      <c r="A154" s="14">
        <v>148</v>
      </c>
      <c r="B154" s="4">
        <f>IFERROR(_xlfn.XLOOKUP(A154+1,基因升级!$E$141:$E$500,基因升级!$D$141:$D$500)-1,B153)</f>
        <v>81</v>
      </c>
      <c r="C154" s="4">
        <f>SUMIF(基因升级!$D$141:$D$500,"&lt;"&amp;$B154,基因升级!$U$141:$U$500)</f>
        <v>0</v>
      </c>
      <c r="D154" s="4"/>
      <c r="E154" s="4"/>
      <c r="F154" s="4"/>
      <c r="G154" s="4"/>
      <c r="H154" s="4"/>
      <c r="I154" s="4"/>
      <c r="J154" s="4"/>
      <c r="K154" s="4">
        <f>SUMIF(基因升级!$D$141:$D$500,"&lt;"&amp;$B154,基因升级!J$141:J$500)</f>
        <v>2624</v>
      </c>
      <c r="L154" s="4">
        <f>SUMIF(基因升级!$D$141:$D$500,"&lt;"&amp;$B154,基因升级!K$141:K$500)</f>
        <v>1</v>
      </c>
      <c r="M154" s="4">
        <f>SUMIF(基因升级!$D$141:$D$500,"&lt;"&amp;$B154,基因升级!L$141:L$500)</f>
        <v>0.6</v>
      </c>
      <c r="N154" s="4">
        <f>SUMIF(基因升级!$D$141:$D$500,"&lt;"&amp;$B154,基因升级!M$141:M$500)</f>
        <v>0.04</v>
      </c>
      <c r="O154" s="4">
        <f>SUMIF(基因升级!$D$141:$D$500,"&lt;"&amp;$B154,基因升级!N$141:N$500)</f>
        <v>0.15</v>
      </c>
      <c r="R154" s="4">
        <v>148</v>
      </c>
      <c r="S154" s="4">
        <f>SUMIF(基因升级!$D$141:$D$500,"&lt;="&amp;$R154,基因升级!$U$141:$U$500)</f>
        <v>0</v>
      </c>
      <c r="T154" s="4">
        <f>SUMIF(基因升级!$D$141:$D$500,"&lt;="&amp;$R154,基因升级!J$141:J$500)</f>
        <v>8368</v>
      </c>
      <c r="U154" s="4">
        <f>SUMIF(基因升级!$D$141:$D$500,"&lt;="&amp;$R154,基因升级!K$141:K$500)</f>
        <v>1.85</v>
      </c>
      <c r="V154" s="4">
        <f>SUMIF(基因升级!$D$141:$D$500,"&lt;="&amp;$R154,基因升级!L$141:L$500)</f>
        <v>1.11</v>
      </c>
      <c r="W154" s="4">
        <f>SUMIF(基因升级!$D$141:$D$500,"&lt;="&amp;$R154,基因升级!M$141:M$500)</f>
        <v>0.0740000000000001</v>
      </c>
      <c r="X154" s="4">
        <f>SUMIF(基因升级!$D$141:$D$500,"&lt;="&amp;$R154,基因升级!N$141:N$500)</f>
        <v>0.2775</v>
      </c>
    </row>
    <row r="155" ht="16.5" spans="1:24">
      <c r="A155" s="14">
        <v>149</v>
      </c>
      <c r="B155" s="4">
        <f>IFERROR(_xlfn.XLOOKUP(A155+1,基因升级!$E$141:$E$500,基因升级!$D$141:$D$500)-1,B154)</f>
        <v>81</v>
      </c>
      <c r="C155" s="4">
        <f>SUMIF(基因升级!$D$141:$D$500,"&lt;"&amp;$B155,基因升级!$U$141:$U$500)</f>
        <v>0</v>
      </c>
      <c r="D155" s="4"/>
      <c r="E155" s="4"/>
      <c r="F155" s="4"/>
      <c r="G155" s="4"/>
      <c r="H155" s="4"/>
      <c r="I155" s="4"/>
      <c r="J155" s="4"/>
      <c r="K155" s="4">
        <f>SUMIF(基因升级!$D$141:$D$500,"&lt;"&amp;$B155,基因升级!J$141:J$500)</f>
        <v>2624</v>
      </c>
      <c r="L155" s="4">
        <f>SUMIF(基因升级!$D$141:$D$500,"&lt;"&amp;$B155,基因升级!K$141:K$500)</f>
        <v>1</v>
      </c>
      <c r="M155" s="4">
        <f>SUMIF(基因升级!$D$141:$D$500,"&lt;"&amp;$B155,基因升级!L$141:L$500)</f>
        <v>0.6</v>
      </c>
      <c r="N155" s="4">
        <f>SUMIF(基因升级!$D$141:$D$500,"&lt;"&amp;$B155,基因升级!M$141:M$500)</f>
        <v>0.04</v>
      </c>
      <c r="O155" s="4">
        <f>SUMIF(基因升级!$D$141:$D$500,"&lt;"&amp;$B155,基因升级!N$141:N$500)</f>
        <v>0.15</v>
      </c>
      <c r="R155" s="4">
        <v>149</v>
      </c>
      <c r="S155" s="4">
        <f>SUMIF(基因升级!$D$141:$D$500,"&lt;="&amp;$R155,基因升级!$U$141:$U$500)</f>
        <v>0</v>
      </c>
      <c r="T155" s="4">
        <f>SUMIF(基因升级!$D$141:$D$500,"&lt;="&amp;$R155,基因升级!J$141:J$500)</f>
        <v>8468</v>
      </c>
      <c r="U155" s="4">
        <f>SUMIF(基因升级!$D$141:$D$500,"&lt;="&amp;$R155,基因升级!K$141:K$500)</f>
        <v>1.9</v>
      </c>
      <c r="V155" s="4">
        <f>SUMIF(基因升级!$D$141:$D$500,"&lt;="&amp;$R155,基因升级!L$141:L$500)</f>
        <v>1.11</v>
      </c>
      <c r="W155" s="4">
        <f>SUMIF(基因升级!$D$141:$D$500,"&lt;="&amp;$R155,基因升级!M$141:M$500)</f>
        <v>0.0740000000000001</v>
      </c>
      <c r="X155" s="4">
        <f>SUMIF(基因升级!$D$141:$D$500,"&lt;="&amp;$R155,基因升级!N$141:N$500)</f>
        <v>0.2775</v>
      </c>
    </row>
    <row r="156" ht="16.5" spans="1:24">
      <c r="A156" s="14">
        <v>150</v>
      </c>
      <c r="B156" s="4">
        <f>IFERROR(_xlfn.XLOOKUP(A156+1,基因升级!$E$141:$E$500,基因升级!$D$141:$D$500)-1,B155)</f>
        <v>82</v>
      </c>
      <c r="C156" s="4">
        <f>SUMIF(基因升级!$D$141:$D$500,"&lt;"&amp;$B156,基因升级!$U$141:$U$500)</f>
        <v>0</v>
      </c>
      <c r="D156" s="4"/>
      <c r="E156" s="4"/>
      <c r="F156" s="4"/>
      <c r="G156" s="4"/>
      <c r="H156" s="4"/>
      <c r="I156" s="4"/>
      <c r="J156" s="4"/>
      <c r="K156" s="4">
        <f>SUMIF(基因升级!$D$141:$D$500,"&lt;"&amp;$B156,基因升级!J$141:J$500)</f>
        <v>2688</v>
      </c>
      <c r="L156" s="4">
        <f>SUMIF(基因升级!$D$141:$D$500,"&lt;"&amp;$B156,基因升级!K$141:K$500)</f>
        <v>1.05</v>
      </c>
      <c r="M156" s="4">
        <f>SUMIF(基因升级!$D$141:$D$500,"&lt;"&amp;$B156,基因升级!L$141:L$500)</f>
        <v>0.6</v>
      </c>
      <c r="N156" s="4">
        <f>SUMIF(基因升级!$D$141:$D$500,"&lt;"&amp;$B156,基因升级!M$141:M$500)</f>
        <v>0.04</v>
      </c>
      <c r="O156" s="4">
        <f>SUMIF(基因升级!$D$141:$D$500,"&lt;"&amp;$B156,基因升级!N$141:N$500)</f>
        <v>0.15</v>
      </c>
      <c r="R156" s="4">
        <v>150</v>
      </c>
      <c r="S156" s="4">
        <f>SUMIF(基因升级!$D$141:$D$500,"&lt;="&amp;$R156,基因升级!$U$141:$U$500)</f>
        <v>0</v>
      </c>
      <c r="T156" s="4">
        <f>SUMIF(基因升级!$D$141:$D$500,"&lt;="&amp;$R156,基因升级!J$141:J$500)</f>
        <v>8568</v>
      </c>
      <c r="U156" s="4">
        <f>SUMIF(基因升级!$D$141:$D$500,"&lt;="&amp;$R156,基因升级!K$141:K$500)</f>
        <v>1.9</v>
      </c>
      <c r="V156" s="4">
        <f>SUMIF(基因升级!$D$141:$D$500,"&lt;="&amp;$R156,基因升级!L$141:L$500)</f>
        <v>1.11</v>
      </c>
      <c r="W156" s="4">
        <f>SUMIF(基因升级!$D$141:$D$500,"&lt;="&amp;$R156,基因升级!M$141:M$500)</f>
        <v>0.0740000000000001</v>
      </c>
      <c r="X156" s="4">
        <f>SUMIF(基因升级!$D$141:$D$500,"&lt;="&amp;$R156,基因升级!N$141:N$500)</f>
        <v>0.285</v>
      </c>
    </row>
    <row r="157" ht="16.5" spans="1:24">
      <c r="A157" s="14">
        <v>151</v>
      </c>
      <c r="B157" s="4">
        <f>IFERROR(_xlfn.XLOOKUP(A157+1,基因升级!$E$141:$E$500,基因升级!$D$141:$D$500)-1,B156)</f>
        <v>82</v>
      </c>
      <c r="C157" s="4">
        <f>SUMIF(基因升级!$D$141:$D$500,"&lt;"&amp;$B157,基因升级!$U$141:$U$500)</f>
        <v>0</v>
      </c>
      <c r="D157" s="4"/>
      <c r="E157" s="4"/>
      <c r="F157" s="4"/>
      <c r="G157" s="4"/>
      <c r="H157" s="4"/>
      <c r="I157" s="4"/>
      <c r="J157" s="4"/>
      <c r="K157" s="4">
        <f>SUMIF(基因升级!$D$141:$D$500,"&lt;"&amp;$B157,基因升级!J$141:J$500)</f>
        <v>2688</v>
      </c>
      <c r="L157" s="4">
        <f>SUMIF(基因升级!$D$141:$D$500,"&lt;"&amp;$B157,基因升级!K$141:K$500)</f>
        <v>1.05</v>
      </c>
      <c r="M157" s="4">
        <f>SUMIF(基因升级!$D$141:$D$500,"&lt;"&amp;$B157,基因升级!L$141:L$500)</f>
        <v>0.6</v>
      </c>
      <c r="N157" s="4">
        <f>SUMIF(基因升级!$D$141:$D$500,"&lt;"&amp;$B157,基因升级!M$141:M$500)</f>
        <v>0.04</v>
      </c>
      <c r="O157" s="4">
        <f>SUMIF(基因升级!$D$141:$D$500,"&lt;"&amp;$B157,基因升级!N$141:N$500)</f>
        <v>0.15</v>
      </c>
      <c r="R157" s="4">
        <v>151</v>
      </c>
      <c r="S157" s="4">
        <f>SUMIF(基因升级!$D$141:$D$500,"&lt;="&amp;$R157,基因升级!$U$141:$U$500)</f>
        <v>0</v>
      </c>
      <c r="T157" s="4">
        <f>SUMIF(基因升级!$D$141:$D$500,"&lt;="&amp;$R157,基因升级!J$141:J$500)</f>
        <v>8668</v>
      </c>
      <c r="U157" s="4">
        <f>SUMIF(基因升级!$D$141:$D$500,"&lt;="&amp;$R157,基因升级!K$141:K$500)</f>
        <v>1.9</v>
      </c>
      <c r="V157" s="4">
        <f>SUMIF(基因升级!$D$141:$D$500,"&lt;="&amp;$R157,基因升级!L$141:L$500)</f>
        <v>1.11</v>
      </c>
      <c r="W157" s="4">
        <f>SUMIF(基因升级!$D$141:$D$500,"&lt;="&amp;$R157,基因升级!M$141:M$500)</f>
        <v>0.0760000000000001</v>
      </c>
      <c r="X157" s="4">
        <f>SUMIF(基因升级!$D$141:$D$500,"&lt;="&amp;$R157,基因升级!N$141:N$500)</f>
        <v>0.285</v>
      </c>
    </row>
    <row r="158" ht="16.5" spans="1:24">
      <c r="A158" s="14">
        <v>152</v>
      </c>
      <c r="B158" s="4">
        <f>IFERROR(_xlfn.XLOOKUP(A158+1,基因升级!$E$141:$E$500,基因升级!$D$141:$D$500)-1,B157)</f>
        <v>82</v>
      </c>
      <c r="C158" s="4">
        <f>SUMIF(基因升级!$D$141:$D$500,"&lt;"&amp;$B158,基因升级!$U$141:$U$500)</f>
        <v>0</v>
      </c>
      <c r="D158" s="4"/>
      <c r="E158" s="4"/>
      <c r="F158" s="4"/>
      <c r="G158" s="4"/>
      <c r="H158" s="4"/>
      <c r="I158" s="4"/>
      <c r="J158" s="4"/>
      <c r="K158" s="4">
        <f>SUMIF(基因升级!$D$141:$D$500,"&lt;"&amp;$B158,基因升级!J$141:J$500)</f>
        <v>2688</v>
      </c>
      <c r="L158" s="4">
        <f>SUMIF(基因升级!$D$141:$D$500,"&lt;"&amp;$B158,基因升级!K$141:K$500)</f>
        <v>1.05</v>
      </c>
      <c r="M158" s="4">
        <f>SUMIF(基因升级!$D$141:$D$500,"&lt;"&amp;$B158,基因升级!L$141:L$500)</f>
        <v>0.6</v>
      </c>
      <c r="N158" s="4">
        <f>SUMIF(基因升级!$D$141:$D$500,"&lt;"&amp;$B158,基因升级!M$141:M$500)</f>
        <v>0.04</v>
      </c>
      <c r="O158" s="4">
        <f>SUMIF(基因升级!$D$141:$D$500,"&lt;"&amp;$B158,基因升级!N$141:N$500)</f>
        <v>0.15</v>
      </c>
      <c r="R158" s="4">
        <v>152</v>
      </c>
      <c r="S158" s="4">
        <f>SUMIF(基因升级!$D$141:$D$500,"&lt;="&amp;$R158,基因升级!$U$141:$U$500)</f>
        <v>0</v>
      </c>
      <c r="T158" s="4">
        <f>SUMIF(基因升级!$D$141:$D$500,"&lt;="&amp;$R158,基因升级!J$141:J$500)</f>
        <v>8768</v>
      </c>
      <c r="U158" s="4">
        <f>SUMIF(基因升级!$D$141:$D$500,"&lt;="&amp;$R158,基因升级!K$141:K$500)</f>
        <v>1.9</v>
      </c>
      <c r="V158" s="4">
        <f>SUMIF(基因升级!$D$141:$D$500,"&lt;="&amp;$R158,基因升级!L$141:L$500)</f>
        <v>1.14</v>
      </c>
      <c r="W158" s="4">
        <f>SUMIF(基因升级!$D$141:$D$500,"&lt;="&amp;$R158,基因升级!M$141:M$500)</f>
        <v>0.0760000000000001</v>
      </c>
      <c r="X158" s="4">
        <f>SUMIF(基因升级!$D$141:$D$500,"&lt;="&amp;$R158,基因升级!N$141:N$500)</f>
        <v>0.285</v>
      </c>
    </row>
    <row r="159" ht="16.5" spans="1:24">
      <c r="A159" s="14">
        <v>153</v>
      </c>
      <c r="B159" s="4">
        <f>IFERROR(_xlfn.XLOOKUP(A159+1,基因升级!$E$141:$E$500,基因升级!$D$141:$D$500)-1,B158)</f>
        <v>82</v>
      </c>
      <c r="C159" s="4">
        <f>SUMIF(基因升级!$D$141:$D$500,"&lt;"&amp;$B159,基因升级!$U$141:$U$500)</f>
        <v>0</v>
      </c>
      <c r="D159" s="4"/>
      <c r="E159" s="4"/>
      <c r="F159" s="4"/>
      <c r="G159" s="4"/>
      <c r="H159" s="4"/>
      <c r="I159" s="4"/>
      <c r="J159" s="4"/>
      <c r="K159" s="4">
        <f>SUMIF(基因升级!$D$141:$D$500,"&lt;"&amp;$B159,基因升级!J$141:J$500)</f>
        <v>2688</v>
      </c>
      <c r="L159" s="4">
        <f>SUMIF(基因升级!$D$141:$D$500,"&lt;"&amp;$B159,基因升级!K$141:K$500)</f>
        <v>1.05</v>
      </c>
      <c r="M159" s="4">
        <f>SUMIF(基因升级!$D$141:$D$500,"&lt;"&amp;$B159,基因升级!L$141:L$500)</f>
        <v>0.6</v>
      </c>
      <c r="N159" s="4">
        <f>SUMIF(基因升级!$D$141:$D$500,"&lt;"&amp;$B159,基因升级!M$141:M$500)</f>
        <v>0.04</v>
      </c>
      <c r="O159" s="4">
        <f>SUMIF(基因升级!$D$141:$D$500,"&lt;"&amp;$B159,基因升级!N$141:N$500)</f>
        <v>0.15</v>
      </c>
      <c r="R159" s="4">
        <v>153</v>
      </c>
      <c r="S159" s="4">
        <f>SUMIF(基因升级!$D$141:$D$500,"&lt;="&amp;$R159,基因升级!$U$141:$U$500)</f>
        <v>0</v>
      </c>
      <c r="T159" s="4">
        <f>SUMIF(基因升级!$D$141:$D$500,"&lt;="&amp;$R159,基因升级!J$141:J$500)</f>
        <v>8874</v>
      </c>
      <c r="U159" s="4">
        <f>SUMIF(基因升级!$D$141:$D$500,"&lt;="&amp;$R159,基因升级!K$141:K$500)</f>
        <v>1.95</v>
      </c>
      <c r="V159" s="4">
        <f>SUMIF(基因升级!$D$141:$D$500,"&lt;="&amp;$R159,基因升级!L$141:L$500)</f>
        <v>1.14</v>
      </c>
      <c r="W159" s="4">
        <f>SUMIF(基因升级!$D$141:$D$500,"&lt;="&amp;$R159,基因升级!M$141:M$500)</f>
        <v>0.0760000000000001</v>
      </c>
      <c r="X159" s="4">
        <f>SUMIF(基因升级!$D$141:$D$500,"&lt;="&amp;$R159,基因升级!N$141:N$500)</f>
        <v>0.285</v>
      </c>
    </row>
    <row r="160" ht="16.5" spans="1:24">
      <c r="A160" s="14">
        <v>154</v>
      </c>
      <c r="B160" s="4">
        <f>IFERROR(_xlfn.XLOOKUP(A160+1,基因升级!$E$141:$E$500,基因升级!$D$141:$D$500)-1,B159)</f>
        <v>82</v>
      </c>
      <c r="C160" s="4">
        <f>SUMIF(基因升级!$D$141:$D$500,"&lt;"&amp;$B160,基因升级!$U$141:$U$500)</f>
        <v>0</v>
      </c>
      <c r="D160" s="4"/>
      <c r="E160" s="4"/>
      <c r="F160" s="4"/>
      <c r="G160" s="4"/>
      <c r="H160" s="4"/>
      <c r="I160" s="4"/>
      <c r="J160" s="4"/>
      <c r="K160" s="4">
        <f>SUMIF(基因升级!$D$141:$D$500,"&lt;"&amp;$B160,基因升级!J$141:J$500)</f>
        <v>2688</v>
      </c>
      <c r="L160" s="4">
        <f>SUMIF(基因升级!$D$141:$D$500,"&lt;"&amp;$B160,基因升级!K$141:K$500)</f>
        <v>1.05</v>
      </c>
      <c r="M160" s="4">
        <f>SUMIF(基因升级!$D$141:$D$500,"&lt;"&amp;$B160,基因升级!L$141:L$500)</f>
        <v>0.6</v>
      </c>
      <c r="N160" s="4">
        <f>SUMIF(基因升级!$D$141:$D$500,"&lt;"&amp;$B160,基因升级!M$141:M$500)</f>
        <v>0.04</v>
      </c>
      <c r="O160" s="4">
        <f>SUMIF(基因升级!$D$141:$D$500,"&lt;"&amp;$B160,基因升级!N$141:N$500)</f>
        <v>0.15</v>
      </c>
      <c r="R160" s="4">
        <v>154</v>
      </c>
      <c r="S160" s="4">
        <f>SUMIF(基因升级!$D$141:$D$500,"&lt;="&amp;$R160,基因升级!$U$141:$U$500)</f>
        <v>0</v>
      </c>
      <c r="T160" s="4">
        <f>SUMIF(基因升级!$D$141:$D$500,"&lt;="&amp;$R160,基因升级!J$141:J$500)</f>
        <v>8980</v>
      </c>
      <c r="U160" s="4">
        <f>SUMIF(基因升级!$D$141:$D$500,"&lt;="&amp;$R160,基因升级!K$141:K$500)</f>
        <v>1.95</v>
      </c>
      <c r="V160" s="4">
        <f>SUMIF(基因升级!$D$141:$D$500,"&lt;="&amp;$R160,基因升级!L$141:L$500)</f>
        <v>1.14</v>
      </c>
      <c r="W160" s="4">
        <f>SUMIF(基因升级!$D$141:$D$500,"&lt;="&amp;$R160,基因升级!M$141:M$500)</f>
        <v>0.0760000000000001</v>
      </c>
      <c r="X160" s="4">
        <f>SUMIF(基因升级!$D$141:$D$500,"&lt;="&amp;$R160,基因升级!N$141:N$500)</f>
        <v>0.2925</v>
      </c>
    </row>
    <row r="161" ht="16.5" spans="1:24">
      <c r="A161" s="14">
        <v>155</v>
      </c>
      <c r="B161" s="4">
        <f>IFERROR(_xlfn.XLOOKUP(A161+1,基因升级!$E$141:$E$500,基因升级!$D$141:$D$500)-1,B160)</f>
        <v>82</v>
      </c>
      <c r="C161" s="4">
        <f>SUMIF(基因升级!$D$141:$D$500,"&lt;"&amp;$B161,基因升级!$U$141:$U$500)</f>
        <v>0</v>
      </c>
      <c r="D161" s="4"/>
      <c r="E161" s="4"/>
      <c r="F161" s="4"/>
      <c r="G161" s="4"/>
      <c r="H161" s="4"/>
      <c r="I161" s="4"/>
      <c r="J161" s="4"/>
      <c r="K161" s="4">
        <f>SUMIF(基因升级!$D$141:$D$500,"&lt;"&amp;$B161,基因升级!J$141:J$500)</f>
        <v>2688</v>
      </c>
      <c r="L161" s="4">
        <f>SUMIF(基因升级!$D$141:$D$500,"&lt;"&amp;$B161,基因升级!K$141:K$500)</f>
        <v>1.05</v>
      </c>
      <c r="M161" s="4">
        <f>SUMIF(基因升级!$D$141:$D$500,"&lt;"&amp;$B161,基因升级!L$141:L$500)</f>
        <v>0.6</v>
      </c>
      <c r="N161" s="4">
        <f>SUMIF(基因升级!$D$141:$D$500,"&lt;"&amp;$B161,基因升级!M$141:M$500)</f>
        <v>0.04</v>
      </c>
      <c r="O161" s="4">
        <f>SUMIF(基因升级!$D$141:$D$500,"&lt;"&amp;$B161,基因升级!N$141:N$500)</f>
        <v>0.15</v>
      </c>
      <c r="R161" s="4">
        <v>155</v>
      </c>
      <c r="S161" s="4">
        <f>SUMIF(基因升级!$D$141:$D$500,"&lt;="&amp;$R161,基因升级!$U$141:$U$500)</f>
        <v>0</v>
      </c>
      <c r="T161" s="4">
        <f>SUMIF(基因升级!$D$141:$D$500,"&lt;="&amp;$R161,基因升级!J$141:J$500)</f>
        <v>9086</v>
      </c>
      <c r="U161" s="4">
        <f>SUMIF(基因升级!$D$141:$D$500,"&lt;="&amp;$R161,基因升级!K$141:K$500)</f>
        <v>1.95</v>
      </c>
      <c r="V161" s="4">
        <f>SUMIF(基因升级!$D$141:$D$500,"&lt;="&amp;$R161,基因升级!L$141:L$500)</f>
        <v>1.14</v>
      </c>
      <c r="W161" s="4">
        <f>SUMIF(基因升级!$D$141:$D$500,"&lt;="&amp;$R161,基因升级!M$141:M$500)</f>
        <v>0.0780000000000001</v>
      </c>
      <c r="X161" s="4">
        <f>SUMIF(基因升级!$D$141:$D$500,"&lt;="&amp;$R161,基因升级!N$141:N$500)</f>
        <v>0.2925</v>
      </c>
    </row>
    <row r="162" ht="16.5" spans="1:24">
      <c r="A162" s="14">
        <v>156</v>
      </c>
      <c r="B162" s="4">
        <f>IFERROR(_xlfn.XLOOKUP(A162+1,基因升级!$E$141:$E$500,基因升级!$D$141:$D$500)-1,B161)</f>
        <v>83</v>
      </c>
      <c r="C162" s="4">
        <f>SUMIF(基因升级!$D$141:$D$500,"&lt;"&amp;$B162,基因升级!$U$141:$U$500)</f>
        <v>0</v>
      </c>
      <c r="D162" s="4"/>
      <c r="E162" s="4"/>
      <c r="F162" s="4"/>
      <c r="G162" s="4"/>
      <c r="H162" s="4"/>
      <c r="I162" s="4"/>
      <c r="J162" s="4"/>
      <c r="K162" s="4">
        <f>SUMIF(基因升级!$D$141:$D$500,"&lt;"&amp;$B162,基因升级!J$141:J$500)</f>
        <v>2752</v>
      </c>
      <c r="L162" s="4">
        <f>SUMIF(基因升级!$D$141:$D$500,"&lt;"&amp;$B162,基因升级!K$141:K$500)</f>
        <v>1.05</v>
      </c>
      <c r="M162" s="4">
        <f>SUMIF(基因升级!$D$141:$D$500,"&lt;"&amp;$B162,基因升级!L$141:L$500)</f>
        <v>0.6</v>
      </c>
      <c r="N162" s="4">
        <f>SUMIF(基因升级!$D$141:$D$500,"&lt;"&amp;$B162,基因升级!M$141:M$500)</f>
        <v>0.04</v>
      </c>
      <c r="O162" s="4">
        <f>SUMIF(基因升级!$D$141:$D$500,"&lt;"&amp;$B162,基因升级!N$141:N$500)</f>
        <v>0.1575</v>
      </c>
      <c r="R162" s="4">
        <v>156</v>
      </c>
      <c r="S162" s="4">
        <f>SUMIF(基因升级!$D$141:$D$500,"&lt;="&amp;$R162,基因升级!$U$141:$U$500)</f>
        <v>0</v>
      </c>
      <c r="T162" s="4">
        <f>SUMIF(基因升级!$D$141:$D$500,"&lt;="&amp;$R162,基因升级!J$141:J$500)</f>
        <v>9192</v>
      </c>
      <c r="U162" s="4">
        <f>SUMIF(基因升级!$D$141:$D$500,"&lt;="&amp;$R162,基因升级!K$141:K$500)</f>
        <v>1.95</v>
      </c>
      <c r="V162" s="4">
        <f>SUMIF(基因升级!$D$141:$D$500,"&lt;="&amp;$R162,基因升级!L$141:L$500)</f>
        <v>1.17</v>
      </c>
      <c r="W162" s="4">
        <f>SUMIF(基因升级!$D$141:$D$500,"&lt;="&amp;$R162,基因升级!M$141:M$500)</f>
        <v>0.0780000000000001</v>
      </c>
      <c r="X162" s="4">
        <f>SUMIF(基因升级!$D$141:$D$500,"&lt;="&amp;$R162,基因升级!N$141:N$500)</f>
        <v>0.2925</v>
      </c>
    </row>
    <row r="163" ht="16.5" spans="1:24">
      <c r="A163" s="14">
        <v>157</v>
      </c>
      <c r="B163" s="4">
        <f>IFERROR(_xlfn.XLOOKUP(A163+1,基因升级!$E$141:$E$500,基因升级!$D$141:$D$500)-1,B162)</f>
        <v>83</v>
      </c>
      <c r="C163" s="4">
        <f>SUMIF(基因升级!$D$141:$D$500,"&lt;"&amp;$B163,基因升级!$U$141:$U$500)</f>
        <v>0</v>
      </c>
      <c r="D163" s="4"/>
      <c r="E163" s="4"/>
      <c r="F163" s="4"/>
      <c r="G163" s="4"/>
      <c r="H163" s="4"/>
      <c r="I163" s="4"/>
      <c r="J163" s="4"/>
      <c r="K163" s="4">
        <f>SUMIF(基因升级!$D$141:$D$500,"&lt;"&amp;$B163,基因升级!J$141:J$500)</f>
        <v>2752</v>
      </c>
      <c r="L163" s="4">
        <f>SUMIF(基因升级!$D$141:$D$500,"&lt;"&amp;$B163,基因升级!K$141:K$500)</f>
        <v>1.05</v>
      </c>
      <c r="M163" s="4">
        <f>SUMIF(基因升级!$D$141:$D$500,"&lt;"&amp;$B163,基因升级!L$141:L$500)</f>
        <v>0.6</v>
      </c>
      <c r="N163" s="4">
        <f>SUMIF(基因升级!$D$141:$D$500,"&lt;"&amp;$B163,基因升级!M$141:M$500)</f>
        <v>0.04</v>
      </c>
      <c r="O163" s="4">
        <f>SUMIF(基因升级!$D$141:$D$500,"&lt;"&amp;$B163,基因升级!N$141:N$500)</f>
        <v>0.1575</v>
      </c>
      <c r="R163" s="4">
        <v>157</v>
      </c>
      <c r="S163" s="4">
        <f>SUMIF(基因升级!$D$141:$D$500,"&lt;="&amp;$R163,基因升级!$U$141:$U$500)</f>
        <v>0</v>
      </c>
      <c r="T163" s="4">
        <f>SUMIF(基因升级!$D$141:$D$500,"&lt;="&amp;$R163,基因升级!J$141:J$500)</f>
        <v>9298</v>
      </c>
      <c r="U163" s="4">
        <f>SUMIF(基因升级!$D$141:$D$500,"&lt;="&amp;$R163,基因升级!K$141:K$500)</f>
        <v>2</v>
      </c>
      <c r="V163" s="4">
        <f>SUMIF(基因升级!$D$141:$D$500,"&lt;="&amp;$R163,基因升级!L$141:L$500)</f>
        <v>1.17</v>
      </c>
      <c r="W163" s="4">
        <f>SUMIF(基因升级!$D$141:$D$500,"&lt;="&amp;$R163,基因升级!M$141:M$500)</f>
        <v>0.0780000000000001</v>
      </c>
      <c r="X163" s="4">
        <f>SUMIF(基因升级!$D$141:$D$500,"&lt;="&amp;$R163,基因升级!N$141:N$500)</f>
        <v>0.2925</v>
      </c>
    </row>
    <row r="164" ht="16.5" spans="1:24">
      <c r="A164" s="14">
        <v>158</v>
      </c>
      <c r="B164" s="4">
        <f>IFERROR(_xlfn.XLOOKUP(A164+1,基因升级!$E$141:$E$500,基因升级!$D$141:$D$500)-1,B163)</f>
        <v>83</v>
      </c>
      <c r="C164" s="4">
        <f>SUMIF(基因升级!$D$141:$D$500,"&lt;"&amp;$B164,基因升级!$U$141:$U$500)</f>
        <v>0</v>
      </c>
      <c r="D164" s="4"/>
      <c r="E164" s="4"/>
      <c r="F164" s="4"/>
      <c r="G164" s="4"/>
      <c r="H164" s="4"/>
      <c r="I164" s="4"/>
      <c r="J164" s="4"/>
      <c r="K164" s="4">
        <f>SUMIF(基因升级!$D$141:$D$500,"&lt;"&amp;$B164,基因升级!J$141:J$500)</f>
        <v>2752</v>
      </c>
      <c r="L164" s="4">
        <f>SUMIF(基因升级!$D$141:$D$500,"&lt;"&amp;$B164,基因升级!K$141:K$500)</f>
        <v>1.05</v>
      </c>
      <c r="M164" s="4">
        <f>SUMIF(基因升级!$D$141:$D$500,"&lt;"&amp;$B164,基因升级!L$141:L$500)</f>
        <v>0.6</v>
      </c>
      <c r="N164" s="4">
        <f>SUMIF(基因升级!$D$141:$D$500,"&lt;"&amp;$B164,基因升级!M$141:M$500)</f>
        <v>0.04</v>
      </c>
      <c r="O164" s="4">
        <f>SUMIF(基因升级!$D$141:$D$500,"&lt;"&amp;$B164,基因升级!N$141:N$500)</f>
        <v>0.1575</v>
      </c>
      <c r="R164" s="4">
        <v>158</v>
      </c>
      <c r="S164" s="4">
        <f>SUMIF(基因升级!$D$141:$D$500,"&lt;="&amp;$R164,基因升级!$U$141:$U$500)</f>
        <v>0</v>
      </c>
      <c r="T164" s="4">
        <f>SUMIF(基因升级!$D$141:$D$500,"&lt;="&amp;$R164,基因升级!J$141:J$500)</f>
        <v>9404</v>
      </c>
      <c r="U164" s="4">
        <f>SUMIF(基因升级!$D$141:$D$500,"&lt;="&amp;$R164,基因升级!K$141:K$500)</f>
        <v>2</v>
      </c>
      <c r="V164" s="4">
        <f>SUMIF(基因升级!$D$141:$D$500,"&lt;="&amp;$R164,基因升级!L$141:L$500)</f>
        <v>1.17</v>
      </c>
      <c r="W164" s="4">
        <f>SUMIF(基因升级!$D$141:$D$500,"&lt;="&amp;$R164,基因升级!M$141:M$500)</f>
        <v>0.0780000000000001</v>
      </c>
      <c r="X164" s="4">
        <f>SUMIF(基因升级!$D$141:$D$500,"&lt;="&amp;$R164,基因升级!N$141:N$500)</f>
        <v>0.3</v>
      </c>
    </row>
    <row r="165" ht="16.5" spans="1:24">
      <c r="A165" s="14">
        <v>159</v>
      </c>
      <c r="B165" s="4">
        <f>IFERROR(_xlfn.XLOOKUP(A165+1,基因升级!$E$141:$E$500,基因升级!$D$141:$D$500)-1,B164)</f>
        <v>83</v>
      </c>
      <c r="C165" s="4">
        <f>SUMIF(基因升级!$D$141:$D$500,"&lt;"&amp;$B165,基因升级!$U$141:$U$500)</f>
        <v>0</v>
      </c>
      <c r="D165" s="4"/>
      <c r="E165" s="4"/>
      <c r="F165" s="4"/>
      <c r="G165" s="4"/>
      <c r="H165" s="4"/>
      <c r="I165" s="4"/>
      <c r="J165" s="4"/>
      <c r="K165" s="4">
        <f>SUMIF(基因升级!$D$141:$D$500,"&lt;"&amp;$B165,基因升级!J$141:J$500)</f>
        <v>2752</v>
      </c>
      <c r="L165" s="4">
        <f>SUMIF(基因升级!$D$141:$D$500,"&lt;"&amp;$B165,基因升级!K$141:K$500)</f>
        <v>1.05</v>
      </c>
      <c r="M165" s="4">
        <f>SUMIF(基因升级!$D$141:$D$500,"&lt;"&amp;$B165,基因升级!L$141:L$500)</f>
        <v>0.6</v>
      </c>
      <c r="N165" s="4">
        <f>SUMIF(基因升级!$D$141:$D$500,"&lt;"&amp;$B165,基因升级!M$141:M$500)</f>
        <v>0.04</v>
      </c>
      <c r="O165" s="4">
        <f>SUMIF(基因升级!$D$141:$D$500,"&lt;"&amp;$B165,基因升级!N$141:N$500)</f>
        <v>0.1575</v>
      </c>
      <c r="R165" s="4">
        <v>159</v>
      </c>
      <c r="S165" s="4">
        <f>SUMIF(基因升级!$D$141:$D$500,"&lt;="&amp;$R165,基因升级!$U$141:$U$500)</f>
        <v>0</v>
      </c>
      <c r="T165" s="4">
        <f>SUMIF(基因升级!$D$141:$D$500,"&lt;="&amp;$R165,基因升级!J$141:J$500)</f>
        <v>9510</v>
      </c>
      <c r="U165" s="4">
        <f>SUMIF(基因升级!$D$141:$D$500,"&lt;="&amp;$R165,基因升级!K$141:K$500)</f>
        <v>2</v>
      </c>
      <c r="V165" s="4">
        <f>SUMIF(基因升级!$D$141:$D$500,"&lt;="&amp;$R165,基因升级!L$141:L$500)</f>
        <v>1.17</v>
      </c>
      <c r="W165" s="4">
        <f>SUMIF(基因升级!$D$141:$D$500,"&lt;="&amp;$R165,基因升级!M$141:M$500)</f>
        <v>0.0800000000000001</v>
      </c>
      <c r="X165" s="4">
        <f>SUMIF(基因升级!$D$141:$D$500,"&lt;="&amp;$R165,基因升级!N$141:N$500)</f>
        <v>0.3</v>
      </c>
    </row>
    <row r="166" ht="16.5" spans="1:24">
      <c r="A166" s="14">
        <v>160</v>
      </c>
      <c r="B166" s="4">
        <f>IFERROR(_xlfn.XLOOKUP(A166+1,基因升级!$E$141:$E$500,基因升级!$D$141:$D$500)-1,B165)</f>
        <v>83</v>
      </c>
      <c r="C166" s="4">
        <f>SUMIF(基因升级!$D$141:$D$500,"&lt;"&amp;$B166,基因升级!$U$141:$U$500)</f>
        <v>0</v>
      </c>
      <c r="D166" s="4"/>
      <c r="E166" s="4"/>
      <c r="F166" s="4"/>
      <c r="G166" s="4"/>
      <c r="H166" s="4"/>
      <c r="I166" s="4"/>
      <c r="J166" s="4"/>
      <c r="K166" s="4">
        <f>SUMIF(基因升级!$D$141:$D$500,"&lt;"&amp;$B166,基因升级!J$141:J$500)</f>
        <v>2752</v>
      </c>
      <c r="L166" s="4">
        <f>SUMIF(基因升级!$D$141:$D$500,"&lt;"&amp;$B166,基因升级!K$141:K$500)</f>
        <v>1.05</v>
      </c>
      <c r="M166" s="4">
        <f>SUMIF(基因升级!$D$141:$D$500,"&lt;"&amp;$B166,基因升级!L$141:L$500)</f>
        <v>0.6</v>
      </c>
      <c r="N166" s="4">
        <f>SUMIF(基因升级!$D$141:$D$500,"&lt;"&amp;$B166,基因升级!M$141:M$500)</f>
        <v>0.04</v>
      </c>
      <c r="O166" s="4">
        <f>SUMIF(基因升级!$D$141:$D$500,"&lt;"&amp;$B166,基因升级!N$141:N$500)</f>
        <v>0.1575</v>
      </c>
      <c r="R166" s="4">
        <v>160</v>
      </c>
      <c r="S166" s="4">
        <f>SUMIF(基因升级!$D$141:$D$500,"&lt;="&amp;$R166,基因升级!$U$141:$U$500)</f>
        <v>0</v>
      </c>
      <c r="T166" s="4">
        <f>SUMIF(基因升级!$D$141:$D$500,"&lt;="&amp;$R166,基因升级!J$141:J$500)</f>
        <v>9616</v>
      </c>
      <c r="U166" s="4">
        <f>SUMIF(基因升级!$D$141:$D$500,"&lt;="&amp;$R166,基因升级!K$141:K$500)</f>
        <v>2</v>
      </c>
      <c r="V166" s="4">
        <f>SUMIF(基因升级!$D$141:$D$500,"&lt;="&amp;$R166,基因升级!L$141:L$500)</f>
        <v>1.2</v>
      </c>
      <c r="W166" s="4">
        <f>SUMIF(基因升级!$D$141:$D$500,"&lt;="&amp;$R166,基因升级!M$141:M$500)</f>
        <v>0.0800000000000001</v>
      </c>
      <c r="X166" s="4">
        <f>SUMIF(基因升级!$D$141:$D$500,"&lt;="&amp;$R166,基因升级!N$141:N$500)</f>
        <v>0.3</v>
      </c>
    </row>
    <row r="167" ht="16.5" spans="1:24">
      <c r="A167" s="14">
        <v>161</v>
      </c>
      <c r="B167" s="4">
        <f>IFERROR(_xlfn.XLOOKUP(A167+1,基因升级!$E$141:$E$500,基因升级!$D$141:$D$500)-1,B166)</f>
        <v>83</v>
      </c>
      <c r="C167" s="4">
        <f>SUMIF(基因升级!$D$141:$D$500,"&lt;"&amp;$B167,基因升级!$U$141:$U$500)</f>
        <v>0</v>
      </c>
      <c r="D167" s="4"/>
      <c r="E167" s="4"/>
      <c r="F167" s="4"/>
      <c r="G167" s="4"/>
      <c r="H167" s="4"/>
      <c r="I167" s="4"/>
      <c r="J167" s="4"/>
      <c r="K167" s="4">
        <f>SUMIF(基因升级!$D$141:$D$500,"&lt;"&amp;$B167,基因升级!J$141:J$500)</f>
        <v>2752</v>
      </c>
      <c r="L167" s="4">
        <f>SUMIF(基因升级!$D$141:$D$500,"&lt;"&amp;$B167,基因升级!K$141:K$500)</f>
        <v>1.05</v>
      </c>
      <c r="M167" s="4">
        <f>SUMIF(基因升级!$D$141:$D$500,"&lt;"&amp;$B167,基因升级!L$141:L$500)</f>
        <v>0.6</v>
      </c>
      <c r="N167" s="4">
        <f>SUMIF(基因升级!$D$141:$D$500,"&lt;"&amp;$B167,基因升级!M$141:M$500)</f>
        <v>0.04</v>
      </c>
      <c r="O167" s="4">
        <f>SUMIF(基因升级!$D$141:$D$500,"&lt;"&amp;$B167,基因升级!N$141:N$500)</f>
        <v>0.1575</v>
      </c>
      <c r="R167" s="4">
        <v>161</v>
      </c>
      <c r="S167" s="4">
        <f>SUMIF(基因升级!$D$141:$D$500,"&lt;="&amp;$R167,基因升级!$U$141:$U$500)</f>
        <v>0</v>
      </c>
      <c r="T167" s="4">
        <f>SUMIF(基因升级!$D$141:$D$500,"&lt;="&amp;$R167,基因升级!J$141:J$500)</f>
        <v>9722</v>
      </c>
      <c r="U167" s="4">
        <f>SUMIF(基因升级!$D$141:$D$500,"&lt;="&amp;$R167,基因升级!K$141:K$500)</f>
        <v>2.05</v>
      </c>
      <c r="V167" s="4">
        <f>SUMIF(基因升级!$D$141:$D$500,"&lt;="&amp;$R167,基因升级!L$141:L$500)</f>
        <v>1.2</v>
      </c>
      <c r="W167" s="4">
        <f>SUMIF(基因升级!$D$141:$D$500,"&lt;="&amp;$R167,基因升级!M$141:M$500)</f>
        <v>0.0800000000000001</v>
      </c>
      <c r="X167" s="4">
        <f>SUMIF(基因升级!$D$141:$D$500,"&lt;="&amp;$R167,基因升级!N$141:N$500)</f>
        <v>0.3</v>
      </c>
    </row>
    <row r="168" ht="16.5" spans="1:24">
      <c r="A168" s="14">
        <v>162</v>
      </c>
      <c r="B168" s="4">
        <f>IFERROR(_xlfn.XLOOKUP(A168+1,基因升级!$E$141:$E$500,基因升级!$D$141:$D$500)-1,B167)</f>
        <v>83</v>
      </c>
      <c r="C168" s="4">
        <f>SUMIF(基因升级!$D$141:$D$500,"&lt;"&amp;$B168,基因升级!$U$141:$U$500)</f>
        <v>0</v>
      </c>
      <c r="D168" s="4"/>
      <c r="E168" s="4"/>
      <c r="F168" s="4"/>
      <c r="G168" s="4"/>
      <c r="H168" s="4"/>
      <c r="I168" s="4"/>
      <c r="J168" s="4"/>
      <c r="K168" s="4">
        <f>SUMIF(基因升级!$D$141:$D$500,"&lt;"&amp;$B168,基因升级!J$141:J$500)</f>
        <v>2752</v>
      </c>
      <c r="L168" s="4">
        <f>SUMIF(基因升级!$D$141:$D$500,"&lt;"&amp;$B168,基因升级!K$141:K$500)</f>
        <v>1.05</v>
      </c>
      <c r="M168" s="4">
        <f>SUMIF(基因升级!$D$141:$D$500,"&lt;"&amp;$B168,基因升级!L$141:L$500)</f>
        <v>0.6</v>
      </c>
      <c r="N168" s="4">
        <f>SUMIF(基因升级!$D$141:$D$500,"&lt;"&amp;$B168,基因升级!M$141:M$500)</f>
        <v>0.04</v>
      </c>
      <c r="O168" s="4">
        <f>SUMIF(基因升级!$D$141:$D$500,"&lt;"&amp;$B168,基因升级!N$141:N$500)</f>
        <v>0.1575</v>
      </c>
      <c r="R168" s="4">
        <v>162</v>
      </c>
      <c r="S168" s="4">
        <f>SUMIF(基因升级!$D$141:$D$500,"&lt;="&amp;$R168,基因升级!$U$141:$U$500)</f>
        <v>0</v>
      </c>
      <c r="T168" s="4">
        <f>SUMIF(基因升级!$D$141:$D$500,"&lt;="&amp;$R168,基因升级!J$141:J$500)</f>
        <v>9828</v>
      </c>
      <c r="U168" s="4">
        <f>SUMIF(基因升级!$D$141:$D$500,"&lt;="&amp;$R168,基因升级!K$141:K$500)</f>
        <v>2.05</v>
      </c>
      <c r="V168" s="4">
        <f>SUMIF(基因升级!$D$141:$D$500,"&lt;="&amp;$R168,基因升级!L$141:L$500)</f>
        <v>1.2</v>
      </c>
      <c r="W168" s="4">
        <f>SUMIF(基因升级!$D$141:$D$500,"&lt;="&amp;$R168,基因升级!M$141:M$500)</f>
        <v>0.0800000000000001</v>
      </c>
      <c r="X168" s="4">
        <f>SUMIF(基因升级!$D$141:$D$500,"&lt;="&amp;$R168,基因升级!N$141:N$500)</f>
        <v>0.3075</v>
      </c>
    </row>
    <row r="169" ht="16.5" spans="1:24">
      <c r="A169" s="14">
        <v>163</v>
      </c>
      <c r="B169" s="4">
        <f>IFERROR(_xlfn.XLOOKUP(A169+1,基因升级!$E$141:$E$500,基因升级!$D$141:$D$500)-1,B168)</f>
        <v>84</v>
      </c>
      <c r="C169" s="4">
        <f>SUMIF(基因升级!$D$141:$D$500,"&lt;"&amp;$B169,基因升级!$U$141:$U$500)</f>
        <v>0</v>
      </c>
      <c r="D169" s="4"/>
      <c r="E169" s="4"/>
      <c r="F169" s="4"/>
      <c r="G169" s="4"/>
      <c r="H169" s="4"/>
      <c r="I169" s="4"/>
      <c r="J169" s="4"/>
      <c r="K169" s="4">
        <f>SUMIF(基因升级!$D$141:$D$500,"&lt;"&amp;$B169,基因升级!J$141:J$500)</f>
        <v>2816</v>
      </c>
      <c r="L169" s="4">
        <f>SUMIF(基因升级!$D$141:$D$500,"&lt;"&amp;$B169,基因升级!K$141:K$500)</f>
        <v>1.05</v>
      </c>
      <c r="M169" s="4">
        <f>SUMIF(基因升级!$D$141:$D$500,"&lt;"&amp;$B169,基因升级!L$141:L$500)</f>
        <v>0.6</v>
      </c>
      <c r="N169" s="4">
        <f>SUMIF(基因升级!$D$141:$D$500,"&lt;"&amp;$B169,基因升级!M$141:M$500)</f>
        <v>0.042</v>
      </c>
      <c r="O169" s="4">
        <f>SUMIF(基因升级!$D$141:$D$500,"&lt;"&amp;$B169,基因升级!N$141:N$500)</f>
        <v>0.1575</v>
      </c>
      <c r="R169" s="4">
        <v>163</v>
      </c>
      <c r="S169" s="4">
        <f>SUMIF(基因升级!$D$141:$D$500,"&lt;="&amp;$R169,基因升级!$U$141:$U$500)</f>
        <v>0</v>
      </c>
      <c r="T169" s="4">
        <f>SUMIF(基因升级!$D$141:$D$500,"&lt;="&amp;$R169,基因升级!J$141:J$500)</f>
        <v>9934</v>
      </c>
      <c r="U169" s="4">
        <f>SUMIF(基因升级!$D$141:$D$500,"&lt;="&amp;$R169,基因升级!K$141:K$500)</f>
        <v>2.05</v>
      </c>
      <c r="V169" s="4">
        <f>SUMIF(基因升级!$D$141:$D$500,"&lt;="&amp;$R169,基因升级!L$141:L$500)</f>
        <v>1.2</v>
      </c>
      <c r="W169" s="4">
        <f>SUMIF(基因升级!$D$141:$D$500,"&lt;="&amp;$R169,基因升级!M$141:M$500)</f>
        <v>0.0820000000000001</v>
      </c>
      <c r="X169" s="4">
        <f>SUMIF(基因升级!$D$141:$D$500,"&lt;="&amp;$R169,基因升级!N$141:N$500)</f>
        <v>0.3075</v>
      </c>
    </row>
    <row r="170" ht="16.5" spans="1:24">
      <c r="A170" s="14">
        <v>164</v>
      </c>
      <c r="B170" s="4">
        <f>IFERROR(_xlfn.XLOOKUP(A170+1,基因升级!$E$141:$E$500,基因升级!$D$141:$D$500)-1,B169)</f>
        <v>84</v>
      </c>
      <c r="C170" s="4">
        <f>SUMIF(基因升级!$D$141:$D$500,"&lt;"&amp;$B170,基因升级!$U$141:$U$500)</f>
        <v>0</v>
      </c>
      <c r="D170" s="4"/>
      <c r="E170" s="4"/>
      <c r="F170" s="4"/>
      <c r="G170" s="4"/>
      <c r="H170" s="4"/>
      <c r="I170" s="4"/>
      <c r="J170" s="4"/>
      <c r="K170" s="4">
        <f>SUMIF(基因升级!$D$141:$D$500,"&lt;"&amp;$B170,基因升级!J$141:J$500)</f>
        <v>2816</v>
      </c>
      <c r="L170" s="4">
        <f>SUMIF(基因升级!$D$141:$D$500,"&lt;"&amp;$B170,基因升级!K$141:K$500)</f>
        <v>1.05</v>
      </c>
      <c r="M170" s="4">
        <f>SUMIF(基因升级!$D$141:$D$500,"&lt;"&amp;$B170,基因升级!L$141:L$500)</f>
        <v>0.6</v>
      </c>
      <c r="N170" s="4">
        <f>SUMIF(基因升级!$D$141:$D$500,"&lt;"&amp;$B170,基因升级!M$141:M$500)</f>
        <v>0.042</v>
      </c>
      <c r="O170" s="4">
        <f>SUMIF(基因升级!$D$141:$D$500,"&lt;"&amp;$B170,基因升级!N$141:N$500)</f>
        <v>0.1575</v>
      </c>
      <c r="R170" s="4">
        <v>164</v>
      </c>
      <c r="S170" s="4">
        <f>SUMIF(基因升级!$D$141:$D$500,"&lt;="&amp;$R170,基因升级!$U$141:$U$500)</f>
        <v>0</v>
      </c>
      <c r="T170" s="4">
        <f>SUMIF(基因升级!$D$141:$D$500,"&lt;="&amp;$R170,基因升级!J$141:J$500)</f>
        <v>10040</v>
      </c>
      <c r="U170" s="4">
        <f>SUMIF(基因升级!$D$141:$D$500,"&lt;="&amp;$R170,基因升级!K$141:K$500)</f>
        <v>2.05</v>
      </c>
      <c r="V170" s="4">
        <f>SUMIF(基因升级!$D$141:$D$500,"&lt;="&amp;$R170,基因升级!L$141:L$500)</f>
        <v>1.23</v>
      </c>
      <c r="W170" s="4">
        <f>SUMIF(基因升级!$D$141:$D$500,"&lt;="&amp;$R170,基因升级!M$141:M$500)</f>
        <v>0.0820000000000001</v>
      </c>
      <c r="X170" s="4">
        <f>SUMIF(基因升级!$D$141:$D$500,"&lt;="&amp;$R170,基因升级!N$141:N$500)</f>
        <v>0.3075</v>
      </c>
    </row>
    <row r="171" ht="16.5" spans="1:24">
      <c r="A171" s="14">
        <v>165</v>
      </c>
      <c r="B171" s="4">
        <f>IFERROR(_xlfn.XLOOKUP(A171+1,基因升级!$E$141:$E$500,基因升级!$D$141:$D$500)-1,B170)</f>
        <v>84</v>
      </c>
      <c r="C171" s="4">
        <f>SUMIF(基因升级!$D$141:$D$500,"&lt;"&amp;$B171,基因升级!$U$141:$U$500)</f>
        <v>0</v>
      </c>
      <c r="D171" s="4"/>
      <c r="E171" s="4"/>
      <c r="F171" s="4"/>
      <c r="G171" s="4"/>
      <c r="H171" s="4"/>
      <c r="I171" s="4"/>
      <c r="J171" s="4"/>
      <c r="K171" s="4">
        <f>SUMIF(基因升级!$D$141:$D$500,"&lt;"&amp;$B171,基因升级!J$141:J$500)</f>
        <v>2816</v>
      </c>
      <c r="L171" s="4">
        <f>SUMIF(基因升级!$D$141:$D$500,"&lt;"&amp;$B171,基因升级!K$141:K$500)</f>
        <v>1.05</v>
      </c>
      <c r="M171" s="4">
        <f>SUMIF(基因升级!$D$141:$D$500,"&lt;"&amp;$B171,基因升级!L$141:L$500)</f>
        <v>0.6</v>
      </c>
      <c r="N171" s="4">
        <f>SUMIF(基因升级!$D$141:$D$500,"&lt;"&amp;$B171,基因升级!M$141:M$500)</f>
        <v>0.042</v>
      </c>
      <c r="O171" s="4">
        <f>SUMIF(基因升级!$D$141:$D$500,"&lt;"&amp;$B171,基因升级!N$141:N$500)</f>
        <v>0.1575</v>
      </c>
      <c r="R171" s="4">
        <v>165</v>
      </c>
      <c r="S171" s="4">
        <f>SUMIF(基因升级!$D$141:$D$500,"&lt;="&amp;$R171,基因升级!$U$141:$U$500)</f>
        <v>0</v>
      </c>
      <c r="T171" s="4">
        <f>SUMIF(基因升级!$D$141:$D$500,"&lt;="&amp;$R171,基因升级!J$141:J$500)</f>
        <v>10146</v>
      </c>
      <c r="U171" s="4">
        <f>SUMIF(基因升级!$D$141:$D$500,"&lt;="&amp;$R171,基因升级!K$141:K$500)</f>
        <v>2.1</v>
      </c>
      <c r="V171" s="4">
        <f>SUMIF(基因升级!$D$141:$D$500,"&lt;="&amp;$R171,基因升级!L$141:L$500)</f>
        <v>1.23</v>
      </c>
      <c r="W171" s="4">
        <f>SUMIF(基因升级!$D$141:$D$500,"&lt;="&amp;$R171,基因升级!M$141:M$500)</f>
        <v>0.0820000000000001</v>
      </c>
      <c r="X171" s="4">
        <f>SUMIF(基因升级!$D$141:$D$500,"&lt;="&amp;$R171,基因升级!N$141:N$500)</f>
        <v>0.3075</v>
      </c>
    </row>
    <row r="172" ht="16.5" spans="1:24">
      <c r="A172" s="14">
        <v>166</v>
      </c>
      <c r="B172" s="4">
        <f>IFERROR(_xlfn.XLOOKUP(A172+1,基因升级!$E$141:$E$500,基因升级!$D$141:$D$500)-1,B171)</f>
        <v>84</v>
      </c>
      <c r="C172" s="4">
        <f>SUMIF(基因升级!$D$141:$D$500,"&lt;"&amp;$B172,基因升级!$U$141:$U$500)</f>
        <v>0</v>
      </c>
      <c r="D172" s="4"/>
      <c r="E172" s="4"/>
      <c r="F172" s="4"/>
      <c r="G172" s="4"/>
      <c r="H172" s="4"/>
      <c r="I172" s="4"/>
      <c r="J172" s="4"/>
      <c r="K172" s="4">
        <f>SUMIF(基因升级!$D$141:$D$500,"&lt;"&amp;$B172,基因升级!J$141:J$500)</f>
        <v>2816</v>
      </c>
      <c r="L172" s="4">
        <f>SUMIF(基因升级!$D$141:$D$500,"&lt;"&amp;$B172,基因升级!K$141:K$500)</f>
        <v>1.05</v>
      </c>
      <c r="M172" s="4">
        <f>SUMIF(基因升级!$D$141:$D$500,"&lt;"&amp;$B172,基因升级!L$141:L$500)</f>
        <v>0.6</v>
      </c>
      <c r="N172" s="4">
        <f>SUMIF(基因升级!$D$141:$D$500,"&lt;"&amp;$B172,基因升级!M$141:M$500)</f>
        <v>0.042</v>
      </c>
      <c r="O172" s="4">
        <f>SUMIF(基因升级!$D$141:$D$500,"&lt;"&amp;$B172,基因升级!N$141:N$500)</f>
        <v>0.1575</v>
      </c>
      <c r="R172" s="4">
        <v>166</v>
      </c>
      <c r="S172" s="4">
        <f>SUMIF(基因升级!$D$141:$D$500,"&lt;="&amp;$R172,基因升级!$U$141:$U$500)</f>
        <v>0</v>
      </c>
      <c r="T172" s="4">
        <f>SUMIF(基因升级!$D$141:$D$500,"&lt;="&amp;$R172,基因升级!J$141:J$500)</f>
        <v>10252</v>
      </c>
      <c r="U172" s="4">
        <f>SUMIF(基因升级!$D$141:$D$500,"&lt;="&amp;$R172,基因升级!K$141:K$500)</f>
        <v>2.1</v>
      </c>
      <c r="V172" s="4">
        <f>SUMIF(基因升级!$D$141:$D$500,"&lt;="&amp;$R172,基因升级!L$141:L$500)</f>
        <v>1.23</v>
      </c>
      <c r="W172" s="4">
        <f>SUMIF(基因升级!$D$141:$D$500,"&lt;="&amp;$R172,基因升级!M$141:M$500)</f>
        <v>0.0820000000000001</v>
      </c>
      <c r="X172" s="4">
        <f>SUMIF(基因升级!$D$141:$D$500,"&lt;="&amp;$R172,基因升级!N$141:N$500)</f>
        <v>0.315</v>
      </c>
    </row>
    <row r="173" ht="16.5" spans="1:24">
      <c r="A173" s="14">
        <v>167</v>
      </c>
      <c r="B173" s="4">
        <f>IFERROR(_xlfn.XLOOKUP(A173+1,基因升级!$E$141:$E$500,基因升级!$D$141:$D$500)-1,B172)</f>
        <v>84</v>
      </c>
      <c r="C173" s="4">
        <f>SUMIF(基因升级!$D$141:$D$500,"&lt;"&amp;$B173,基因升级!$U$141:$U$500)</f>
        <v>0</v>
      </c>
      <c r="D173" s="4"/>
      <c r="E173" s="4"/>
      <c r="F173" s="4"/>
      <c r="G173" s="4"/>
      <c r="H173" s="4"/>
      <c r="I173" s="4"/>
      <c r="J173" s="4"/>
      <c r="K173" s="4">
        <f>SUMIF(基因升级!$D$141:$D$500,"&lt;"&amp;$B173,基因升级!J$141:J$500)</f>
        <v>2816</v>
      </c>
      <c r="L173" s="4">
        <f>SUMIF(基因升级!$D$141:$D$500,"&lt;"&amp;$B173,基因升级!K$141:K$500)</f>
        <v>1.05</v>
      </c>
      <c r="M173" s="4">
        <f>SUMIF(基因升级!$D$141:$D$500,"&lt;"&amp;$B173,基因升级!L$141:L$500)</f>
        <v>0.6</v>
      </c>
      <c r="N173" s="4">
        <f>SUMIF(基因升级!$D$141:$D$500,"&lt;"&amp;$B173,基因升级!M$141:M$500)</f>
        <v>0.042</v>
      </c>
      <c r="O173" s="4">
        <f>SUMIF(基因升级!$D$141:$D$500,"&lt;"&amp;$B173,基因升级!N$141:N$500)</f>
        <v>0.1575</v>
      </c>
      <c r="R173" s="4">
        <v>167</v>
      </c>
      <c r="S173" s="4">
        <f>SUMIF(基因升级!$D$141:$D$500,"&lt;="&amp;$R173,基因升级!$U$141:$U$500)</f>
        <v>0</v>
      </c>
      <c r="T173" s="4">
        <f>SUMIF(基因升级!$D$141:$D$500,"&lt;="&amp;$R173,基因升级!J$141:J$500)</f>
        <v>10358</v>
      </c>
      <c r="U173" s="4">
        <f>SUMIF(基因升级!$D$141:$D$500,"&lt;="&amp;$R173,基因升级!K$141:K$500)</f>
        <v>2.1</v>
      </c>
      <c r="V173" s="4">
        <f>SUMIF(基因升级!$D$141:$D$500,"&lt;="&amp;$R173,基因升级!L$141:L$500)</f>
        <v>1.23</v>
      </c>
      <c r="W173" s="4">
        <f>SUMIF(基因升级!$D$141:$D$500,"&lt;="&amp;$R173,基因升级!M$141:M$500)</f>
        <v>0.0840000000000001</v>
      </c>
      <c r="X173" s="4">
        <f>SUMIF(基因升级!$D$141:$D$500,"&lt;="&amp;$R173,基因升级!N$141:N$500)</f>
        <v>0.315</v>
      </c>
    </row>
    <row r="174" ht="16.5" spans="1:24">
      <c r="A174" s="14">
        <v>168</v>
      </c>
      <c r="B174" s="4">
        <f>IFERROR(_xlfn.XLOOKUP(A174+1,基因升级!$E$141:$E$500,基因升级!$D$141:$D$500)-1,B173)</f>
        <v>84</v>
      </c>
      <c r="C174" s="4">
        <f>SUMIF(基因升级!$D$141:$D$500,"&lt;"&amp;$B174,基因升级!$U$141:$U$500)</f>
        <v>0</v>
      </c>
      <c r="D174" s="4"/>
      <c r="E174" s="4"/>
      <c r="F174" s="4"/>
      <c r="G174" s="4"/>
      <c r="H174" s="4"/>
      <c r="I174" s="4"/>
      <c r="J174" s="4"/>
      <c r="K174" s="4">
        <f>SUMIF(基因升级!$D$141:$D$500,"&lt;"&amp;$B174,基因升级!J$141:J$500)</f>
        <v>2816</v>
      </c>
      <c r="L174" s="4">
        <f>SUMIF(基因升级!$D$141:$D$500,"&lt;"&amp;$B174,基因升级!K$141:K$500)</f>
        <v>1.05</v>
      </c>
      <c r="M174" s="4">
        <f>SUMIF(基因升级!$D$141:$D$500,"&lt;"&amp;$B174,基因升级!L$141:L$500)</f>
        <v>0.6</v>
      </c>
      <c r="N174" s="4">
        <f>SUMIF(基因升级!$D$141:$D$500,"&lt;"&amp;$B174,基因升级!M$141:M$500)</f>
        <v>0.042</v>
      </c>
      <c r="O174" s="4">
        <f>SUMIF(基因升级!$D$141:$D$500,"&lt;"&amp;$B174,基因升级!N$141:N$500)</f>
        <v>0.1575</v>
      </c>
      <c r="R174" s="4">
        <v>168</v>
      </c>
      <c r="S174" s="4">
        <f>SUMIF(基因升级!$D$141:$D$500,"&lt;="&amp;$R174,基因升级!$U$141:$U$500)</f>
        <v>0</v>
      </c>
      <c r="T174" s="4">
        <f>SUMIF(基因升级!$D$141:$D$500,"&lt;="&amp;$R174,基因升级!J$141:J$500)</f>
        <v>10464</v>
      </c>
      <c r="U174" s="4">
        <f>SUMIF(基因升级!$D$141:$D$500,"&lt;="&amp;$R174,基因升级!K$141:K$500)</f>
        <v>2.1</v>
      </c>
      <c r="V174" s="4">
        <f>SUMIF(基因升级!$D$141:$D$500,"&lt;="&amp;$R174,基因升级!L$141:L$500)</f>
        <v>1.26</v>
      </c>
      <c r="W174" s="4">
        <f>SUMIF(基因升级!$D$141:$D$500,"&lt;="&amp;$R174,基因升级!M$141:M$500)</f>
        <v>0.0840000000000001</v>
      </c>
      <c r="X174" s="4">
        <f>SUMIF(基因升级!$D$141:$D$500,"&lt;="&amp;$R174,基因升级!N$141:N$500)</f>
        <v>0.315</v>
      </c>
    </row>
    <row r="175" ht="16.5" spans="1:24">
      <c r="A175" s="14">
        <v>169</v>
      </c>
      <c r="B175" s="4">
        <f>IFERROR(_xlfn.XLOOKUP(A175+1,基因升级!$E$141:$E$500,基因升级!$D$141:$D$500)-1,B174)</f>
        <v>84</v>
      </c>
      <c r="C175" s="4">
        <f>SUMIF(基因升级!$D$141:$D$500,"&lt;"&amp;$B175,基因升级!$U$141:$U$500)</f>
        <v>0</v>
      </c>
      <c r="D175" s="4"/>
      <c r="E175" s="4"/>
      <c r="F175" s="4"/>
      <c r="G175" s="4"/>
      <c r="H175" s="4"/>
      <c r="I175" s="4"/>
      <c r="J175" s="4"/>
      <c r="K175" s="4">
        <f>SUMIF(基因升级!$D$141:$D$500,"&lt;"&amp;$B175,基因升级!J$141:J$500)</f>
        <v>2816</v>
      </c>
      <c r="L175" s="4">
        <f>SUMIF(基因升级!$D$141:$D$500,"&lt;"&amp;$B175,基因升级!K$141:K$500)</f>
        <v>1.05</v>
      </c>
      <c r="M175" s="4">
        <f>SUMIF(基因升级!$D$141:$D$500,"&lt;"&amp;$B175,基因升级!L$141:L$500)</f>
        <v>0.6</v>
      </c>
      <c r="N175" s="4">
        <f>SUMIF(基因升级!$D$141:$D$500,"&lt;"&amp;$B175,基因升级!M$141:M$500)</f>
        <v>0.042</v>
      </c>
      <c r="O175" s="4">
        <f>SUMIF(基因升级!$D$141:$D$500,"&lt;"&amp;$B175,基因升级!N$141:N$500)</f>
        <v>0.1575</v>
      </c>
      <c r="R175" s="4">
        <v>169</v>
      </c>
      <c r="S175" s="4">
        <f>SUMIF(基因升级!$D$141:$D$500,"&lt;="&amp;$R175,基因升级!$U$141:$U$500)</f>
        <v>0</v>
      </c>
      <c r="T175" s="4">
        <f>SUMIF(基因升级!$D$141:$D$500,"&lt;="&amp;$R175,基因升级!J$141:J$500)</f>
        <v>10574</v>
      </c>
      <c r="U175" s="4">
        <f>SUMIF(基因升级!$D$141:$D$500,"&lt;="&amp;$R175,基因升级!K$141:K$500)</f>
        <v>2.15</v>
      </c>
      <c r="V175" s="4">
        <f>SUMIF(基因升级!$D$141:$D$500,"&lt;="&amp;$R175,基因升级!L$141:L$500)</f>
        <v>1.26</v>
      </c>
      <c r="W175" s="4">
        <f>SUMIF(基因升级!$D$141:$D$500,"&lt;="&amp;$R175,基因升级!M$141:M$500)</f>
        <v>0.0840000000000001</v>
      </c>
      <c r="X175" s="4">
        <f>SUMIF(基因升级!$D$141:$D$500,"&lt;="&amp;$R175,基因升级!N$141:N$500)</f>
        <v>0.315</v>
      </c>
    </row>
    <row r="176" ht="16.5" spans="1:24">
      <c r="A176" s="14">
        <v>170</v>
      </c>
      <c r="B176" s="4">
        <f>IFERROR(_xlfn.XLOOKUP(A176+1,基因升级!$E$141:$E$500,基因升级!$D$141:$D$500)-1,B175)</f>
        <v>85</v>
      </c>
      <c r="C176" s="4">
        <f>SUMIF(基因升级!$D$141:$D$500,"&lt;"&amp;$B176,基因升级!$U$141:$U$500)</f>
        <v>0</v>
      </c>
      <c r="D176" s="4"/>
      <c r="E176" s="4"/>
      <c r="F176" s="4"/>
      <c r="G176" s="4"/>
      <c r="H176" s="4"/>
      <c r="I176" s="4"/>
      <c r="J176" s="4"/>
      <c r="K176" s="4">
        <f>SUMIF(基因升级!$D$141:$D$500,"&lt;"&amp;$B176,基因升级!J$141:J$500)</f>
        <v>2880</v>
      </c>
      <c r="L176" s="4">
        <f>SUMIF(基因升级!$D$141:$D$500,"&lt;"&amp;$B176,基因升级!K$141:K$500)</f>
        <v>1.05</v>
      </c>
      <c r="M176" s="4">
        <f>SUMIF(基因升级!$D$141:$D$500,"&lt;"&amp;$B176,基因升级!L$141:L$500)</f>
        <v>0.63</v>
      </c>
      <c r="N176" s="4">
        <f>SUMIF(基因升级!$D$141:$D$500,"&lt;"&amp;$B176,基因升级!M$141:M$500)</f>
        <v>0.042</v>
      </c>
      <c r="O176" s="4">
        <f>SUMIF(基因升级!$D$141:$D$500,"&lt;"&amp;$B176,基因升级!N$141:N$500)</f>
        <v>0.1575</v>
      </c>
      <c r="R176" s="4">
        <v>170</v>
      </c>
      <c r="S176" s="4">
        <f>SUMIF(基因升级!$D$141:$D$500,"&lt;="&amp;$R176,基因升级!$U$141:$U$500)</f>
        <v>0</v>
      </c>
      <c r="T176" s="4">
        <f>SUMIF(基因升级!$D$141:$D$500,"&lt;="&amp;$R176,基因升级!J$141:J$500)</f>
        <v>10684</v>
      </c>
      <c r="U176" s="4">
        <f>SUMIF(基因升级!$D$141:$D$500,"&lt;="&amp;$R176,基因升级!K$141:K$500)</f>
        <v>2.15</v>
      </c>
      <c r="V176" s="4">
        <f>SUMIF(基因升级!$D$141:$D$500,"&lt;="&amp;$R176,基因升级!L$141:L$500)</f>
        <v>1.26</v>
      </c>
      <c r="W176" s="4">
        <f>SUMIF(基因升级!$D$141:$D$500,"&lt;="&amp;$R176,基因升级!M$141:M$500)</f>
        <v>0.0840000000000001</v>
      </c>
      <c r="X176" s="4">
        <f>SUMIF(基因升级!$D$141:$D$500,"&lt;="&amp;$R176,基因升级!N$141:N$500)</f>
        <v>0.3225</v>
      </c>
    </row>
    <row r="177" ht="16.5" spans="1:24">
      <c r="A177" s="14">
        <v>171</v>
      </c>
      <c r="B177" s="4">
        <f>IFERROR(_xlfn.XLOOKUP(A177+1,基因升级!$E$141:$E$500,基因升级!$D$141:$D$500)-1,B176)</f>
        <v>85</v>
      </c>
      <c r="C177" s="4">
        <f>SUMIF(基因升级!$D$141:$D$500,"&lt;"&amp;$B177,基因升级!$U$141:$U$500)</f>
        <v>0</v>
      </c>
      <c r="D177" s="4"/>
      <c r="E177" s="4"/>
      <c r="F177" s="4"/>
      <c r="G177" s="4"/>
      <c r="H177" s="4"/>
      <c r="I177" s="4"/>
      <c r="J177" s="4"/>
      <c r="K177" s="4">
        <f>SUMIF(基因升级!$D$141:$D$500,"&lt;"&amp;$B177,基因升级!J$141:J$500)</f>
        <v>2880</v>
      </c>
      <c r="L177" s="4">
        <f>SUMIF(基因升级!$D$141:$D$500,"&lt;"&amp;$B177,基因升级!K$141:K$500)</f>
        <v>1.05</v>
      </c>
      <c r="M177" s="4">
        <f>SUMIF(基因升级!$D$141:$D$500,"&lt;"&amp;$B177,基因升级!L$141:L$500)</f>
        <v>0.63</v>
      </c>
      <c r="N177" s="4">
        <f>SUMIF(基因升级!$D$141:$D$500,"&lt;"&amp;$B177,基因升级!M$141:M$500)</f>
        <v>0.042</v>
      </c>
      <c r="O177" s="4">
        <f>SUMIF(基因升级!$D$141:$D$500,"&lt;"&amp;$B177,基因升级!N$141:N$500)</f>
        <v>0.1575</v>
      </c>
      <c r="R177" s="4">
        <v>171</v>
      </c>
      <c r="S177" s="4">
        <f>SUMIF(基因升级!$D$141:$D$500,"&lt;="&amp;$R177,基因升级!$U$141:$U$500)</f>
        <v>0</v>
      </c>
      <c r="T177" s="4">
        <f>SUMIF(基因升级!$D$141:$D$500,"&lt;="&amp;$R177,基因升级!J$141:J$500)</f>
        <v>10794</v>
      </c>
      <c r="U177" s="4">
        <f>SUMIF(基因升级!$D$141:$D$500,"&lt;="&amp;$R177,基因升级!K$141:K$500)</f>
        <v>2.15</v>
      </c>
      <c r="V177" s="4">
        <f>SUMIF(基因升级!$D$141:$D$500,"&lt;="&amp;$R177,基因升级!L$141:L$500)</f>
        <v>1.26</v>
      </c>
      <c r="W177" s="4">
        <f>SUMIF(基因升级!$D$141:$D$500,"&lt;="&amp;$R177,基因升级!M$141:M$500)</f>
        <v>0.0860000000000001</v>
      </c>
      <c r="X177" s="4">
        <f>SUMIF(基因升级!$D$141:$D$500,"&lt;="&amp;$R177,基因升级!N$141:N$500)</f>
        <v>0.3225</v>
      </c>
    </row>
    <row r="178" ht="16.5" spans="1:24">
      <c r="A178" s="14">
        <v>172</v>
      </c>
      <c r="B178" s="4">
        <f>IFERROR(_xlfn.XLOOKUP(A178+1,基因升级!$E$141:$E$500,基因升级!$D$141:$D$500)-1,B177)</f>
        <v>85</v>
      </c>
      <c r="C178" s="4">
        <f>SUMIF(基因升级!$D$141:$D$500,"&lt;"&amp;$B178,基因升级!$U$141:$U$500)</f>
        <v>0</v>
      </c>
      <c r="D178" s="4"/>
      <c r="E178" s="4"/>
      <c r="F178" s="4"/>
      <c r="G178" s="4"/>
      <c r="H178" s="4"/>
      <c r="I178" s="4"/>
      <c r="J178" s="4"/>
      <c r="K178" s="4">
        <f>SUMIF(基因升级!$D$141:$D$500,"&lt;"&amp;$B178,基因升级!J$141:J$500)</f>
        <v>2880</v>
      </c>
      <c r="L178" s="4">
        <f>SUMIF(基因升级!$D$141:$D$500,"&lt;"&amp;$B178,基因升级!K$141:K$500)</f>
        <v>1.05</v>
      </c>
      <c r="M178" s="4">
        <f>SUMIF(基因升级!$D$141:$D$500,"&lt;"&amp;$B178,基因升级!L$141:L$500)</f>
        <v>0.63</v>
      </c>
      <c r="N178" s="4">
        <f>SUMIF(基因升级!$D$141:$D$500,"&lt;"&amp;$B178,基因升级!M$141:M$500)</f>
        <v>0.042</v>
      </c>
      <c r="O178" s="4">
        <f>SUMIF(基因升级!$D$141:$D$500,"&lt;"&amp;$B178,基因升级!N$141:N$500)</f>
        <v>0.1575</v>
      </c>
      <c r="R178" s="4">
        <v>172</v>
      </c>
      <c r="S178" s="4">
        <f>SUMIF(基因升级!$D$141:$D$500,"&lt;="&amp;$R178,基因升级!$U$141:$U$500)</f>
        <v>0</v>
      </c>
      <c r="T178" s="4">
        <f>SUMIF(基因升级!$D$141:$D$500,"&lt;="&amp;$R178,基因升级!J$141:J$500)</f>
        <v>10904</v>
      </c>
      <c r="U178" s="4">
        <f>SUMIF(基因升级!$D$141:$D$500,"&lt;="&amp;$R178,基因升级!K$141:K$500)</f>
        <v>2.15</v>
      </c>
      <c r="V178" s="4">
        <f>SUMIF(基因升级!$D$141:$D$500,"&lt;="&amp;$R178,基因升级!L$141:L$500)</f>
        <v>1.29</v>
      </c>
      <c r="W178" s="4">
        <f>SUMIF(基因升级!$D$141:$D$500,"&lt;="&amp;$R178,基因升级!M$141:M$500)</f>
        <v>0.0860000000000001</v>
      </c>
      <c r="X178" s="4">
        <f>SUMIF(基因升级!$D$141:$D$500,"&lt;="&amp;$R178,基因升级!N$141:N$500)</f>
        <v>0.3225</v>
      </c>
    </row>
    <row r="179" ht="16.5" spans="1:24">
      <c r="A179" s="14">
        <v>173</v>
      </c>
      <c r="B179" s="4">
        <f>IFERROR(_xlfn.XLOOKUP(A179+1,基因升级!$E$141:$E$500,基因升级!$D$141:$D$500)-1,B178)</f>
        <v>85</v>
      </c>
      <c r="C179" s="4">
        <f>SUMIF(基因升级!$D$141:$D$500,"&lt;"&amp;$B179,基因升级!$U$141:$U$500)</f>
        <v>0</v>
      </c>
      <c r="D179" s="4"/>
      <c r="E179" s="4"/>
      <c r="F179" s="4"/>
      <c r="G179" s="4"/>
      <c r="H179" s="4"/>
      <c r="I179" s="4"/>
      <c r="J179" s="4"/>
      <c r="K179" s="4">
        <f>SUMIF(基因升级!$D$141:$D$500,"&lt;"&amp;$B179,基因升级!J$141:J$500)</f>
        <v>2880</v>
      </c>
      <c r="L179" s="4">
        <f>SUMIF(基因升级!$D$141:$D$500,"&lt;"&amp;$B179,基因升级!K$141:K$500)</f>
        <v>1.05</v>
      </c>
      <c r="M179" s="4">
        <f>SUMIF(基因升级!$D$141:$D$500,"&lt;"&amp;$B179,基因升级!L$141:L$500)</f>
        <v>0.63</v>
      </c>
      <c r="N179" s="4">
        <f>SUMIF(基因升级!$D$141:$D$500,"&lt;"&amp;$B179,基因升级!M$141:M$500)</f>
        <v>0.042</v>
      </c>
      <c r="O179" s="4">
        <f>SUMIF(基因升级!$D$141:$D$500,"&lt;"&amp;$B179,基因升级!N$141:N$500)</f>
        <v>0.1575</v>
      </c>
      <c r="R179" s="4">
        <v>173</v>
      </c>
      <c r="S179" s="4">
        <f>SUMIF(基因升级!$D$141:$D$500,"&lt;="&amp;$R179,基因升级!$U$141:$U$500)</f>
        <v>0</v>
      </c>
      <c r="T179" s="4">
        <f>SUMIF(基因升级!$D$141:$D$500,"&lt;="&amp;$R179,基因升级!J$141:J$500)</f>
        <v>11014</v>
      </c>
      <c r="U179" s="4">
        <f>SUMIF(基因升级!$D$141:$D$500,"&lt;="&amp;$R179,基因升级!K$141:K$500)</f>
        <v>2.2</v>
      </c>
      <c r="V179" s="4">
        <f>SUMIF(基因升级!$D$141:$D$500,"&lt;="&amp;$R179,基因升级!L$141:L$500)</f>
        <v>1.29</v>
      </c>
      <c r="W179" s="4">
        <f>SUMIF(基因升级!$D$141:$D$500,"&lt;="&amp;$R179,基因升级!M$141:M$500)</f>
        <v>0.0860000000000001</v>
      </c>
      <c r="X179" s="4">
        <f>SUMIF(基因升级!$D$141:$D$500,"&lt;="&amp;$R179,基因升级!N$141:N$500)</f>
        <v>0.3225</v>
      </c>
    </row>
    <row r="180" ht="16.5" spans="1:24">
      <c r="A180" s="14">
        <v>174</v>
      </c>
      <c r="B180" s="4">
        <f>IFERROR(_xlfn.XLOOKUP(A180+1,基因升级!$E$141:$E$500,基因升级!$D$141:$D$500)-1,B179)</f>
        <v>85</v>
      </c>
      <c r="C180" s="4">
        <f>SUMIF(基因升级!$D$141:$D$500,"&lt;"&amp;$B180,基因升级!$U$141:$U$500)</f>
        <v>0</v>
      </c>
      <c r="D180" s="4"/>
      <c r="E180" s="4"/>
      <c r="F180" s="4"/>
      <c r="G180" s="4"/>
      <c r="H180" s="4"/>
      <c r="I180" s="4"/>
      <c r="J180" s="4"/>
      <c r="K180" s="4">
        <f>SUMIF(基因升级!$D$141:$D$500,"&lt;"&amp;$B180,基因升级!J$141:J$500)</f>
        <v>2880</v>
      </c>
      <c r="L180" s="4">
        <f>SUMIF(基因升级!$D$141:$D$500,"&lt;"&amp;$B180,基因升级!K$141:K$500)</f>
        <v>1.05</v>
      </c>
      <c r="M180" s="4">
        <f>SUMIF(基因升级!$D$141:$D$500,"&lt;"&amp;$B180,基因升级!L$141:L$500)</f>
        <v>0.63</v>
      </c>
      <c r="N180" s="4">
        <f>SUMIF(基因升级!$D$141:$D$500,"&lt;"&amp;$B180,基因升级!M$141:M$500)</f>
        <v>0.042</v>
      </c>
      <c r="O180" s="4">
        <f>SUMIF(基因升级!$D$141:$D$500,"&lt;"&amp;$B180,基因升级!N$141:N$500)</f>
        <v>0.1575</v>
      </c>
      <c r="R180" s="4">
        <v>174</v>
      </c>
      <c r="S180" s="4">
        <f>SUMIF(基因升级!$D$141:$D$500,"&lt;="&amp;$R180,基因升级!$U$141:$U$500)</f>
        <v>0</v>
      </c>
      <c r="T180" s="4">
        <f>SUMIF(基因升级!$D$141:$D$500,"&lt;="&amp;$R180,基因升级!J$141:J$500)</f>
        <v>11124</v>
      </c>
      <c r="U180" s="4">
        <f>SUMIF(基因升级!$D$141:$D$500,"&lt;="&amp;$R180,基因升级!K$141:K$500)</f>
        <v>2.2</v>
      </c>
      <c r="V180" s="4">
        <f>SUMIF(基因升级!$D$141:$D$500,"&lt;="&amp;$R180,基因升级!L$141:L$500)</f>
        <v>1.29</v>
      </c>
      <c r="W180" s="4">
        <f>SUMIF(基因升级!$D$141:$D$500,"&lt;="&amp;$R180,基因升级!M$141:M$500)</f>
        <v>0.0860000000000001</v>
      </c>
      <c r="X180" s="4">
        <f>SUMIF(基因升级!$D$141:$D$500,"&lt;="&amp;$R180,基因升级!N$141:N$500)</f>
        <v>0.33</v>
      </c>
    </row>
    <row r="181" ht="16.5" spans="1:24">
      <c r="A181" s="14">
        <v>175</v>
      </c>
      <c r="B181" s="4">
        <f>IFERROR(_xlfn.XLOOKUP(A181+1,基因升级!$E$141:$E$500,基因升级!$D$141:$D$500)-1,B180)</f>
        <v>85</v>
      </c>
      <c r="C181" s="4">
        <f>SUMIF(基因升级!$D$141:$D$500,"&lt;"&amp;$B181,基因升级!$U$141:$U$500)</f>
        <v>0</v>
      </c>
      <c r="D181" s="4"/>
      <c r="E181" s="4"/>
      <c r="F181" s="4"/>
      <c r="G181" s="4"/>
      <c r="H181" s="4"/>
      <c r="I181" s="4"/>
      <c r="J181" s="4"/>
      <c r="K181" s="4">
        <f>SUMIF(基因升级!$D$141:$D$500,"&lt;"&amp;$B181,基因升级!J$141:J$500)</f>
        <v>2880</v>
      </c>
      <c r="L181" s="4">
        <f>SUMIF(基因升级!$D$141:$D$500,"&lt;"&amp;$B181,基因升级!K$141:K$500)</f>
        <v>1.05</v>
      </c>
      <c r="M181" s="4">
        <f>SUMIF(基因升级!$D$141:$D$500,"&lt;"&amp;$B181,基因升级!L$141:L$500)</f>
        <v>0.63</v>
      </c>
      <c r="N181" s="4">
        <f>SUMIF(基因升级!$D$141:$D$500,"&lt;"&amp;$B181,基因升级!M$141:M$500)</f>
        <v>0.042</v>
      </c>
      <c r="O181" s="4">
        <f>SUMIF(基因升级!$D$141:$D$500,"&lt;"&amp;$B181,基因升级!N$141:N$500)</f>
        <v>0.1575</v>
      </c>
      <c r="R181" s="4">
        <v>175</v>
      </c>
      <c r="S181" s="4">
        <f>SUMIF(基因升级!$D$141:$D$500,"&lt;="&amp;$R181,基因升级!$U$141:$U$500)</f>
        <v>0</v>
      </c>
      <c r="T181" s="4">
        <f>SUMIF(基因升级!$D$141:$D$500,"&lt;="&amp;$R181,基因升级!J$141:J$500)</f>
        <v>11234</v>
      </c>
      <c r="U181" s="4">
        <f>SUMIF(基因升级!$D$141:$D$500,"&lt;="&amp;$R181,基因升级!K$141:K$500)</f>
        <v>2.2</v>
      </c>
      <c r="V181" s="4">
        <f>SUMIF(基因升级!$D$141:$D$500,"&lt;="&amp;$R181,基因升级!L$141:L$500)</f>
        <v>1.29</v>
      </c>
      <c r="W181" s="4">
        <f>SUMIF(基因升级!$D$141:$D$500,"&lt;="&amp;$R181,基因升级!M$141:M$500)</f>
        <v>0.0880000000000001</v>
      </c>
      <c r="X181" s="4">
        <f>SUMIF(基因升级!$D$141:$D$500,"&lt;="&amp;$R181,基因升级!N$141:N$500)</f>
        <v>0.33</v>
      </c>
    </row>
    <row r="182" ht="16.5" spans="1:24">
      <c r="A182" s="14">
        <v>176</v>
      </c>
      <c r="B182" s="4">
        <f>IFERROR(_xlfn.XLOOKUP(A182+1,基因升级!$E$141:$E$500,基因升级!$D$141:$D$500)-1,B181)</f>
        <v>85</v>
      </c>
      <c r="C182" s="4">
        <f>SUMIF(基因升级!$D$141:$D$500,"&lt;"&amp;$B182,基因升级!$U$141:$U$500)</f>
        <v>0</v>
      </c>
      <c r="D182" s="4"/>
      <c r="E182" s="4"/>
      <c r="F182" s="4"/>
      <c r="G182" s="4"/>
      <c r="H182" s="4"/>
      <c r="I182" s="4"/>
      <c r="J182" s="4"/>
      <c r="K182" s="4">
        <f>SUMIF(基因升级!$D$141:$D$500,"&lt;"&amp;$B182,基因升级!J$141:J$500)</f>
        <v>2880</v>
      </c>
      <c r="L182" s="4">
        <f>SUMIF(基因升级!$D$141:$D$500,"&lt;"&amp;$B182,基因升级!K$141:K$500)</f>
        <v>1.05</v>
      </c>
      <c r="M182" s="4">
        <f>SUMIF(基因升级!$D$141:$D$500,"&lt;"&amp;$B182,基因升级!L$141:L$500)</f>
        <v>0.63</v>
      </c>
      <c r="N182" s="4">
        <f>SUMIF(基因升级!$D$141:$D$500,"&lt;"&amp;$B182,基因升级!M$141:M$500)</f>
        <v>0.042</v>
      </c>
      <c r="O182" s="4">
        <f>SUMIF(基因升级!$D$141:$D$500,"&lt;"&amp;$B182,基因升级!N$141:N$500)</f>
        <v>0.1575</v>
      </c>
      <c r="R182" s="4">
        <v>176</v>
      </c>
      <c r="S182" s="4">
        <f>SUMIF(基因升级!$D$141:$D$500,"&lt;="&amp;$R182,基因升级!$U$141:$U$500)</f>
        <v>0</v>
      </c>
      <c r="T182" s="4">
        <f>SUMIF(基因升级!$D$141:$D$500,"&lt;="&amp;$R182,基因升级!J$141:J$500)</f>
        <v>11344</v>
      </c>
      <c r="U182" s="4">
        <f>SUMIF(基因升级!$D$141:$D$500,"&lt;="&amp;$R182,基因升级!K$141:K$500)</f>
        <v>2.2</v>
      </c>
      <c r="V182" s="4">
        <f>SUMIF(基因升级!$D$141:$D$500,"&lt;="&amp;$R182,基因升级!L$141:L$500)</f>
        <v>1.32</v>
      </c>
      <c r="W182" s="4">
        <f>SUMIF(基因升级!$D$141:$D$500,"&lt;="&amp;$R182,基因升级!M$141:M$500)</f>
        <v>0.0880000000000001</v>
      </c>
      <c r="X182" s="4">
        <f>SUMIF(基因升级!$D$141:$D$500,"&lt;="&amp;$R182,基因升级!N$141:N$500)</f>
        <v>0.33</v>
      </c>
    </row>
    <row r="183" ht="16.5" spans="1:24">
      <c r="A183" s="14">
        <v>177</v>
      </c>
      <c r="B183" s="4">
        <f>IFERROR(_xlfn.XLOOKUP(A183+1,基因升级!$E$141:$E$500,基因升级!$D$141:$D$500)-1,B182)</f>
        <v>86</v>
      </c>
      <c r="C183" s="4">
        <f>SUMIF(基因升级!$D$141:$D$500,"&lt;"&amp;$B183,基因升级!$U$141:$U$500)</f>
        <v>0</v>
      </c>
      <c r="D183" s="4"/>
      <c r="E183" s="4"/>
      <c r="F183" s="4"/>
      <c r="G183" s="4"/>
      <c r="H183" s="4"/>
      <c r="I183" s="4"/>
      <c r="J183" s="4"/>
      <c r="K183" s="4">
        <f>SUMIF(基因升级!$D$141:$D$500,"&lt;"&amp;$B183,基因升级!J$141:J$500)</f>
        <v>2944</v>
      </c>
      <c r="L183" s="4">
        <f>SUMIF(基因升级!$D$141:$D$500,"&lt;"&amp;$B183,基因升级!K$141:K$500)</f>
        <v>1.1</v>
      </c>
      <c r="M183" s="4">
        <f>SUMIF(基因升级!$D$141:$D$500,"&lt;"&amp;$B183,基因升级!L$141:L$500)</f>
        <v>0.63</v>
      </c>
      <c r="N183" s="4">
        <f>SUMIF(基因升级!$D$141:$D$500,"&lt;"&amp;$B183,基因升级!M$141:M$500)</f>
        <v>0.042</v>
      </c>
      <c r="O183" s="4">
        <f>SUMIF(基因升级!$D$141:$D$500,"&lt;"&amp;$B183,基因升级!N$141:N$500)</f>
        <v>0.1575</v>
      </c>
      <c r="R183" s="4">
        <v>177</v>
      </c>
      <c r="S183" s="4">
        <f>SUMIF(基因升级!$D$141:$D$500,"&lt;="&amp;$R183,基因升级!$U$141:$U$500)</f>
        <v>0</v>
      </c>
      <c r="T183" s="4">
        <f>SUMIF(基因升级!$D$141:$D$500,"&lt;="&amp;$R183,基因升级!J$141:J$500)</f>
        <v>11454</v>
      </c>
      <c r="U183" s="4">
        <f>SUMIF(基因升级!$D$141:$D$500,"&lt;="&amp;$R183,基因升级!K$141:K$500)</f>
        <v>2.25</v>
      </c>
      <c r="V183" s="4">
        <f>SUMIF(基因升级!$D$141:$D$500,"&lt;="&amp;$R183,基因升级!L$141:L$500)</f>
        <v>1.32</v>
      </c>
      <c r="W183" s="4">
        <f>SUMIF(基因升级!$D$141:$D$500,"&lt;="&amp;$R183,基因升级!M$141:M$500)</f>
        <v>0.0880000000000001</v>
      </c>
      <c r="X183" s="4">
        <f>SUMIF(基因升级!$D$141:$D$500,"&lt;="&amp;$R183,基因升级!N$141:N$500)</f>
        <v>0.33</v>
      </c>
    </row>
    <row r="184" ht="16.5" spans="1:24">
      <c r="A184" s="14">
        <v>178</v>
      </c>
      <c r="B184" s="4">
        <f>IFERROR(_xlfn.XLOOKUP(A184+1,基因升级!$E$141:$E$500,基因升级!$D$141:$D$500)-1,B183)</f>
        <v>86</v>
      </c>
      <c r="C184" s="4">
        <f>SUMIF(基因升级!$D$141:$D$500,"&lt;"&amp;$B184,基因升级!$U$141:$U$500)</f>
        <v>0</v>
      </c>
      <c r="D184" s="4"/>
      <c r="E184" s="4"/>
      <c r="F184" s="4"/>
      <c r="G184" s="4"/>
      <c r="H184" s="4"/>
      <c r="I184" s="4"/>
      <c r="J184" s="4"/>
      <c r="K184" s="4">
        <f>SUMIF(基因升级!$D$141:$D$500,"&lt;"&amp;$B184,基因升级!J$141:J$500)</f>
        <v>2944</v>
      </c>
      <c r="L184" s="4">
        <f>SUMIF(基因升级!$D$141:$D$500,"&lt;"&amp;$B184,基因升级!K$141:K$500)</f>
        <v>1.1</v>
      </c>
      <c r="M184" s="4">
        <f>SUMIF(基因升级!$D$141:$D$500,"&lt;"&amp;$B184,基因升级!L$141:L$500)</f>
        <v>0.63</v>
      </c>
      <c r="N184" s="4">
        <f>SUMIF(基因升级!$D$141:$D$500,"&lt;"&amp;$B184,基因升级!M$141:M$500)</f>
        <v>0.042</v>
      </c>
      <c r="O184" s="4">
        <f>SUMIF(基因升级!$D$141:$D$500,"&lt;"&amp;$B184,基因升级!N$141:N$500)</f>
        <v>0.1575</v>
      </c>
      <c r="R184" s="4">
        <v>178</v>
      </c>
      <c r="S184" s="4">
        <f>SUMIF(基因升级!$D$141:$D$500,"&lt;="&amp;$R184,基因升级!$U$141:$U$500)</f>
        <v>0</v>
      </c>
      <c r="T184" s="4">
        <f>SUMIF(基因升级!$D$141:$D$500,"&lt;="&amp;$R184,基因升级!J$141:J$500)</f>
        <v>11564</v>
      </c>
      <c r="U184" s="4">
        <f>SUMIF(基因升级!$D$141:$D$500,"&lt;="&amp;$R184,基因升级!K$141:K$500)</f>
        <v>2.25</v>
      </c>
      <c r="V184" s="4">
        <f>SUMIF(基因升级!$D$141:$D$500,"&lt;="&amp;$R184,基因升级!L$141:L$500)</f>
        <v>1.32</v>
      </c>
      <c r="W184" s="4">
        <f>SUMIF(基因升级!$D$141:$D$500,"&lt;="&amp;$R184,基因升级!M$141:M$500)</f>
        <v>0.0880000000000001</v>
      </c>
      <c r="X184" s="4">
        <f>SUMIF(基因升级!$D$141:$D$500,"&lt;="&amp;$R184,基因升级!N$141:N$500)</f>
        <v>0.3375</v>
      </c>
    </row>
    <row r="185" ht="16.5" spans="1:24">
      <c r="A185" s="14">
        <v>179</v>
      </c>
      <c r="B185" s="4">
        <f>IFERROR(_xlfn.XLOOKUP(A185+1,基因升级!$E$141:$E$500,基因升级!$D$141:$D$500)-1,B184)</f>
        <v>86</v>
      </c>
      <c r="C185" s="4">
        <f>SUMIF(基因升级!$D$141:$D$500,"&lt;"&amp;$B185,基因升级!$U$141:$U$500)</f>
        <v>0</v>
      </c>
      <c r="D185" s="4"/>
      <c r="E185" s="4"/>
      <c r="F185" s="4"/>
      <c r="G185" s="4"/>
      <c r="H185" s="4"/>
      <c r="I185" s="4"/>
      <c r="J185" s="4"/>
      <c r="K185" s="4">
        <f>SUMIF(基因升级!$D$141:$D$500,"&lt;"&amp;$B185,基因升级!J$141:J$500)</f>
        <v>2944</v>
      </c>
      <c r="L185" s="4">
        <f>SUMIF(基因升级!$D$141:$D$500,"&lt;"&amp;$B185,基因升级!K$141:K$500)</f>
        <v>1.1</v>
      </c>
      <c r="M185" s="4">
        <f>SUMIF(基因升级!$D$141:$D$500,"&lt;"&amp;$B185,基因升级!L$141:L$500)</f>
        <v>0.63</v>
      </c>
      <c r="N185" s="4">
        <f>SUMIF(基因升级!$D$141:$D$500,"&lt;"&amp;$B185,基因升级!M$141:M$500)</f>
        <v>0.042</v>
      </c>
      <c r="O185" s="4">
        <f>SUMIF(基因升级!$D$141:$D$500,"&lt;"&amp;$B185,基因升级!N$141:N$500)</f>
        <v>0.1575</v>
      </c>
      <c r="R185" s="4">
        <v>179</v>
      </c>
      <c r="S185" s="4">
        <f>SUMIF(基因升级!$D$141:$D$500,"&lt;="&amp;$R185,基因升级!$U$141:$U$500)</f>
        <v>0</v>
      </c>
      <c r="T185" s="4">
        <f>SUMIF(基因升级!$D$141:$D$500,"&lt;="&amp;$R185,基因升级!J$141:J$500)</f>
        <v>11674</v>
      </c>
      <c r="U185" s="4">
        <f>SUMIF(基因升级!$D$141:$D$500,"&lt;="&amp;$R185,基因升级!K$141:K$500)</f>
        <v>2.25</v>
      </c>
      <c r="V185" s="4">
        <f>SUMIF(基因升级!$D$141:$D$500,"&lt;="&amp;$R185,基因升级!L$141:L$500)</f>
        <v>1.32</v>
      </c>
      <c r="W185" s="4">
        <f>SUMIF(基因升级!$D$141:$D$500,"&lt;="&amp;$R185,基因升级!M$141:M$500)</f>
        <v>0.0900000000000001</v>
      </c>
      <c r="X185" s="4">
        <f>SUMIF(基因升级!$D$141:$D$500,"&lt;="&amp;$R185,基因升级!N$141:N$500)</f>
        <v>0.3375</v>
      </c>
    </row>
    <row r="186" ht="16.5" spans="1:24">
      <c r="A186" s="14">
        <v>180</v>
      </c>
      <c r="B186" s="4">
        <f>IFERROR(_xlfn.XLOOKUP(A186+1,基因升级!$E$141:$E$500,基因升级!$D$141:$D$500)-1,B185)</f>
        <v>86</v>
      </c>
      <c r="C186" s="4">
        <f>SUMIF(基因升级!$D$141:$D$500,"&lt;"&amp;$B186,基因升级!$U$141:$U$500)</f>
        <v>0</v>
      </c>
      <c r="D186" s="4"/>
      <c r="E186" s="4"/>
      <c r="F186" s="4"/>
      <c r="G186" s="4"/>
      <c r="H186" s="4"/>
      <c r="I186" s="4"/>
      <c r="J186" s="4"/>
      <c r="K186" s="4">
        <f>SUMIF(基因升级!$D$141:$D$500,"&lt;"&amp;$B186,基因升级!J$141:J$500)</f>
        <v>2944</v>
      </c>
      <c r="L186" s="4">
        <f>SUMIF(基因升级!$D$141:$D$500,"&lt;"&amp;$B186,基因升级!K$141:K$500)</f>
        <v>1.1</v>
      </c>
      <c r="M186" s="4">
        <f>SUMIF(基因升级!$D$141:$D$500,"&lt;"&amp;$B186,基因升级!L$141:L$500)</f>
        <v>0.63</v>
      </c>
      <c r="N186" s="4">
        <f>SUMIF(基因升级!$D$141:$D$500,"&lt;"&amp;$B186,基因升级!M$141:M$500)</f>
        <v>0.042</v>
      </c>
      <c r="O186" s="4">
        <f>SUMIF(基因升级!$D$141:$D$500,"&lt;"&amp;$B186,基因升级!N$141:N$500)</f>
        <v>0.1575</v>
      </c>
      <c r="R186" s="4">
        <v>180</v>
      </c>
      <c r="S186" s="4">
        <f>SUMIF(基因升级!$D$141:$D$500,"&lt;="&amp;$R186,基因升级!$U$141:$U$500)</f>
        <v>0</v>
      </c>
      <c r="T186" s="4">
        <f>SUMIF(基因升级!$D$141:$D$500,"&lt;="&amp;$R186,基因升级!J$141:J$500)</f>
        <v>11784</v>
      </c>
      <c r="U186" s="4">
        <f>SUMIF(基因升级!$D$141:$D$500,"&lt;="&amp;$R186,基因升级!K$141:K$500)</f>
        <v>2.25</v>
      </c>
      <c r="V186" s="4">
        <f>SUMIF(基因升级!$D$141:$D$500,"&lt;="&amp;$R186,基因升级!L$141:L$500)</f>
        <v>1.35</v>
      </c>
      <c r="W186" s="4">
        <f>SUMIF(基因升级!$D$141:$D$500,"&lt;="&amp;$R186,基因升级!M$141:M$500)</f>
        <v>0.0900000000000001</v>
      </c>
      <c r="X186" s="4">
        <f>SUMIF(基因升级!$D$141:$D$500,"&lt;="&amp;$R186,基因升级!N$141:N$500)</f>
        <v>0.3375</v>
      </c>
    </row>
    <row r="187" ht="16.5" spans="1:24">
      <c r="A187" s="14">
        <v>181</v>
      </c>
      <c r="B187" s="4">
        <f>IFERROR(_xlfn.XLOOKUP(A187+1,基因升级!$E$141:$E$500,基因升级!$D$141:$D$500)-1,B186)</f>
        <v>86</v>
      </c>
      <c r="C187" s="4">
        <f>SUMIF(基因升级!$D$141:$D$500,"&lt;"&amp;$B187,基因升级!$U$141:$U$500)</f>
        <v>0</v>
      </c>
      <c r="D187" s="4"/>
      <c r="E187" s="4"/>
      <c r="F187" s="4"/>
      <c r="G187" s="4"/>
      <c r="H187" s="4"/>
      <c r="I187" s="4"/>
      <c r="J187" s="4"/>
      <c r="K187" s="4">
        <f>SUMIF(基因升级!$D$141:$D$500,"&lt;"&amp;$B187,基因升级!J$141:J$500)</f>
        <v>2944</v>
      </c>
      <c r="L187" s="4">
        <f>SUMIF(基因升级!$D$141:$D$500,"&lt;"&amp;$B187,基因升级!K$141:K$500)</f>
        <v>1.1</v>
      </c>
      <c r="M187" s="4">
        <f>SUMIF(基因升级!$D$141:$D$500,"&lt;"&amp;$B187,基因升级!L$141:L$500)</f>
        <v>0.63</v>
      </c>
      <c r="N187" s="4">
        <f>SUMIF(基因升级!$D$141:$D$500,"&lt;"&amp;$B187,基因升级!M$141:M$500)</f>
        <v>0.042</v>
      </c>
      <c r="O187" s="4">
        <f>SUMIF(基因升级!$D$141:$D$500,"&lt;"&amp;$B187,基因升级!N$141:N$500)</f>
        <v>0.1575</v>
      </c>
      <c r="R187" s="4">
        <v>181</v>
      </c>
      <c r="S187" s="4">
        <f>SUMIF(基因升级!$D$141:$D$500,"&lt;="&amp;$R187,基因升级!$U$141:$U$500)</f>
        <v>0</v>
      </c>
      <c r="T187" s="4">
        <f>SUMIF(基因升级!$D$141:$D$500,"&lt;="&amp;$R187,基因升级!J$141:J$500)</f>
        <v>11894</v>
      </c>
      <c r="U187" s="4">
        <f>SUMIF(基因升级!$D$141:$D$500,"&lt;="&amp;$R187,基因升级!K$141:K$500)</f>
        <v>2.3</v>
      </c>
      <c r="V187" s="4">
        <f>SUMIF(基因升级!$D$141:$D$500,"&lt;="&amp;$R187,基因升级!L$141:L$500)</f>
        <v>1.35</v>
      </c>
      <c r="W187" s="4">
        <f>SUMIF(基因升级!$D$141:$D$500,"&lt;="&amp;$R187,基因升级!M$141:M$500)</f>
        <v>0.0900000000000001</v>
      </c>
      <c r="X187" s="4">
        <f>SUMIF(基因升级!$D$141:$D$500,"&lt;="&amp;$R187,基因升级!N$141:N$500)</f>
        <v>0.3375</v>
      </c>
    </row>
    <row r="188" ht="16.5" spans="1:24">
      <c r="A188" s="14">
        <v>182</v>
      </c>
      <c r="B188" s="4">
        <f>IFERROR(_xlfn.XLOOKUP(A188+1,基因升级!$E$141:$E$500,基因升级!$D$141:$D$500)-1,B187)</f>
        <v>86</v>
      </c>
      <c r="C188" s="4">
        <f>SUMIF(基因升级!$D$141:$D$500,"&lt;"&amp;$B188,基因升级!$U$141:$U$500)</f>
        <v>0</v>
      </c>
      <c r="D188" s="4"/>
      <c r="E188" s="4"/>
      <c r="F188" s="4"/>
      <c r="G188" s="4"/>
      <c r="H188" s="4"/>
      <c r="I188" s="4"/>
      <c r="J188" s="4"/>
      <c r="K188" s="4">
        <f>SUMIF(基因升级!$D$141:$D$500,"&lt;"&amp;$B188,基因升级!J$141:J$500)</f>
        <v>2944</v>
      </c>
      <c r="L188" s="4">
        <f>SUMIF(基因升级!$D$141:$D$500,"&lt;"&amp;$B188,基因升级!K$141:K$500)</f>
        <v>1.1</v>
      </c>
      <c r="M188" s="4">
        <f>SUMIF(基因升级!$D$141:$D$500,"&lt;"&amp;$B188,基因升级!L$141:L$500)</f>
        <v>0.63</v>
      </c>
      <c r="N188" s="4">
        <f>SUMIF(基因升级!$D$141:$D$500,"&lt;"&amp;$B188,基因升级!M$141:M$500)</f>
        <v>0.042</v>
      </c>
      <c r="O188" s="4">
        <f>SUMIF(基因升级!$D$141:$D$500,"&lt;"&amp;$B188,基因升级!N$141:N$500)</f>
        <v>0.1575</v>
      </c>
      <c r="R188" s="4">
        <v>182</v>
      </c>
      <c r="S188" s="4">
        <f>SUMIF(基因升级!$D$141:$D$500,"&lt;="&amp;$R188,基因升级!$U$141:$U$500)</f>
        <v>0</v>
      </c>
      <c r="T188" s="4">
        <f>SUMIF(基因升级!$D$141:$D$500,"&lt;="&amp;$R188,基因升级!J$141:J$500)</f>
        <v>12004</v>
      </c>
      <c r="U188" s="4">
        <f>SUMIF(基因升级!$D$141:$D$500,"&lt;="&amp;$R188,基因升级!K$141:K$500)</f>
        <v>2.3</v>
      </c>
      <c r="V188" s="4">
        <f>SUMIF(基因升级!$D$141:$D$500,"&lt;="&amp;$R188,基因升级!L$141:L$500)</f>
        <v>1.35</v>
      </c>
      <c r="W188" s="4">
        <f>SUMIF(基因升级!$D$141:$D$500,"&lt;="&amp;$R188,基因升级!M$141:M$500)</f>
        <v>0.0900000000000001</v>
      </c>
      <c r="X188" s="4">
        <f>SUMIF(基因升级!$D$141:$D$500,"&lt;="&amp;$R188,基因升级!N$141:N$500)</f>
        <v>0.345</v>
      </c>
    </row>
    <row r="189" ht="16.5" spans="1:24">
      <c r="A189" s="14">
        <v>183</v>
      </c>
      <c r="B189" s="4">
        <f>IFERROR(_xlfn.XLOOKUP(A189+1,基因升级!$E$141:$E$500,基因升级!$D$141:$D$500)-1,B188)</f>
        <v>86</v>
      </c>
      <c r="C189" s="4">
        <f>SUMIF(基因升级!$D$141:$D$500,"&lt;"&amp;$B189,基因升级!$U$141:$U$500)</f>
        <v>0</v>
      </c>
      <c r="D189" s="4"/>
      <c r="E189" s="4"/>
      <c r="F189" s="4"/>
      <c r="G189" s="4"/>
      <c r="H189" s="4"/>
      <c r="I189" s="4"/>
      <c r="J189" s="4"/>
      <c r="K189" s="4">
        <f>SUMIF(基因升级!$D$141:$D$500,"&lt;"&amp;$B189,基因升级!J$141:J$500)</f>
        <v>2944</v>
      </c>
      <c r="L189" s="4">
        <f>SUMIF(基因升级!$D$141:$D$500,"&lt;"&amp;$B189,基因升级!K$141:K$500)</f>
        <v>1.1</v>
      </c>
      <c r="M189" s="4">
        <f>SUMIF(基因升级!$D$141:$D$500,"&lt;"&amp;$B189,基因升级!L$141:L$500)</f>
        <v>0.63</v>
      </c>
      <c r="N189" s="4">
        <f>SUMIF(基因升级!$D$141:$D$500,"&lt;"&amp;$B189,基因升级!M$141:M$500)</f>
        <v>0.042</v>
      </c>
      <c r="O189" s="4">
        <f>SUMIF(基因升级!$D$141:$D$500,"&lt;"&amp;$B189,基因升级!N$141:N$500)</f>
        <v>0.1575</v>
      </c>
      <c r="R189" s="4">
        <v>183</v>
      </c>
      <c r="S189" s="4">
        <f>SUMIF(基因升级!$D$141:$D$500,"&lt;="&amp;$R189,基因升级!$U$141:$U$500)</f>
        <v>0</v>
      </c>
      <c r="T189" s="4">
        <f>SUMIF(基因升级!$D$141:$D$500,"&lt;="&amp;$R189,基因升级!J$141:J$500)</f>
        <v>12114</v>
      </c>
      <c r="U189" s="4">
        <f>SUMIF(基因升级!$D$141:$D$500,"&lt;="&amp;$R189,基因升级!K$141:K$500)</f>
        <v>2.3</v>
      </c>
      <c r="V189" s="4">
        <f>SUMIF(基因升级!$D$141:$D$500,"&lt;="&amp;$R189,基因升级!L$141:L$500)</f>
        <v>1.35</v>
      </c>
      <c r="W189" s="4">
        <f>SUMIF(基因升级!$D$141:$D$500,"&lt;="&amp;$R189,基因升级!M$141:M$500)</f>
        <v>0.0920000000000001</v>
      </c>
      <c r="X189" s="4">
        <f>SUMIF(基因升级!$D$141:$D$500,"&lt;="&amp;$R189,基因升级!N$141:N$500)</f>
        <v>0.345</v>
      </c>
    </row>
    <row r="190" ht="16.5" spans="1:24">
      <c r="A190" s="14">
        <v>184</v>
      </c>
      <c r="B190" s="4">
        <f>IFERROR(_xlfn.XLOOKUP(A190+1,基因升级!$E$141:$E$500,基因升级!$D$141:$D$500)-1,B189)</f>
        <v>87</v>
      </c>
      <c r="C190" s="4">
        <f>SUMIF(基因升级!$D$141:$D$500,"&lt;"&amp;$B190,基因升级!$U$141:$U$500)</f>
        <v>0</v>
      </c>
      <c r="D190" s="4"/>
      <c r="E190" s="4"/>
      <c r="F190" s="4"/>
      <c r="G190" s="4"/>
      <c r="H190" s="4"/>
      <c r="I190" s="4"/>
      <c r="J190" s="4"/>
      <c r="K190" s="4">
        <f>SUMIF(基因升级!$D$141:$D$500,"&lt;"&amp;$B190,基因升级!J$141:J$500)</f>
        <v>3008</v>
      </c>
      <c r="L190" s="4">
        <f>SUMIF(基因升级!$D$141:$D$500,"&lt;"&amp;$B190,基因升级!K$141:K$500)</f>
        <v>1.1</v>
      </c>
      <c r="M190" s="4">
        <f>SUMIF(基因升级!$D$141:$D$500,"&lt;"&amp;$B190,基因升级!L$141:L$500)</f>
        <v>0.63</v>
      </c>
      <c r="N190" s="4">
        <f>SUMIF(基因升级!$D$141:$D$500,"&lt;"&amp;$B190,基因升级!M$141:M$500)</f>
        <v>0.042</v>
      </c>
      <c r="O190" s="4">
        <f>SUMIF(基因升级!$D$141:$D$500,"&lt;"&amp;$B190,基因升级!N$141:N$500)</f>
        <v>0.165</v>
      </c>
      <c r="R190" s="4">
        <v>184</v>
      </c>
      <c r="S190" s="4">
        <f>SUMIF(基因升级!$D$141:$D$500,"&lt;="&amp;$R190,基因升级!$U$141:$U$500)</f>
        <v>0</v>
      </c>
      <c r="T190" s="4">
        <f>SUMIF(基因升级!$D$141:$D$500,"&lt;="&amp;$R190,基因升级!J$141:J$500)</f>
        <v>12224</v>
      </c>
      <c r="U190" s="4">
        <f>SUMIF(基因升级!$D$141:$D$500,"&lt;="&amp;$R190,基因升级!K$141:K$500)</f>
        <v>2.3</v>
      </c>
      <c r="V190" s="4">
        <f>SUMIF(基因升级!$D$141:$D$500,"&lt;="&amp;$R190,基因升级!L$141:L$500)</f>
        <v>1.38</v>
      </c>
      <c r="W190" s="4">
        <f>SUMIF(基因升级!$D$141:$D$500,"&lt;="&amp;$R190,基因升级!M$141:M$500)</f>
        <v>0.0920000000000001</v>
      </c>
      <c r="X190" s="4">
        <f>SUMIF(基因升级!$D$141:$D$500,"&lt;="&amp;$R190,基因升级!N$141:N$500)</f>
        <v>0.345</v>
      </c>
    </row>
    <row r="191" ht="16.5" spans="1:24">
      <c r="A191" s="14">
        <v>185</v>
      </c>
      <c r="B191" s="4">
        <f>IFERROR(_xlfn.XLOOKUP(A191+1,基因升级!$E$141:$E$500,基因升级!$D$141:$D$500)-1,B190)</f>
        <v>87</v>
      </c>
      <c r="C191" s="4">
        <f>SUMIF(基因升级!$D$141:$D$500,"&lt;"&amp;$B191,基因升级!$U$141:$U$500)</f>
        <v>0</v>
      </c>
      <c r="D191" s="4"/>
      <c r="E191" s="4"/>
      <c r="F191" s="4"/>
      <c r="G191" s="4"/>
      <c r="H191" s="4"/>
      <c r="I191" s="4"/>
      <c r="J191" s="4"/>
      <c r="K191" s="4">
        <f>SUMIF(基因升级!$D$141:$D$500,"&lt;"&amp;$B191,基因升级!J$141:J$500)</f>
        <v>3008</v>
      </c>
      <c r="L191" s="4">
        <f>SUMIF(基因升级!$D$141:$D$500,"&lt;"&amp;$B191,基因升级!K$141:K$500)</f>
        <v>1.1</v>
      </c>
      <c r="M191" s="4">
        <f>SUMIF(基因升级!$D$141:$D$500,"&lt;"&amp;$B191,基因升级!L$141:L$500)</f>
        <v>0.63</v>
      </c>
      <c r="N191" s="4">
        <f>SUMIF(基因升级!$D$141:$D$500,"&lt;"&amp;$B191,基因升级!M$141:M$500)</f>
        <v>0.042</v>
      </c>
      <c r="O191" s="4">
        <f>SUMIF(基因升级!$D$141:$D$500,"&lt;"&amp;$B191,基因升级!N$141:N$500)</f>
        <v>0.165</v>
      </c>
      <c r="R191" s="4">
        <v>185</v>
      </c>
      <c r="S191" s="4">
        <f>SUMIF(基因升级!$D$141:$D$500,"&lt;="&amp;$R191,基因升级!$U$141:$U$500)</f>
        <v>0</v>
      </c>
      <c r="T191" s="4">
        <f>SUMIF(基因升级!$D$141:$D$500,"&lt;="&amp;$R191,基因升级!J$141:J$500)</f>
        <v>12340</v>
      </c>
      <c r="U191" s="4">
        <f>SUMIF(基因升级!$D$141:$D$500,"&lt;="&amp;$R191,基因升级!K$141:K$500)</f>
        <v>2.35</v>
      </c>
      <c r="V191" s="4">
        <f>SUMIF(基因升级!$D$141:$D$500,"&lt;="&amp;$R191,基因升级!L$141:L$500)</f>
        <v>1.38</v>
      </c>
      <c r="W191" s="4">
        <f>SUMIF(基因升级!$D$141:$D$500,"&lt;="&amp;$R191,基因升级!M$141:M$500)</f>
        <v>0.0920000000000001</v>
      </c>
      <c r="X191" s="4">
        <f>SUMIF(基因升级!$D$141:$D$500,"&lt;="&amp;$R191,基因升级!N$141:N$500)</f>
        <v>0.345</v>
      </c>
    </row>
    <row r="192" ht="16.5" spans="1:24">
      <c r="A192" s="14">
        <v>186</v>
      </c>
      <c r="B192" s="4">
        <f>IFERROR(_xlfn.XLOOKUP(A192+1,基因升级!$E$141:$E$500,基因升级!$D$141:$D$500)-1,B191)</f>
        <v>87</v>
      </c>
      <c r="C192" s="4">
        <f>SUMIF(基因升级!$D$141:$D$500,"&lt;"&amp;$B192,基因升级!$U$141:$U$500)</f>
        <v>0</v>
      </c>
      <c r="D192" s="4"/>
      <c r="E192" s="4"/>
      <c r="F192" s="4"/>
      <c r="G192" s="4"/>
      <c r="H192" s="4"/>
      <c r="I192" s="4"/>
      <c r="J192" s="4"/>
      <c r="K192" s="4">
        <f>SUMIF(基因升级!$D$141:$D$500,"&lt;"&amp;$B192,基因升级!J$141:J$500)</f>
        <v>3008</v>
      </c>
      <c r="L192" s="4">
        <f>SUMIF(基因升级!$D$141:$D$500,"&lt;"&amp;$B192,基因升级!K$141:K$500)</f>
        <v>1.1</v>
      </c>
      <c r="M192" s="4">
        <f>SUMIF(基因升级!$D$141:$D$500,"&lt;"&amp;$B192,基因升级!L$141:L$500)</f>
        <v>0.63</v>
      </c>
      <c r="N192" s="4">
        <f>SUMIF(基因升级!$D$141:$D$500,"&lt;"&amp;$B192,基因升级!M$141:M$500)</f>
        <v>0.042</v>
      </c>
      <c r="O192" s="4">
        <f>SUMIF(基因升级!$D$141:$D$500,"&lt;"&amp;$B192,基因升级!N$141:N$500)</f>
        <v>0.165</v>
      </c>
      <c r="R192" s="4">
        <v>186</v>
      </c>
      <c r="S192" s="4">
        <f>SUMIF(基因升级!$D$141:$D$500,"&lt;="&amp;$R192,基因升级!$U$141:$U$500)</f>
        <v>0</v>
      </c>
      <c r="T192" s="4">
        <f>SUMIF(基因升级!$D$141:$D$500,"&lt;="&amp;$R192,基因升级!J$141:J$500)</f>
        <v>12456</v>
      </c>
      <c r="U192" s="4">
        <f>SUMIF(基因升级!$D$141:$D$500,"&lt;="&amp;$R192,基因升级!K$141:K$500)</f>
        <v>2.35</v>
      </c>
      <c r="V192" s="4">
        <f>SUMIF(基因升级!$D$141:$D$500,"&lt;="&amp;$R192,基因升级!L$141:L$500)</f>
        <v>1.38</v>
      </c>
      <c r="W192" s="4">
        <f>SUMIF(基因升级!$D$141:$D$500,"&lt;="&amp;$R192,基因升级!M$141:M$500)</f>
        <v>0.0920000000000001</v>
      </c>
      <c r="X192" s="4">
        <f>SUMIF(基因升级!$D$141:$D$500,"&lt;="&amp;$R192,基因升级!N$141:N$500)</f>
        <v>0.3525</v>
      </c>
    </row>
    <row r="193" ht="16.5" spans="1:24">
      <c r="A193" s="14">
        <v>187</v>
      </c>
      <c r="B193" s="4">
        <f>IFERROR(_xlfn.XLOOKUP(A193+1,基因升级!$E$141:$E$500,基因升级!$D$141:$D$500)-1,B192)</f>
        <v>87</v>
      </c>
      <c r="C193" s="4">
        <f>SUMIF(基因升级!$D$141:$D$500,"&lt;"&amp;$B193,基因升级!$U$141:$U$500)</f>
        <v>0</v>
      </c>
      <c r="D193" s="4"/>
      <c r="E193" s="4"/>
      <c r="F193" s="4"/>
      <c r="G193" s="4"/>
      <c r="H193" s="4"/>
      <c r="I193" s="4"/>
      <c r="J193" s="4"/>
      <c r="K193" s="4">
        <f>SUMIF(基因升级!$D$141:$D$500,"&lt;"&amp;$B193,基因升级!J$141:J$500)</f>
        <v>3008</v>
      </c>
      <c r="L193" s="4">
        <f>SUMIF(基因升级!$D$141:$D$500,"&lt;"&amp;$B193,基因升级!K$141:K$500)</f>
        <v>1.1</v>
      </c>
      <c r="M193" s="4">
        <f>SUMIF(基因升级!$D$141:$D$500,"&lt;"&amp;$B193,基因升级!L$141:L$500)</f>
        <v>0.63</v>
      </c>
      <c r="N193" s="4">
        <f>SUMIF(基因升级!$D$141:$D$500,"&lt;"&amp;$B193,基因升级!M$141:M$500)</f>
        <v>0.042</v>
      </c>
      <c r="O193" s="4">
        <f>SUMIF(基因升级!$D$141:$D$500,"&lt;"&amp;$B193,基因升级!N$141:N$500)</f>
        <v>0.165</v>
      </c>
      <c r="R193" s="4">
        <v>187</v>
      </c>
      <c r="S193" s="4">
        <f>SUMIF(基因升级!$D$141:$D$500,"&lt;="&amp;$R193,基因升级!$U$141:$U$500)</f>
        <v>0</v>
      </c>
      <c r="T193" s="4">
        <f>SUMIF(基因升级!$D$141:$D$500,"&lt;="&amp;$R193,基因升级!J$141:J$500)</f>
        <v>12572</v>
      </c>
      <c r="U193" s="4">
        <f>SUMIF(基因升级!$D$141:$D$500,"&lt;="&amp;$R193,基因升级!K$141:K$500)</f>
        <v>2.35</v>
      </c>
      <c r="V193" s="4">
        <f>SUMIF(基因升级!$D$141:$D$500,"&lt;="&amp;$R193,基因升级!L$141:L$500)</f>
        <v>1.38</v>
      </c>
      <c r="W193" s="4">
        <f>SUMIF(基因升级!$D$141:$D$500,"&lt;="&amp;$R193,基因升级!M$141:M$500)</f>
        <v>0.0940000000000001</v>
      </c>
      <c r="X193" s="4">
        <f>SUMIF(基因升级!$D$141:$D$500,"&lt;="&amp;$R193,基因升级!N$141:N$500)</f>
        <v>0.3525</v>
      </c>
    </row>
    <row r="194" ht="16.5" spans="1:24">
      <c r="A194" s="14">
        <v>188</v>
      </c>
      <c r="B194" s="4">
        <f>IFERROR(_xlfn.XLOOKUP(A194+1,基因升级!$E$141:$E$500,基因升级!$D$141:$D$500)-1,B193)</f>
        <v>87</v>
      </c>
      <c r="C194" s="4">
        <f>SUMIF(基因升级!$D$141:$D$500,"&lt;"&amp;$B194,基因升级!$U$141:$U$500)</f>
        <v>0</v>
      </c>
      <c r="D194" s="4"/>
      <c r="E194" s="4"/>
      <c r="F194" s="4"/>
      <c r="G194" s="4"/>
      <c r="H194" s="4"/>
      <c r="I194" s="4"/>
      <c r="J194" s="4"/>
      <c r="K194" s="4">
        <f>SUMIF(基因升级!$D$141:$D$500,"&lt;"&amp;$B194,基因升级!J$141:J$500)</f>
        <v>3008</v>
      </c>
      <c r="L194" s="4">
        <f>SUMIF(基因升级!$D$141:$D$500,"&lt;"&amp;$B194,基因升级!K$141:K$500)</f>
        <v>1.1</v>
      </c>
      <c r="M194" s="4">
        <f>SUMIF(基因升级!$D$141:$D$500,"&lt;"&amp;$B194,基因升级!L$141:L$500)</f>
        <v>0.63</v>
      </c>
      <c r="N194" s="4">
        <f>SUMIF(基因升级!$D$141:$D$500,"&lt;"&amp;$B194,基因升级!M$141:M$500)</f>
        <v>0.042</v>
      </c>
      <c r="O194" s="4">
        <f>SUMIF(基因升级!$D$141:$D$500,"&lt;"&amp;$B194,基因升级!N$141:N$500)</f>
        <v>0.165</v>
      </c>
      <c r="R194" s="4">
        <v>188</v>
      </c>
      <c r="S194" s="4">
        <f>SUMIF(基因升级!$D$141:$D$500,"&lt;="&amp;$R194,基因升级!$U$141:$U$500)</f>
        <v>0</v>
      </c>
      <c r="T194" s="4">
        <f>SUMIF(基因升级!$D$141:$D$500,"&lt;="&amp;$R194,基因升级!J$141:J$500)</f>
        <v>12688</v>
      </c>
      <c r="U194" s="4">
        <f>SUMIF(基因升级!$D$141:$D$500,"&lt;="&amp;$R194,基因升级!K$141:K$500)</f>
        <v>2.35</v>
      </c>
      <c r="V194" s="4">
        <f>SUMIF(基因升级!$D$141:$D$500,"&lt;="&amp;$R194,基因升级!L$141:L$500)</f>
        <v>1.41</v>
      </c>
      <c r="W194" s="4">
        <f>SUMIF(基因升级!$D$141:$D$500,"&lt;="&amp;$R194,基因升级!M$141:M$500)</f>
        <v>0.0940000000000001</v>
      </c>
      <c r="X194" s="4">
        <f>SUMIF(基因升级!$D$141:$D$500,"&lt;="&amp;$R194,基因升级!N$141:N$500)</f>
        <v>0.3525</v>
      </c>
    </row>
    <row r="195" ht="16.5" spans="1:24">
      <c r="A195" s="14">
        <v>189</v>
      </c>
      <c r="B195" s="4">
        <f>IFERROR(_xlfn.XLOOKUP(A195+1,基因升级!$E$141:$E$500,基因升级!$D$141:$D$500)-1,B194)</f>
        <v>87</v>
      </c>
      <c r="C195" s="4">
        <f>SUMIF(基因升级!$D$141:$D$500,"&lt;"&amp;$B195,基因升级!$U$141:$U$500)</f>
        <v>0</v>
      </c>
      <c r="D195" s="4"/>
      <c r="E195" s="4"/>
      <c r="F195" s="4"/>
      <c r="G195" s="4"/>
      <c r="H195" s="4"/>
      <c r="I195" s="4"/>
      <c r="J195" s="4"/>
      <c r="K195" s="4">
        <f>SUMIF(基因升级!$D$141:$D$500,"&lt;"&amp;$B195,基因升级!J$141:J$500)</f>
        <v>3008</v>
      </c>
      <c r="L195" s="4">
        <f>SUMIF(基因升级!$D$141:$D$500,"&lt;"&amp;$B195,基因升级!K$141:K$500)</f>
        <v>1.1</v>
      </c>
      <c r="M195" s="4">
        <f>SUMIF(基因升级!$D$141:$D$500,"&lt;"&amp;$B195,基因升级!L$141:L$500)</f>
        <v>0.63</v>
      </c>
      <c r="N195" s="4">
        <f>SUMIF(基因升级!$D$141:$D$500,"&lt;"&amp;$B195,基因升级!M$141:M$500)</f>
        <v>0.042</v>
      </c>
      <c r="O195" s="4">
        <f>SUMIF(基因升级!$D$141:$D$500,"&lt;"&amp;$B195,基因升级!N$141:N$500)</f>
        <v>0.165</v>
      </c>
      <c r="R195" s="4">
        <v>189</v>
      </c>
      <c r="S195" s="4">
        <f>SUMIF(基因升级!$D$141:$D$500,"&lt;="&amp;$R195,基因升级!$U$141:$U$500)</f>
        <v>0</v>
      </c>
      <c r="T195" s="4">
        <f>SUMIF(基因升级!$D$141:$D$500,"&lt;="&amp;$R195,基因升级!J$141:J$500)</f>
        <v>12804</v>
      </c>
      <c r="U195" s="4">
        <f>SUMIF(基因升级!$D$141:$D$500,"&lt;="&amp;$R195,基因升级!K$141:K$500)</f>
        <v>2.4</v>
      </c>
      <c r="V195" s="4">
        <f>SUMIF(基因升级!$D$141:$D$500,"&lt;="&amp;$R195,基因升级!L$141:L$500)</f>
        <v>1.41</v>
      </c>
      <c r="W195" s="4">
        <f>SUMIF(基因升级!$D$141:$D$500,"&lt;="&amp;$R195,基因升级!M$141:M$500)</f>
        <v>0.0940000000000001</v>
      </c>
      <c r="X195" s="4">
        <f>SUMIF(基因升级!$D$141:$D$500,"&lt;="&amp;$R195,基因升级!N$141:N$500)</f>
        <v>0.3525</v>
      </c>
    </row>
    <row r="196" ht="16.5" spans="1:24">
      <c r="A196" s="14">
        <v>190</v>
      </c>
      <c r="B196" s="4">
        <f>IFERROR(_xlfn.XLOOKUP(A196+1,基因升级!$E$141:$E$500,基因升级!$D$141:$D$500)-1,B195)</f>
        <v>87</v>
      </c>
      <c r="C196" s="4">
        <f>SUMIF(基因升级!$D$141:$D$500,"&lt;"&amp;$B196,基因升级!$U$141:$U$500)</f>
        <v>0</v>
      </c>
      <c r="D196" s="4"/>
      <c r="E196" s="4"/>
      <c r="F196" s="4"/>
      <c r="G196" s="4"/>
      <c r="H196" s="4"/>
      <c r="I196" s="4"/>
      <c r="J196" s="4"/>
      <c r="K196" s="4">
        <f>SUMIF(基因升级!$D$141:$D$500,"&lt;"&amp;$B196,基因升级!J$141:J$500)</f>
        <v>3008</v>
      </c>
      <c r="L196" s="4">
        <f>SUMIF(基因升级!$D$141:$D$500,"&lt;"&amp;$B196,基因升级!K$141:K$500)</f>
        <v>1.1</v>
      </c>
      <c r="M196" s="4">
        <f>SUMIF(基因升级!$D$141:$D$500,"&lt;"&amp;$B196,基因升级!L$141:L$500)</f>
        <v>0.63</v>
      </c>
      <c r="N196" s="4">
        <f>SUMIF(基因升级!$D$141:$D$500,"&lt;"&amp;$B196,基因升级!M$141:M$500)</f>
        <v>0.042</v>
      </c>
      <c r="O196" s="4">
        <f>SUMIF(基因升级!$D$141:$D$500,"&lt;"&amp;$B196,基因升级!N$141:N$500)</f>
        <v>0.165</v>
      </c>
      <c r="R196" s="4">
        <v>190</v>
      </c>
      <c r="S196" s="4">
        <f>SUMIF(基因升级!$D$141:$D$500,"&lt;="&amp;$R196,基因升级!$U$141:$U$500)</f>
        <v>0</v>
      </c>
      <c r="T196" s="4">
        <f>SUMIF(基因升级!$D$141:$D$500,"&lt;="&amp;$R196,基因升级!J$141:J$500)</f>
        <v>12920</v>
      </c>
      <c r="U196" s="4">
        <f>SUMIF(基因升级!$D$141:$D$500,"&lt;="&amp;$R196,基因升级!K$141:K$500)</f>
        <v>2.4</v>
      </c>
      <c r="V196" s="4">
        <f>SUMIF(基因升级!$D$141:$D$500,"&lt;="&amp;$R196,基因升级!L$141:L$500)</f>
        <v>1.41</v>
      </c>
      <c r="W196" s="4">
        <f>SUMIF(基因升级!$D$141:$D$500,"&lt;="&amp;$R196,基因升级!M$141:M$500)</f>
        <v>0.0940000000000001</v>
      </c>
      <c r="X196" s="4">
        <f>SUMIF(基因升级!$D$141:$D$500,"&lt;="&amp;$R196,基因升级!N$141:N$500)</f>
        <v>0.36</v>
      </c>
    </row>
    <row r="197" ht="16.5" spans="1:24">
      <c r="A197" s="14">
        <v>191</v>
      </c>
      <c r="B197" s="4">
        <f>IFERROR(_xlfn.XLOOKUP(A197+1,基因升级!$E$141:$E$500,基因升级!$D$141:$D$500)-1,B196)</f>
        <v>88</v>
      </c>
      <c r="C197" s="4">
        <f>SUMIF(基因升级!$D$141:$D$500,"&lt;"&amp;$B197,基因升级!$U$141:$U$500)</f>
        <v>0</v>
      </c>
      <c r="D197" s="4"/>
      <c r="E197" s="4"/>
      <c r="F197" s="4"/>
      <c r="G197" s="4"/>
      <c r="H197" s="4"/>
      <c r="I197" s="4"/>
      <c r="J197" s="4"/>
      <c r="K197" s="4">
        <f>SUMIF(基因升级!$D$141:$D$500,"&lt;"&amp;$B197,基因升级!J$141:J$500)</f>
        <v>3072</v>
      </c>
      <c r="L197" s="4">
        <f>SUMIF(基因升级!$D$141:$D$500,"&lt;"&amp;$B197,基因升级!K$141:K$500)</f>
        <v>1.1</v>
      </c>
      <c r="M197" s="4">
        <f>SUMIF(基因升级!$D$141:$D$500,"&lt;"&amp;$B197,基因升级!L$141:L$500)</f>
        <v>0.63</v>
      </c>
      <c r="N197" s="4">
        <f>SUMIF(基因升级!$D$141:$D$500,"&lt;"&amp;$B197,基因升级!M$141:M$500)</f>
        <v>0.044</v>
      </c>
      <c r="O197" s="4">
        <f>SUMIF(基因升级!$D$141:$D$500,"&lt;"&amp;$B197,基因升级!N$141:N$500)</f>
        <v>0.165</v>
      </c>
      <c r="R197" s="4">
        <v>191</v>
      </c>
      <c r="S197" s="4">
        <f>SUMIF(基因升级!$D$141:$D$500,"&lt;="&amp;$R197,基因升级!$U$141:$U$500)</f>
        <v>0</v>
      </c>
      <c r="T197" s="4">
        <f>SUMIF(基因升级!$D$141:$D$500,"&lt;="&amp;$R197,基因升级!J$141:J$500)</f>
        <v>13036</v>
      </c>
      <c r="U197" s="4">
        <f>SUMIF(基因升级!$D$141:$D$500,"&lt;="&amp;$R197,基因升级!K$141:K$500)</f>
        <v>2.4</v>
      </c>
      <c r="V197" s="4">
        <f>SUMIF(基因升级!$D$141:$D$500,"&lt;="&amp;$R197,基因升级!L$141:L$500)</f>
        <v>1.41</v>
      </c>
      <c r="W197" s="4">
        <f>SUMIF(基因升级!$D$141:$D$500,"&lt;="&amp;$R197,基因升级!M$141:M$500)</f>
        <v>0.0960000000000001</v>
      </c>
      <c r="X197" s="4">
        <f>SUMIF(基因升级!$D$141:$D$500,"&lt;="&amp;$R197,基因升级!N$141:N$500)</f>
        <v>0.36</v>
      </c>
    </row>
    <row r="198" ht="16.5" spans="1:24">
      <c r="A198" s="14">
        <v>192</v>
      </c>
      <c r="B198" s="4">
        <f>IFERROR(_xlfn.XLOOKUP(A198+1,基因升级!$E$141:$E$500,基因升级!$D$141:$D$500)-1,B197)</f>
        <v>88</v>
      </c>
      <c r="C198" s="4">
        <f>SUMIF(基因升级!$D$141:$D$500,"&lt;"&amp;$B198,基因升级!$U$141:$U$500)</f>
        <v>0</v>
      </c>
      <c r="D198" s="4"/>
      <c r="E198" s="4"/>
      <c r="F198" s="4"/>
      <c r="G198" s="4"/>
      <c r="H198" s="4"/>
      <c r="I198" s="4"/>
      <c r="J198" s="4"/>
      <c r="K198" s="4">
        <f>SUMIF(基因升级!$D$141:$D$500,"&lt;"&amp;$B198,基因升级!J$141:J$500)</f>
        <v>3072</v>
      </c>
      <c r="L198" s="4">
        <f>SUMIF(基因升级!$D$141:$D$500,"&lt;"&amp;$B198,基因升级!K$141:K$500)</f>
        <v>1.1</v>
      </c>
      <c r="M198" s="4">
        <f>SUMIF(基因升级!$D$141:$D$500,"&lt;"&amp;$B198,基因升级!L$141:L$500)</f>
        <v>0.63</v>
      </c>
      <c r="N198" s="4">
        <f>SUMIF(基因升级!$D$141:$D$500,"&lt;"&amp;$B198,基因升级!M$141:M$500)</f>
        <v>0.044</v>
      </c>
      <c r="O198" s="4">
        <f>SUMIF(基因升级!$D$141:$D$500,"&lt;"&amp;$B198,基因升级!N$141:N$500)</f>
        <v>0.165</v>
      </c>
      <c r="R198" s="4">
        <v>192</v>
      </c>
      <c r="S198" s="4">
        <f>SUMIF(基因升级!$D$141:$D$500,"&lt;="&amp;$R198,基因升级!$U$141:$U$500)</f>
        <v>0</v>
      </c>
      <c r="T198" s="4">
        <f>SUMIF(基因升级!$D$141:$D$500,"&lt;="&amp;$R198,基因升级!J$141:J$500)</f>
        <v>13152</v>
      </c>
      <c r="U198" s="4">
        <f>SUMIF(基因升级!$D$141:$D$500,"&lt;="&amp;$R198,基因升级!K$141:K$500)</f>
        <v>2.4</v>
      </c>
      <c r="V198" s="4">
        <f>SUMIF(基因升级!$D$141:$D$500,"&lt;="&amp;$R198,基因升级!L$141:L$500)</f>
        <v>1.44</v>
      </c>
      <c r="W198" s="4">
        <f>SUMIF(基因升级!$D$141:$D$500,"&lt;="&amp;$R198,基因升级!M$141:M$500)</f>
        <v>0.0960000000000001</v>
      </c>
      <c r="X198" s="4">
        <f>SUMIF(基因升级!$D$141:$D$500,"&lt;="&amp;$R198,基因升级!N$141:N$500)</f>
        <v>0.36</v>
      </c>
    </row>
    <row r="199" ht="16.5" spans="1:24">
      <c r="A199" s="14">
        <v>193</v>
      </c>
      <c r="B199" s="4">
        <f>IFERROR(_xlfn.XLOOKUP(A199+1,基因升级!$E$141:$E$500,基因升级!$D$141:$D$500)-1,B198)</f>
        <v>88</v>
      </c>
      <c r="C199" s="4">
        <f>SUMIF(基因升级!$D$141:$D$500,"&lt;"&amp;$B199,基因升级!$U$141:$U$500)</f>
        <v>0</v>
      </c>
      <c r="D199" s="4"/>
      <c r="E199" s="4"/>
      <c r="F199" s="4"/>
      <c r="G199" s="4"/>
      <c r="H199" s="4"/>
      <c r="I199" s="4"/>
      <c r="J199" s="4"/>
      <c r="K199" s="4">
        <f>SUMIF(基因升级!$D$141:$D$500,"&lt;"&amp;$B199,基因升级!J$141:J$500)</f>
        <v>3072</v>
      </c>
      <c r="L199" s="4">
        <f>SUMIF(基因升级!$D$141:$D$500,"&lt;"&amp;$B199,基因升级!K$141:K$500)</f>
        <v>1.1</v>
      </c>
      <c r="M199" s="4">
        <f>SUMIF(基因升级!$D$141:$D$500,"&lt;"&amp;$B199,基因升级!L$141:L$500)</f>
        <v>0.63</v>
      </c>
      <c r="N199" s="4">
        <f>SUMIF(基因升级!$D$141:$D$500,"&lt;"&amp;$B199,基因升级!M$141:M$500)</f>
        <v>0.044</v>
      </c>
      <c r="O199" s="4">
        <f>SUMIF(基因升级!$D$141:$D$500,"&lt;"&amp;$B199,基因升级!N$141:N$500)</f>
        <v>0.165</v>
      </c>
      <c r="R199" s="4">
        <v>193</v>
      </c>
      <c r="S199" s="4">
        <f>SUMIF(基因升级!$D$141:$D$500,"&lt;="&amp;$R199,基因升级!$U$141:$U$500)</f>
        <v>0</v>
      </c>
      <c r="T199" s="4">
        <f>SUMIF(基因升级!$D$141:$D$500,"&lt;="&amp;$R199,基因升级!J$141:J$500)</f>
        <v>13268</v>
      </c>
      <c r="U199" s="4">
        <f>SUMIF(基因升级!$D$141:$D$500,"&lt;="&amp;$R199,基因升级!K$141:K$500)</f>
        <v>2.45</v>
      </c>
      <c r="V199" s="4">
        <f>SUMIF(基因升级!$D$141:$D$500,"&lt;="&amp;$R199,基因升级!L$141:L$500)</f>
        <v>1.44</v>
      </c>
      <c r="W199" s="4">
        <f>SUMIF(基因升级!$D$141:$D$500,"&lt;="&amp;$R199,基因升级!M$141:M$500)</f>
        <v>0.0960000000000001</v>
      </c>
      <c r="X199" s="4">
        <f>SUMIF(基因升级!$D$141:$D$500,"&lt;="&amp;$R199,基因升级!N$141:N$500)</f>
        <v>0.36</v>
      </c>
    </row>
    <row r="200" ht="16.5" spans="1:24">
      <c r="A200" s="14">
        <v>194</v>
      </c>
      <c r="B200" s="4">
        <f>IFERROR(_xlfn.XLOOKUP(A200+1,基因升级!$E$141:$E$500,基因升级!$D$141:$D$500)-1,B199)</f>
        <v>88</v>
      </c>
      <c r="C200" s="4">
        <f>SUMIF(基因升级!$D$141:$D$500,"&lt;"&amp;$B200,基因升级!$U$141:$U$500)</f>
        <v>0</v>
      </c>
      <c r="D200" s="4"/>
      <c r="E200" s="4"/>
      <c r="F200" s="4"/>
      <c r="G200" s="4"/>
      <c r="H200" s="4"/>
      <c r="I200" s="4"/>
      <c r="J200" s="4"/>
      <c r="K200" s="4">
        <f>SUMIF(基因升级!$D$141:$D$500,"&lt;"&amp;$B200,基因升级!J$141:J$500)</f>
        <v>3072</v>
      </c>
      <c r="L200" s="4">
        <f>SUMIF(基因升级!$D$141:$D$500,"&lt;"&amp;$B200,基因升级!K$141:K$500)</f>
        <v>1.1</v>
      </c>
      <c r="M200" s="4">
        <f>SUMIF(基因升级!$D$141:$D$500,"&lt;"&amp;$B200,基因升级!L$141:L$500)</f>
        <v>0.63</v>
      </c>
      <c r="N200" s="4">
        <f>SUMIF(基因升级!$D$141:$D$500,"&lt;"&amp;$B200,基因升级!M$141:M$500)</f>
        <v>0.044</v>
      </c>
      <c r="O200" s="4">
        <f>SUMIF(基因升级!$D$141:$D$500,"&lt;"&amp;$B200,基因升级!N$141:N$500)</f>
        <v>0.165</v>
      </c>
      <c r="R200" s="4">
        <v>194</v>
      </c>
      <c r="S200" s="4">
        <f>SUMIF(基因升级!$D$141:$D$500,"&lt;="&amp;$R200,基因升级!$U$141:$U$500)</f>
        <v>0</v>
      </c>
      <c r="T200" s="4">
        <f>SUMIF(基因升级!$D$141:$D$500,"&lt;="&amp;$R200,基因升级!J$141:J$500)</f>
        <v>13384</v>
      </c>
      <c r="U200" s="4">
        <f>SUMIF(基因升级!$D$141:$D$500,"&lt;="&amp;$R200,基因升级!K$141:K$500)</f>
        <v>2.45</v>
      </c>
      <c r="V200" s="4">
        <f>SUMIF(基因升级!$D$141:$D$500,"&lt;="&amp;$R200,基因升级!L$141:L$500)</f>
        <v>1.44</v>
      </c>
      <c r="W200" s="4">
        <f>SUMIF(基因升级!$D$141:$D$500,"&lt;="&amp;$R200,基因升级!M$141:M$500)</f>
        <v>0.0960000000000001</v>
      </c>
      <c r="X200" s="4">
        <f>SUMIF(基因升级!$D$141:$D$500,"&lt;="&amp;$R200,基因升级!N$141:N$500)</f>
        <v>0.3675</v>
      </c>
    </row>
    <row r="201" ht="16.5" spans="1:24">
      <c r="A201" s="14">
        <v>195</v>
      </c>
      <c r="B201" s="4">
        <f>IFERROR(_xlfn.XLOOKUP(A201+1,基因升级!$E$141:$E$500,基因升级!$D$141:$D$500)-1,B200)</f>
        <v>88</v>
      </c>
      <c r="C201" s="4">
        <f>SUMIF(基因升级!$D$141:$D$500,"&lt;"&amp;$B201,基因升级!$U$141:$U$500)</f>
        <v>0</v>
      </c>
      <c r="D201" s="4"/>
      <c r="E201" s="4"/>
      <c r="F201" s="4"/>
      <c r="G201" s="4"/>
      <c r="H201" s="4"/>
      <c r="I201" s="4"/>
      <c r="J201" s="4"/>
      <c r="K201" s="4">
        <f>SUMIF(基因升级!$D$141:$D$500,"&lt;"&amp;$B201,基因升级!J$141:J$500)</f>
        <v>3072</v>
      </c>
      <c r="L201" s="4">
        <f>SUMIF(基因升级!$D$141:$D$500,"&lt;"&amp;$B201,基因升级!K$141:K$500)</f>
        <v>1.1</v>
      </c>
      <c r="M201" s="4">
        <f>SUMIF(基因升级!$D$141:$D$500,"&lt;"&amp;$B201,基因升级!L$141:L$500)</f>
        <v>0.63</v>
      </c>
      <c r="N201" s="4">
        <f>SUMIF(基因升级!$D$141:$D$500,"&lt;"&amp;$B201,基因升级!M$141:M$500)</f>
        <v>0.044</v>
      </c>
      <c r="O201" s="4">
        <f>SUMIF(基因升级!$D$141:$D$500,"&lt;"&amp;$B201,基因升级!N$141:N$500)</f>
        <v>0.165</v>
      </c>
      <c r="R201" s="4">
        <v>195</v>
      </c>
      <c r="S201" s="4">
        <f>SUMIF(基因升级!$D$141:$D$500,"&lt;="&amp;$R201,基因升级!$U$141:$U$500)</f>
        <v>0</v>
      </c>
      <c r="T201" s="4">
        <f>SUMIF(基因升级!$D$141:$D$500,"&lt;="&amp;$R201,基因升级!J$141:J$500)</f>
        <v>13500</v>
      </c>
      <c r="U201" s="4">
        <f>SUMIF(基因升级!$D$141:$D$500,"&lt;="&amp;$R201,基因升级!K$141:K$500)</f>
        <v>2.45</v>
      </c>
      <c r="V201" s="4">
        <f>SUMIF(基因升级!$D$141:$D$500,"&lt;="&amp;$R201,基因升级!L$141:L$500)</f>
        <v>1.44</v>
      </c>
      <c r="W201" s="4">
        <f>SUMIF(基因升级!$D$141:$D$500,"&lt;="&amp;$R201,基因升级!M$141:M$500)</f>
        <v>0.0980000000000001</v>
      </c>
      <c r="X201" s="4">
        <f>SUMIF(基因升级!$D$141:$D$500,"&lt;="&amp;$R201,基因升级!N$141:N$500)</f>
        <v>0.3675</v>
      </c>
    </row>
    <row r="202" ht="16.5" spans="1:24">
      <c r="A202" s="14">
        <v>196</v>
      </c>
      <c r="B202" s="4">
        <f>IFERROR(_xlfn.XLOOKUP(A202+1,基因升级!$E$141:$E$500,基因升级!$D$141:$D$500)-1,B201)</f>
        <v>88</v>
      </c>
      <c r="C202" s="4">
        <f>SUMIF(基因升级!$D$141:$D$500,"&lt;"&amp;$B202,基因升级!$U$141:$U$500)</f>
        <v>0</v>
      </c>
      <c r="D202" s="4"/>
      <c r="E202" s="4"/>
      <c r="F202" s="4"/>
      <c r="G202" s="4"/>
      <c r="H202" s="4"/>
      <c r="I202" s="4"/>
      <c r="J202" s="4"/>
      <c r="K202" s="4">
        <f>SUMIF(基因升级!$D$141:$D$500,"&lt;"&amp;$B202,基因升级!J$141:J$500)</f>
        <v>3072</v>
      </c>
      <c r="L202" s="4">
        <f>SUMIF(基因升级!$D$141:$D$500,"&lt;"&amp;$B202,基因升级!K$141:K$500)</f>
        <v>1.1</v>
      </c>
      <c r="M202" s="4">
        <f>SUMIF(基因升级!$D$141:$D$500,"&lt;"&amp;$B202,基因升级!L$141:L$500)</f>
        <v>0.63</v>
      </c>
      <c r="N202" s="4">
        <f>SUMIF(基因升级!$D$141:$D$500,"&lt;"&amp;$B202,基因升级!M$141:M$500)</f>
        <v>0.044</v>
      </c>
      <c r="O202" s="4">
        <f>SUMIF(基因升级!$D$141:$D$500,"&lt;"&amp;$B202,基因升级!N$141:N$500)</f>
        <v>0.165</v>
      </c>
      <c r="R202" s="4">
        <v>196</v>
      </c>
      <c r="S202" s="4">
        <f>SUMIF(基因升级!$D$141:$D$500,"&lt;="&amp;$R202,基因升级!$U$141:$U$500)</f>
        <v>0</v>
      </c>
      <c r="T202" s="4">
        <f>SUMIF(基因升级!$D$141:$D$500,"&lt;="&amp;$R202,基因升级!J$141:J$500)</f>
        <v>13616</v>
      </c>
      <c r="U202" s="4">
        <f>SUMIF(基因升级!$D$141:$D$500,"&lt;="&amp;$R202,基因升级!K$141:K$500)</f>
        <v>2.45</v>
      </c>
      <c r="V202" s="4">
        <f>SUMIF(基因升级!$D$141:$D$500,"&lt;="&amp;$R202,基因升级!L$141:L$500)</f>
        <v>1.47</v>
      </c>
      <c r="W202" s="4">
        <f>SUMIF(基因升级!$D$141:$D$500,"&lt;="&amp;$R202,基因升级!M$141:M$500)</f>
        <v>0.0980000000000001</v>
      </c>
      <c r="X202" s="4">
        <f>SUMIF(基因升级!$D$141:$D$500,"&lt;="&amp;$R202,基因升级!N$141:N$500)</f>
        <v>0.3675</v>
      </c>
    </row>
    <row r="203" ht="16.5" spans="1:24">
      <c r="A203" s="14">
        <v>197</v>
      </c>
      <c r="B203" s="4">
        <f>IFERROR(_xlfn.XLOOKUP(A203+1,基因升级!$E$141:$E$500,基因升级!$D$141:$D$500)-1,B202)</f>
        <v>88</v>
      </c>
      <c r="C203" s="4">
        <f>SUMIF(基因升级!$D$141:$D$500,"&lt;"&amp;$B203,基因升级!$U$141:$U$500)</f>
        <v>0</v>
      </c>
      <c r="D203" s="4"/>
      <c r="E203" s="4"/>
      <c r="F203" s="4"/>
      <c r="G203" s="4"/>
      <c r="H203" s="4"/>
      <c r="I203" s="4"/>
      <c r="J203" s="4"/>
      <c r="K203" s="4">
        <f>SUMIF(基因升级!$D$141:$D$500,"&lt;"&amp;$B203,基因升级!J$141:J$500)</f>
        <v>3072</v>
      </c>
      <c r="L203" s="4">
        <f>SUMIF(基因升级!$D$141:$D$500,"&lt;"&amp;$B203,基因升级!K$141:K$500)</f>
        <v>1.1</v>
      </c>
      <c r="M203" s="4">
        <f>SUMIF(基因升级!$D$141:$D$500,"&lt;"&amp;$B203,基因升级!L$141:L$500)</f>
        <v>0.63</v>
      </c>
      <c r="N203" s="4">
        <f>SUMIF(基因升级!$D$141:$D$500,"&lt;"&amp;$B203,基因升级!M$141:M$500)</f>
        <v>0.044</v>
      </c>
      <c r="O203" s="4">
        <f>SUMIF(基因升级!$D$141:$D$500,"&lt;"&amp;$B203,基因升级!N$141:N$500)</f>
        <v>0.165</v>
      </c>
      <c r="R203" s="4">
        <v>197</v>
      </c>
      <c r="S203" s="4">
        <f>SUMIF(基因升级!$D$141:$D$500,"&lt;="&amp;$R203,基因升级!$U$141:$U$500)</f>
        <v>0</v>
      </c>
      <c r="T203" s="4">
        <f>SUMIF(基因升级!$D$141:$D$500,"&lt;="&amp;$R203,基因升级!J$141:J$500)</f>
        <v>13732</v>
      </c>
      <c r="U203" s="4">
        <f>SUMIF(基因升级!$D$141:$D$500,"&lt;="&amp;$R203,基因升级!K$141:K$500)</f>
        <v>2.5</v>
      </c>
      <c r="V203" s="4">
        <f>SUMIF(基因升级!$D$141:$D$500,"&lt;="&amp;$R203,基因升级!L$141:L$500)</f>
        <v>1.47</v>
      </c>
      <c r="W203" s="4">
        <f>SUMIF(基因升级!$D$141:$D$500,"&lt;="&amp;$R203,基因升级!M$141:M$500)</f>
        <v>0.0980000000000001</v>
      </c>
      <c r="X203" s="4">
        <f>SUMIF(基因升级!$D$141:$D$500,"&lt;="&amp;$R203,基因升级!N$141:N$500)</f>
        <v>0.3675</v>
      </c>
    </row>
    <row r="204" ht="16.5" spans="1:24">
      <c r="A204" s="14">
        <v>198</v>
      </c>
      <c r="B204" s="4">
        <f>IFERROR(_xlfn.XLOOKUP(A204+1,基因升级!$E$141:$E$500,基因升级!$D$141:$D$500)-1,B203)</f>
        <v>88</v>
      </c>
      <c r="C204" s="4">
        <f>SUMIF(基因升级!$D$141:$D$500,"&lt;"&amp;$B204,基因升级!$U$141:$U$500)</f>
        <v>0</v>
      </c>
      <c r="D204" s="4"/>
      <c r="E204" s="4"/>
      <c r="F204" s="4"/>
      <c r="G204" s="4"/>
      <c r="H204" s="4"/>
      <c r="I204" s="4"/>
      <c r="J204" s="4"/>
      <c r="K204" s="4">
        <f>SUMIF(基因升级!$D$141:$D$500,"&lt;"&amp;$B204,基因升级!J$141:J$500)</f>
        <v>3072</v>
      </c>
      <c r="L204" s="4">
        <f>SUMIF(基因升级!$D$141:$D$500,"&lt;"&amp;$B204,基因升级!K$141:K$500)</f>
        <v>1.1</v>
      </c>
      <c r="M204" s="4">
        <f>SUMIF(基因升级!$D$141:$D$500,"&lt;"&amp;$B204,基因升级!L$141:L$500)</f>
        <v>0.63</v>
      </c>
      <c r="N204" s="4">
        <f>SUMIF(基因升级!$D$141:$D$500,"&lt;"&amp;$B204,基因升级!M$141:M$500)</f>
        <v>0.044</v>
      </c>
      <c r="O204" s="4">
        <f>SUMIF(基因升级!$D$141:$D$500,"&lt;"&amp;$B204,基因升级!N$141:N$500)</f>
        <v>0.165</v>
      </c>
      <c r="R204" s="4">
        <v>198</v>
      </c>
      <c r="S204" s="4">
        <f>SUMIF(基因升级!$D$141:$D$500,"&lt;="&amp;$R204,基因升级!$U$141:$U$500)</f>
        <v>0</v>
      </c>
      <c r="T204" s="4">
        <f>SUMIF(基因升级!$D$141:$D$500,"&lt;="&amp;$R204,基因升级!J$141:J$500)</f>
        <v>13848</v>
      </c>
      <c r="U204" s="4">
        <f>SUMIF(基因升级!$D$141:$D$500,"&lt;="&amp;$R204,基因升级!K$141:K$500)</f>
        <v>2.5</v>
      </c>
      <c r="V204" s="4">
        <f>SUMIF(基因升级!$D$141:$D$500,"&lt;="&amp;$R204,基因升级!L$141:L$500)</f>
        <v>1.47</v>
      </c>
      <c r="W204" s="4">
        <f>SUMIF(基因升级!$D$141:$D$500,"&lt;="&amp;$R204,基因升级!M$141:M$500)</f>
        <v>0.0980000000000001</v>
      </c>
      <c r="X204" s="4">
        <f>SUMIF(基因升级!$D$141:$D$500,"&lt;="&amp;$R204,基因升级!N$141:N$500)</f>
        <v>0.375</v>
      </c>
    </row>
    <row r="205" ht="16.5" spans="1:24">
      <c r="A205" s="14">
        <v>199</v>
      </c>
      <c r="B205" s="4">
        <f>IFERROR(_xlfn.XLOOKUP(A205+1,基因升级!$E$141:$E$500,基因升级!$D$141:$D$500)-1,B204)</f>
        <v>89</v>
      </c>
      <c r="C205" s="4">
        <f>SUMIF(基因升级!$D$141:$D$500,"&lt;"&amp;$B205,基因升级!$U$141:$U$500)</f>
        <v>0</v>
      </c>
      <c r="D205" s="4"/>
      <c r="E205" s="4"/>
      <c r="F205" s="4"/>
      <c r="G205" s="4"/>
      <c r="H205" s="4"/>
      <c r="I205" s="4"/>
      <c r="J205" s="4"/>
      <c r="K205" s="4">
        <f>SUMIF(基因升级!$D$141:$D$500,"&lt;"&amp;$B205,基因升级!J$141:J$500)</f>
        <v>3136</v>
      </c>
      <c r="L205" s="4">
        <f>SUMIF(基因升级!$D$141:$D$500,"&lt;"&amp;$B205,基因升级!K$141:K$500)</f>
        <v>1.1</v>
      </c>
      <c r="M205" s="4">
        <f>SUMIF(基因升级!$D$141:$D$500,"&lt;"&amp;$B205,基因升级!L$141:L$500)</f>
        <v>0.66</v>
      </c>
      <c r="N205" s="4">
        <f>SUMIF(基因升级!$D$141:$D$500,"&lt;"&amp;$B205,基因升级!M$141:M$500)</f>
        <v>0.044</v>
      </c>
      <c r="O205" s="4">
        <f>SUMIF(基因升级!$D$141:$D$500,"&lt;"&amp;$B205,基因升级!N$141:N$500)</f>
        <v>0.165</v>
      </c>
      <c r="R205" s="4">
        <v>199</v>
      </c>
      <c r="S205" s="4">
        <f>SUMIF(基因升级!$D$141:$D$500,"&lt;="&amp;$R205,基因升级!$U$141:$U$500)</f>
        <v>0</v>
      </c>
      <c r="T205" s="4">
        <f>SUMIF(基因升级!$D$141:$D$500,"&lt;="&amp;$R205,基因升级!J$141:J$500)</f>
        <v>13964</v>
      </c>
      <c r="U205" s="4">
        <f>SUMIF(基因升级!$D$141:$D$500,"&lt;="&amp;$R205,基因升级!K$141:K$500)</f>
        <v>2.5</v>
      </c>
      <c r="V205" s="4">
        <f>SUMIF(基因升级!$D$141:$D$500,"&lt;="&amp;$R205,基因升级!L$141:L$500)</f>
        <v>1.47</v>
      </c>
      <c r="W205" s="4">
        <f>SUMIF(基因升级!$D$141:$D$500,"&lt;="&amp;$R205,基因升级!M$141:M$500)</f>
        <v>0.1</v>
      </c>
      <c r="X205" s="4">
        <f>SUMIF(基因升级!$D$141:$D$500,"&lt;="&amp;$R205,基因升级!N$141:N$500)</f>
        <v>0.375</v>
      </c>
    </row>
    <row r="206" ht="16.5" spans="1:24">
      <c r="A206" s="14">
        <v>200</v>
      </c>
      <c r="B206" s="4">
        <f>IFERROR(_xlfn.XLOOKUP(A206+1,基因升级!$E$141:$E$500,基因升级!$D$141:$D$500)-1,B205)</f>
        <v>89</v>
      </c>
      <c r="C206" s="4">
        <f>SUMIF(基因升级!$D$141:$D$500,"&lt;"&amp;$B206,基因升级!$U$141:$U$500)</f>
        <v>0</v>
      </c>
      <c r="D206" s="4"/>
      <c r="E206" s="4"/>
      <c r="F206" s="4"/>
      <c r="G206" s="4"/>
      <c r="H206" s="4"/>
      <c r="I206" s="4"/>
      <c r="J206" s="4"/>
      <c r="K206" s="4">
        <f>SUMIF(基因升级!$D$141:$D$500,"&lt;"&amp;$B206,基因升级!J$141:J$500)</f>
        <v>3136</v>
      </c>
      <c r="L206" s="4">
        <f>SUMIF(基因升级!$D$141:$D$500,"&lt;"&amp;$B206,基因升级!K$141:K$500)</f>
        <v>1.1</v>
      </c>
      <c r="M206" s="4">
        <f>SUMIF(基因升级!$D$141:$D$500,"&lt;"&amp;$B206,基因升级!L$141:L$500)</f>
        <v>0.66</v>
      </c>
      <c r="N206" s="4">
        <f>SUMIF(基因升级!$D$141:$D$500,"&lt;"&amp;$B206,基因升级!M$141:M$500)</f>
        <v>0.044</v>
      </c>
      <c r="O206" s="4">
        <f>SUMIF(基因升级!$D$141:$D$500,"&lt;"&amp;$B206,基因升级!N$141:N$500)</f>
        <v>0.165</v>
      </c>
      <c r="R206" s="4">
        <v>200</v>
      </c>
      <c r="S206" s="4">
        <f>SUMIF(基因升级!$D$141:$D$500,"&lt;="&amp;$R206,基因升级!$U$141:$U$500)</f>
        <v>0</v>
      </c>
      <c r="T206" s="4">
        <f>SUMIF(基因升级!$D$141:$D$500,"&lt;="&amp;$R206,基因升级!J$141:J$500)</f>
        <v>14080</v>
      </c>
      <c r="U206" s="4">
        <f>SUMIF(基因升级!$D$141:$D$500,"&lt;="&amp;$R206,基因升级!K$141:K$500)</f>
        <v>2.5</v>
      </c>
      <c r="V206" s="4">
        <f>SUMIF(基因升级!$D$141:$D$500,"&lt;="&amp;$R206,基因升级!L$141:L$500)</f>
        <v>1.5</v>
      </c>
      <c r="W206" s="4">
        <f>SUMIF(基因升级!$D$141:$D$500,"&lt;="&amp;$R206,基因升级!M$141:M$500)</f>
        <v>0.1</v>
      </c>
      <c r="X206" s="4">
        <f>SUMIF(基因升级!$D$141:$D$500,"&lt;="&amp;$R206,基因升级!N$141:N$500)</f>
        <v>0.375</v>
      </c>
    </row>
    <row r="207" ht="16.5" spans="1:24">
      <c r="A207" s="14">
        <v>201</v>
      </c>
      <c r="B207" s="4">
        <f>IFERROR(_xlfn.XLOOKUP(A207+1,基因升级!$E$141:$E$500,基因升级!$D$141:$D$500)-1,B206)</f>
        <v>89</v>
      </c>
      <c r="C207" s="4">
        <f>SUMIF(基因升级!$D$141:$D$500,"&lt;"&amp;$B207,基因升级!$U$141:$U$500)</f>
        <v>0</v>
      </c>
      <c r="D207" s="4"/>
      <c r="E207" s="4"/>
      <c r="F207" s="4"/>
      <c r="G207" s="4"/>
      <c r="H207" s="4"/>
      <c r="I207" s="4"/>
      <c r="J207" s="4"/>
      <c r="K207" s="4">
        <f>SUMIF(基因升级!$D$141:$D$500,"&lt;"&amp;$B207,基因升级!J$141:J$500)</f>
        <v>3136</v>
      </c>
      <c r="L207" s="4">
        <f>SUMIF(基因升级!$D$141:$D$500,"&lt;"&amp;$B207,基因升级!K$141:K$500)</f>
        <v>1.1</v>
      </c>
      <c r="M207" s="4">
        <f>SUMIF(基因升级!$D$141:$D$500,"&lt;"&amp;$B207,基因升级!L$141:L$500)</f>
        <v>0.66</v>
      </c>
      <c r="N207" s="4">
        <f>SUMIF(基因升级!$D$141:$D$500,"&lt;"&amp;$B207,基因升级!M$141:M$500)</f>
        <v>0.044</v>
      </c>
      <c r="O207" s="4">
        <f>SUMIF(基因升级!$D$141:$D$500,"&lt;"&amp;$B207,基因升级!N$141:N$500)</f>
        <v>0.165</v>
      </c>
      <c r="R207" s="4">
        <v>201</v>
      </c>
      <c r="S207" s="4">
        <f>SUMIF(基因升级!$D$141:$D$500,"&lt;="&amp;$R207,基因升级!$U$141:$U$500)</f>
        <v>0</v>
      </c>
      <c r="T207" s="4">
        <f>SUMIF(基因升级!$D$141:$D$500,"&lt;="&amp;$R207,基因升级!J$141:J$500)</f>
        <v>14202</v>
      </c>
      <c r="U207" s="4">
        <f>SUMIF(基因升级!$D$141:$D$500,"&lt;="&amp;$R207,基因升级!K$141:K$500)</f>
        <v>2.55</v>
      </c>
      <c r="V207" s="4">
        <f>SUMIF(基因升级!$D$141:$D$500,"&lt;="&amp;$R207,基因升级!L$141:L$500)</f>
        <v>1.5</v>
      </c>
      <c r="W207" s="4">
        <f>SUMIF(基因升级!$D$141:$D$500,"&lt;="&amp;$R207,基因升级!M$141:M$500)</f>
        <v>0.1</v>
      </c>
      <c r="X207" s="4">
        <f>SUMIF(基因升级!$D$141:$D$500,"&lt;="&amp;$R207,基因升级!N$141:N$500)</f>
        <v>0.375</v>
      </c>
    </row>
    <row r="208" ht="16.5" spans="1:24">
      <c r="A208" s="14">
        <v>202</v>
      </c>
      <c r="B208" s="4">
        <f>IFERROR(_xlfn.XLOOKUP(A208+1,基因升级!$E$141:$E$500,基因升级!$D$141:$D$500)-1,B207)</f>
        <v>89</v>
      </c>
      <c r="C208" s="4">
        <f>SUMIF(基因升级!$D$141:$D$500,"&lt;"&amp;$B208,基因升级!$U$141:$U$500)</f>
        <v>0</v>
      </c>
      <c r="D208" s="4"/>
      <c r="E208" s="4"/>
      <c r="F208" s="4"/>
      <c r="G208" s="4"/>
      <c r="H208" s="4"/>
      <c r="I208" s="4"/>
      <c r="J208" s="4"/>
      <c r="K208" s="4">
        <f>SUMIF(基因升级!$D$141:$D$500,"&lt;"&amp;$B208,基因升级!J$141:J$500)</f>
        <v>3136</v>
      </c>
      <c r="L208" s="4">
        <f>SUMIF(基因升级!$D$141:$D$500,"&lt;"&amp;$B208,基因升级!K$141:K$500)</f>
        <v>1.1</v>
      </c>
      <c r="M208" s="4">
        <f>SUMIF(基因升级!$D$141:$D$500,"&lt;"&amp;$B208,基因升级!L$141:L$500)</f>
        <v>0.66</v>
      </c>
      <c r="N208" s="4">
        <f>SUMIF(基因升级!$D$141:$D$500,"&lt;"&amp;$B208,基因升级!M$141:M$500)</f>
        <v>0.044</v>
      </c>
      <c r="O208" s="4">
        <f>SUMIF(基因升级!$D$141:$D$500,"&lt;"&amp;$B208,基因升级!N$141:N$500)</f>
        <v>0.165</v>
      </c>
      <c r="R208" s="4">
        <v>202</v>
      </c>
      <c r="S208" s="4">
        <f>SUMIF(基因升级!$D$141:$D$500,"&lt;="&amp;$R208,基因升级!$U$141:$U$500)</f>
        <v>0</v>
      </c>
      <c r="T208" s="4">
        <f>SUMIF(基因升级!$D$141:$D$500,"&lt;="&amp;$R208,基因升级!J$141:J$500)</f>
        <v>14324</v>
      </c>
      <c r="U208" s="4">
        <f>SUMIF(基因升级!$D$141:$D$500,"&lt;="&amp;$R208,基因升级!K$141:K$500)</f>
        <v>2.55</v>
      </c>
      <c r="V208" s="4">
        <f>SUMIF(基因升级!$D$141:$D$500,"&lt;="&amp;$R208,基因升级!L$141:L$500)</f>
        <v>1.5</v>
      </c>
      <c r="W208" s="4">
        <f>SUMIF(基因升级!$D$141:$D$500,"&lt;="&amp;$R208,基因升级!M$141:M$500)</f>
        <v>0.1</v>
      </c>
      <c r="X208" s="4">
        <f>SUMIF(基因升级!$D$141:$D$500,"&lt;="&amp;$R208,基因升级!N$141:N$500)</f>
        <v>0.3825</v>
      </c>
    </row>
    <row r="209" ht="16.5" spans="1:24">
      <c r="A209" s="14">
        <v>203</v>
      </c>
      <c r="B209" s="4">
        <f>IFERROR(_xlfn.XLOOKUP(A209+1,基因升级!$E$141:$E$500,基因升级!$D$141:$D$500)-1,B208)</f>
        <v>89</v>
      </c>
      <c r="C209" s="4">
        <f>SUMIF(基因升级!$D$141:$D$500,"&lt;"&amp;$B209,基因升级!$U$141:$U$500)</f>
        <v>0</v>
      </c>
      <c r="D209" s="4"/>
      <c r="E209" s="4"/>
      <c r="F209" s="4"/>
      <c r="G209" s="4"/>
      <c r="H209" s="4"/>
      <c r="I209" s="4"/>
      <c r="J209" s="4"/>
      <c r="K209" s="4">
        <f>SUMIF(基因升级!$D$141:$D$500,"&lt;"&amp;$B209,基因升级!J$141:J$500)</f>
        <v>3136</v>
      </c>
      <c r="L209" s="4">
        <f>SUMIF(基因升级!$D$141:$D$500,"&lt;"&amp;$B209,基因升级!K$141:K$500)</f>
        <v>1.1</v>
      </c>
      <c r="M209" s="4">
        <f>SUMIF(基因升级!$D$141:$D$500,"&lt;"&amp;$B209,基因升级!L$141:L$500)</f>
        <v>0.66</v>
      </c>
      <c r="N209" s="4">
        <f>SUMIF(基因升级!$D$141:$D$500,"&lt;"&amp;$B209,基因升级!M$141:M$500)</f>
        <v>0.044</v>
      </c>
      <c r="O209" s="4">
        <f>SUMIF(基因升级!$D$141:$D$500,"&lt;"&amp;$B209,基因升级!N$141:N$500)</f>
        <v>0.165</v>
      </c>
      <c r="R209" s="4">
        <v>203</v>
      </c>
      <c r="S209" s="4">
        <f>SUMIF(基因升级!$D$141:$D$500,"&lt;="&amp;$R209,基因升级!$U$141:$U$500)</f>
        <v>0</v>
      </c>
      <c r="T209" s="4">
        <f>SUMIF(基因升级!$D$141:$D$500,"&lt;="&amp;$R209,基因升级!J$141:J$500)</f>
        <v>14446</v>
      </c>
      <c r="U209" s="4">
        <f>SUMIF(基因升级!$D$141:$D$500,"&lt;="&amp;$R209,基因升级!K$141:K$500)</f>
        <v>2.55</v>
      </c>
      <c r="V209" s="4">
        <f>SUMIF(基因升级!$D$141:$D$500,"&lt;="&amp;$R209,基因升级!L$141:L$500)</f>
        <v>1.5</v>
      </c>
      <c r="W209" s="4">
        <f>SUMIF(基因升级!$D$141:$D$500,"&lt;="&amp;$R209,基因升级!M$141:M$500)</f>
        <v>0.102</v>
      </c>
      <c r="X209" s="4">
        <f>SUMIF(基因升级!$D$141:$D$500,"&lt;="&amp;$R209,基因升级!N$141:N$500)</f>
        <v>0.3825</v>
      </c>
    </row>
    <row r="210" ht="16.5" spans="1:24">
      <c r="A210" s="14">
        <v>204</v>
      </c>
      <c r="B210" s="4">
        <f>IFERROR(_xlfn.XLOOKUP(A210+1,基因升级!$E$141:$E$500,基因升级!$D$141:$D$500)-1,B209)</f>
        <v>89</v>
      </c>
      <c r="C210" s="4">
        <f>SUMIF(基因升级!$D$141:$D$500,"&lt;"&amp;$B210,基因升级!$U$141:$U$500)</f>
        <v>0</v>
      </c>
      <c r="D210" s="4"/>
      <c r="E210" s="4"/>
      <c r="F210" s="4"/>
      <c r="G210" s="4"/>
      <c r="H210" s="4"/>
      <c r="I210" s="4"/>
      <c r="J210" s="4"/>
      <c r="K210" s="4">
        <f>SUMIF(基因升级!$D$141:$D$500,"&lt;"&amp;$B210,基因升级!J$141:J$500)</f>
        <v>3136</v>
      </c>
      <c r="L210" s="4">
        <f>SUMIF(基因升级!$D$141:$D$500,"&lt;"&amp;$B210,基因升级!K$141:K$500)</f>
        <v>1.1</v>
      </c>
      <c r="M210" s="4">
        <f>SUMIF(基因升级!$D$141:$D$500,"&lt;"&amp;$B210,基因升级!L$141:L$500)</f>
        <v>0.66</v>
      </c>
      <c r="N210" s="4">
        <f>SUMIF(基因升级!$D$141:$D$500,"&lt;"&amp;$B210,基因升级!M$141:M$500)</f>
        <v>0.044</v>
      </c>
      <c r="O210" s="4">
        <f>SUMIF(基因升级!$D$141:$D$500,"&lt;"&amp;$B210,基因升级!N$141:N$500)</f>
        <v>0.165</v>
      </c>
      <c r="R210" s="4">
        <v>204</v>
      </c>
      <c r="S210" s="4">
        <f>SUMIF(基因升级!$D$141:$D$500,"&lt;="&amp;$R210,基因升级!$U$141:$U$500)</f>
        <v>0</v>
      </c>
      <c r="T210" s="4">
        <f>SUMIF(基因升级!$D$141:$D$500,"&lt;="&amp;$R210,基因升级!J$141:J$500)</f>
        <v>14568</v>
      </c>
      <c r="U210" s="4">
        <f>SUMIF(基因升级!$D$141:$D$500,"&lt;="&amp;$R210,基因升级!K$141:K$500)</f>
        <v>2.55</v>
      </c>
      <c r="V210" s="4">
        <f>SUMIF(基因升级!$D$141:$D$500,"&lt;="&amp;$R210,基因升级!L$141:L$500)</f>
        <v>1.53</v>
      </c>
      <c r="W210" s="4">
        <f>SUMIF(基因升级!$D$141:$D$500,"&lt;="&amp;$R210,基因升级!M$141:M$500)</f>
        <v>0.102</v>
      </c>
      <c r="X210" s="4">
        <f>SUMIF(基因升级!$D$141:$D$500,"&lt;="&amp;$R210,基因升级!N$141:N$500)</f>
        <v>0.3825</v>
      </c>
    </row>
    <row r="211" ht="16.5" spans="1:24">
      <c r="A211" s="14">
        <v>205</v>
      </c>
      <c r="B211" s="4">
        <f>IFERROR(_xlfn.XLOOKUP(A211+1,基因升级!$E$141:$E$500,基因升级!$D$141:$D$500)-1,B210)</f>
        <v>89</v>
      </c>
      <c r="C211" s="4">
        <f>SUMIF(基因升级!$D$141:$D$500,"&lt;"&amp;$B211,基因升级!$U$141:$U$500)</f>
        <v>0</v>
      </c>
      <c r="D211" s="4"/>
      <c r="E211" s="4"/>
      <c r="F211" s="4"/>
      <c r="G211" s="4"/>
      <c r="H211" s="4"/>
      <c r="I211" s="4"/>
      <c r="J211" s="4"/>
      <c r="K211" s="4">
        <f>SUMIF(基因升级!$D$141:$D$500,"&lt;"&amp;$B211,基因升级!J$141:J$500)</f>
        <v>3136</v>
      </c>
      <c r="L211" s="4">
        <f>SUMIF(基因升级!$D$141:$D$500,"&lt;"&amp;$B211,基因升级!K$141:K$500)</f>
        <v>1.1</v>
      </c>
      <c r="M211" s="4">
        <f>SUMIF(基因升级!$D$141:$D$500,"&lt;"&amp;$B211,基因升级!L$141:L$500)</f>
        <v>0.66</v>
      </c>
      <c r="N211" s="4">
        <f>SUMIF(基因升级!$D$141:$D$500,"&lt;"&amp;$B211,基因升级!M$141:M$500)</f>
        <v>0.044</v>
      </c>
      <c r="O211" s="4">
        <f>SUMIF(基因升级!$D$141:$D$500,"&lt;"&amp;$B211,基因升级!N$141:N$500)</f>
        <v>0.165</v>
      </c>
      <c r="R211" s="4">
        <v>205</v>
      </c>
      <c r="S211" s="4">
        <f>SUMIF(基因升级!$D$141:$D$500,"&lt;="&amp;$R211,基因升级!$U$141:$U$500)</f>
        <v>0</v>
      </c>
      <c r="T211" s="4">
        <f>SUMIF(基因升级!$D$141:$D$500,"&lt;="&amp;$R211,基因升级!J$141:J$500)</f>
        <v>14690</v>
      </c>
      <c r="U211" s="4">
        <f>SUMIF(基因升级!$D$141:$D$500,"&lt;="&amp;$R211,基因升级!K$141:K$500)</f>
        <v>2.6</v>
      </c>
      <c r="V211" s="4">
        <f>SUMIF(基因升级!$D$141:$D$500,"&lt;="&amp;$R211,基因升级!L$141:L$500)</f>
        <v>1.53</v>
      </c>
      <c r="W211" s="4">
        <f>SUMIF(基因升级!$D$141:$D$500,"&lt;="&amp;$R211,基因升级!M$141:M$500)</f>
        <v>0.102</v>
      </c>
      <c r="X211" s="4">
        <f>SUMIF(基因升级!$D$141:$D$500,"&lt;="&amp;$R211,基因升级!N$141:N$500)</f>
        <v>0.3825</v>
      </c>
    </row>
    <row r="212" ht="16.5" spans="1:24">
      <c r="A212" s="14">
        <v>206</v>
      </c>
      <c r="B212" s="4">
        <f>IFERROR(_xlfn.XLOOKUP(A212+1,基因升级!$E$141:$E$500,基因升级!$D$141:$D$500)-1,B211)</f>
        <v>89</v>
      </c>
      <c r="C212" s="4">
        <f>SUMIF(基因升级!$D$141:$D$500,"&lt;"&amp;$B212,基因升级!$U$141:$U$500)</f>
        <v>0</v>
      </c>
      <c r="D212" s="4"/>
      <c r="E212" s="4"/>
      <c r="F212" s="4"/>
      <c r="G212" s="4"/>
      <c r="H212" s="4"/>
      <c r="I212" s="4"/>
      <c r="J212" s="4"/>
      <c r="K212" s="4">
        <f>SUMIF(基因升级!$D$141:$D$500,"&lt;"&amp;$B212,基因升级!J$141:J$500)</f>
        <v>3136</v>
      </c>
      <c r="L212" s="4">
        <f>SUMIF(基因升级!$D$141:$D$500,"&lt;"&amp;$B212,基因升级!K$141:K$500)</f>
        <v>1.1</v>
      </c>
      <c r="M212" s="4">
        <f>SUMIF(基因升级!$D$141:$D$500,"&lt;"&amp;$B212,基因升级!L$141:L$500)</f>
        <v>0.66</v>
      </c>
      <c r="N212" s="4">
        <f>SUMIF(基因升级!$D$141:$D$500,"&lt;"&amp;$B212,基因升级!M$141:M$500)</f>
        <v>0.044</v>
      </c>
      <c r="O212" s="4">
        <f>SUMIF(基因升级!$D$141:$D$500,"&lt;"&amp;$B212,基因升级!N$141:N$500)</f>
        <v>0.165</v>
      </c>
      <c r="R212" s="4">
        <v>206</v>
      </c>
      <c r="S212" s="4">
        <f>SUMIF(基因升级!$D$141:$D$500,"&lt;="&amp;$R212,基因升级!$U$141:$U$500)</f>
        <v>0</v>
      </c>
      <c r="T212" s="4">
        <f>SUMIF(基因升级!$D$141:$D$500,"&lt;="&amp;$R212,基因升级!J$141:J$500)</f>
        <v>14812</v>
      </c>
      <c r="U212" s="4">
        <f>SUMIF(基因升级!$D$141:$D$500,"&lt;="&amp;$R212,基因升级!K$141:K$500)</f>
        <v>2.6</v>
      </c>
      <c r="V212" s="4">
        <f>SUMIF(基因升级!$D$141:$D$500,"&lt;="&amp;$R212,基因升级!L$141:L$500)</f>
        <v>1.53</v>
      </c>
      <c r="W212" s="4">
        <f>SUMIF(基因升级!$D$141:$D$500,"&lt;="&amp;$R212,基因升级!M$141:M$500)</f>
        <v>0.102</v>
      </c>
      <c r="X212" s="4">
        <f>SUMIF(基因升级!$D$141:$D$500,"&lt;="&amp;$R212,基因升级!N$141:N$500)</f>
        <v>0.39</v>
      </c>
    </row>
    <row r="213" ht="16.5" spans="1:24">
      <c r="A213" s="14">
        <v>207</v>
      </c>
      <c r="B213" s="4">
        <f>IFERROR(_xlfn.XLOOKUP(A213+1,基因升级!$E$141:$E$500,基因升级!$D$141:$D$500)-1,B212)</f>
        <v>90</v>
      </c>
      <c r="C213" s="4">
        <f>SUMIF(基因升级!$D$141:$D$500,"&lt;"&amp;$B213,基因升级!$U$141:$U$500)</f>
        <v>0</v>
      </c>
      <c r="D213" s="4"/>
      <c r="E213" s="4"/>
      <c r="F213" s="4"/>
      <c r="G213" s="4"/>
      <c r="H213" s="4"/>
      <c r="I213" s="4"/>
      <c r="J213" s="4"/>
      <c r="K213" s="4">
        <f>SUMIF(基因升级!$D$141:$D$500,"&lt;"&amp;$B213,基因升级!J$141:J$500)</f>
        <v>3206</v>
      </c>
      <c r="L213" s="4">
        <f>SUMIF(基因升级!$D$141:$D$500,"&lt;"&amp;$B213,基因升级!K$141:K$500)</f>
        <v>1.15</v>
      </c>
      <c r="M213" s="4">
        <f>SUMIF(基因升级!$D$141:$D$500,"&lt;"&amp;$B213,基因升级!L$141:L$500)</f>
        <v>0.66</v>
      </c>
      <c r="N213" s="4">
        <f>SUMIF(基因升级!$D$141:$D$500,"&lt;"&amp;$B213,基因升级!M$141:M$500)</f>
        <v>0.044</v>
      </c>
      <c r="O213" s="4">
        <f>SUMIF(基因升级!$D$141:$D$500,"&lt;"&amp;$B213,基因升级!N$141:N$500)</f>
        <v>0.165</v>
      </c>
      <c r="R213" s="4">
        <v>207</v>
      </c>
      <c r="S213" s="4">
        <f>SUMIF(基因升级!$D$141:$D$500,"&lt;="&amp;$R213,基因升级!$U$141:$U$500)</f>
        <v>0</v>
      </c>
      <c r="T213" s="4">
        <f>SUMIF(基因升级!$D$141:$D$500,"&lt;="&amp;$R213,基因升级!J$141:J$500)</f>
        <v>14934</v>
      </c>
      <c r="U213" s="4">
        <f>SUMIF(基因升级!$D$141:$D$500,"&lt;="&amp;$R213,基因升级!K$141:K$500)</f>
        <v>2.6</v>
      </c>
      <c r="V213" s="4">
        <f>SUMIF(基因升级!$D$141:$D$500,"&lt;="&amp;$R213,基因升级!L$141:L$500)</f>
        <v>1.53</v>
      </c>
      <c r="W213" s="4">
        <f>SUMIF(基因升级!$D$141:$D$500,"&lt;="&amp;$R213,基因升级!M$141:M$500)</f>
        <v>0.104</v>
      </c>
      <c r="X213" s="4">
        <f>SUMIF(基因升级!$D$141:$D$500,"&lt;="&amp;$R213,基因升级!N$141:N$500)</f>
        <v>0.39</v>
      </c>
    </row>
    <row r="214" ht="16.5" spans="1:24">
      <c r="A214" s="14">
        <v>208</v>
      </c>
      <c r="B214" s="4">
        <f>IFERROR(_xlfn.XLOOKUP(A214+1,基因升级!$E$141:$E$500,基因升级!$D$141:$D$500)-1,B213)</f>
        <v>90</v>
      </c>
      <c r="C214" s="4">
        <f>SUMIF(基因升级!$D$141:$D$500,"&lt;"&amp;$B214,基因升级!$U$141:$U$500)</f>
        <v>0</v>
      </c>
      <c r="D214" s="4"/>
      <c r="E214" s="4"/>
      <c r="F214" s="4"/>
      <c r="G214" s="4"/>
      <c r="H214" s="4"/>
      <c r="I214" s="4"/>
      <c r="J214" s="4"/>
      <c r="K214" s="4">
        <f>SUMIF(基因升级!$D$141:$D$500,"&lt;"&amp;$B214,基因升级!J$141:J$500)</f>
        <v>3206</v>
      </c>
      <c r="L214" s="4">
        <f>SUMIF(基因升级!$D$141:$D$500,"&lt;"&amp;$B214,基因升级!K$141:K$500)</f>
        <v>1.15</v>
      </c>
      <c r="M214" s="4">
        <f>SUMIF(基因升级!$D$141:$D$500,"&lt;"&amp;$B214,基因升级!L$141:L$500)</f>
        <v>0.66</v>
      </c>
      <c r="N214" s="4">
        <f>SUMIF(基因升级!$D$141:$D$500,"&lt;"&amp;$B214,基因升级!M$141:M$500)</f>
        <v>0.044</v>
      </c>
      <c r="O214" s="4">
        <f>SUMIF(基因升级!$D$141:$D$500,"&lt;"&amp;$B214,基因升级!N$141:N$500)</f>
        <v>0.165</v>
      </c>
      <c r="R214" s="4">
        <v>208</v>
      </c>
      <c r="S214" s="4">
        <f>SUMIF(基因升级!$D$141:$D$500,"&lt;="&amp;$R214,基因升级!$U$141:$U$500)</f>
        <v>0</v>
      </c>
      <c r="T214" s="4">
        <f>SUMIF(基因升级!$D$141:$D$500,"&lt;="&amp;$R214,基因升级!J$141:J$500)</f>
        <v>15056</v>
      </c>
      <c r="U214" s="4">
        <f>SUMIF(基因升级!$D$141:$D$500,"&lt;="&amp;$R214,基因升级!K$141:K$500)</f>
        <v>2.6</v>
      </c>
      <c r="V214" s="4">
        <f>SUMIF(基因升级!$D$141:$D$500,"&lt;="&amp;$R214,基因升级!L$141:L$500)</f>
        <v>1.56</v>
      </c>
      <c r="W214" s="4">
        <f>SUMIF(基因升级!$D$141:$D$500,"&lt;="&amp;$R214,基因升级!M$141:M$500)</f>
        <v>0.104</v>
      </c>
      <c r="X214" s="4">
        <f>SUMIF(基因升级!$D$141:$D$500,"&lt;="&amp;$R214,基因升级!N$141:N$500)</f>
        <v>0.39</v>
      </c>
    </row>
    <row r="215" ht="16.5" spans="1:24">
      <c r="A215" s="14">
        <v>209</v>
      </c>
      <c r="B215" s="4">
        <f>IFERROR(_xlfn.XLOOKUP(A215+1,基因升级!$E$141:$E$500,基因升级!$D$141:$D$500)-1,B214)</f>
        <v>90</v>
      </c>
      <c r="C215" s="4">
        <f>SUMIF(基因升级!$D$141:$D$500,"&lt;"&amp;$B215,基因升级!$U$141:$U$500)</f>
        <v>0</v>
      </c>
      <c r="D215" s="4"/>
      <c r="E215" s="4"/>
      <c r="F215" s="4"/>
      <c r="G215" s="4"/>
      <c r="H215" s="4"/>
      <c r="I215" s="4"/>
      <c r="J215" s="4"/>
      <c r="K215" s="4">
        <f>SUMIF(基因升级!$D$141:$D$500,"&lt;"&amp;$B215,基因升级!J$141:J$500)</f>
        <v>3206</v>
      </c>
      <c r="L215" s="4">
        <f>SUMIF(基因升级!$D$141:$D$500,"&lt;"&amp;$B215,基因升级!K$141:K$500)</f>
        <v>1.15</v>
      </c>
      <c r="M215" s="4">
        <f>SUMIF(基因升级!$D$141:$D$500,"&lt;"&amp;$B215,基因升级!L$141:L$500)</f>
        <v>0.66</v>
      </c>
      <c r="N215" s="4">
        <f>SUMIF(基因升级!$D$141:$D$500,"&lt;"&amp;$B215,基因升级!M$141:M$500)</f>
        <v>0.044</v>
      </c>
      <c r="O215" s="4">
        <f>SUMIF(基因升级!$D$141:$D$500,"&lt;"&amp;$B215,基因升级!N$141:N$500)</f>
        <v>0.165</v>
      </c>
      <c r="R215" s="4">
        <v>209</v>
      </c>
      <c r="S215" s="4">
        <f>SUMIF(基因升级!$D$141:$D$500,"&lt;="&amp;$R215,基因升级!$U$141:$U$500)</f>
        <v>0</v>
      </c>
      <c r="T215" s="4">
        <f>SUMIF(基因升级!$D$141:$D$500,"&lt;="&amp;$R215,基因升级!J$141:J$500)</f>
        <v>15178</v>
      </c>
      <c r="U215" s="4">
        <f>SUMIF(基因升级!$D$141:$D$500,"&lt;="&amp;$R215,基因升级!K$141:K$500)</f>
        <v>2.65</v>
      </c>
      <c r="V215" s="4">
        <f>SUMIF(基因升级!$D$141:$D$500,"&lt;="&amp;$R215,基因升级!L$141:L$500)</f>
        <v>1.56</v>
      </c>
      <c r="W215" s="4">
        <f>SUMIF(基因升级!$D$141:$D$500,"&lt;="&amp;$R215,基因升级!M$141:M$500)</f>
        <v>0.104</v>
      </c>
      <c r="X215" s="4">
        <f>SUMIF(基因升级!$D$141:$D$500,"&lt;="&amp;$R215,基因升级!N$141:N$500)</f>
        <v>0.39</v>
      </c>
    </row>
    <row r="216" ht="16.5" spans="1:24">
      <c r="A216" s="14">
        <v>210</v>
      </c>
      <c r="B216" s="4">
        <f>IFERROR(_xlfn.XLOOKUP(A216+1,基因升级!$E$141:$E$500,基因升级!$D$141:$D$500)-1,B215)</f>
        <v>90</v>
      </c>
      <c r="C216" s="4">
        <f>SUMIF(基因升级!$D$141:$D$500,"&lt;"&amp;$B216,基因升级!$U$141:$U$500)</f>
        <v>0</v>
      </c>
      <c r="D216" s="4"/>
      <c r="E216" s="4"/>
      <c r="F216" s="4"/>
      <c r="G216" s="4"/>
      <c r="H216" s="4"/>
      <c r="I216" s="4"/>
      <c r="J216" s="4"/>
      <c r="K216" s="4">
        <f>SUMIF(基因升级!$D$141:$D$500,"&lt;"&amp;$B216,基因升级!J$141:J$500)</f>
        <v>3206</v>
      </c>
      <c r="L216" s="4">
        <f>SUMIF(基因升级!$D$141:$D$500,"&lt;"&amp;$B216,基因升级!K$141:K$500)</f>
        <v>1.15</v>
      </c>
      <c r="M216" s="4">
        <f>SUMIF(基因升级!$D$141:$D$500,"&lt;"&amp;$B216,基因升级!L$141:L$500)</f>
        <v>0.66</v>
      </c>
      <c r="N216" s="4">
        <f>SUMIF(基因升级!$D$141:$D$500,"&lt;"&amp;$B216,基因升级!M$141:M$500)</f>
        <v>0.044</v>
      </c>
      <c r="O216" s="4">
        <f>SUMIF(基因升级!$D$141:$D$500,"&lt;"&amp;$B216,基因升级!N$141:N$500)</f>
        <v>0.165</v>
      </c>
      <c r="R216" s="4">
        <v>210</v>
      </c>
      <c r="S216" s="4">
        <f>SUMIF(基因升级!$D$141:$D$500,"&lt;="&amp;$R216,基因升级!$U$141:$U$500)</f>
        <v>0</v>
      </c>
      <c r="T216" s="4">
        <f>SUMIF(基因升级!$D$141:$D$500,"&lt;="&amp;$R216,基因升级!J$141:J$500)</f>
        <v>15300</v>
      </c>
      <c r="U216" s="4">
        <f>SUMIF(基因升级!$D$141:$D$500,"&lt;="&amp;$R216,基因升级!K$141:K$500)</f>
        <v>2.65</v>
      </c>
      <c r="V216" s="4">
        <f>SUMIF(基因升级!$D$141:$D$500,"&lt;="&amp;$R216,基因升级!L$141:L$500)</f>
        <v>1.56</v>
      </c>
      <c r="W216" s="4">
        <f>SUMIF(基因升级!$D$141:$D$500,"&lt;="&amp;$R216,基因升级!M$141:M$500)</f>
        <v>0.104</v>
      </c>
      <c r="X216" s="4">
        <f>SUMIF(基因升级!$D$141:$D$500,"&lt;="&amp;$R216,基因升级!N$141:N$500)</f>
        <v>0.3975</v>
      </c>
    </row>
    <row r="217" ht="16.5" spans="1:24">
      <c r="A217" s="14">
        <v>211</v>
      </c>
      <c r="B217" s="4">
        <f>IFERROR(_xlfn.XLOOKUP(A217+1,基因升级!$E$141:$E$500,基因升级!$D$141:$D$500)-1,B216)</f>
        <v>90</v>
      </c>
      <c r="C217" s="4">
        <f>SUMIF(基因升级!$D$141:$D$500,"&lt;"&amp;$B217,基因升级!$U$141:$U$500)</f>
        <v>0</v>
      </c>
      <c r="D217" s="4"/>
      <c r="E217" s="4"/>
      <c r="F217" s="4"/>
      <c r="G217" s="4"/>
      <c r="H217" s="4"/>
      <c r="I217" s="4"/>
      <c r="J217" s="4"/>
      <c r="K217" s="4">
        <f>SUMIF(基因升级!$D$141:$D$500,"&lt;"&amp;$B217,基因升级!J$141:J$500)</f>
        <v>3206</v>
      </c>
      <c r="L217" s="4">
        <f>SUMIF(基因升级!$D$141:$D$500,"&lt;"&amp;$B217,基因升级!K$141:K$500)</f>
        <v>1.15</v>
      </c>
      <c r="M217" s="4">
        <f>SUMIF(基因升级!$D$141:$D$500,"&lt;"&amp;$B217,基因升级!L$141:L$500)</f>
        <v>0.66</v>
      </c>
      <c r="N217" s="4">
        <f>SUMIF(基因升级!$D$141:$D$500,"&lt;"&amp;$B217,基因升级!M$141:M$500)</f>
        <v>0.044</v>
      </c>
      <c r="O217" s="4">
        <f>SUMIF(基因升级!$D$141:$D$500,"&lt;"&amp;$B217,基因升级!N$141:N$500)</f>
        <v>0.165</v>
      </c>
      <c r="R217" s="4">
        <v>211</v>
      </c>
      <c r="S217" s="4">
        <f>SUMIF(基因升级!$D$141:$D$500,"&lt;="&amp;$R217,基因升级!$U$141:$U$500)</f>
        <v>0</v>
      </c>
      <c r="T217" s="4">
        <f>SUMIF(基因升级!$D$141:$D$500,"&lt;="&amp;$R217,基因升级!J$141:J$500)</f>
        <v>15422</v>
      </c>
      <c r="U217" s="4">
        <f>SUMIF(基因升级!$D$141:$D$500,"&lt;="&amp;$R217,基因升级!K$141:K$500)</f>
        <v>2.65</v>
      </c>
      <c r="V217" s="4">
        <f>SUMIF(基因升级!$D$141:$D$500,"&lt;="&amp;$R217,基因升级!L$141:L$500)</f>
        <v>1.56</v>
      </c>
      <c r="W217" s="4">
        <f>SUMIF(基因升级!$D$141:$D$500,"&lt;="&amp;$R217,基因升级!M$141:M$500)</f>
        <v>0.106</v>
      </c>
      <c r="X217" s="4">
        <f>SUMIF(基因升级!$D$141:$D$500,"&lt;="&amp;$R217,基因升级!N$141:N$500)</f>
        <v>0.3975</v>
      </c>
    </row>
    <row r="218" ht="16.5" spans="1:24">
      <c r="A218" s="14">
        <v>212</v>
      </c>
      <c r="B218" s="4">
        <f>IFERROR(_xlfn.XLOOKUP(A218+1,基因升级!$E$141:$E$500,基因升级!$D$141:$D$500)-1,B217)</f>
        <v>90</v>
      </c>
      <c r="C218" s="4">
        <f>SUMIF(基因升级!$D$141:$D$500,"&lt;"&amp;$B218,基因升级!$U$141:$U$500)</f>
        <v>0</v>
      </c>
      <c r="D218" s="4"/>
      <c r="E218" s="4"/>
      <c r="F218" s="4"/>
      <c r="G218" s="4"/>
      <c r="H218" s="4"/>
      <c r="I218" s="4"/>
      <c r="J218" s="4"/>
      <c r="K218" s="4">
        <f>SUMIF(基因升级!$D$141:$D$500,"&lt;"&amp;$B218,基因升级!J$141:J$500)</f>
        <v>3206</v>
      </c>
      <c r="L218" s="4">
        <f>SUMIF(基因升级!$D$141:$D$500,"&lt;"&amp;$B218,基因升级!K$141:K$500)</f>
        <v>1.15</v>
      </c>
      <c r="M218" s="4">
        <f>SUMIF(基因升级!$D$141:$D$500,"&lt;"&amp;$B218,基因升级!L$141:L$500)</f>
        <v>0.66</v>
      </c>
      <c r="N218" s="4">
        <f>SUMIF(基因升级!$D$141:$D$500,"&lt;"&amp;$B218,基因升级!M$141:M$500)</f>
        <v>0.044</v>
      </c>
      <c r="O218" s="4">
        <f>SUMIF(基因升级!$D$141:$D$500,"&lt;"&amp;$B218,基因升级!N$141:N$500)</f>
        <v>0.165</v>
      </c>
      <c r="R218" s="4">
        <v>212</v>
      </c>
      <c r="S218" s="4">
        <f>SUMIF(基因升级!$D$141:$D$500,"&lt;="&amp;$R218,基因升级!$U$141:$U$500)</f>
        <v>0</v>
      </c>
      <c r="T218" s="4">
        <f>SUMIF(基因升级!$D$141:$D$500,"&lt;="&amp;$R218,基因升级!J$141:J$500)</f>
        <v>15544</v>
      </c>
      <c r="U218" s="4">
        <f>SUMIF(基因升级!$D$141:$D$500,"&lt;="&amp;$R218,基因升级!K$141:K$500)</f>
        <v>2.65</v>
      </c>
      <c r="V218" s="4">
        <f>SUMIF(基因升级!$D$141:$D$500,"&lt;="&amp;$R218,基因升级!L$141:L$500)</f>
        <v>1.59</v>
      </c>
      <c r="W218" s="4">
        <f>SUMIF(基因升级!$D$141:$D$500,"&lt;="&amp;$R218,基因升级!M$141:M$500)</f>
        <v>0.106</v>
      </c>
      <c r="X218" s="4">
        <f>SUMIF(基因升级!$D$141:$D$500,"&lt;="&amp;$R218,基因升级!N$141:N$500)</f>
        <v>0.3975</v>
      </c>
    </row>
    <row r="219" ht="16.5" spans="1:24">
      <c r="A219" s="14">
        <v>213</v>
      </c>
      <c r="B219" s="4">
        <f>IFERROR(_xlfn.XLOOKUP(A219+1,基因升级!$E$141:$E$500,基因升级!$D$141:$D$500)-1,B218)</f>
        <v>90</v>
      </c>
      <c r="C219" s="4">
        <f>SUMIF(基因升级!$D$141:$D$500,"&lt;"&amp;$B219,基因升级!$U$141:$U$500)</f>
        <v>0</v>
      </c>
      <c r="D219" s="4"/>
      <c r="E219" s="4"/>
      <c r="F219" s="4"/>
      <c r="G219" s="4"/>
      <c r="H219" s="4"/>
      <c r="I219" s="4"/>
      <c r="J219" s="4"/>
      <c r="K219" s="4">
        <f>SUMIF(基因升级!$D$141:$D$500,"&lt;"&amp;$B219,基因升级!J$141:J$500)</f>
        <v>3206</v>
      </c>
      <c r="L219" s="4">
        <f>SUMIF(基因升级!$D$141:$D$500,"&lt;"&amp;$B219,基因升级!K$141:K$500)</f>
        <v>1.15</v>
      </c>
      <c r="M219" s="4">
        <f>SUMIF(基因升级!$D$141:$D$500,"&lt;"&amp;$B219,基因升级!L$141:L$500)</f>
        <v>0.66</v>
      </c>
      <c r="N219" s="4">
        <f>SUMIF(基因升级!$D$141:$D$500,"&lt;"&amp;$B219,基因升级!M$141:M$500)</f>
        <v>0.044</v>
      </c>
      <c r="O219" s="4">
        <f>SUMIF(基因升级!$D$141:$D$500,"&lt;"&amp;$B219,基因升级!N$141:N$500)</f>
        <v>0.165</v>
      </c>
      <c r="R219" s="4">
        <v>213</v>
      </c>
      <c r="S219" s="4">
        <f>SUMIF(基因升级!$D$141:$D$500,"&lt;="&amp;$R219,基因升级!$U$141:$U$500)</f>
        <v>0</v>
      </c>
      <c r="T219" s="4">
        <f>SUMIF(基因升级!$D$141:$D$500,"&lt;="&amp;$R219,基因升级!J$141:J$500)</f>
        <v>15666</v>
      </c>
      <c r="U219" s="4">
        <f>SUMIF(基因升级!$D$141:$D$500,"&lt;="&amp;$R219,基因升级!K$141:K$500)</f>
        <v>2.7</v>
      </c>
      <c r="V219" s="4">
        <f>SUMIF(基因升级!$D$141:$D$500,"&lt;="&amp;$R219,基因升级!L$141:L$500)</f>
        <v>1.59</v>
      </c>
      <c r="W219" s="4">
        <f>SUMIF(基因升级!$D$141:$D$500,"&lt;="&amp;$R219,基因升级!M$141:M$500)</f>
        <v>0.106</v>
      </c>
      <c r="X219" s="4">
        <f>SUMIF(基因升级!$D$141:$D$500,"&lt;="&amp;$R219,基因升级!N$141:N$500)</f>
        <v>0.3975</v>
      </c>
    </row>
    <row r="220" ht="16.5" spans="1:24">
      <c r="A220" s="14">
        <v>214</v>
      </c>
      <c r="B220" s="4">
        <f>IFERROR(_xlfn.XLOOKUP(A220+1,基因升级!$E$141:$E$500,基因升级!$D$141:$D$500)-1,B219)</f>
        <v>90</v>
      </c>
      <c r="C220" s="4">
        <f>SUMIF(基因升级!$D$141:$D$500,"&lt;"&amp;$B220,基因升级!$U$141:$U$500)</f>
        <v>0</v>
      </c>
      <c r="D220" s="4"/>
      <c r="E220" s="4"/>
      <c r="F220" s="4"/>
      <c r="G220" s="4"/>
      <c r="H220" s="4"/>
      <c r="I220" s="4"/>
      <c r="J220" s="4"/>
      <c r="K220" s="4">
        <f>SUMIF(基因升级!$D$141:$D$500,"&lt;"&amp;$B220,基因升级!J$141:J$500)</f>
        <v>3206</v>
      </c>
      <c r="L220" s="4">
        <f>SUMIF(基因升级!$D$141:$D$500,"&lt;"&amp;$B220,基因升级!K$141:K$500)</f>
        <v>1.15</v>
      </c>
      <c r="M220" s="4">
        <f>SUMIF(基因升级!$D$141:$D$500,"&lt;"&amp;$B220,基因升级!L$141:L$500)</f>
        <v>0.66</v>
      </c>
      <c r="N220" s="4">
        <f>SUMIF(基因升级!$D$141:$D$500,"&lt;"&amp;$B220,基因升级!M$141:M$500)</f>
        <v>0.044</v>
      </c>
      <c r="O220" s="4">
        <f>SUMIF(基因升级!$D$141:$D$500,"&lt;"&amp;$B220,基因升级!N$141:N$500)</f>
        <v>0.165</v>
      </c>
      <c r="R220" s="4">
        <v>214</v>
      </c>
      <c r="S220" s="4">
        <f>SUMIF(基因升级!$D$141:$D$500,"&lt;="&amp;$R220,基因升级!$U$141:$U$500)</f>
        <v>0</v>
      </c>
      <c r="T220" s="4">
        <f>SUMIF(基因升级!$D$141:$D$500,"&lt;="&amp;$R220,基因升级!J$141:J$500)</f>
        <v>15794</v>
      </c>
      <c r="U220" s="4">
        <f>SUMIF(基因升级!$D$141:$D$500,"&lt;="&amp;$R220,基因升级!K$141:K$500)</f>
        <v>2.7</v>
      </c>
      <c r="V220" s="4">
        <f>SUMIF(基因升级!$D$141:$D$500,"&lt;="&amp;$R220,基因升级!L$141:L$500)</f>
        <v>1.59</v>
      </c>
      <c r="W220" s="4">
        <f>SUMIF(基因升级!$D$141:$D$500,"&lt;="&amp;$R220,基因升级!M$141:M$500)</f>
        <v>0.106</v>
      </c>
      <c r="X220" s="4">
        <f>SUMIF(基因升级!$D$141:$D$500,"&lt;="&amp;$R220,基因升级!N$141:N$500)</f>
        <v>0.405</v>
      </c>
    </row>
    <row r="221" ht="16.5" spans="1:24">
      <c r="A221" s="14">
        <v>215</v>
      </c>
      <c r="B221" s="4">
        <f>IFERROR(_xlfn.XLOOKUP(A221+1,基因升级!$E$141:$E$500,基因升级!$D$141:$D$500)-1,B220)</f>
        <v>91</v>
      </c>
      <c r="C221" s="4">
        <f>SUMIF(基因升级!$D$141:$D$500,"&lt;"&amp;$B221,基因升级!$U$141:$U$500)</f>
        <v>0</v>
      </c>
      <c r="D221" s="4"/>
      <c r="E221" s="4"/>
      <c r="F221" s="4"/>
      <c r="G221" s="4"/>
      <c r="H221" s="4"/>
      <c r="I221" s="4"/>
      <c r="J221" s="4"/>
      <c r="K221" s="4">
        <f>SUMIF(基因升级!$D$141:$D$500,"&lt;"&amp;$B221,基因升级!J$141:J$500)</f>
        <v>3276</v>
      </c>
      <c r="L221" s="4">
        <f>SUMIF(基因升级!$D$141:$D$500,"&lt;"&amp;$B221,基因升级!K$141:K$500)</f>
        <v>1.15</v>
      </c>
      <c r="M221" s="4">
        <f>SUMIF(基因升级!$D$141:$D$500,"&lt;"&amp;$B221,基因升级!L$141:L$500)</f>
        <v>0.66</v>
      </c>
      <c r="N221" s="4">
        <f>SUMIF(基因升级!$D$141:$D$500,"&lt;"&amp;$B221,基因升级!M$141:M$500)</f>
        <v>0.044</v>
      </c>
      <c r="O221" s="4">
        <f>SUMIF(基因升级!$D$141:$D$500,"&lt;"&amp;$B221,基因升级!N$141:N$500)</f>
        <v>0.1725</v>
      </c>
      <c r="R221" s="4">
        <v>215</v>
      </c>
      <c r="S221" s="4">
        <f>SUMIF(基因升级!$D$141:$D$500,"&lt;="&amp;$R221,基因升级!$U$141:$U$500)</f>
        <v>0</v>
      </c>
      <c r="T221" s="4">
        <f>SUMIF(基因升级!$D$141:$D$500,"&lt;="&amp;$R221,基因升级!J$141:J$500)</f>
        <v>15916</v>
      </c>
      <c r="U221" s="4">
        <f>SUMIF(基因升级!$D$141:$D$500,"&lt;="&amp;$R221,基因升级!K$141:K$500)</f>
        <v>2.7</v>
      </c>
      <c r="V221" s="4">
        <f>SUMIF(基因升级!$D$141:$D$500,"&lt;="&amp;$R221,基因升级!L$141:L$500)</f>
        <v>1.59</v>
      </c>
      <c r="W221" s="4">
        <f>SUMIF(基因升级!$D$141:$D$500,"&lt;="&amp;$R221,基因升级!M$141:M$500)</f>
        <v>0.108</v>
      </c>
      <c r="X221" s="4">
        <f>SUMIF(基因升级!$D$141:$D$500,"&lt;="&amp;$R221,基因升级!N$141:N$500)</f>
        <v>0.405</v>
      </c>
    </row>
    <row r="222" ht="16.5" spans="1:24">
      <c r="A222" s="14">
        <v>216</v>
      </c>
      <c r="B222" s="4">
        <f>IFERROR(_xlfn.XLOOKUP(A222+1,基因升级!$E$141:$E$500,基因升级!$D$141:$D$500)-1,B221)</f>
        <v>91</v>
      </c>
      <c r="C222" s="4">
        <f>SUMIF(基因升级!$D$141:$D$500,"&lt;"&amp;$B222,基因升级!$U$141:$U$500)</f>
        <v>0</v>
      </c>
      <c r="D222" s="4"/>
      <c r="E222" s="4"/>
      <c r="F222" s="4"/>
      <c r="G222" s="4"/>
      <c r="H222" s="4"/>
      <c r="I222" s="4"/>
      <c r="J222" s="4"/>
      <c r="K222" s="4">
        <f>SUMIF(基因升级!$D$141:$D$500,"&lt;"&amp;$B222,基因升级!J$141:J$500)</f>
        <v>3276</v>
      </c>
      <c r="L222" s="4">
        <f>SUMIF(基因升级!$D$141:$D$500,"&lt;"&amp;$B222,基因升级!K$141:K$500)</f>
        <v>1.15</v>
      </c>
      <c r="M222" s="4">
        <f>SUMIF(基因升级!$D$141:$D$500,"&lt;"&amp;$B222,基因升级!L$141:L$500)</f>
        <v>0.66</v>
      </c>
      <c r="N222" s="4">
        <f>SUMIF(基因升级!$D$141:$D$500,"&lt;"&amp;$B222,基因升级!M$141:M$500)</f>
        <v>0.044</v>
      </c>
      <c r="O222" s="4">
        <f>SUMIF(基因升级!$D$141:$D$500,"&lt;"&amp;$B222,基因升级!N$141:N$500)</f>
        <v>0.1725</v>
      </c>
      <c r="R222" s="4">
        <v>216</v>
      </c>
      <c r="S222" s="4">
        <f>SUMIF(基因升级!$D$141:$D$500,"&lt;="&amp;$R222,基因升级!$U$141:$U$500)</f>
        <v>0</v>
      </c>
      <c r="T222" s="4">
        <f>SUMIF(基因升级!$D$141:$D$500,"&lt;="&amp;$R222,基因升级!J$141:J$500)</f>
        <v>16038</v>
      </c>
      <c r="U222" s="4">
        <f>SUMIF(基因升级!$D$141:$D$500,"&lt;="&amp;$R222,基因升级!K$141:K$500)</f>
        <v>2.7</v>
      </c>
      <c r="V222" s="4">
        <f>SUMIF(基因升级!$D$141:$D$500,"&lt;="&amp;$R222,基因升级!L$141:L$500)</f>
        <v>1.62</v>
      </c>
      <c r="W222" s="4">
        <f>SUMIF(基因升级!$D$141:$D$500,"&lt;="&amp;$R222,基因升级!M$141:M$500)</f>
        <v>0.108</v>
      </c>
      <c r="X222" s="4">
        <f>SUMIF(基因升级!$D$141:$D$500,"&lt;="&amp;$R222,基因升级!N$141:N$500)</f>
        <v>0.405</v>
      </c>
    </row>
    <row r="223" ht="16.5" spans="1:24">
      <c r="A223" s="14">
        <v>217</v>
      </c>
      <c r="B223" s="4">
        <f>IFERROR(_xlfn.XLOOKUP(A223+1,基因升级!$E$141:$E$500,基因升级!$D$141:$D$500)-1,B222)</f>
        <v>91</v>
      </c>
      <c r="C223" s="4">
        <f>SUMIF(基因升级!$D$141:$D$500,"&lt;"&amp;$B223,基因升级!$U$141:$U$500)</f>
        <v>0</v>
      </c>
      <c r="D223" s="4"/>
      <c r="E223" s="4"/>
      <c r="F223" s="4"/>
      <c r="G223" s="4"/>
      <c r="H223" s="4"/>
      <c r="I223" s="4"/>
      <c r="J223" s="4"/>
      <c r="K223" s="4">
        <f>SUMIF(基因升级!$D$141:$D$500,"&lt;"&amp;$B223,基因升级!J$141:J$500)</f>
        <v>3276</v>
      </c>
      <c r="L223" s="4">
        <f>SUMIF(基因升级!$D$141:$D$500,"&lt;"&amp;$B223,基因升级!K$141:K$500)</f>
        <v>1.15</v>
      </c>
      <c r="M223" s="4">
        <f>SUMIF(基因升级!$D$141:$D$500,"&lt;"&amp;$B223,基因升级!L$141:L$500)</f>
        <v>0.66</v>
      </c>
      <c r="N223" s="4">
        <f>SUMIF(基因升级!$D$141:$D$500,"&lt;"&amp;$B223,基因升级!M$141:M$500)</f>
        <v>0.044</v>
      </c>
      <c r="O223" s="4">
        <f>SUMIF(基因升级!$D$141:$D$500,"&lt;"&amp;$B223,基因升级!N$141:N$500)</f>
        <v>0.1725</v>
      </c>
      <c r="R223" s="4">
        <v>217</v>
      </c>
      <c r="S223" s="4">
        <f>SUMIF(基因升级!$D$141:$D$500,"&lt;="&amp;$R223,基因升级!$U$141:$U$500)</f>
        <v>0</v>
      </c>
      <c r="T223" s="4">
        <f>SUMIF(基因升级!$D$141:$D$500,"&lt;="&amp;$R223,基因升级!J$141:J$500)</f>
        <v>16166</v>
      </c>
      <c r="U223" s="4">
        <f>SUMIF(基因升级!$D$141:$D$500,"&lt;="&amp;$R223,基因升级!K$141:K$500)</f>
        <v>2.75</v>
      </c>
      <c r="V223" s="4">
        <f>SUMIF(基因升级!$D$141:$D$500,"&lt;="&amp;$R223,基因升级!L$141:L$500)</f>
        <v>1.62</v>
      </c>
      <c r="W223" s="4">
        <f>SUMIF(基因升级!$D$141:$D$500,"&lt;="&amp;$R223,基因升级!M$141:M$500)</f>
        <v>0.108</v>
      </c>
      <c r="X223" s="4">
        <f>SUMIF(基因升级!$D$141:$D$500,"&lt;="&amp;$R223,基因升级!N$141:N$500)</f>
        <v>0.405</v>
      </c>
    </row>
    <row r="224" ht="16.5" spans="1:24">
      <c r="A224" s="14">
        <v>218</v>
      </c>
      <c r="B224" s="4">
        <f>IFERROR(_xlfn.XLOOKUP(A224+1,基因升级!$E$141:$E$500,基因升级!$D$141:$D$500)-1,B223)</f>
        <v>91</v>
      </c>
      <c r="C224" s="4">
        <f>SUMIF(基因升级!$D$141:$D$500,"&lt;"&amp;$B224,基因升级!$U$141:$U$500)</f>
        <v>0</v>
      </c>
      <c r="D224" s="4"/>
      <c r="E224" s="4"/>
      <c r="F224" s="4"/>
      <c r="G224" s="4"/>
      <c r="H224" s="4"/>
      <c r="I224" s="4"/>
      <c r="J224" s="4"/>
      <c r="K224" s="4">
        <f>SUMIF(基因升级!$D$141:$D$500,"&lt;"&amp;$B224,基因升级!J$141:J$500)</f>
        <v>3276</v>
      </c>
      <c r="L224" s="4">
        <f>SUMIF(基因升级!$D$141:$D$500,"&lt;"&amp;$B224,基因升级!K$141:K$500)</f>
        <v>1.15</v>
      </c>
      <c r="M224" s="4">
        <f>SUMIF(基因升级!$D$141:$D$500,"&lt;"&amp;$B224,基因升级!L$141:L$500)</f>
        <v>0.66</v>
      </c>
      <c r="N224" s="4">
        <f>SUMIF(基因升级!$D$141:$D$500,"&lt;"&amp;$B224,基因升级!M$141:M$500)</f>
        <v>0.044</v>
      </c>
      <c r="O224" s="4">
        <f>SUMIF(基因升级!$D$141:$D$500,"&lt;"&amp;$B224,基因升级!N$141:N$500)</f>
        <v>0.1725</v>
      </c>
      <c r="R224" s="4">
        <v>218</v>
      </c>
      <c r="S224" s="4">
        <f>SUMIF(基因升级!$D$141:$D$500,"&lt;="&amp;$R224,基因升级!$U$141:$U$500)</f>
        <v>0</v>
      </c>
      <c r="T224" s="4">
        <f>SUMIF(基因升级!$D$141:$D$500,"&lt;="&amp;$R224,基因升级!J$141:J$500)</f>
        <v>16294</v>
      </c>
      <c r="U224" s="4">
        <f>SUMIF(基因升级!$D$141:$D$500,"&lt;="&amp;$R224,基因升级!K$141:K$500)</f>
        <v>2.75</v>
      </c>
      <c r="V224" s="4">
        <f>SUMIF(基因升级!$D$141:$D$500,"&lt;="&amp;$R224,基因升级!L$141:L$500)</f>
        <v>1.62</v>
      </c>
      <c r="W224" s="4">
        <f>SUMIF(基因升级!$D$141:$D$500,"&lt;="&amp;$R224,基因升级!M$141:M$500)</f>
        <v>0.108</v>
      </c>
      <c r="X224" s="4">
        <f>SUMIF(基因升级!$D$141:$D$500,"&lt;="&amp;$R224,基因升级!N$141:N$500)</f>
        <v>0.4125</v>
      </c>
    </row>
    <row r="225" ht="16.5" spans="1:24">
      <c r="A225" s="14">
        <v>219</v>
      </c>
      <c r="B225" s="4">
        <f>IFERROR(_xlfn.XLOOKUP(A225+1,基因升级!$E$141:$E$500,基因升级!$D$141:$D$500)-1,B224)</f>
        <v>91</v>
      </c>
      <c r="C225" s="4">
        <f>SUMIF(基因升级!$D$141:$D$500,"&lt;"&amp;$B225,基因升级!$U$141:$U$500)</f>
        <v>0</v>
      </c>
      <c r="D225" s="4"/>
      <c r="E225" s="4"/>
      <c r="F225" s="4"/>
      <c r="G225" s="4"/>
      <c r="H225" s="4"/>
      <c r="I225" s="4"/>
      <c r="J225" s="4"/>
      <c r="K225" s="4">
        <f>SUMIF(基因升级!$D$141:$D$500,"&lt;"&amp;$B225,基因升级!J$141:J$500)</f>
        <v>3276</v>
      </c>
      <c r="L225" s="4">
        <f>SUMIF(基因升级!$D$141:$D$500,"&lt;"&amp;$B225,基因升级!K$141:K$500)</f>
        <v>1.15</v>
      </c>
      <c r="M225" s="4">
        <f>SUMIF(基因升级!$D$141:$D$500,"&lt;"&amp;$B225,基因升级!L$141:L$500)</f>
        <v>0.66</v>
      </c>
      <c r="N225" s="4">
        <f>SUMIF(基因升级!$D$141:$D$500,"&lt;"&amp;$B225,基因升级!M$141:M$500)</f>
        <v>0.044</v>
      </c>
      <c r="O225" s="4">
        <f>SUMIF(基因升级!$D$141:$D$500,"&lt;"&amp;$B225,基因升级!N$141:N$500)</f>
        <v>0.1725</v>
      </c>
      <c r="R225" s="4">
        <v>219</v>
      </c>
      <c r="S225" s="4">
        <f>SUMIF(基因升级!$D$141:$D$500,"&lt;="&amp;$R225,基因升级!$U$141:$U$500)</f>
        <v>0</v>
      </c>
      <c r="T225" s="4">
        <f>SUMIF(基因升级!$D$141:$D$500,"&lt;="&amp;$R225,基因升级!J$141:J$500)</f>
        <v>16422</v>
      </c>
      <c r="U225" s="4">
        <f>SUMIF(基因升级!$D$141:$D$500,"&lt;="&amp;$R225,基因升级!K$141:K$500)</f>
        <v>2.75</v>
      </c>
      <c r="V225" s="4">
        <f>SUMIF(基因升级!$D$141:$D$500,"&lt;="&amp;$R225,基因升级!L$141:L$500)</f>
        <v>1.62</v>
      </c>
      <c r="W225" s="4">
        <f>SUMIF(基因升级!$D$141:$D$500,"&lt;="&amp;$R225,基因升级!M$141:M$500)</f>
        <v>0.11</v>
      </c>
      <c r="X225" s="4">
        <f>SUMIF(基因升级!$D$141:$D$500,"&lt;="&amp;$R225,基因升级!N$141:N$500)</f>
        <v>0.4125</v>
      </c>
    </row>
    <row r="226" ht="16.5" spans="1:24">
      <c r="A226" s="14">
        <v>220</v>
      </c>
      <c r="B226" s="4">
        <f>IFERROR(_xlfn.XLOOKUP(A226+1,基因升级!$E$141:$E$500,基因升级!$D$141:$D$500)-1,B225)</f>
        <v>91</v>
      </c>
      <c r="C226" s="4">
        <f>SUMIF(基因升级!$D$141:$D$500,"&lt;"&amp;$B226,基因升级!$U$141:$U$500)</f>
        <v>0</v>
      </c>
      <c r="D226" s="4"/>
      <c r="E226" s="4"/>
      <c r="F226" s="4"/>
      <c r="G226" s="4"/>
      <c r="H226" s="4"/>
      <c r="I226" s="4"/>
      <c r="J226" s="4"/>
      <c r="K226" s="4">
        <f>SUMIF(基因升级!$D$141:$D$500,"&lt;"&amp;$B226,基因升级!J$141:J$500)</f>
        <v>3276</v>
      </c>
      <c r="L226" s="4">
        <f>SUMIF(基因升级!$D$141:$D$500,"&lt;"&amp;$B226,基因升级!K$141:K$500)</f>
        <v>1.15</v>
      </c>
      <c r="M226" s="4">
        <f>SUMIF(基因升级!$D$141:$D$500,"&lt;"&amp;$B226,基因升级!L$141:L$500)</f>
        <v>0.66</v>
      </c>
      <c r="N226" s="4">
        <f>SUMIF(基因升级!$D$141:$D$500,"&lt;"&amp;$B226,基因升级!M$141:M$500)</f>
        <v>0.044</v>
      </c>
      <c r="O226" s="4">
        <f>SUMIF(基因升级!$D$141:$D$500,"&lt;"&amp;$B226,基因升级!N$141:N$500)</f>
        <v>0.1725</v>
      </c>
      <c r="R226" s="4">
        <v>220</v>
      </c>
      <c r="S226" s="4">
        <f>SUMIF(基因升级!$D$141:$D$500,"&lt;="&amp;$R226,基因升级!$U$141:$U$500)</f>
        <v>0</v>
      </c>
      <c r="T226" s="4">
        <f>SUMIF(基因升级!$D$141:$D$500,"&lt;="&amp;$R226,基因升级!J$141:J$500)</f>
        <v>16550</v>
      </c>
      <c r="U226" s="4">
        <f>SUMIF(基因升级!$D$141:$D$500,"&lt;="&amp;$R226,基因升级!K$141:K$500)</f>
        <v>2.75</v>
      </c>
      <c r="V226" s="4">
        <f>SUMIF(基因升级!$D$141:$D$500,"&lt;="&amp;$R226,基因升级!L$141:L$500)</f>
        <v>1.65</v>
      </c>
      <c r="W226" s="4">
        <f>SUMIF(基因升级!$D$141:$D$500,"&lt;="&amp;$R226,基因升级!M$141:M$500)</f>
        <v>0.11</v>
      </c>
      <c r="X226" s="4">
        <f>SUMIF(基因升级!$D$141:$D$500,"&lt;="&amp;$R226,基因升级!N$141:N$500)</f>
        <v>0.4125</v>
      </c>
    </row>
    <row r="227" ht="16.5" spans="1:24">
      <c r="A227" s="14">
        <v>221</v>
      </c>
      <c r="B227" s="4">
        <f>IFERROR(_xlfn.XLOOKUP(A227+1,基因升级!$E$141:$E$500,基因升级!$D$141:$D$500)-1,B226)</f>
        <v>91</v>
      </c>
      <c r="C227" s="4">
        <f>SUMIF(基因升级!$D$141:$D$500,"&lt;"&amp;$B227,基因升级!$U$141:$U$500)</f>
        <v>0</v>
      </c>
      <c r="D227" s="4"/>
      <c r="E227" s="4"/>
      <c r="F227" s="4"/>
      <c r="G227" s="4"/>
      <c r="H227" s="4"/>
      <c r="I227" s="4"/>
      <c r="J227" s="4"/>
      <c r="K227" s="4">
        <f>SUMIF(基因升级!$D$141:$D$500,"&lt;"&amp;$B227,基因升级!J$141:J$500)</f>
        <v>3276</v>
      </c>
      <c r="L227" s="4">
        <f>SUMIF(基因升级!$D$141:$D$500,"&lt;"&amp;$B227,基因升级!K$141:K$500)</f>
        <v>1.15</v>
      </c>
      <c r="M227" s="4">
        <f>SUMIF(基因升级!$D$141:$D$500,"&lt;"&amp;$B227,基因升级!L$141:L$500)</f>
        <v>0.66</v>
      </c>
      <c r="N227" s="4">
        <f>SUMIF(基因升级!$D$141:$D$500,"&lt;"&amp;$B227,基因升级!M$141:M$500)</f>
        <v>0.044</v>
      </c>
      <c r="O227" s="4">
        <f>SUMIF(基因升级!$D$141:$D$500,"&lt;"&amp;$B227,基因升级!N$141:N$500)</f>
        <v>0.1725</v>
      </c>
      <c r="R227" s="4">
        <v>221</v>
      </c>
      <c r="S227" s="4">
        <f>SUMIF(基因升级!$D$141:$D$500,"&lt;="&amp;$R227,基因升级!$U$141:$U$500)</f>
        <v>0</v>
      </c>
      <c r="T227" s="4">
        <f>SUMIF(基因升级!$D$141:$D$500,"&lt;="&amp;$R227,基因升级!J$141:J$500)</f>
        <v>16678</v>
      </c>
      <c r="U227" s="4">
        <f>SUMIF(基因升级!$D$141:$D$500,"&lt;="&amp;$R227,基因升级!K$141:K$500)</f>
        <v>2.8</v>
      </c>
      <c r="V227" s="4">
        <f>SUMIF(基因升级!$D$141:$D$500,"&lt;="&amp;$R227,基因升级!L$141:L$500)</f>
        <v>1.65</v>
      </c>
      <c r="W227" s="4">
        <f>SUMIF(基因升级!$D$141:$D$500,"&lt;="&amp;$R227,基因升级!M$141:M$500)</f>
        <v>0.11</v>
      </c>
      <c r="X227" s="4">
        <f>SUMIF(基因升级!$D$141:$D$500,"&lt;="&amp;$R227,基因升级!N$141:N$500)</f>
        <v>0.4125</v>
      </c>
    </row>
    <row r="228" ht="16.5" spans="1:24">
      <c r="A228" s="14">
        <v>222</v>
      </c>
      <c r="B228" s="4">
        <f>IFERROR(_xlfn.XLOOKUP(A228+1,基因升级!$E$141:$E$500,基因升级!$D$141:$D$500)-1,B227)</f>
        <v>91</v>
      </c>
      <c r="C228" s="4">
        <f>SUMIF(基因升级!$D$141:$D$500,"&lt;"&amp;$B228,基因升级!$U$141:$U$500)</f>
        <v>0</v>
      </c>
      <c r="D228" s="4"/>
      <c r="E228" s="4"/>
      <c r="F228" s="4"/>
      <c r="G228" s="4"/>
      <c r="H228" s="4"/>
      <c r="I228" s="4"/>
      <c r="J228" s="4"/>
      <c r="K228" s="4">
        <f>SUMIF(基因升级!$D$141:$D$500,"&lt;"&amp;$B228,基因升级!J$141:J$500)</f>
        <v>3276</v>
      </c>
      <c r="L228" s="4">
        <f>SUMIF(基因升级!$D$141:$D$500,"&lt;"&amp;$B228,基因升级!K$141:K$500)</f>
        <v>1.15</v>
      </c>
      <c r="M228" s="4">
        <f>SUMIF(基因升级!$D$141:$D$500,"&lt;"&amp;$B228,基因升级!L$141:L$500)</f>
        <v>0.66</v>
      </c>
      <c r="N228" s="4">
        <f>SUMIF(基因升级!$D$141:$D$500,"&lt;"&amp;$B228,基因升级!M$141:M$500)</f>
        <v>0.044</v>
      </c>
      <c r="O228" s="4">
        <f>SUMIF(基因升级!$D$141:$D$500,"&lt;"&amp;$B228,基因升级!N$141:N$500)</f>
        <v>0.1725</v>
      </c>
      <c r="R228" s="4">
        <v>222</v>
      </c>
      <c r="S228" s="4">
        <f>SUMIF(基因升级!$D$141:$D$500,"&lt;="&amp;$R228,基因升级!$U$141:$U$500)</f>
        <v>0</v>
      </c>
      <c r="T228" s="4">
        <f>SUMIF(基因升级!$D$141:$D$500,"&lt;="&amp;$R228,基因升级!J$141:J$500)</f>
        <v>16806</v>
      </c>
      <c r="U228" s="4">
        <f>SUMIF(基因升级!$D$141:$D$500,"&lt;="&amp;$R228,基因升级!K$141:K$500)</f>
        <v>2.8</v>
      </c>
      <c r="V228" s="4">
        <f>SUMIF(基因升级!$D$141:$D$500,"&lt;="&amp;$R228,基因升级!L$141:L$500)</f>
        <v>1.65</v>
      </c>
      <c r="W228" s="4">
        <f>SUMIF(基因升级!$D$141:$D$500,"&lt;="&amp;$R228,基因升级!M$141:M$500)</f>
        <v>0.11</v>
      </c>
      <c r="X228" s="4">
        <f>SUMIF(基因升级!$D$141:$D$500,"&lt;="&amp;$R228,基因升级!N$141:N$500)</f>
        <v>0.42</v>
      </c>
    </row>
    <row r="229" ht="16.5" spans="1:24">
      <c r="A229" s="14">
        <v>223</v>
      </c>
      <c r="B229" s="4">
        <f>IFERROR(_xlfn.XLOOKUP(A229+1,基因升级!$E$141:$E$500,基因升级!$D$141:$D$500)-1,B228)</f>
        <v>91</v>
      </c>
      <c r="C229" s="4">
        <f>SUMIF(基因升级!$D$141:$D$500,"&lt;"&amp;$B229,基因升级!$U$141:$U$500)</f>
        <v>0</v>
      </c>
      <c r="D229" s="4"/>
      <c r="E229" s="4"/>
      <c r="F229" s="4"/>
      <c r="G229" s="4"/>
      <c r="H229" s="4"/>
      <c r="I229" s="4"/>
      <c r="J229" s="4"/>
      <c r="K229" s="4">
        <f>SUMIF(基因升级!$D$141:$D$500,"&lt;"&amp;$B229,基因升级!J$141:J$500)</f>
        <v>3276</v>
      </c>
      <c r="L229" s="4">
        <f>SUMIF(基因升级!$D$141:$D$500,"&lt;"&amp;$B229,基因升级!K$141:K$500)</f>
        <v>1.15</v>
      </c>
      <c r="M229" s="4">
        <f>SUMIF(基因升级!$D$141:$D$500,"&lt;"&amp;$B229,基因升级!L$141:L$500)</f>
        <v>0.66</v>
      </c>
      <c r="N229" s="4">
        <f>SUMIF(基因升级!$D$141:$D$500,"&lt;"&amp;$B229,基因升级!M$141:M$500)</f>
        <v>0.044</v>
      </c>
      <c r="O229" s="4">
        <f>SUMIF(基因升级!$D$141:$D$500,"&lt;"&amp;$B229,基因升级!N$141:N$500)</f>
        <v>0.1725</v>
      </c>
      <c r="R229" s="4">
        <v>223</v>
      </c>
      <c r="S229" s="4">
        <f>SUMIF(基因升级!$D$141:$D$500,"&lt;="&amp;$R229,基因升级!$U$141:$U$500)</f>
        <v>0</v>
      </c>
      <c r="T229" s="4">
        <f>SUMIF(基因升级!$D$141:$D$500,"&lt;="&amp;$R229,基因升级!J$141:J$500)</f>
        <v>16934</v>
      </c>
      <c r="U229" s="4">
        <f>SUMIF(基因升级!$D$141:$D$500,"&lt;="&amp;$R229,基因升级!K$141:K$500)</f>
        <v>2.8</v>
      </c>
      <c r="V229" s="4">
        <f>SUMIF(基因升级!$D$141:$D$500,"&lt;="&amp;$R229,基因升级!L$141:L$500)</f>
        <v>1.65</v>
      </c>
      <c r="W229" s="4">
        <f>SUMIF(基因升级!$D$141:$D$500,"&lt;="&amp;$R229,基因升级!M$141:M$500)</f>
        <v>0.112</v>
      </c>
      <c r="X229" s="4">
        <f>SUMIF(基因升级!$D$141:$D$500,"&lt;="&amp;$R229,基因升级!N$141:N$500)</f>
        <v>0.42</v>
      </c>
    </row>
    <row r="230" ht="16.5" spans="1:24">
      <c r="A230" s="14">
        <v>224</v>
      </c>
      <c r="B230" s="4">
        <f>IFERROR(_xlfn.XLOOKUP(A230+1,基因升级!$E$141:$E$500,基因升级!$D$141:$D$500)-1,B229)</f>
        <v>92</v>
      </c>
      <c r="C230" s="4">
        <f>SUMIF(基因升级!$D$141:$D$500,"&lt;"&amp;$B230,基因升级!$U$141:$U$500)</f>
        <v>0</v>
      </c>
      <c r="D230" s="4"/>
      <c r="E230" s="4"/>
      <c r="F230" s="4"/>
      <c r="G230" s="4"/>
      <c r="H230" s="4"/>
      <c r="I230" s="4"/>
      <c r="J230" s="4"/>
      <c r="K230" s="4">
        <f>SUMIF(基因升级!$D$141:$D$500,"&lt;"&amp;$B230,基因升级!J$141:J$500)</f>
        <v>3346</v>
      </c>
      <c r="L230" s="4">
        <f>SUMIF(基因升级!$D$141:$D$500,"&lt;"&amp;$B230,基因升级!K$141:K$500)</f>
        <v>1.15</v>
      </c>
      <c r="M230" s="4">
        <f>SUMIF(基因升级!$D$141:$D$500,"&lt;"&amp;$B230,基因升级!L$141:L$500)</f>
        <v>0.66</v>
      </c>
      <c r="N230" s="4">
        <f>SUMIF(基因升级!$D$141:$D$500,"&lt;"&amp;$B230,基因升级!M$141:M$500)</f>
        <v>0.046</v>
      </c>
      <c r="O230" s="4">
        <f>SUMIF(基因升级!$D$141:$D$500,"&lt;"&amp;$B230,基因升级!N$141:N$500)</f>
        <v>0.1725</v>
      </c>
      <c r="R230" s="4">
        <v>224</v>
      </c>
      <c r="S230" s="4">
        <f>SUMIF(基因升级!$D$141:$D$500,"&lt;="&amp;$R230,基因升级!$U$141:$U$500)</f>
        <v>0</v>
      </c>
      <c r="T230" s="4">
        <f>SUMIF(基因升级!$D$141:$D$500,"&lt;="&amp;$R230,基因升级!J$141:J$500)</f>
        <v>17062</v>
      </c>
      <c r="U230" s="4">
        <f>SUMIF(基因升级!$D$141:$D$500,"&lt;="&amp;$R230,基因升级!K$141:K$500)</f>
        <v>2.8</v>
      </c>
      <c r="V230" s="4">
        <f>SUMIF(基因升级!$D$141:$D$500,"&lt;="&amp;$R230,基因升级!L$141:L$500)</f>
        <v>1.68</v>
      </c>
      <c r="W230" s="4">
        <f>SUMIF(基因升级!$D$141:$D$500,"&lt;="&amp;$R230,基因升级!M$141:M$500)</f>
        <v>0.112</v>
      </c>
      <c r="X230" s="4">
        <f>SUMIF(基因升级!$D$141:$D$500,"&lt;="&amp;$R230,基因升级!N$141:N$500)</f>
        <v>0.42</v>
      </c>
    </row>
    <row r="231" ht="16.5" spans="1:24">
      <c r="A231" s="14">
        <v>225</v>
      </c>
      <c r="B231" s="4">
        <f>IFERROR(_xlfn.XLOOKUP(A231+1,基因升级!$E$141:$E$500,基因升级!$D$141:$D$500)-1,B230)</f>
        <v>92</v>
      </c>
      <c r="C231" s="4">
        <f>SUMIF(基因升级!$D$141:$D$500,"&lt;"&amp;$B231,基因升级!$U$141:$U$500)</f>
        <v>0</v>
      </c>
      <c r="D231" s="4"/>
      <c r="E231" s="4"/>
      <c r="F231" s="4"/>
      <c r="G231" s="4"/>
      <c r="H231" s="4"/>
      <c r="I231" s="4"/>
      <c r="J231" s="4"/>
      <c r="K231" s="4">
        <f>SUMIF(基因升级!$D$141:$D$500,"&lt;"&amp;$B231,基因升级!J$141:J$500)</f>
        <v>3346</v>
      </c>
      <c r="L231" s="4">
        <f>SUMIF(基因升级!$D$141:$D$500,"&lt;"&amp;$B231,基因升级!K$141:K$500)</f>
        <v>1.15</v>
      </c>
      <c r="M231" s="4">
        <f>SUMIF(基因升级!$D$141:$D$500,"&lt;"&amp;$B231,基因升级!L$141:L$500)</f>
        <v>0.66</v>
      </c>
      <c r="N231" s="4">
        <f>SUMIF(基因升级!$D$141:$D$500,"&lt;"&amp;$B231,基因升级!M$141:M$500)</f>
        <v>0.046</v>
      </c>
      <c r="O231" s="4">
        <f>SUMIF(基因升级!$D$141:$D$500,"&lt;"&amp;$B231,基因升级!N$141:N$500)</f>
        <v>0.1725</v>
      </c>
      <c r="R231" s="4">
        <v>225</v>
      </c>
      <c r="S231" s="4">
        <f>SUMIF(基因升级!$D$141:$D$500,"&lt;="&amp;$R231,基因升级!$U$141:$U$500)</f>
        <v>0</v>
      </c>
      <c r="T231" s="4">
        <f>SUMIF(基因升级!$D$141:$D$500,"&lt;="&amp;$R231,基因升级!J$141:J$500)</f>
        <v>17190</v>
      </c>
      <c r="U231" s="4">
        <f>SUMIF(基因升级!$D$141:$D$500,"&lt;="&amp;$R231,基因升级!K$141:K$500)</f>
        <v>2.85</v>
      </c>
      <c r="V231" s="4">
        <f>SUMIF(基因升级!$D$141:$D$500,"&lt;="&amp;$R231,基因升级!L$141:L$500)</f>
        <v>1.68</v>
      </c>
      <c r="W231" s="4">
        <f>SUMIF(基因升级!$D$141:$D$500,"&lt;="&amp;$R231,基因升级!M$141:M$500)</f>
        <v>0.112</v>
      </c>
      <c r="X231" s="4">
        <f>SUMIF(基因升级!$D$141:$D$500,"&lt;="&amp;$R231,基因升级!N$141:N$500)</f>
        <v>0.42</v>
      </c>
    </row>
    <row r="232" ht="16.5" spans="1:24">
      <c r="A232" s="14">
        <v>226</v>
      </c>
      <c r="B232" s="4">
        <f>IFERROR(_xlfn.XLOOKUP(A232+1,基因升级!$E$141:$E$500,基因升级!$D$141:$D$500)-1,B231)</f>
        <v>92</v>
      </c>
      <c r="C232" s="4">
        <f>SUMIF(基因升级!$D$141:$D$500,"&lt;"&amp;$B232,基因升级!$U$141:$U$500)</f>
        <v>0</v>
      </c>
      <c r="D232" s="4"/>
      <c r="E232" s="4"/>
      <c r="F232" s="4"/>
      <c r="G232" s="4"/>
      <c r="H232" s="4"/>
      <c r="I232" s="4"/>
      <c r="J232" s="4"/>
      <c r="K232" s="4">
        <f>SUMIF(基因升级!$D$141:$D$500,"&lt;"&amp;$B232,基因升级!J$141:J$500)</f>
        <v>3346</v>
      </c>
      <c r="L232" s="4">
        <f>SUMIF(基因升级!$D$141:$D$500,"&lt;"&amp;$B232,基因升级!K$141:K$500)</f>
        <v>1.15</v>
      </c>
      <c r="M232" s="4">
        <f>SUMIF(基因升级!$D$141:$D$500,"&lt;"&amp;$B232,基因升级!L$141:L$500)</f>
        <v>0.66</v>
      </c>
      <c r="N232" s="4">
        <f>SUMIF(基因升级!$D$141:$D$500,"&lt;"&amp;$B232,基因升级!M$141:M$500)</f>
        <v>0.046</v>
      </c>
      <c r="O232" s="4">
        <f>SUMIF(基因升级!$D$141:$D$500,"&lt;"&amp;$B232,基因升级!N$141:N$500)</f>
        <v>0.1725</v>
      </c>
      <c r="R232" s="4">
        <v>226</v>
      </c>
      <c r="S232" s="4">
        <f>SUMIF(基因升级!$D$141:$D$500,"&lt;="&amp;$R232,基因升级!$U$141:$U$500)</f>
        <v>0</v>
      </c>
      <c r="T232" s="4">
        <f>SUMIF(基因升级!$D$141:$D$500,"&lt;="&amp;$R232,基因升级!J$141:J$500)</f>
        <v>17318</v>
      </c>
      <c r="U232" s="4">
        <f>SUMIF(基因升级!$D$141:$D$500,"&lt;="&amp;$R232,基因升级!K$141:K$500)</f>
        <v>2.85</v>
      </c>
      <c r="V232" s="4">
        <f>SUMIF(基因升级!$D$141:$D$500,"&lt;="&amp;$R232,基因升级!L$141:L$500)</f>
        <v>1.68</v>
      </c>
      <c r="W232" s="4">
        <f>SUMIF(基因升级!$D$141:$D$500,"&lt;="&amp;$R232,基因升级!M$141:M$500)</f>
        <v>0.112</v>
      </c>
      <c r="X232" s="4">
        <f>SUMIF(基因升级!$D$141:$D$500,"&lt;="&amp;$R232,基因升级!N$141:N$500)</f>
        <v>0.4275</v>
      </c>
    </row>
    <row r="233" ht="16.5" spans="1:24">
      <c r="A233" s="14">
        <v>227</v>
      </c>
      <c r="B233" s="4">
        <f>IFERROR(_xlfn.XLOOKUP(A233+1,基因升级!$E$141:$E$500,基因升级!$D$141:$D$500)-1,B232)</f>
        <v>92</v>
      </c>
      <c r="C233" s="4">
        <f>SUMIF(基因升级!$D$141:$D$500,"&lt;"&amp;$B233,基因升级!$U$141:$U$500)</f>
        <v>0</v>
      </c>
      <c r="D233" s="4"/>
      <c r="E233" s="4"/>
      <c r="F233" s="4"/>
      <c r="G233" s="4"/>
      <c r="H233" s="4"/>
      <c r="I233" s="4"/>
      <c r="J233" s="4"/>
      <c r="K233" s="4">
        <f>SUMIF(基因升级!$D$141:$D$500,"&lt;"&amp;$B233,基因升级!J$141:J$500)</f>
        <v>3346</v>
      </c>
      <c r="L233" s="4">
        <f>SUMIF(基因升级!$D$141:$D$500,"&lt;"&amp;$B233,基因升级!K$141:K$500)</f>
        <v>1.15</v>
      </c>
      <c r="M233" s="4">
        <f>SUMIF(基因升级!$D$141:$D$500,"&lt;"&amp;$B233,基因升级!L$141:L$500)</f>
        <v>0.66</v>
      </c>
      <c r="N233" s="4">
        <f>SUMIF(基因升级!$D$141:$D$500,"&lt;"&amp;$B233,基因升级!M$141:M$500)</f>
        <v>0.046</v>
      </c>
      <c r="O233" s="4">
        <f>SUMIF(基因升级!$D$141:$D$500,"&lt;"&amp;$B233,基因升级!N$141:N$500)</f>
        <v>0.1725</v>
      </c>
      <c r="R233" s="4">
        <v>227</v>
      </c>
      <c r="S233" s="4">
        <f>SUMIF(基因升级!$D$141:$D$500,"&lt;="&amp;$R233,基因升级!$U$141:$U$500)</f>
        <v>0</v>
      </c>
      <c r="T233" s="4">
        <f>SUMIF(基因升级!$D$141:$D$500,"&lt;="&amp;$R233,基因升级!J$141:J$500)</f>
        <v>17446</v>
      </c>
      <c r="U233" s="4">
        <f>SUMIF(基因升级!$D$141:$D$500,"&lt;="&amp;$R233,基因升级!K$141:K$500)</f>
        <v>2.85</v>
      </c>
      <c r="V233" s="4">
        <f>SUMIF(基因升级!$D$141:$D$500,"&lt;="&amp;$R233,基因升级!L$141:L$500)</f>
        <v>1.68</v>
      </c>
      <c r="W233" s="4">
        <f>SUMIF(基因升级!$D$141:$D$500,"&lt;="&amp;$R233,基因升级!M$141:M$500)</f>
        <v>0.114</v>
      </c>
      <c r="X233" s="4">
        <f>SUMIF(基因升级!$D$141:$D$500,"&lt;="&amp;$R233,基因升级!N$141:N$500)</f>
        <v>0.4275</v>
      </c>
    </row>
    <row r="234" ht="16.5" spans="1:24">
      <c r="A234" s="14">
        <v>228</v>
      </c>
      <c r="B234" s="4">
        <f>IFERROR(_xlfn.XLOOKUP(A234+1,基因升级!$E$141:$E$500,基因升级!$D$141:$D$500)-1,B233)</f>
        <v>92</v>
      </c>
      <c r="C234" s="4">
        <f>SUMIF(基因升级!$D$141:$D$500,"&lt;"&amp;$B234,基因升级!$U$141:$U$500)</f>
        <v>0</v>
      </c>
      <c r="D234" s="4"/>
      <c r="E234" s="4"/>
      <c r="F234" s="4"/>
      <c r="G234" s="4"/>
      <c r="H234" s="4"/>
      <c r="I234" s="4"/>
      <c r="J234" s="4"/>
      <c r="K234" s="4">
        <f>SUMIF(基因升级!$D$141:$D$500,"&lt;"&amp;$B234,基因升级!J$141:J$500)</f>
        <v>3346</v>
      </c>
      <c r="L234" s="4">
        <f>SUMIF(基因升级!$D$141:$D$500,"&lt;"&amp;$B234,基因升级!K$141:K$500)</f>
        <v>1.15</v>
      </c>
      <c r="M234" s="4">
        <f>SUMIF(基因升级!$D$141:$D$500,"&lt;"&amp;$B234,基因升级!L$141:L$500)</f>
        <v>0.66</v>
      </c>
      <c r="N234" s="4">
        <f>SUMIF(基因升级!$D$141:$D$500,"&lt;"&amp;$B234,基因升级!M$141:M$500)</f>
        <v>0.046</v>
      </c>
      <c r="O234" s="4">
        <f>SUMIF(基因升级!$D$141:$D$500,"&lt;"&amp;$B234,基因升级!N$141:N$500)</f>
        <v>0.1725</v>
      </c>
      <c r="R234" s="4">
        <v>228</v>
      </c>
      <c r="S234" s="4">
        <f>SUMIF(基因升级!$D$141:$D$500,"&lt;="&amp;$R234,基因升级!$U$141:$U$500)</f>
        <v>0</v>
      </c>
      <c r="T234" s="4">
        <f>SUMIF(基因升级!$D$141:$D$500,"&lt;="&amp;$R234,基因升级!J$141:J$500)</f>
        <v>17574</v>
      </c>
      <c r="U234" s="4">
        <f>SUMIF(基因升级!$D$141:$D$500,"&lt;="&amp;$R234,基因升级!K$141:K$500)</f>
        <v>2.85</v>
      </c>
      <c r="V234" s="4">
        <f>SUMIF(基因升级!$D$141:$D$500,"&lt;="&amp;$R234,基因升级!L$141:L$500)</f>
        <v>1.71</v>
      </c>
      <c r="W234" s="4">
        <f>SUMIF(基因升级!$D$141:$D$500,"&lt;="&amp;$R234,基因升级!M$141:M$500)</f>
        <v>0.114</v>
      </c>
      <c r="X234" s="4">
        <f>SUMIF(基因升级!$D$141:$D$500,"&lt;="&amp;$R234,基因升级!N$141:N$500)</f>
        <v>0.4275</v>
      </c>
    </row>
    <row r="235" ht="16.5" spans="1:24">
      <c r="A235" s="14">
        <v>229</v>
      </c>
      <c r="B235" s="4">
        <f>IFERROR(_xlfn.XLOOKUP(A235+1,基因升级!$E$141:$E$500,基因升级!$D$141:$D$500)-1,B234)</f>
        <v>92</v>
      </c>
      <c r="C235" s="4">
        <f>SUMIF(基因升级!$D$141:$D$500,"&lt;"&amp;$B235,基因升级!$U$141:$U$500)</f>
        <v>0</v>
      </c>
      <c r="D235" s="4"/>
      <c r="E235" s="4"/>
      <c r="F235" s="4"/>
      <c r="G235" s="4"/>
      <c r="H235" s="4"/>
      <c r="I235" s="4"/>
      <c r="J235" s="4"/>
      <c r="K235" s="4">
        <f>SUMIF(基因升级!$D$141:$D$500,"&lt;"&amp;$B235,基因升级!J$141:J$500)</f>
        <v>3346</v>
      </c>
      <c r="L235" s="4">
        <f>SUMIF(基因升级!$D$141:$D$500,"&lt;"&amp;$B235,基因升级!K$141:K$500)</f>
        <v>1.15</v>
      </c>
      <c r="M235" s="4">
        <f>SUMIF(基因升级!$D$141:$D$500,"&lt;"&amp;$B235,基因升级!L$141:L$500)</f>
        <v>0.66</v>
      </c>
      <c r="N235" s="4">
        <f>SUMIF(基因升级!$D$141:$D$500,"&lt;"&amp;$B235,基因升级!M$141:M$500)</f>
        <v>0.046</v>
      </c>
      <c r="O235" s="4">
        <f>SUMIF(基因升级!$D$141:$D$500,"&lt;"&amp;$B235,基因升级!N$141:N$500)</f>
        <v>0.1725</v>
      </c>
      <c r="R235" s="4">
        <v>229</v>
      </c>
      <c r="S235" s="4">
        <f>SUMIF(基因升级!$D$141:$D$500,"&lt;="&amp;$R235,基因升级!$U$141:$U$500)</f>
        <v>0</v>
      </c>
      <c r="T235" s="4">
        <f>SUMIF(基因升级!$D$141:$D$500,"&lt;="&amp;$R235,基因升级!J$141:J$500)</f>
        <v>17702</v>
      </c>
      <c r="U235" s="4">
        <f>SUMIF(基因升级!$D$141:$D$500,"&lt;="&amp;$R235,基因升级!K$141:K$500)</f>
        <v>2.9</v>
      </c>
      <c r="V235" s="4">
        <f>SUMIF(基因升级!$D$141:$D$500,"&lt;="&amp;$R235,基因升级!L$141:L$500)</f>
        <v>1.71</v>
      </c>
      <c r="W235" s="4">
        <f>SUMIF(基因升级!$D$141:$D$500,"&lt;="&amp;$R235,基因升级!M$141:M$500)</f>
        <v>0.114</v>
      </c>
      <c r="X235" s="4">
        <f>SUMIF(基因升级!$D$141:$D$500,"&lt;="&amp;$R235,基因升级!N$141:N$500)</f>
        <v>0.4275</v>
      </c>
    </row>
    <row r="236" ht="16.5" spans="1:24">
      <c r="A236" s="14">
        <v>230</v>
      </c>
      <c r="B236" s="4">
        <f>IFERROR(_xlfn.XLOOKUP(A236+1,基因升级!$E$141:$E$500,基因升级!$D$141:$D$500)-1,B235)</f>
        <v>92</v>
      </c>
      <c r="C236" s="4">
        <f>SUMIF(基因升级!$D$141:$D$500,"&lt;"&amp;$B236,基因升级!$U$141:$U$500)</f>
        <v>0</v>
      </c>
      <c r="D236" s="4"/>
      <c r="E236" s="4"/>
      <c r="F236" s="4"/>
      <c r="G236" s="4"/>
      <c r="H236" s="4"/>
      <c r="I236" s="4"/>
      <c r="J236" s="4"/>
      <c r="K236" s="4">
        <f>SUMIF(基因升级!$D$141:$D$500,"&lt;"&amp;$B236,基因升级!J$141:J$500)</f>
        <v>3346</v>
      </c>
      <c r="L236" s="4">
        <f>SUMIF(基因升级!$D$141:$D$500,"&lt;"&amp;$B236,基因升级!K$141:K$500)</f>
        <v>1.15</v>
      </c>
      <c r="M236" s="4">
        <f>SUMIF(基因升级!$D$141:$D$500,"&lt;"&amp;$B236,基因升级!L$141:L$500)</f>
        <v>0.66</v>
      </c>
      <c r="N236" s="4">
        <f>SUMIF(基因升级!$D$141:$D$500,"&lt;"&amp;$B236,基因升级!M$141:M$500)</f>
        <v>0.046</v>
      </c>
      <c r="O236" s="4">
        <f>SUMIF(基因升级!$D$141:$D$500,"&lt;"&amp;$B236,基因升级!N$141:N$500)</f>
        <v>0.1725</v>
      </c>
      <c r="R236" s="4">
        <v>230</v>
      </c>
      <c r="S236" s="4">
        <f>SUMIF(基因升级!$D$141:$D$500,"&lt;="&amp;$R236,基因升级!$U$141:$U$500)</f>
        <v>0</v>
      </c>
      <c r="T236" s="4">
        <f>SUMIF(基因升级!$D$141:$D$500,"&lt;="&amp;$R236,基因升级!J$141:J$500)</f>
        <v>17830</v>
      </c>
      <c r="U236" s="4">
        <f>SUMIF(基因升级!$D$141:$D$500,"&lt;="&amp;$R236,基因升级!K$141:K$500)</f>
        <v>2.9</v>
      </c>
      <c r="V236" s="4">
        <f>SUMIF(基因升级!$D$141:$D$500,"&lt;="&amp;$R236,基因升级!L$141:L$500)</f>
        <v>1.71</v>
      </c>
      <c r="W236" s="4">
        <f>SUMIF(基因升级!$D$141:$D$500,"&lt;="&amp;$R236,基因升级!M$141:M$500)</f>
        <v>0.114</v>
      </c>
      <c r="X236" s="4">
        <f>SUMIF(基因升级!$D$141:$D$500,"&lt;="&amp;$R236,基因升级!N$141:N$500)</f>
        <v>0.435</v>
      </c>
    </row>
    <row r="237" ht="16.5" spans="1:24">
      <c r="A237" s="14">
        <v>231</v>
      </c>
      <c r="B237" s="4">
        <f>IFERROR(_xlfn.XLOOKUP(A237+1,基因升级!$E$141:$E$500,基因升级!$D$141:$D$500)-1,B236)</f>
        <v>92</v>
      </c>
      <c r="C237" s="4">
        <f>SUMIF(基因升级!$D$141:$D$500,"&lt;"&amp;$B237,基因升级!$U$141:$U$500)</f>
        <v>0</v>
      </c>
      <c r="D237" s="4"/>
      <c r="E237" s="4"/>
      <c r="F237" s="4"/>
      <c r="G237" s="4"/>
      <c r="H237" s="4"/>
      <c r="I237" s="4"/>
      <c r="J237" s="4"/>
      <c r="K237" s="4">
        <f>SUMIF(基因升级!$D$141:$D$500,"&lt;"&amp;$B237,基因升级!J$141:J$500)</f>
        <v>3346</v>
      </c>
      <c r="L237" s="4">
        <f>SUMIF(基因升级!$D$141:$D$500,"&lt;"&amp;$B237,基因升级!K$141:K$500)</f>
        <v>1.15</v>
      </c>
      <c r="M237" s="4">
        <f>SUMIF(基因升级!$D$141:$D$500,"&lt;"&amp;$B237,基因升级!L$141:L$500)</f>
        <v>0.66</v>
      </c>
      <c r="N237" s="4">
        <f>SUMIF(基因升级!$D$141:$D$500,"&lt;"&amp;$B237,基因升级!M$141:M$500)</f>
        <v>0.046</v>
      </c>
      <c r="O237" s="4">
        <f>SUMIF(基因升级!$D$141:$D$500,"&lt;"&amp;$B237,基因升级!N$141:N$500)</f>
        <v>0.1725</v>
      </c>
      <c r="R237" s="4">
        <v>231</v>
      </c>
      <c r="S237" s="4">
        <f>SUMIF(基因升级!$D$141:$D$500,"&lt;="&amp;$R237,基因升级!$U$141:$U$500)</f>
        <v>0</v>
      </c>
      <c r="T237" s="4">
        <f>SUMIF(基因升级!$D$141:$D$500,"&lt;="&amp;$R237,基因升级!J$141:J$500)</f>
        <v>17958</v>
      </c>
      <c r="U237" s="4">
        <f>SUMIF(基因升级!$D$141:$D$500,"&lt;="&amp;$R237,基因升级!K$141:K$500)</f>
        <v>2.9</v>
      </c>
      <c r="V237" s="4">
        <f>SUMIF(基因升级!$D$141:$D$500,"&lt;="&amp;$R237,基因升级!L$141:L$500)</f>
        <v>1.71</v>
      </c>
      <c r="W237" s="4">
        <f>SUMIF(基因升级!$D$141:$D$500,"&lt;="&amp;$R237,基因升级!M$141:M$500)</f>
        <v>0.116</v>
      </c>
      <c r="X237" s="4">
        <f>SUMIF(基因升级!$D$141:$D$500,"&lt;="&amp;$R237,基因升级!N$141:N$500)</f>
        <v>0.435</v>
      </c>
    </row>
    <row r="238" ht="16.5" spans="1:24">
      <c r="A238" s="14">
        <v>232</v>
      </c>
      <c r="B238" s="4">
        <f>IFERROR(_xlfn.XLOOKUP(A238+1,基因升级!$E$141:$E$500,基因升级!$D$141:$D$500)-1,B237)</f>
        <v>93</v>
      </c>
      <c r="C238" s="4">
        <f>SUMIF(基因升级!$D$141:$D$500,"&lt;"&amp;$B238,基因升级!$U$141:$U$500)</f>
        <v>0</v>
      </c>
      <c r="D238" s="4"/>
      <c r="E238" s="4"/>
      <c r="F238" s="4"/>
      <c r="G238" s="4"/>
      <c r="H238" s="4"/>
      <c r="I238" s="4"/>
      <c r="J238" s="4"/>
      <c r="K238" s="4">
        <f>SUMIF(基因升级!$D$141:$D$500,"&lt;"&amp;$B238,基因升级!J$141:J$500)</f>
        <v>3416</v>
      </c>
      <c r="L238" s="4">
        <f>SUMIF(基因升级!$D$141:$D$500,"&lt;"&amp;$B238,基因升级!K$141:K$500)</f>
        <v>1.15</v>
      </c>
      <c r="M238" s="4">
        <f>SUMIF(基因升级!$D$141:$D$500,"&lt;"&amp;$B238,基因升级!L$141:L$500)</f>
        <v>0.69</v>
      </c>
      <c r="N238" s="4">
        <f>SUMIF(基因升级!$D$141:$D$500,"&lt;"&amp;$B238,基因升级!M$141:M$500)</f>
        <v>0.046</v>
      </c>
      <c r="O238" s="4">
        <f>SUMIF(基因升级!$D$141:$D$500,"&lt;"&amp;$B238,基因升级!N$141:N$500)</f>
        <v>0.1725</v>
      </c>
      <c r="R238" s="4">
        <v>232</v>
      </c>
      <c r="S238" s="4">
        <f>SUMIF(基因升级!$D$141:$D$500,"&lt;="&amp;$R238,基因升级!$U$141:$U$500)</f>
        <v>0</v>
      </c>
      <c r="T238" s="4">
        <f>SUMIF(基因升级!$D$141:$D$500,"&lt;="&amp;$R238,基因升级!J$141:J$500)</f>
        <v>18086</v>
      </c>
      <c r="U238" s="4">
        <f>SUMIF(基因升级!$D$141:$D$500,"&lt;="&amp;$R238,基因升级!K$141:K$500)</f>
        <v>2.9</v>
      </c>
      <c r="V238" s="4">
        <f>SUMIF(基因升级!$D$141:$D$500,"&lt;="&amp;$R238,基因升级!L$141:L$500)</f>
        <v>1.74</v>
      </c>
      <c r="W238" s="4">
        <f>SUMIF(基因升级!$D$141:$D$500,"&lt;="&amp;$R238,基因升级!M$141:M$500)</f>
        <v>0.116</v>
      </c>
      <c r="X238" s="4">
        <f>SUMIF(基因升级!$D$141:$D$500,"&lt;="&amp;$R238,基因升级!N$141:N$500)</f>
        <v>0.435</v>
      </c>
    </row>
    <row r="239" ht="16.5" spans="1:24">
      <c r="A239" s="14">
        <v>233</v>
      </c>
      <c r="B239" s="4">
        <f>IFERROR(_xlfn.XLOOKUP(A239+1,基因升级!$E$141:$E$500,基因升级!$D$141:$D$500)-1,B238)</f>
        <v>93</v>
      </c>
      <c r="C239" s="4">
        <f>SUMIF(基因升级!$D$141:$D$500,"&lt;"&amp;$B239,基因升级!$U$141:$U$500)</f>
        <v>0</v>
      </c>
      <c r="D239" s="4"/>
      <c r="E239" s="4"/>
      <c r="F239" s="4"/>
      <c r="G239" s="4"/>
      <c r="H239" s="4"/>
      <c r="I239" s="4"/>
      <c r="J239" s="4"/>
      <c r="K239" s="4">
        <f>SUMIF(基因升级!$D$141:$D$500,"&lt;"&amp;$B239,基因升级!J$141:J$500)</f>
        <v>3416</v>
      </c>
      <c r="L239" s="4">
        <f>SUMIF(基因升级!$D$141:$D$500,"&lt;"&amp;$B239,基因升级!K$141:K$500)</f>
        <v>1.15</v>
      </c>
      <c r="M239" s="4">
        <f>SUMIF(基因升级!$D$141:$D$500,"&lt;"&amp;$B239,基因升级!L$141:L$500)</f>
        <v>0.69</v>
      </c>
      <c r="N239" s="4">
        <f>SUMIF(基因升级!$D$141:$D$500,"&lt;"&amp;$B239,基因升级!M$141:M$500)</f>
        <v>0.046</v>
      </c>
      <c r="O239" s="4">
        <f>SUMIF(基因升级!$D$141:$D$500,"&lt;"&amp;$B239,基因升级!N$141:N$500)</f>
        <v>0.1725</v>
      </c>
      <c r="R239" s="4">
        <v>233</v>
      </c>
      <c r="S239" s="4">
        <f>SUMIF(基因升级!$D$141:$D$500,"&lt;="&amp;$R239,基因升级!$U$141:$U$500)</f>
        <v>0</v>
      </c>
      <c r="T239" s="4">
        <f>SUMIF(基因升级!$D$141:$D$500,"&lt;="&amp;$R239,基因升级!J$141:J$500)</f>
        <v>18220</v>
      </c>
      <c r="U239" s="4">
        <f>SUMIF(基因升级!$D$141:$D$500,"&lt;="&amp;$R239,基因升级!K$141:K$500)</f>
        <v>2.95</v>
      </c>
      <c r="V239" s="4">
        <f>SUMIF(基因升级!$D$141:$D$500,"&lt;="&amp;$R239,基因升级!L$141:L$500)</f>
        <v>1.74</v>
      </c>
      <c r="W239" s="4">
        <f>SUMIF(基因升级!$D$141:$D$500,"&lt;="&amp;$R239,基因升级!M$141:M$500)</f>
        <v>0.116</v>
      </c>
      <c r="X239" s="4">
        <f>SUMIF(基因升级!$D$141:$D$500,"&lt;="&amp;$R239,基因升级!N$141:N$500)</f>
        <v>0.435</v>
      </c>
    </row>
    <row r="240" ht="16.5" spans="1:24">
      <c r="A240" s="14">
        <v>234</v>
      </c>
      <c r="B240" s="4">
        <f>IFERROR(_xlfn.XLOOKUP(A240+1,基因升级!$E$141:$E$500,基因升级!$D$141:$D$500)-1,B239)</f>
        <v>93</v>
      </c>
      <c r="C240" s="4">
        <f>SUMIF(基因升级!$D$141:$D$500,"&lt;"&amp;$B240,基因升级!$U$141:$U$500)</f>
        <v>0</v>
      </c>
      <c r="D240" s="4"/>
      <c r="E240" s="4"/>
      <c r="F240" s="4"/>
      <c r="G240" s="4"/>
      <c r="H240" s="4"/>
      <c r="I240" s="4"/>
      <c r="J240" s="4"/>
      <c r="K240" s="4">
        <f>SUMIF(基因升级!$D$141:$D$500,"&lt;"&amp;$B240,基因升级!J$141:J$500)</f>
        <v>3416</v>
      </c>
      <c r="L240" s="4">
        <f>SUMIF(基因升级!$D$141:$D$500,"&lt;"&amp;$B240,基因升级!K$141:K$500)</f>
        <v>1.15</v>
      </c>
      <c r="M240" s="4">
        <f>SUMIF(基因升级!$D$141:$D$500,"&lt;"&amp;$B240,基因升级!L$141:L$500)</f>
        <v>0.69</v>
      </c>
      <c r="N240" s="4">
        <f>SUMIF(基因升级!$D$141:$D$500,"&lt;"&amp;$B240,基因升级!M$141:M$500)</f>
        <v>0.046</v>
      </c>
      <c r="O240" s="4">
        <f>SUMIF(基因升级!$D$141:$D$500,"&lt;"&amp;$B240,基因升级!N$141:N$500)</f>
        <v>0.1725</v>
      </c>
      <c r="R240" s="4">
        <v>234</v>
      </c>
      <c r="S240" s="4">
        <f>SUMIF(基因升级!$D$141:$D$500,"&lt;="&amp;$R240,基因升级!$U$141:$U$500)</f>
        <v>0</v>
      </c>
      <c r="T240" s="4">
        <f>SUMIF(基因升级!$D$141:$D$500,"&lt;="&amp;$R240,基因升级!J$141:J$500)</f>
        <v>18354</v>
      </c>
      <c r="U240" s="4">
        <f>SUMIF(基因升级!$D$141:$D$500,"&lt;="&amp;$R240,基因升级!K$141:K$500)</f>
        <v>2.95</v>
      </c>
      <c r="V240" s="4">
        <f>SUMIF(基因升级!$D$141:$D$500,"&lt;="&amp;$R240,基因升级!L$141:L$500)</f>
        <v>1.74</v>
      </c>
      <c r="W240" s="4">
        <f>SUMIF(基因升级!$D$141:$D$500,"&lt;="&amp;$R240,基因升级!M$141:M$500)</f>
        <v>0.116</v>
      </c>
      <c r="X240" s="4">
        <f>SUMIF(基因升级!$D$141:$D$500,"&lt;="&amp;$R240,基因升级!N$141:N$500)</f>
        <v>0.4425</v>
      </c>
    </row>
    <row r="241" ht="16.5" spans="1:24">
      <c r="A241" s="14">
        <v>235</v>
      </c>
      <c r="B241" s="4">
        <f>IFERROR(_xlfn.XLOOKUP(A241+1,基因升级!$E$141:$E$500,基因升级!$D$141:$D$500)-1,B240)</f>
        <v>93</v>
      </c>
      <c r="C241" s="4">
        <f>SUMIF(基因升级!$D$141:$D$500,"&lt;"&amp;$B241,基因升级!$U$141:$U$500)</f>
        <v>0</v>
      </c>
      <c r="D241" s="4"/>
      <c r="E241" s="4"/>
      <c r="F241" s="4"/>
      <c r="G241" s="4"/>
      <c r="H241" s="4"/>
      <c r="I241" s="4"/>
      <c r="J241" s="4"/>
      <c r="K241" s="4">
        <f>SUMIF(基因升级!$D$141:$D$500,"&lt;"&amp;$B241,基因升级!J$141:J$500)</f>
        <v>3416</v>
      </c>
      <c r="L241" s="4">
        <f>SUMIF(基因升级!$D$141:$D$500,"&lt;"&amp;$B241,基因升级!K$141:K$500)</f>
        <v>1.15</v>
      </c>
      <c r="M241" s="4">
        <f>SUMIF(基因升级!$D$141:$D$500,"&lt;"&amp;$B241,基因升级!L$141:L$500)</f>
        <v>0.69</v>
      </c>
      <c r="N241" s="4">
        <f>SUMIF(基因升级!$D$141:$D$500,"&lt;"&amp;$B241,基因升级!M$141:M$500)</f>
        <v>0.046</v>
      </c>
      <c r="O241" s="4">
        <f>SUMIF(基因升级!$D$141:$D$500,"&lt;"&amp;$B241,基因升级!N$141:N$500)</f>
        <v>0.1725</v>
      </c>
      <c r="R241" s="4">
        <v>235</v>
      </c>
      <c r="S241" s="4">
        <f>SUMIF(基因升级!$D$141:$D$500,"&lt;="&amp;$R241,基因升级!$U$141:$U$500)</f>
        <v>0</v>
      </c>
      <c r="T241" s="4">
        <f>SUMIF(基因升级!$D$141:$D$500,"&lt;="&amp;$R241,基因升级!J$141:J$500)</f>
        <v>18488</v>
      </c>
      <c r="U241" s="4">
        <f>SUMIF(基因升级!$D$141:$D$500,"&lt;="&amp;$R241,基因升级!K$141:K$500)</f>
        <v>2.95</v>
      </c>
      <c r="V241" s="4">
        <f>SUMIF(基因升级!$D$141:$D$500,"&lt;="&amp;$R241,基因升级!L$141:L$500)</f>
        <v>1.74</v>
      </c>
      <c r="W241" s="4">
        <f>SUMIF(基因升级!$D$141:$D$500,"&lt;="&amp;$R241,基因升级!M$141:M$500)</f>
        <v>0.118</v>
      </c>
      <c r="X241" s="4">
        <f>SUMIF(基因升级!$D$141:$D$500,"&lt;="&amp;$R241,基因升级!N$141:N$500)</f>
        <v>0.4425</v>
      </c>
    </row>
    <row r="242" ht="16.5" spans="1:24">
      <c r="A242" s="14">
        <v>236</v>
      </c>
      <c r="B242" s="4">
        <f>IFERROR(_xlfn.XLOOKUP(A242+1,基因升级!$E$141:$E$500,基因升级!$D$141:$D$500)-1,B241)</f>
        <v>93</v>
      </c>
      <c r="C242" s="4">
        <f>SUMIF(基因升级!$D$141:$D$500,"&lt;"&amp;$B242,基因升级!$U$141:$U$500)</f>
        <v>0</v>
      </c>
      <c r="D242" s="4"/>
      <c r="E242" s="4"/>
      <c r="F242" s="4"/>
      <c r="G242" s="4"/>
      <c r="H242" s="4"/>
      <c r="I242" s="4"/>
      <c r="J242" s="4"/>
      <c r="K242" s="4">
        <f>SUMIF(基因升级!$D$141:$D$500,"&lt;"&amp;$B242,基因升级!J$141:J$500)</f>
        <v>3416</v>
      </c>
      <c r="L242" s="4">
        <f>SUMIF(基因升级!$D$141:$D$500,"&lt;"&amp;$B242,基因升级!K$141:K$500)</f>
        <v>1.15</v>
      </c>
      <c r="M242" s="4">
        <f>SUMIF(基因升级!$D$141:$D$500,"&lt;"&amp;$B242,基因升级!L$141:L$500)</f>
        <v>0.69</v>
      </c>
      <c r="N242" s="4">
        <f>SUMIF(基因升级!$D$141:$D$500,"&lt;"&amp;$B242,基因升级!M$141:M$500)</f>
        <v>0.046</v>
      </c>
      <c r="O242" s="4">
        <f>SUMIF(基因升级!$D$141:$D$500,"&lt;"&amp;$B242,基因升级!N$141:N$500)</f>
        <v>0.1725</v>
      </c>
      <c r="R242" s="4">
        <v>236</v>
      </c>
      <c r="S242" s="4">
        <f>SUMIF(基因升级!$D$141:$D$500,"&lt;="&amp;$R242,基因升级!$U$141:$U$500)</f>
        <v>0</v>
      </c>
      <c r="T242" s="4">
        <f>SUMIF(基因升级!$D$141:$D$500,"&lt;="&amp;$R242,基因升级!J$141:J$500)</f>
        <v>18622</v>
      </c>
      <c r="U242" s="4">
        <f>SUMIF(基因升级!$D$141:$D$500,"&lt;="&amp;$R242,基因升级!K$141:K$500)</f>
        <v>2.95</v>
      </c>
      <c r="V242" s="4">
        <f>SUMIF(基因升级!$D$141:$D$500,"&lt;="&amp;$R242,基因升级!L$141:L$500)</f>
        <v>1.77</v>
      </c>
      <c r="W242" s="4">
        <f>SUMIF(基因升级!$D$141:$D$500,"&lt;="&amp;$R242,基因升级!M$141:M$500)</f>
        <v>0.118</v>
      </c>
      <c r="X242" s="4">
        <f>SUMIF(基因升级!$D$141:$D$500,"&lt;="&amp;$R242,基因升级!N$141:N$500)</f>
        <v>0.4425</v>
      </c>
    </row>
    <row r="243" ht="16.5" spans="1:24">
      <c r="A243" s="14">
        <v>237</v>
      </c>
      <c r="B243" s="4">
        <f>IFERROR(_xlfn.XLOOKUP(A243+1,基因升级!$E$141:$E$500,基因升级!$D$141:$D$500)-1,B242)</f>
        <v>93</v>
      </c>
      <c r="C243" s="4">
        <f>SUMIF(基因升级!$D$141:$D$500,"&lt;"&amp;$B243,基因升级!$U$141:$U$500)</f>
        <v>0</v>
      </c>
      <c r="D243" s="4"/>
      <c r="E243" s="4"/>
      <c r="F243" s="4"/>
      <c r="G243" s="4"/>
      <c r="H243" s="4"/>
      <c r="I243" s="4"/>
      <c r="J243" s="4"/>
      <c r="K243" s="4">
        <f>SUMIF(基因升级!$D$141:$D$500,"&lt;"&amp;$B243,基因升级!J$141:J$500)</f>
        <v>3416</v>
      </c>
      <c r="L243" s="4">
        <f>SUMIF(基因升级!$D$141:$D$500,"&lt;"&amp;$B243,基因升级!K$141:K$500)</f>
        <v>1.15</v>
      </c>
      <c r="M243" s="4">
        <f>SUMIF(基因升级!$D$141:$D$500,"&lt;"&amp;$B243,基因升级!L$141:L$500)</f>
        <v>0.69</v>
      </c>
      <c r="N243" s="4">
        <f>SUMIF(基因升级!$D$141:$D$500,"&lt;"&amp;$B243,基因升级!M$141:M$500)</f>
        <v>0.046</v>
      </c>
      <c r="O243" s="4">
        <f>SUMIF(基因升级!$D$141:$D$500,"&lt;"&amp;$B243,基因升级!N$141:N$500)</f>
        <v>0.1725</v>
      </c>
      <c r="R243" s="4">
        <v>237</v>
      </c>
      <c r="S243" s="4">
        <f>SUMIF(基因升级!$D$141:$D$500,"&lt;="&amp;$R243,基因升级!$U$141:$U$500)</f>
        <v>0</v>
      </c>
      <c r="T243" s="4">
        <f>SUMIF(基因升级!$D$141:$D$500,"&lt;="&amp;$R243,基因升级!J$141:J$500)</f>
        <v>18756</v>
      </c>
      <c r="U243" s="4">
        <f>SUMIF(基因升级!$D$141:$D$500,"&lt;="&amp;$R243,基因升级!K$141:K$500)</f>
        <v>3</v>
      </c>
      <c r="V243" s="4">
        <f>SUMIF(基因升级!$D$141:$D$500,"&lt;="&amp;$R243,基因升级!L$141:L$500)</f>
        <v>1.77</v>
      </c>
      <c r="W243" s="4">
        <f>SUMIF(基因升级!$D$141:$D$500,"&lt;="&amp;$R243,基因升级!M$141:M$500)</f>
        <v>0.118</v>
      </c>
      <c r="X243" s="4">
        <f>SUMIF(基因升级!$D$141:$D$500,"&lt;="&amp;$R243,基因升级!N$141:N$500)</f>
        <v>0.4425</v>
      </c>
    </row>
    <row r="244" ht="16.5" spans="1:24">
      <c r="A244" s="14">
        <v>238</v>
      </c>
      <c r="B244" s="4">
        <f>IFERROR(_xlfn.XLOOKUP(A244+1,基因升级!$E$141:$E$500,基因升级!$D$141:$D$500)-1,B243)</f>
        <v>93</v>
      </c>
      <c r="C244" s="4">
        <f>SUMIF(基因升级!$D$141:$D$500,"&lt;"&amp;$B244,基因升级!$U$141:$U$500)</f>
        <v>0</v>
      </c>
      <c r="D244" s="4"/>
      <c r="E244" s="4"/>
      <c r="F244" s="4"/>
      <c r="G244" s="4"/>
      <c r="H244" s="4"/>
      <c r="I244" s="4"/>
      <c r="J244" s="4"/>
      <c r="K244" s="4">
        <f>SUMIF(基因升级!$D$141:$D$500,"&lt;"&amp;$B244,基因升级!J$141:J$500)</f>
        <v>3416</v>
      </c>
      <c r="L244" s="4">
        <f>SUMIF(基因升级!$D$141:$D$500,"&lt;"&amp;$B244,基因升级!K$141:K$500)</f>
        <v>1.15</v>
      </c>
      <c r="M244" s="4">
        <f>SUMIF(基因升级!$D$141:$D$500,"&lt;"&amp;$B244,基因升级!L$141:L$500)</f>
        <v>0.69</v>
      </c>
      <c r="N244" s="4">
        <f>SUMIF(基因升级!$D$141:$D$500,"&lt;"&amp;$B244,基因升级!M$141:M$500)</f>
        <v>0.046</v>
      </c>
      <c r="O244" s="4">
        <f>SUMIF(基因升级!$D$141:$D$500,"&lt;"&amp;$B244,基因升级!N$141:N$500)</f>
        <v>0.1725</v>
      </c>
      <c r="R244" s="4">
        <v>238</v>
      </c>
      <c r="S244" s="4">
        <f>SUMIF(基因升级!$D$141:$D$500,"&lt;="&amp;$R244,基因升级!$U$141:$U$500)</f>
        <v>0</v>
      </c>
      <c r="T244" s="4">
        <f>SUMIF(基因升级!$D$141:$D$500,"&lt;="&amp;$R244,基因升级!J$141:J$500)</f>
        <v>18890</v>
      </c>
      <c r="U244" s="4">
        <f>SUMIF(基因升级!$D$141:$D$500,"&lt;="&amp;$R244,基因升级!K$141:K$500)</f>
        <v>3</v>
      </c>
      <c r="V244" s="4">
        <f>SUMIF(基因升级!$D$141:$D$500,"&lt;="&amp;$R244,基因升级!L$141:L$500)</f>
        <v>1.77</v>
      </c>
      <c r="W244" s="4">
        <f>SUMIF(基因升级!$D$141:$D$500,"&lt;="&amp;$R244,基因升级!M$141:M$500)</f>
        <v>0.118</v>
      </c>
      <c r="X244" s="4">
        <f>SUMIF(基因升级!$D$141:$D$500,"&lt;="&amp;$R244,基因升级!N$141:N$500)</f>
        <v>0.45</v>
      </c>
    </row>
    <row r="245" ht="16.5" spans="1:24">
      <c r="A245" s="14">
        <v>239</v>
      </c>
      <c r="B245" s="4">
        <f>IFERROR(_xlfn.XLOOKUP(A245+1,基因升级!$E$141:$E$500,基因升级!$D$141:$D$500)-1,B244)</f>
        <v>93</v>
      </c>
      <c r="C245" s="4">
        <f>SUMIF(基因升级!$D$141:$D$500,"&lt;"&amp;$B245,基因升级!$U$141:$U$500)</f>
        <v>0</v>
      </c>
      <c r="D245" s="4"/>
      <c r="E245" s="4"/>
      <c r="F245" s="4"/>
      <c r="G245" s="4"/>
      <c r="H245" s="4"/>
      <c r="I245" s="4"/>
      <c r="J245" s="4"/>
      <c r="K245" s="4">
        <f>SUMIF(基因升级!$D$141:$D$500,"&lt;"&amp;$B245,基因升级!J$141:J$500)</f>
        <v>3416</v>
      </c>
      <c r="L245" s="4">
        <f>SUMIF(基因升级!$D$141:$D$500,"&lt;"&amp;$B245,基因升级!K$141:K$500)</f>
        <v>1.15</v>
      </c>
      <c r="M245" s="4">
        <f>SUMIF(基因升级!$D$141:$D$500,"&lt;"&amp;$B245,基因升级!L$141:L$500)</f>
        <v>0.69</v>
      </c>
      <c r="N245" s="4">
        <f>SUMIF(基因升级!$D$141:$D$500,"&lt;"&amp;$B245,基因升级!M$141:M$500)</f>
        <v>0.046</v>
      </c>
      <c r="O245" s="4">
        <f>SUMIF(基因升级!$D$141:$D$500,"&lt;"&amp;$B245,基因升级!N$141:N$500)</f>
        <v>0.1725</v>
      </c>
      <c r="R245" s="4">
        <v>239</v>
      </c>
      <c r="S245" s="4">
        <f>SUMIF(基因升级!$D$141:$D$500,"&lt;="&amp;$R245,基因升级!$U$141:$U$500)</f>
        <v>0</v>
      </c>
      <c r="T245" s="4">
        <f>SUMIF(基因升级!$D$141:$D$500,"&lt;="&amp;$R245,基因升级!J$141:J$500)</f>
        <v>19024</v>
      </c>
      <c r="U245" s="4">
        <f>SUMIF(基因升级!$D$141:$D$500,"&lt;="&amp;$R245,基因升级!K$141:K$500)</f>
        <v>3</v>
      </c>
      <c r="V245" s="4">
        <f>SUMIF(基因升级!$D$141:$D$500,"&lt;="&amp;$R245,基因升级!L$141:L$500)</f>
        <v>1.77</v>
      </c>
      <c r="W245" s="4">
        <f>SUMIF(基因升级!$D$141:$D$500,"&lt;="&amp;$R245,基因升级!M$141:M$500)</f>
        <v>0.12</v>
      </c>
      <c r="X245" s="4">
        <f>SUMIF(基因升级!$D$141:$D$500,"&lt;="&amp;$R245,基因升级!N$141:N$500)</f>
        <v>0.45</v>
      </c>
    </row>
    <row r="246" ht="16.5" spans="1:24">
      <c r="A246" s="14">
        <v>240</v>
      </c>
      <c r="B246" s="4">
        <f>IFERROR(_xlfn.XLOOKUP(A246+1,基因升级!$E$141:$E$500,基因升级!$D$141:$D$500)-1,B245)</f>
        <v>94</v>
      </c>
      <c r="C246" s="4">
        <f>SUMIF(基因升级!$D$141:$D$500,"&lt;"&amp;$B246,基因升级!$U$141:$U$500)</f>
        <v>0</v>
      </c>
      <c r="D246" s="4"/>
      <c r="E246" s="4"/>
      <c r="F246" s="4"/>
      <c r="G246" s="4"/>
      <c r="H246" s="4"/>
      <c r="I246" s="4"/>
      <c r="J246" s="4"/>
      <c r="K246" s="4">
        <f>SUMIF(基因升级!$D$141:$D$500,"&lt;"&amp;$B246,基因升级!J$141:J$500)</f>
        <v>3486</v>
      </c>
      <c r="L246" s="4">
        <f>SUMIF(基因升级!$D$141:$D$500,"&lt;"&amp;$B246,基因升级!K$141:K$500)</f>
        <v>1.2</v>
      </c>
      <c r="M246" s="4">
        <f>SUMIF(基因升级!$D$141:$D$500,"&lt;"&amp;$B246,基因升级!L$141:L$500)</f>
        <v>0.69</v>
      </c>
      <c r="N246" s="4">
        <f>SUMIF(基因升级!$D$141:$D$500,"&lt;"&amp;$B246,基因升级!M$141:M$500)</f>
        <v>0.046</v>
      </c>
      <c r="O246" s="4">
        <f>SUMIF(基因升级!$D$141:$D$500,"&lt;"&amp;$B246,基因升级!N$141:N$500)</f>
        <v>0.1725</v>
      </c>
      <c r="R246" s="4">
        <v>240</v>
      </c>
      <c r="S246" s="4">
        <f>SUMIF(基因升级!$D$141:$D$500,"&lt;="&amp;$R246,基因升级!$U$141:$U$500)</f>
        <v>0</v>
      </c>
      <c r="T246" s="4">
        <f>SUMIF(基因升级!$D$141:$D$500,"&lt;="&amp;$R246,基因升级!J$141:J$500)</f>
        <v>19158</v>
      </c>
      <c r="U246" s="4">
        <f>SUMIF(基因升级!$D$141:$D$500,"&lt;="&amp;$R246,基因升级!K$141:K$500)</f>
        <v>3</v>
      </c>
      <c r="V246" s="4">
        <f>SUMIF(基因升级!$D$141:$D$500,"&lt;="&amp;$R246,基因升级!L$141:L$500)</f>
        <v>1.8</v>
      </c>
      <c r="W246" s="4">
        <f>SUMIF(基因升级!$D$141:$D$500,"&lt;="&amp;$R246,基因升级!M$141:M$500)</f>
        <v>0.12</v>
      </c>
      <c r="X246" s="4">
        <f>SUMIF(基因升级!$D$141:$D$500,"&lt;="&amp;$R246,基因升级!N$141:N$500)</f>
        <v>0.45</v>
      </c>
    </row>
    <row r="247" ht="16.5" spans="1:24">
      <c r="A247" s="14">
        <v>241</v>
      </c>
      <c r="B247" s="4">
        <f>IFERROR(_xlfn.XLOOKUP(A247+1,基因升级!$E$141:$E$500,基因升级!$D$141:$D$500)-1,B246)</f>
        <v>94</v>
      </c>
      <c r="C247" s="4">
        <f>SUMIF(基因升级!$D$141:$D$500,"&lt;"&amp;$B247,基因升级!$U$141:$U$500)</f>
        <v>0</v>
      </c>
      <c r="D247" s="4"/>
      <c r="E247" s="4"/>
      <c r="F247" s="4"/>
      <c r="G247" s="4"/>
      <c r="H247" s="4"/>
      <c r="I247" s="4"/>
      <c r="J247" s="4"/>
      <c r="K247" s="4">
        <f>SUMIF(基因升级!$D$141:$D$500,"&lt;"&amp;$B247,基因升级!J$141:J$500)</f>
        <v>3486</v>
      </c>
      <c r="L247" s="4">
        <f>SUMIF(基因升级!$D$141:$D$500,"&lt;"&amp;$B247,基因升级!K$141:K$500)</f>
        <v>1.2</v>
      </c>
      <c r="M247" s="4">
        <f>SUMIF(基因升级!$D$141:$D$500,"&lt;"&amp;$B247,基因升级!L$141:L$500)</f>
        <v>0.69</v>
      </c>
      <c r="N247" s="4">
        <f>SUMIF(基因升级!$D$141:$D$500,"&lt;"&amp;$B247,基因升级!M$141:M$500)</f>
        <v>0.046</v>
      </c>
      <c r="O247" s="4">
        <f>SUMIF(基因升级!$D$141:$D$500,"&lt;"&amp;$B247,基因升级!N$141:N$500)</f>
        <v>0.1725</v>
      </c>
      <c r="R247" s="4">
        <v>241</v>
      </c>
      <c r="S247" s="4">
        <f>SUMIF(基因升级!$D$141:$D$500,"&lt;="&amp;$R247,基因升级!$U$141:$U$500)</f>
        <v>0</v>
      </c>
      <c r="T247" s="4">
        <f>SUMIF(基因升级!$D$141:$D$500,"&lt;="&amp;$R247,基因升级!J$141:J$500)</f>
        <v>19292</v>
      </c>
      <c r="U247" s="4">
        <f>SUMIF(基因升级!$D$141:$D$500,"&lt;="&amp;$R247,基因升级!K$141:K$500)</f>
        <v>3.05</v>
      </c>
      <c r="V247" s="4">
        <f>SUMIF(基因升级!$D$141:$D$500,"&lt;="&amp;$R247,基因升级!L$141:L$500)</f>
        <v>1.8</v>
      </c>
      <c r="W247" s="4">
        <f>SUMIF(基因升级!$D$141:$D$500,"&lt;="&amp;$R247,基因升级!M$141:M$500)</f>
        <v>0.12</v>
      </c>
      <c r="X247" s="4">
        <f>SUMIF(基因升级!$D$141:$D$500,"&lt;="&amp;$R247,基因升级!N$141:N$500)</f>
        <v>0.45</v>
      </c>
    </row>
    <row r="248" ht="16.5" spans="1:24">
      <c r="A248" s="14">
        <v>242</v>
      </c>
      <c r="B248" s="4">
        <f>IFERROR(_xlfn.XLOOKUP(A248+1,基因升级!$E$141:$E$500,基因升级!$D$141:$D$500)-1,B247)</f>
        <v>94</v>
      </c>
      <c r="C248" s="4">
        <f>SUMIF(基因升级!$D$141:$D$500,"&lt;"&amp;$B248,基因升级!$U$141:$U$500)</f>
        <v>0</v>
      </c>
      <c r="D248" s="4"/>
      <c r="E248" s="4"/>
      <c r="F248" s="4"/>
      <c r="G248" s="4"/>
      <c r="H248" s="4"/>
      <c r="I248" s="4"/>
      <c r="J248" s="4"/>
      <c r="K248" s="4">
        <f>SUMIF(基因升级!$D$141:$D$500,"&lt;"&amp;$B248,基因升级!J$141:J$500)</f>
        <v>3486</v>
      </c>
      <c r="L248" s="4">
        <f>SUMIF(基因升级!$D$141:$D$500,"&lt;"&amp;$B248,基因升级!K$141:K$500)</f>
        <v>1.2</v>
      </c>
      <c r="M248" s="4">
        <f>SUMIF(基因升级!$D$141:$D$500,"&lt;"&amp;$B248,基因升级!L$141:L$500)</f>
        <v>0.69</v>
      </c>
      <c r="N248" s="4">
        <f>SUMIF(基因升级!$D$141:$D$500,"&lt;"&amp;$B248,基因升级!M$141:M$500)</f>
        <v>0.046</v>
      </c>
      <c r="O248" s="4">
        <f>SUMIF(基因升级!$D$141:$D$500,"&lt;"&amp;$B248,基因升级!N$141:N$500)</f>
        <v>0.1725</v>
      </c>
      <c r="R248" s="4">
        <v>242</v>
      </c>
      <c r="S248" s="4">
        <f>SUMIF(基因升级!$D$141:$D$500,"&lt;="&amp;$R248,基因升级!$U$141:$U$500)</f>
        <v>0</v>
      </c>
      <c r="T248" s="4">
        <f>SUMIF(基因升级!$D$141:$D$500,"&lt;="&amp;$R248,基因升级!J$141:J$500)</f>
        <v>19426</v>
      </c>
      <c r="U248" s="4">
        <f>SUMIF(基因升级!$D$141:$D$500,"&lt;="&amp;$R248,基因升级!K$141:K$500)</f>
        <v>3.05</v>
      </c>
      <c r="V248" s="4">
        <f>SUMIF(基因升级!$D$141:$D$500,"&lt;="&amp;$R248,基因升级!L$141:L$500)</f>
        <v>1.8</v>
      </c>
      <c r="W248" s="4">
        <f>SUMIF(基因升级!$D$141:$D$500,"&lt;="&amp;$R248,基因升级!M$141:M$500)</f>
        <v>0.12</v>
      </c>
      <c r="X248" s="4">
        <f>SUMIF(基因升级!$D$141:$D$500,"&lt;="&amp;$R248,基因升级!N$141:N$500)</f>
        <v>0.4575</v>
      </c>
    </row>
    <row r="249" ht="16.5" spans="1:24">
      <c r="A249" s="14">
        <v>243</v>
      </c>
      <c r="B249" s="4">
        <f>IFERROR(_xlfn.XLOOKUP(A249+1,基因升级!$E$141:$E$500,基因升级!$D$141:$D$500)-1,B248)</f>
        <v>94</v>
      </c>
      <c r="C249" s="4">
        <f>SUMIF(基因升级!$D$141:$D$500,"&lt;"&amp;$B249,基因升级!$U$141:$U$500)</f>
        <v>0</v>
      </c>
      <c r="D249" s="4"/>
      <c r="E249" s="4"/>
      <c r="F249" s="4"/>
      <c r="G249" s="4"/>
      <c r="H249" s="4"/>
      <c r="I249" s="4"/>
      <c r="J249" s="4"/>
      <c r="K249" s="4">
        <f>SUMIF(基因升级!$D$141:$D$500,"&lt;"&amp;$B249,基因升级!J$141:J$500)</f>
        <v>3486</v>
      </c>
      <c r="L249" s="4">
        <f>SUMIF(基因升级!$D$141:$D$500,"&lt;"&amp;$B249,基因升级!K$141:K$500)</f>
        <v>1.2</v>
      </c>
      <c r="M249" s="4">
        <f>SUMIF(基因升级!$D$141:$D$500,"&lt;"&amp;$B249,基因升级!L$141:L$500)</f>
        <v>0.69</v>
      </c>
      <c r="N249" s="4">
        <f>SUMIF(基因升级!$D$141:$D$500,"&lt;"&amp;$B249,基因升级!M$141:M$500)</f>
        <v>0.046</v>
      </c>
      <c r="O249" s="4">
        <f>SUMIF(基因升级!$D$141:$D$500,"&lt;"&amp;$B249,基因升级!N$141:N$500)</f>
        <v>0.1725</v>
      </c>
      <c r="R249" s="4">
        <v>243</v>
      </c>
      <c r="S249" s="4">
        <f>SUMIF(基因升级!$D$141:$D$500,"&lt;="&amp;$R249,基因升级!$U$141:$U$500)</f>
        <v>0</v>
      </c>
      <c r="T249" s="4">
        <f>SUMIF(基因升级!$D$141:$D$500,"&lt;="&amp;$R249,基因升级!J$141:J$500)</f>
        <v>19560</v>
      </c>
      <c r="U249" s="4">
        <f>SUMIF(基因升级!$D$141:$D$500,"&lt;="&amp;$R249,基因升级!K$141:K$500)</f>
        <v>3.05</v>
      </c>
      <c r="V249" s="4">
        <f>SUMIF(基因升级!$D$141:$D$500,"&lt;="&amp;$R249,基因升级!L$141:L$500)</f>
        <v>1.8</v>
      </c>
      <c r="W249" s="4">
        <f>SUMIF(基因升级!$D$141:$D$500,"&lt;="&amp;$R249,基因升级!M$141:M$500)</f>
        <v>0.122</v>
      </c>
      <c r="X249" s="4">
        <f>SUMIF(基因升级!$D$141:$D$500,"&lt;="&amp;$R249,基因升级!N$141:N$500)</f>
        <v>0.4575</v>
      </c>
    </row>
    <row r="250" ht="16.5" spans="1:24">
      <c r="A250" s="14">
        <v>244</v>
      </c>
      <c r="B250" s="4">
        <f>IFERROR(_xlfn.XLOOKUP(A250+1,基因升级!$E$141:$E$500,基因升级!$D$141:$D$500)-1,B249)</f>
        <v>94</v>
      </c>
      <c r="C250" s="4">
        <f>SUMIF(基因升级!$D$141:$D$500,"&lt;"&amp;$B250,基因升级!$U$141:$U$500)</f>
        <v>0</v>
      </c>
      <c r="D250" s="4"/>
      <c r="E250" s="4"/>
      <c r="F250" s="4"/>
      <c r="G250" s="4"/>
      <c r="H250" s="4"/>
      <c r="I250" s="4"/>
      <c r="J250" s="4"/>
      <c r="K250" s="4">
        <f>SUMIF(基因升级!$D$141:$D$500,"&lt;"&amp;$B250,基因升级!J$141:J$500)</f>
        <v>3486</v>
      </c>
      <c r="L250" s="4">
        <f>SUMIF(基因升级!$D$141:$D$500,"&lt;"&amp;$B250,基因升级!K$141:K$500)</f>
        <v>1.2</v>
      </c>
      <c r="M250" s="4">
        <f>SUMIF(基因升级!$D$141:$D$500,"&lt;"&amp;$B250,基因升级!L$141:L$500)</f>
        <v>0.69</v>
      </c>
      <c r="N250" s="4">
        <f>SUMIF(基因升级!$D$141:$D$500,"&lt;"&amp;$B250,基因升级!M$141:M$500)</f>
        <v>0.046</v>
      </c>
      <c r="O250" s="4">
        <f>SUMIF(基因升级!$D$141:$D$500,"&lt;"&amp;$B250,基因升级!N$141:N$500)</f>
        <v>0.1725</v>
      </c>
      <c r="R250" s="4">
        <v>244</v>
      </c>
      <c r="S250" s="4">
        <f>SUMIF(基因升级!$D$141:$D$500,"&lt;="&amp;$R250,基因升级!$U$141:$U$500)</f>
        <v>0</v>
      </c>
      <c r="T250" s="4">
        <f>SUMIF(基因升级!$D$141:$D$500,"&lt;="&amp;$R250,基因升级!J$141:J$500)</f>
        <v>19694</v>
      </c>
      <c r="U250" s="4">
        <f>SUMIF(基因升级!$D$141:$D$500,"&lt;="&amp;$R250,基因升级!K$141:K$500)</f>
        <v>3.05</v>
      </c>
      <c r="V250" s="4">
        <f>SUMIF(基因升级!$D$141:$D$500,"&lt;="&amp;$R250,基因升级!L$141:L$500)</f>
        <v>1.83</v>
      </c>
      <c r="W250" s="4">
        <f>SUMIF(基因升级!$D$141:$D$500,"&lt;="&amp;$R250,基因升级!M$141:M$500)</f>
        <v>0.122</v>
      </c>
      <c r="X250" s="4">
        <f>SUMIF(基因升级!$D$141:$D$500,"&lt;="&amp;$R250,基因升级!N$141:N$500)</f>
        <v>0.4575</v>
      </c>
    </row>
    <row r="251" ht="16.5" spans="1:24">
      <c r="A251" s="14">
        <v>245</v>
      </c>
      <c r="B251" s="4">
        <f>IFERROR(_xlfn.XLOOKUP(A251+1,基因升级!$E$141:$E$500,基因升级!$D$141:$D$500)-1,B250)</f>
        <v>94</v>
      </c>
      <c r="C251" s="4">
        <f>SUMIF(基因升级!$D$141:$D$500,"&lt;"&amp;$B251,基因升级!$U$141:$U$500)</f>
        <v>0</v>
      </c>
      <c r="D251" s="4"/>
      <c r="E251" s="4"/>
      <c r="F251" s="4"/>
      <c r="G251" s="4"/>
      <c r="H251" s="4"/>
      <c r="I251" s="4"/>
      <c r="J251" s="4"/>
      <c r="K251" s="4">
        <f>SUMIF(基因升级!$D$141:$D$500,"&lt;"&amp;$B251,基因升级!J$141:J$500)</f>
        <v>3486</v>
      </c>
      <c r="L251" s="4">
        <f>SUMIF(基因升级!$D$141:$D$500,"&lt;"&amp;$B251,基因升级!K$141:K$500)</f>
        <v>1.2</v>
      </c>
      <c r="M251" s="4">
        <f>SUMIF(基因升级!$D$141:$D$500,"&lt;"&amp;$B251,基因升级!L$141:L$500)</f>
        <v>0.69</v>
      </c>
      <c r="N251" s="4">
        <f>SUMIF(基因升级!$D$141:$D$500,"&lt;"&amp;$B251,基因升级!M$141:M$500)</f>
        <v>0.046</v>
      </c>
      <c r="O251" s="4">
        <f>SUMIF(基因升级!$D$141:$D$500,"&lt;"&amp;$B251,基因升级!N$141:N$500)</f>
        <v>0.1725</v>
      </c>
      <c r="R251" s="4">
        <v>245</v>
      </c>
      <c r="S251" s="4">
        <f>SUMIF(基因升级!$D$141:$D$500,"&lt;="&amp;$R251,基因升级!$U$141:$U$500)</f>
        <v>0</v>
      </c>
      <c r="T251" s="4">
        <f>SUMIF(基因升级!$D$141:$D$500,"&lt;="&amp;$R251,基因升级!J$141:J$500)</f>
        <v>19828</v>
      </c>
      <c r="U251" s="4">
        <f>SUMIF(基因升级!$D$141:$D$500,"&lt;="&amp;$R251,基因升级!K$141:K$500)</f>
        <v>3.1</v>
      </c>
      <c r="V251" s="4">
        <f>SUMIF(基因升级!$D$141:$D$500,"&lt;="&amp;$R251,基因升级!L$141:L$500)</f>
        <v>1.83</v>
      </c>
      <c r="W251" s="4">
        <f>SUMIF(基因升级!$D$141:$D$500,"&lt;="&amp;$R251,基因升级!M$141:M$500)</f>
        <v>0.122</v>
      </c>
      <c r="X251" s="4">
        <f>SUMIF(基因升级!$D$141:$D$500,"&lt;="&amp;$R251,基因升级!N$141:N$500)</f>
        <v>0.4575</v>
      </c>
    </row>
    <row r="252" ht="16.5" spans="1:24">
      <c r="A252" s="14">
        <v>246</v>
      </c>
      <c r="B252" s="4">
        <f>IFERROR(_xlfn.XLOOKUP(A252+1,基因升级!$E$141:$E$500,基因升级!$D$141:$D$500)-1,B251)</f>
        <v>94</v>
      </c>
      <c r="C252" s="4">
        <f>SUMIF(基因升级!$D$141:$D$500,"&lt;"&amp;$B252,基因升级!$U$141:$U$500)</f>
        <v>0</v>
      </c>
      <c r="D252" s="4"/>
      <c r="E252" s="4"/>
      <c r="F252" s="4"/>
      <c r="G252" s="4"/>
      <c r="H252" s="4"/>
      <c r="I252" s="4"/>
      <c r="J252" s="4"/>
      <c r="K252" s="4">
        <f>SUMIF(基因升级!$D$141:$D$500,"&lt;"&amp;$B252,基因升级!J$141:J$500)</f>
        <v>3486</v>
      </c>
      <c r="L252" s="4">
        <f>SUMIF(基因升级!$D$141:$D$500,"&lt;"&amp;$B252,基因升级!K$141:K$500)</f>
        <v>1.2</v>
      </c>
      <c r="M252" s="4">
        <f>SUMIF(基因升级!$D$141:$D$500,"&lt;"&amp;$B252,基因升级!L$141:L$500)</f>
        <v>0.69</v>
      </c>
      <c r="N252" s="4">
        <f>SUMIF(基因升级!$D$141:$D$500,"&lt;"&amp;$B252,基因升级!M$141:M$500)</f>
        <v>0.046</v>
      </c>
      <c r="O252" s="4">
        <f>SUMIF(基因升级!$D$141:$D$500,"&lt;"&amp;$B252,基因升级!N$141:N$500)</f>
        <v>0.1725</v>
      </c>
      <c r="R252" s="4">
        <v>246</v>
      </c>
      <c r="S252" s="4">
        <f>SUMIF(基因升级!$D$141:$D$500,"&lt;="&amp;$R252,基因升级!$U$141:$U$500)</f>
        <v>0</v>
      </c>
      <c r="T252" s="4">
        <f>SUMIF(基因升级!$D$141:$D$500,"&lt;="&amp;$R252,基因升级!J$141:J$500)</f>
        <v>19962</v>
      </c>
      <c r="U252" s="4">
        <f>SUMIF(基因升级!$D$141:$D$500,"&lt;="&amp;$R252,基因升级!K$141:K$500)</f>
        <v>3.1</v>
      </c>
      <c r="V252" s="4">
        <f>SUMIF(基因升级!$D$141:$D$500,"&lt;="&amp;$R252,基因升级!L$141:L$500)</f>
        <v>1.83</v>
      </c>
      <c r="W252" s="4">
        <f>SUMIF(基因升级!$D$141:$D$500,"&lt;="&amp;$R252,基因升级!M$141:M$500)</f>
        <v>0.122</v>
      </c>
      <c r="X252" s="4">
        <f>SUMIF(基因升级!$D$141:$D$500,"&lt;="&amp;$R252,基因升级!N$141:N$500)</f>
        <v>0.465</v>
      </c>
    </row>
    <row r="253" ht="16.5" spans="1:24">
      <c r="A253" s="14">
        <v>247</v>
      </c>
      <c r="B253" s="4">
        <f>IFERROR(_xlfn.XLOOKUP(A253+1,基因升级!$E$141:$E$500,基因升级!$D$141:$D$500)-1,B252)</f>
        <v>94</v>
      </c>
      <c r="C253" s="4">
        <f>SUMIF(基因升级!$D$141:$D$500,"&lt;"&amp;$B253,基因升级!$U$141:$U$500)</f>
        <v>0</v>
      </c>
      <c r="D253" s="4"/>
      <c r="E253" s="4"/>
      <c r="F253" s="4"/>
      <c r="G253" s="4"/>
      <c r="H253" s="4"/>
      <c r="I253" s="4"/>
      <c r="J253" s="4"/>
      <c r="K253" s="4">
        <f>SUMIF(基因升级!$D$141:$D$500,"&lt;"&amp;$B253,基因升级!J$141:J$500)</f>
        <v>3486</v>
      </c>
      <c r="L253" s="4">
        <f>SUMIF(基因升级!$D$141:$D$500,"&lt;"&amp;$B253,基因升级!K$141:K$500)</f>
        <v>1.2</v>
      </c>
      <c r="M253" s="4">
        <f>SUMIF(基因升级!$D$141:$D$500,"&lt;"&amp;$B253,基因升级!L$141:L$500)</f>
        <v>0.69</v>
      </c>
      <c r="N253" s="4">
        <f>SUMIF(基因升级!$D$141:$D$500,"&lt;"&amp;$B253,基因升级!M$141:M$500)</f>
        <v>0.046</v>
      </c>
      <c r="O253" s="4">
        <f>SUMIF(基因升级!$D$141:$D$500,"&lt;"&amp;$B253,基因升级!N$141:N$500)</f>
        <v>0.1725</v>
      </c>
      <c r="R253" s="4">
        <v>247</v>
      </c>
      <c r="S253" s="4">
        <f>SUMIF(基因升级!$D$141:$D$500,"&lt;="&amp;$R253,基因升级!$U$141:$U$500)</f>
        <v>0</v>
      </c>
      <c r="T253" s="4">
        <f>SUMIF(基因升级!$D$141:$D$500,"&lt;="&amp;$R253,基因升级!J$141:J$500)</f>
        <v>20096</v>
      </c>
      <c r="U253" s="4">
        <f>SUMIF(基因升级!$D$141:$D$500,"&lt;="&amp;$R253,基因升级!K$141:K$500)</f>
        <v>3.1</v>
      </c>
      <c r="V253" s="4">
        <f>SUMIF(基因升级!$D$141:$D$500,"&lt;="&amp;$R253,基因升级!L$141:L$500)</f>
        <v>1.83</v>
      </c>
      <c r="W253" s="4">
        <f>SUMIF(基因升级!$D$141:$D$500,"&lt;="&amp;$R253,基因升级!M$141:M$500)</f>
        <v>0.124</v>
      </c>
      <c r="X253" s="4">
        <f>SUMIF(基因升级!$D$141:$D$500,"&lt;="&amp;$R253,基因升级!N$141:N$500)</f>
        <v>0.465</v>
      </c>
    </row>
    <row r="254" ht="16.5" spans="1:24">
      <c r="A254" s="14">
        <v>248</v>
      </c>
      <c r="B254" s="4">
        <f>IFERROR(_xlfn.XLOOKUP(A254+1,基因升级!$E$141:$E$500,基因升级!$D$141:$D$500)-1,B253)</f>
        <v>94</v>
      </c>
      <c r="C254" s="4">
        <f>SUMIF(基因升级!$D$141:$D$500,"&lt;"&amp;$B254,基因升级!$U$141:$U$500)</f>
        <v>0</v>
      </c>
      <c r="D254" s="4"/>
      <c r="E254" s="4"/>
      <c r="F254" s="4"/>
      <c r="G254" s="4"/>
      <c r="H254" s="4"/>
      <c r="I254" s="4"/>
      <c r="J254" s="4"/>
      <c r="K254" s="4">
        <f>SUMIF(基因升级!$D$141:$D$500,"&lt;"&amp;$B254,基因升级!J$141:J$500)</f>
        <v>3486</v>
      </c>
      <c r="L254" s="4">
        <f>SUMIF(基因升级!$D$141:$D$500,"&lt;"&amp;$B254,基因升级!K$141:K$500)</f>
        <v>1.2</v>
      </c>
      <c r="M254" s="4">
        <f>SUMIF(基因升级!$D$141:$D$500,"&lt;"&amp;$B254,基因升级!L$141:L$500)</f>
        <v>0.69</v>
      </c>
      <c r="N254" s="4">
        <f>SUMIF(基因升级!$D$141:$D$500,"&lt;"&amp;$B254,基因升级!M$141:M$500)</f>
        <v>0.046</v>
      </c>
      <c r="O254" s="4">
        <f>SUMIF(基因升级!$D$141:$D$500,"&lt;"&amp;$B254,基因升级!N$141:N$500)</f>
        <v>0.1725</v>
      </c>
      <c r="R254" s="4">
        <v>248</v>
      </c>
      <c r="S254" s="4">
        <f>SUMIF(基因升级!$D$141:$D$500,"&lt;="&amp;$R254,基因升级!$U$141:$U$500)</f>
        <v>0</v>
      </c>
      <c r="T254" s="4">
        <f>SUMIF(基因升级!$D$141:$D$500,"&lt;="&amp;$R254,基因升级!J$141:J$500)</f>
        <v>20230</v>
      </c>
      <c r="U254" s="4">
        <f>SUMIF(基因升级!$D$141:$D$500,"&lt;="&amp;$R254,基因升级!K$141:K$500)</f>
        <v>3.1</v>
      </c>
      <c r="V254" s="4">
        <f>SUMIF(基因升级!$D$141:$D$500,"&lt;="&amp;$R254,基因升级!L$141:L$500)</f>
        <v>1.86</v>
      </c>
      <c r="W254" s="4">
        <f>SUMIF(基因升级!$D$141:$D$500,"&lt;="&amp;$R254,基因升级!M$141:M$500)</f>
        <v>0.124</v>
      </c>
      <c r="X254" s="4">
        <f>SUMIF(基因升级!$D$141:$D$500,"&lt;="&amp;$R254,基因升级!N$141:N$500)</f>
        <v>0.465</v>
      </c>
    </row>
    <row r="255" ht="16.5" spans="1:24">
      <c r="A255" s="14">
        <v>249</v>
      </c>
      <c r="B255" s="4">
        <f>IFERROR(_xlfn.XLOOKUP(A255+1,基因升级!$E$141:$E$500,基因升级!$D$141:$D$500)-1,B254)</f>
        <v>95</v>
      </c>
      <c r="C255" s="4">
        <f>SUMIF(基因升级!$D$141:$D$500,"&lt;"&amp;$B255,基因升级!$U$141:$U$500)</f>
        <v>0</v>
      </c>
      <c r="D255" s="4"/>
      <c r="E255" s="4"/>
      <c r="F255" s="4"/>
      <c r="G255" s="4"/>
      <c r="H255" s="4"/>
      <c r="I255" s="4"/>
      <c r="J255" s="4"/>
      <c r="K255" s="4">
        <f>SUMIF(基因升级!$D$141:$D$500,"&lt;"&amp;$B255,基因升级!J$141:J$500)</f>
        <v>3556</v>
      </c>
      <c r="L255" s="4">
        <f>SUMIF(基因升级!$D$141:$D$500,"&lt;"&amp;$B255,基因升级!K$141:K$500)</f>
        <v>1.2</v>
      </c>
      <c r="M255" s="4">
        <f>SUMIF(基因升级!$D$141:$D$500,"&lt;"&amp;$B255,基因升级!L$141:L$500)</f>
        <v>0.69</v>
      </c>
      <c r="N255" s="4">
        <f>SUMIF(基因升级!$D$141:$D$500,"&lt;"&amp;$B255,基因升级!M$141:M$500)</f>
        <v>0.046</v>
      </c>
      <c r="O255" s="4">
        <f>SUMIF(基因升级!$D$141:$D$500,"&lt;"&amp;$B255,基因升级!N$141:N$500)</f>
        <v>0.18</v>
      </c>
      <c r="R255" s="4">
        <v>249</v>
      </c>
      <c r="S255" s="4">
        <f>SUMIF(基因升级!$D$141:$D$500,"&lt;="&amp;$R255,基因升级!$U$141:$U$500)</f>
        <v>0</v>
      </c>
      <c r="T255" s="4">
        <f>SUMIF(基因升级!$D$141:$D$500,"&lt;="&amp;$R255,基因升级!J$141:J$500)</f>
        <v>20370</v>
      </c>
      <c r="U255" s="4">
        <f>SUMIF(基因升级!$D$141:$D$500,"&lt;="&amp;$R255,基因升级!K$141:K$500)</f>
        <v>3.15</v>
      </c>
      <c r="V255" s="4">
        <f>SUMIF(基因升级!$D$141:$D$500,"&lt;="&amp;$R255,基因升级!L$141:L$500)</f>
        <v>1.86</v>
      </c>
      <c r="W255" s="4">
        <f>SUMIF(基因升级!$D$141:$D$500,"&lt;="&amp;$R255,基因升级!M$141:M$500)</f>
        <v>0.124</v>
      </c>
      <c r="X255" s="4">
        <f>SUMIF(基因升级!$D$141:$D$500,"&lt;="&amp;$R255,基因升级!N$141:N$500)</f>
        <v>0.465</v>
      </c>
    </row>
    <row r="256" ht="16.5" spans="1:24">
      <c r="A256" s="14">
        <v>250</v>
      </c>
      <c r="B256" s="4">
        <f>IFERROR(_xlfn.XLOOKUP(A256+1,基因升级!$E$141:$E$500,基因升级!$D$141:$D$500)-1,B255)</f>
        <v>95</v>
      </c>
      <c r="C256" s="4">
        <f>SUMIF(基因升级!$D$141:$D$500,"&lt;"&amp;$B256,基因升级!$U$141:$U$500)</f>
        <v>0</v>
      </c>
      <c r="D256" s="4"/>
      <c r="E256" s="4"/>
      <c r="F256" s="4"/>
      <c r="G256" s="4"/>
      <c r="H256" s="4"/>
      <c r="I256" s="4"/>
      <c r="J256" s="4"/>
      <c r="K256" s="4">
        <f>SUMIF(基因升级!$D$141:$D$500,"&lt;"&amp;$B256,基因升级!J$141:J$500)</f>
        <v>3556</v>
      </c>
      <c r="L256" s="4">
        <f>SUMIF(基因升级!$D$141:$D$500,"&lt;"&amp;$B256,基因升级!K$141:K$500)</f>
        <v>1.2</v>
      </c>
      <c r="M256" s="4">
        <f>SUMIF(基因升级!$D$141:$D$500,"&lt;"&amp;$B256,基因升级!L$141:L$500)</f>
        <v>0.69</v>
      </c>
      <c r="N256" s="4">
        <f>SUMIF(基因升级!$D$141:$D$500,"&lt;"&amp;$B256,基因升级!M$141:M$500)</f>
        <v>0.046</v>
      </c>
      <c r="O256" s="4">
        <f>SUMIF(基因升级!$D$141:$D$500,"&lt;"&amp;$B256,基因升级!N$141:N$500)</f>
        <v>0.18</v>
      </c>
      <c r="R256" s="4">
        <v>250</v>
      </c>
      <c r="S256" s="4">
        <f>SUMIF(基因升级!$D$141:$D$500,"&lt;="&amp;$R256,基因升级!$U$141:$U$500)</f>
        <v>0</v>
      </c>
      <c r="T256" s="4">
        <f>SUMIF(基因升级!$D$141:$D$500,"&lt;="&amp;$R256,基因升级!J$141:J$500)</f>
        <v>20510</v>
      </c>
      <c r="U256" s="4">
        <f>SUMIF(基因升级!$D$141:$D$500,"&lt;="&amp;$R256,基因升级!K$141:K$500)</f>
        <v>3.15</v>
      </c>
      <c r="V256" s="4">
        <f>SUMIF(基因升级!$D$141:$D$500,"&lt;="&amp;$R256,基因升级!L$141:L$500)</f>
        <v>1.86</v>
      </c>
      <c r="W256" s="4">
        <f>SUMIF(基因升级!$D$141:$D$500,"&lt;="&amp;$R256,基因升级!M$141:M$500)</f>
        <v>0.124</v>
      </c>
      <c r="X256" s="4">
        <f>SUMIF(基因升级!$D$141:$D$500,"&lt;="&amp;$R256,基因升级!N$141:N$500)</f>
        <v>0.4725</v>
      </c>
    </row>
    <row r="257" ht="16.5" spans="1:24">
      <c r="A257" s="14">
        <v>251</v>
      </c>
      <c r="B257" s="4">
        <f>IFERROR(_xlfn.XLOOKUP(A257+1,基因升级!$E$141:$E$500,基因升级!$D$141:$D$500)-1,B256)</f>
        <v>95</v>
      </c>
      <c r="C257" s="4">
        <f>SUMIF(基因升级!$D$141:$D$500,"&lt;"&amp;$B257,基因升级!$U$141:$U$500)</f>
        <v>0</v>
      </c>
      <c r="D257" s="4"/>
      <c r="E257" s="4"/>
      <c r="F257" s="4"/>
      <c r="G257" s="4"/>
      <c r="H257" s="4"/>
      <c r="I257" s="4"/>
      <c r="J257" s="4"/>
      <c r="K257" s="4">
        <f>SUMIF(基因升级!$D$141:$D$500,"&lt;"&amp;$B257,基因升级!J$141:J$500)</f>
        <v>3556</v>
      </c>
      <c r="L257" s="4">
        <f>SUMIF(基因升级!$D$141:$D$500,"&lt;"&amp;$B257,基因升级!K$141:K$500)</f>
        <v>1.2</v>
      </c>
      <c r="M257" s="4">
        <f>SUMIF(基因升级!$D$141:$D$500,"&lt;"&amp;$B257,基因升级!L$141:L$500)</f>
        <v>0.69</v>
      </c>
      <c r="N257" s="4">
        <f>SUMIF(基因升级!$D$141:$D$500,"&lt;"&amp;$B257,基因升级!M$141:M$500)</f>
        <v>0.046</v>
      </c>
      <c r="O257" s="4">
        <f>SUMIF(基因升级!$D$141:$D$500,"&lt;"&amp;$B257,基因升级!N$141:N$500)</f>
        <v>0.18</v>
      </c>
      <c r="R257" s="4">
        <v>251</v>
      </c>
      <c r="S257" s="4">
        <f>SUMIF(基因升级!$D$141:$D$500,"&lt;="&amp;$R257,基因升级!$U$141:$U$500)</f>
        <v>0</v>
      </c>
      <c r="T257" s="4">
        <f>SUMIF(基因升级!$D$141:$D$500,"&lt;="&amp;$R257,基因升级!J$141:J$500)</f>
        <v>20650</v>
      </c>
      <c r="U257" s="4">
        <f>SUMIF(基因升级!$D$141:$D$500,"&lt;="&amp;$R257,基因升级!K$141:K$500)</f>
        <v>3.15</v>
      </c>
      <c r="V257" s="4">
        <f>SUMIF(基因升级!$D$141:$D$500,"&lt;="&amp;$R257,基因升级!L$141:L$500)</f>
        <v>1.86</v>
      </c>
      <c r="W257" s="4">
        <f>SUMIF(基因升级!$D$141:$D$500,"&lt;="&amp;$R257,基因升级!M$141:M$500)</f>
        <v>0.126</v>
      </c>
      <c r="X257" s="4">
        <f>SUMIF(基因升级!$D$141:$D$500,"&lt;="&amp;$R257,基因升级!N$141:N$500)</f>
        <v>0.4725</v>
      </c>
    </row>
    <row r="258" ht="16.5" spans="1:24">
      <c r="A258" s="14">
        <v>252</v>
      </c>
      <c r="B258" s="4">
        <f>IFERROR(_xlfn.XLOOKUP(A258+1,基因升级!$E$141:$E$500,基因升级!$D$141:$D$500)-1,B257)</f>
        <v>95</v>
      </c>
      <c r="C258" s="4">
        <f>SUMIF(基因升级!$D$141:$D$500,"&lt;"&amp;$B258,基因升级!$U$141:$U$500)</f>
        <v>0</v>
      </c>
      <c r="D258" s="4"/>
      <c r="E258" s="4"/>
      <c r="F258" s="4"/>
      <c r="G258" s="4"/>
      <c r="H258" s="4"/>
      <c r="I258" s="4"/>
      <c r="J258" s="4"/>
      <c r="K258" s="4">
        <f>SUMIF(基因升级!$D$141:$D$500,"&lt;"&amp;$B258,基因升级!J$141:J$500)</f>
        <v>3556</v>
      </c>
      <c r="L258" s="4">
        <f>SUMIF(基因升级!$D$141:$D$500,"&lt;"&amp;$B258,基因升级!K$141:K$500)</f>
        <v>1.2</v>
      </c>
      <c r="M258" s="4">
        <f>SUMIF(基因升级!$D$141:$D$500,"&lt;"&amp;$B258,基因升级!L$141:L$500)</f>
        <v>0.69</v>
      </c>
      <c r="N258" s="4">
        <f>SUMIF(基因升级!$D$141:$D$500,"&lt;"&amp;$B258,基因升级!M$141:M$500)</f>
        <v>0.046</v>
      </c>
      <c r="O258" s="4">
        <f>SUMIF(基因升级!$D$141:$D$500,"&lt;"&amp;$B258,基因升级!N$141:N$500)</f>
        <v>0.18</v>
      </c>
      <c r="R258" s="4">
        <v>252</v>
      </c>
      <c r="S258" s="4">
        <f>SUMIF(基因升级!$D$141:$D$500,"&lt;="&amp;$R258,基因升级!$U$141:$U$500)</f>
        <v>0</v>
      </c>
      <c r="T258" s="4">
        <f>SUMIF(基因升级!$D$141:$D$500,"&lt;="&amp;$R258,基因升级!J$141:J$500)</f>
        <v>20790</v>
      </c>
      <c r="U258" s="4">
        <f>SUMIF(基因升级!$D$141:$D$500,"&lt;="&amp;$R258,基因升级!K$141:K$500)</f>
        <v>3.15</v>
      </c>
      <c r="V258" s="4">
        <f>SUMIF(基因升级!$D$141:$D$500,"&lt;="&amp;$R258,基因升级!L$141:L$500)</f>
        <v>1.89</v>
      </c>
      <c r="W258" s="4">
        <f>SUMIF(基因升级!$D$141:$D$500,"&lt;="&amp;$R258,基因升级!M$141:M$500)</f>
        <v>0.126</v>
      </c>
      <c r="X258" s="4">
        <f>SUMIF(基因升级!$D$141:$D$500,"&lt;="&amp;$R258,基因升级!N$141:N$500)</f>
        <v>0.4725</v>
      </c>
    </row>
    <row r="259" ht="16.5" spans="1:24">
      <c r="A259" s="14">
        <v>253</v>
      </c>
      <c r="B259" s="4">
        <f>IFERROR(_xlfn.XLOOKUP(A259+1,基因升级!$E$141:$E$500,基因升级!$D$141:$D$500)-1,B258)</f>
        <v>95</v>
      </c>
      <c r="C259" s="4">
        <f>SUMIF(基因升级!$D$141:$D$500,"&lt;"&amp;$B259,基因升级!$U$141:$U$500)</f>
        <v>0</v>
      </c>
      <c r="D259" s="4"/>
      <c r="E259" s="4"/>
      <c r="F259" s="4"/>
      <c r="G259" s="4"/>
      <c r="H259" s="4"/>
      <c r="I259" s="4"/>
      <c r="J259" s="4"/>
      <c r="K259" s="4">
        <f>SUMIF(基因升级!$D$141:$D$500,"&lt;"&amp;$B259,基因升级!J$141:J$500)</f>
        <v>3556</v>
      </c>
      <c r="L259" s="4">
        <f>SUMIF(基因升级!$D$141:$D$500,"&lt;"&amp;$B259,基因升级!K$141:K$500)</f>
        <v>1.2</v>
      </c>
      <c r="M259" s="4">
        <f>SUMIF(基因升级!$D$141:$D$500,"&lt;"&amp;$B259,基因升级!L$141:L$500)</f>
        <v>0.69</v>
      </c>
      <c r="N259" s="4">
        <f>SUMIF(基因升级!$D$141:$D$500,"&lt;"&amp;$B259,基因升级!M$141:M$500)</f>
        <v>0.046</v>
      </c>
      <c r="O259" s="4">
        <f>SUMIF(基因升级!$D$141:$D$500,"&lt;"&amp;$B259,基因升级!N$141:N$500)</f>
        <v>0.18</v>
      </c>
      <c r="R259" s="4">
        <v>253</v>
      </c>
      <c r="S259" s="4">
        <f>SUMIF(基因升级!$D$141:$D$500,"&lt;="&amp;$R259,基因升级!$U$141:$U$500)</f>
        <v>0</v>
      </c>
      <c r="T259" s="4">
        <f>SUMIF(基因升级!$D$141:$D$500,"&lt;="&amp;$R259,基因升级!J$141:J$500)</f>
        <v>20930</v>
      </c>
      <c r="U259" s="4">
        <f>SUMIF(基因升级!$D$141:$D$500,"&lt;="&amp;$R259,基因升级!K$141:K$500)</f>
        <v>3.2</v>
      </c>
      <c r="V259" s="4">
        <f>SUMIF(基因升级!$D$141:$D$500,"&lt;="&amp;$R259,基因升级!L$141:L$500)</f>
        <v>1.89</v>
      </c>
      <c r="W259" s="4">
        <f>SUMIF(基因升级!$D$141:$D$500,"&lt;="&amp;$R259,基因升级!M$141:M$500)</f>
        <v>0.126</v>
      </c>
      <c r="X259" s="4">
        <f>SUMIF(基因升级!$D$141:$D$500,"&lt;="&amp;$R259,基因升级!N$141:N$500)</f>
        <v>0.4725</v>
      </c>
    </row>
    <row r="260" ht="16.5" spans="1:24">
      <c r="A260" s="14">
        <v>254</v>
      </c>
      <c r="B260" s="4">
        <f>IFERROR(_xlfn.XLOOKUP(A260+1,基因升级!$E$141:$E$500,基因升级!$D$141:$D$500)-1,B259)</f>
        <v>95</v>
      </c>
      <c r="C260" s="4">
        <f>SUMIF(基因升级!$D$141:$D$500,"&lt;"&amp;$B260,基因升级!$U$141:$U$500)</f>
        <v>0</v>
      </c>
      <c r="D260" s="4"/>
      <c r="E260" s="4"/>
      <c r="F260" s="4"/>
      <c r="G260" s="4"/>
      <c r="H260" s="4"/>
      <c r="I260" s="4"/>
      <c r="J260" s="4"/>
      <c r="K260" s="4">
        <f>SUMIF(基因升级!$D$141:$D$500,"&lt;"&amp;$B260,基因升级!J$141:J$500)</f>
        <v>3556</v>
      </c>
      <c r="L260" s="4">
        <f>SUMIF(基因升级!$D$141:$D$500,"&lt;"&amp;$B260,基因升级!K$141:K$500)</f>
        <v>1.2</v>
      </c>
      <c r="M260" s="4">
        <f>SUMIF(基因升级!$D$141:$D$500,"&lt;"&amp;$B260,基因升级!L$141:L$500)</f>
        <v>0.69</v>
      </c>
      <c r="N260" s="4">
        <f>SUMIF(基因升级!$D$141:$D$500,"&lt;"&amp;$B260,基因升级!M$141:M$500)</f>
        <v>0.046</v>
      </c>
      <c r="O260" s="4">
        <f>SUMIF(基因升级!$D$141:$D$500,"&lt;"&amp;$B260,基因升级!N$141:N$500)</f>
        <v>0.18</v>
      </c>
      <c r="R260" s="4">
        <v>254</v>
      </c>
      <c r="S260" s="4">
        <f>SUMIF(基因升级!$D$141:$D$500,"&lt;="&amp;$R260,基因升级!$U$141:$U$500)</f>
        <v>0</v>
      </c>
      <c r="T260" s="4">
        <f>SUMIF(基因升级!$D$141:$D$500,"&lt;="&amp;$R260,基因升级!J$141:J$500)</f>
        <v>21070</v>
      </c>
      <c r="U260" s="4">
        <f>SUMIF(基因升级!$D$141:$D$500,"&lt;="&amp;$R260,基因升级!K$141:K$500)</f>
        <v>3.2</v>
      </c>
      <c r="V260" s="4">
        <f>SUMIF(基因升级!$D$141:$D$500,"&lt;="&amp;$R260,基因升级!L$141:L$500)</f>
        <v>1.89</v>
      </c>
      <c r="W260" s="4">
        <f>SUMIF(基因升级!$D$141:$D$500,"&lt;="&amp;$R260,基因升级!M$141:M$500)</f>
        <v>0.126</v>
      </c>
      <c r="X260" s="4">
        <f>SUMIF(基因升级!$D$141:$D$500,"&lt;="&amp;$R260,基因升级!N$141:N$500)</f>
        <v>0.48</v>
      </c>
    </row>
    <row r="261" ht="16.5" spans="1:24">
      <c r="A261" s="14">
        <v>255</v>
      </c>
      <c r="B261" s="4">
        <f>IFERROR(_xlfn.XLOOKUP(A261+1,基因升级!$E$141:$E$500,基因升级!$D$141:$D$500)-1,B260)</f>
        <v>95</v>
      </c>
      <c r="C261" s="4">
        <f>SUMIF(基因升级!$D$141:$D$500,"&lt;"&amp;$B261,基因升级!$U$141:$U$500)</f>
        <v>0</v>
      </c>
      <c r="D261" s="4"/>
      <c r="E261" s="4"/>
      <c r="F261" s="4"/>
      <c r="G261" s="4"/>
      <c r="H261" s="4"/>
      <c r="I261" s="4"/>
      <c r="J261" s="4"/>
      <c r="K261" s="4">
        <f>SUMIF(基因升级!$D$141:$D$500,"&lt;"&amp;$B261,基因升级!J$141:J$500)</f>
        <v>3556</v>
      </c>
      <c r="L261" s="4">
        <f>SUMIF(基因升级!$D$141:$D$500,"&lt;"&amp;$B261,基因升级!K$141:K$500)</f>
        <v>1.2</v>
      </c>
      <c r="M261" s="4">
        <f>SUMIF(基因升级!$D$141:$D$500,"&lt;"&amp;$B261,基因升级!L$141:L$500)</f>
        <v>0.69</v>
      </c>
      <c r="N261" s="4">
        <f>SUMIF(基因升级!$D$141:$D$500,"&lt;"&amp;$B261,基因升级!M$141:M$500)</f>
        <v>0.046</v>
      </c>
      <c r="O261" s="4">
        <f>SUMIF(基因升级!$D$141:$D$500,"&lt;"&amp;$B261,基因升级!N$141:N$500)</f>
        <v>0.18</v>
      </c>
      <c r="R261" s="4">
        <v>255</v>
      </c>
      <c r="S261" s="4">
        <f>SUMIF(基因升级!$D$141:$D$500,"&lt;="&amp;$R261,基因升级!$U$141:$U$500)</f>
        <v>0</v>
      </c>
      <c r="T261" s="4">
        <f>SUMIF(基因升级!$D$141:$D$500,"&lt;="&amp;$R261,基因升级!J$141:J$500)</f>
        <v>21210</v>
      </c>
      <c r="U261" s="4">
        <f>SUMIF(基因升级!$D$141:$D$500,"&lt;="&amp;$R261,基因升级!K$141:K$500)</f>
        <v>3.2</v>
      </c>
      <c r="V261" s="4">
        <f>SUMIF(基因升级!$D$141:$D$500,"&lt;="&amp;$R261,基因升级!L$141:L$500)</f>
        <v>1.89</v>
      </c>
      <c r="W261" s="4">
        <f>SUMIF(基因升级!$D$141:$D$500,"&lt;="&amp;$R261,基因升级!M$141:M$500)</f>
        <v>0.128</v>
      </c>
      <c r="X261" s="4">
        <f>SUMIF(基因升级!$D$141:$D$500,"&lt;="&amp;$R261,基因升级!N$141:N$500)</f>
        <v>0.48</v>
      </c>
    </row>
    <row r="262" ht="16.5" spans="1:24">
      <c r="A262" s="14">
        <v>256</v>
      </c>
      <c r="B262" s="4">
        <f>IFERROR(_xlfn.XLOOKUP(A262+1,基因升级!$E$141:$E$500,基因升级!$D$141:$D$500)-1,B261)</f>
        <v>95</v>
      </c>
      <c r="C262" s="4">
        <f>SUMIF(基因升级!$D$141:$D$500,"&lt;"&amp;$B262,基因升级!$U$141:$U$500)</f>
        <v>0</v>
      </c>
      <c r="D262" s="4"/>
      <c r="E262" s="4"/>
      <c r="F262" s="4"/>
      <c r="G262" s="4"/>
      <c r="H262" s="4"/>
      <c r="I262" s="4"/>
      <c r="J262" s="4"/>
      <c r="K262" s="4">
        <f>SUMIF(基因升级!$D$141:$D$500,"&lt;"&amp;$B262,基因升级!J$141:J$500)</f>
        <v>3556</v>
      </c>
      <c r="L262" s="4">
        <f>SUMIF(基因升级!$D$141:$D$500,"&lt;"&amp;$B262,基因升级!K$141:K$500)</f>
        <v>1.2</v>
      </c>
      <c r="M262" s="4">
        <f>SUMIF(基因升级!$D$141:$D$500,"&lt;"&amp;$B262,基因升级!L$141:L$500)</f>
        <v>0.69</v>
      </c>
      <c r="N262" s="4">
        <f>SUMIF(基因升级!$D$141:$D$500,"&lt;"&amp;$B262,基因升级!M$141:M$500)</f>
        <v>0.046</v>
      </c>
      <c r="O262" s="4">
        <f>SUMIF(基因升级!$D$141:$D$500,"&lt;"&amp;$B262,基因升级!N$141:N$500)</f>
        <v>0.18</v>
      </c>
      <c r="R262" s="4">
        <v>256</v>
      </c>
      <c r="S262" s="4">
        <f>SUMIF(基因升级!$D$141:$D$500,"&lt;="&amp;$R262,基因升级!$U$141:$U$500)</f>
        <v>0</v>
      </c>
      <c r="T262" s="4">
        <f>SUMIF(基因升级!$D$141:$D$500,"&lt;="&amp;$R262,基因升级!J$141:J$500)</f>
        <v>21350</v>
      </c>
      <c r="U262" s="4">
        <f>SUMIF(基因升级!$D$141:$D$500,"&lt;="&amp;$R262,基因升级!K$141:K$500)</f>
        <v>3.2</v>
      </c>
      <c r="V262" s="4">
        <f>SUMIF(基因升级!$D$141:$D$500,"&lt;="&amp;$R262,基因升级!L$141:L$500)</f>
        <v>1.92</v>
      </c>
      <c r="W262" s="4">
        <f>SUMIF(基因升级!$D$141:$D$500,"&lt;="&amp;$R262,基因升级!M$141:M$500)</f>
        <v>0.128</v>
      </c>
      <c r="X262" s="4">
        <f>SUMIF(基因升级!$D$141:$D$500,"&lt;="&amp;$R262,基因升级!N$141:N$500)</f>
        <v>0.48</v>
      </c>
    </row>
    <row r="263" ht="16.5" spans="1:24">
      <c r="A263" s="14">
        <v>257</v>
      </c>
      <c r="B263" s="4">
        <f>IFERROR(_xlfn.XLOOKUP(A263+1,基因升级!$E$141:$E$500,基因升级!$D$141:$D$500)-1,B262)</f>
        <v>95</v>
      </c>
      <c r="C263" s="4">
        <f>SUMIF(基因升级!$D$141:$D$500,"&lt;"&amp;$B263,基因升级!$U$141:$U$500)</f>
        <v>0</v>
      </c>
      <c r="D263" s="4"/>
      <c r="E263" s="4"/>
      <c r="F263" s="4"/>
      <c r="G263" s="4"/>
      <c r="H263" s="4"/>
      <c r="I263" s="4"/>
      <c r="J263" s="4"/>
      <c r="K263" s="4">
        <f>SUMIF(基因升级!$D$141:$D$500,"&lt;"&amp;$B263,基因升级!J$141:J$500)</f>
        <v>3556</v>
      </c>
      <c r="L263" s="4">
        <f>SUMIF(基因升级!$D$141:$D$500,"&lt;"&amp;$B263,基因升级!K$141:K$500)</f>
        <v>1.2</v>
      </c>
      <c r="M263" s="4">
        <f>SUMIF(基因升级!$D$141:$D$500,"&lt;"&amp;$B263,基因升级!L$141:L$500)</f>
        <v>0.69</v>
      </c>
      <c r="N263" s="4">
        <f>SUMIF(基因升级!$D$141:$D$500,"&lt;"&amp;$B263,基因升级!M$141:M$500)</f>
        <v>0.046</v>
      </c>
      <c r="O263" s="4">
        <f>SUMIF(基因升级!$D$141:$D$500,"&lt;"&amp;$B263,基因升级!N$141:N$500)</f>
        <v>0.18</v>
      </c>
      <c r="R263" s="4">
        <v>257</v>
      </c>
      <c r="S263" s="4">
        <f>SUMIF(基因升级!$D$141:$D$500,"&lt;="&amp;$R263,基因升级!$U$141:$U$500)</f>
        <v>0</v>
      </c>
      <c r="T263" s="4">
        <f>SUMIF(基因升级!$D$141:$D$500,"&lt;="&amp;$R263,基因升级!J$141:J$500)</f>
        <v>21490</v>
      </c>
      <c r="U263" s="4">
        <f>SUMIF(基因升级!$D$141:$D$500,"&lt;="&amp;$R263,基因升级!K$141:K$500)</f>
        <v>3.25</v>
      </c>
      <c r="V263" s="4">
        <f>SUMIF(基因升级!$D$141:$D$500,"&lt;="&amp;$R263,基因升级!L$141:L$500)</f>
        <v>1.92</v>
      </c>
      <c r="W263" s="4">
        <f>SUMIF(基因升级!$D$141:$D$500,"&lt;="&amp;$R263,基因升级!M$141:M$500)</f>
        <v>0.128</v>
      </c>
      <c r="X263" s="4">
        <f>SUMIF(基因升级!$D$141:$D$500,"&lt;="&amp;$R263,基因升级!N$141:N$500)</f>
        <v>0.48</v>
      </c>
    </row>
    <row r="264" ht="16.5" spans="1:24">
      <c r="A264" s="14">
        <v>258</v>
      </c>
      <c r="B264" s="4">
        <f>IFERROR(_xlfn.XLOOKUP(A264+1,基因升级!$E$141:$E$500,基因升级!$D$141:$D$500)-1,B263)</f>
        <v>96</v>
      </c>
      <c r="C264" s="4">
        <f>SUMIF(基因升级!$D$141:$D$500,"&lt;"&amp;$B264,基因升级!$U$141:$U$500)</f>
        <v>0</v>
      </c>
      <c r="D264" s="4"/>
      <c r="E264" s="4"/>
      <c r="F264" s="4"/>
      <c r="G264" s="4"/>
      <c r="H264" s="4"/>
      <c r="I264" s="4"/>
      <c r="J264" s="4"/>
      <c r="K264" s="4">
        <f>SUMIF(基因升级!$D$141:$D$500,"&lt;"&amp;$B264,基因升级!J$141:J$500)</f>
        <v>3626</v>
      </c>
      <c r="L264" s="4">
        <f>SUMIF(基因升级!$D$141:$D$500,"&lt;"&amp;$B264,基因升级!K$141:K$500)</f>
        <v>1.2</v>
      </c>
      <c r="M264" s="4">
        <f>SUMIF(基因升级!$D$141:$D$500,"&lt;"&amp;$B264,基因升级!L$141:L$500)</f>
        <v>0.69</v>
      </c>
      <c r="N264" s="4">
        <f>SUMIF(基因升级!$D$141:$D$500,"&lt;"&amp;$B264,基因升级!M$141:M$500)</f>
        <v>0.048</v>
      </c>
      <c r="O264" s="4">
        <f>SUMIF(基因升级!$D$141:$D$500,"&lt;"&amp;$B264,基因升级!N$141:N$500)</f>
        <v>0.18</v>
      </c>
      <c r="R264" s="4">
        <v>258</v>
      </c>
      <c r="S264" s="4">
        <f>SUMIF(基因升级!$D$141:$D$500,"&lt;="&amp;$R264,基因升级!$U$141:$U$500)</f>
        <v>0</v>
      </c>
      <c r="T264" s="4">
        <f>SUMIF(基因升级!$D$141:$D$500,"&lt;="&amp;$R264,基因升级!J$141:J$500)</f>
        <v>21630</v>
      </c>
      <c r="U264" s="4">
        <f>SUMIF(基因升级!$D$141:$D$500,"&lt;="&amp;$R264,基因升级!K$141:K$500)</f>
        <v>3.25</v>
      </c>
      <c r="V264" s="4">
        <f>SUMIF(基因升级!$D$141:$D$500,"&lt;="&amp;$R264,基因升级!L$141:L$500)</f>
        <v>1.92</v>
      </c>
      <c r="W264" s="4">
        <f>SUMIF(基因升级!$D$141:$D$500,"&lt;="&amp;$R264,基因升级!M$141:M$500)</f>
        <v>0.128</v>
      </c>
      <c r="X264" s="4">
        <f>SUMIF(基因升级!$D$141:$D$500,"&lt;="&amp;$R264,基因升级!N$141:N$500)</f>
        <v>0.4875</v>
      </c>
    </row>
    <row r="265" ht="16.5" spans="1:24">
      <c r="A265" s="14">
        <v>259</v>
      </c>
      <c r="B265" s="4">
        <f>IFERROR(_xlfn.XLOOKUP(A265+1,基因升级!$E$141:$E$500,基因升级!$D$141:$D$500)-1,B264)</f>
        <v>96</v>
      </c>
      <c r="C265" s="4">
        <f>SUMIF(基因升级!$D$141:$D$500,"&lt;"&amp;$B265,基因升级!$U$141:$U$500)</f>
        <v>0</v>
      </c>
      <c r="D265" s="4"/>
      <c r="E265" s="4"/>
      <c r="F265" s="4"/>
      <c r="G265" s="4"/>
      <c r="H265" s="4"/>
      <c r="I265" s="4"/>
      <c r="J265" s="4"/>
      <c r="K265" s="4">
        <f>SUMIF(基因升级!$D$141:$D$500,"&lt;"&amp;$B265,基因升级!J$141:J$500)</f>
        <v>3626</v>
      </c>
      <c r="L265" s="4">
        <f>SUMIF(基因升级!$D$141:$D$500,"&lt;"&amp;$B265,基因升级!K$141:K$500)</f>
        <v>1.2</v>
      </c>
      <c r="M265" s="4">
        <f>SUMIF(基因升级!$D$141:$D$500,"&lt;"&amp;$B265,基因升级!L$141:L$500)</f>
        <v>0.69</v>
      </c>
      <c r="N265" s="4">
        <f>SUMIF(基因升级!$D$141:$D$500,"&lt;"&amp;$B265,基因升级!M$141:M$500)</f>
        <v>0.048</v>
      </c>
      <c r="O265" s="4">
        <f>SUMIF(基因升级!$D$141:$D$500,"&lt;"&amp;$B265,基因升级!N$141:N$500)</f>
        <v>0.18</v>
      </c>
      <c r="R265" s="4">
        <v>259</v>
      </c>
      <c r="S265" s="4">
        <f>SUMIF(基因升级!$D$141:$D$500,"&lt;="&amp;$R265,基因升级!$U$141:$U$500)</f>
        <v>0</v>
      </c>
      <c r="T265" s="4">
        <f>SUMIF(基因升级!$D$141:$D$500,"&lt;="&amp;$R265,基因升级!J$141:J$500)</f>
        <v>21770</v>
      </c>
      <c r="U265" s="4">
        <f>SUMIF(基因升级!$D$141:$D$500,"&lt;="&amp;$R265,基因升级!K$141:K$500)</f>
        <v>3.25</v>
      </c>
      <c r="V265" s="4">
        <f>SUMIF(基因升级!$D$141:$D$500,"&lt;="&amp;$R265,基因升级!L$141:L$500)</f>
        <v>1.92</v>
      </c>
      <c r="W265" s="4">
        <f>SUMIF(基因升级!$D$141:$D$500,"&lt;="&amp;$R265,基因升级!M$141:M$500)</f>
        <v>0.13</v>
      </c>
      <c r="X265" s="4">
        <f>SUMIF(基因升级!$D$141:$D$500,"&lt;="&amp;$R265,基因升级!N$141:N$500)</f>
        <v>0.4875</v>
      </c>
    </row>
    <row r="266" ht="16.5" spans="1:24">
      <c r="A266" s="14">
        <v>260</v>
      </c>
      <c r="B266" s="4">
        <f>IFERROR(_xlfn.XLOOKUP(A266+1,基因升级!$E$141:$E$500,基因升级!$D$141:$D$500)-1,B265)</f>
        <v>96</v>
      </c>
      <c r="C266" s="4">
        <f>SUMIF(基因升级!$D$141:$D$500,"&lt;"&amp;$B266,基因升级!$U$141:$U$500)</f>
        <v>0</v>
      </c>
      <c r="D266" s="4"/>
      <c r="E266" s="4"/>
      <c r="F266" s="4"/>
      <c r="G266" s="4"/>
      <c r="H266" s="4"/>
      <c r="I266" s="4"/>
      <c r="J266" s="4"/>
      <c r="K266" s="4">
        <f>SUMIF(基因升级!$D$141:$D$500,"&lt;"&amp;$B266,基因升级!J$141:J$500)</f>
        <v>3626</v>
      </c>
      <c r="L266" s="4">
        <f>SUMIF(基因升级!$D$141:$D$500,"&lt;"&amp;$B266,基因升级!K$141:K$500)</f>
        <v>1.2</v>
      </c>
      <c r="M266" s="4">
        <f>SUMIF(基因升级!$D$141:$D$500,"&lt;"&amp;$B266,基因升级!L$141:L$500)</f>
        <v>0.69</v>
      </c>
      <c r="N266" s="4">
        <f>SUMIF(基因升级!$D$141:$D$500,"&lt;"&amp;$B266,基因升级!M$141:M$500)</f>
        <v>0.048</v>
      </c>
      <c r="O266" s="4">
        <f>SUMIF(基因升级!$D$141:$D$500,"&lt;"&amp;$B266,基因升级!N$141:N$500)</f>
        <v>0.18</v>
      </c>
      <c r="R266" s="4">
        <v>260</v>
      </c>
      <c r="S266" s="4">
        <f>SUMIF(基因升级!$D$141:$D$500,"&lt;="&amp;$R266,基因升级!$U$141:$U$500)</f>
        <v>0</v>
      </c>
      <c r="T266" s="4">
        <f>SUMIF(基因升级!$D$141:$D$500,"&lt;="&amp;$R266,基因升级!J$141:J$500)</f>
        <v>21910</v>
      </c>
      <c r="U266" s="4">
        <f>SUMIF(基因升级!$D$141:$D$500,"&lt;="&amp;$R266,基因升级!K$141:K$500)</f>
        <v>3.25</v>
      </c>
      <c r="V266" s="4">
        <f>SUMIF(基因升级!$D$141:$D$500,"&lt;="&amp;$R266,基因升级!L$141:L$500)</f>
        <v>1.95</v>
      </c>
      <c r="W266" s="4">
        <f>SUMIF(基因升级!$D$141:$D$500,"&lt;="&amp;$R266,基因升级!M$141:M$500)</f>
        <v>0.13</v>
      </c>
      <c r="X266" s="4">
        <f>SUMIF(基因升级!$D$141:$D$500,"&lt;="&amp;$R266,基因升级!N$141:N$500)</f>
        <v>0.4875</v>
      </c>
    </row>
    <row r="267" ht="16.5" spans="1:24">
      <c r="A267" s="14">
        <v>261</v>
      </c>
      <c r="B267" s="4">
        <f>IFERROR(_xlfn.XLOOKUP(A267+1,基因升级!$E$141:$E$500,基因升级!$D$141:$D$500)-1,B266)</f>
        <v>96</v>
      </c>
      <c r="C267" s="4">
        <f>SUMIF(基因升级!$D$141:$D$500,"&lt;"&amp;$B267,基因升级!$U$141:$U$500)</f>
        <v>0</v>
      </c>
      <c r="D267" s="4"/>
      <c r="E267" s="4"/>
      <c r="F267" s="4"/>
      <c r="G267" s="4"/>
      <c r="H267" s="4"/>
      <c r="I267" s="4"/>
      <c r="J267" s="4"/>
      <c r="K267" s="4">
        <f>SUMIF(基因升级!$D$141:$D$500,"&lt;"&amp;$B267,基因升级!J$141:J$500)</f>
        <v>3626</v>
      </c>
      <c r="L267" s="4">
        <f>SUMIF(基因升级!$D$141:$D$500,"&lt;"&amp;$B267,基因升级!K$141:K$500)</f>
        <v>1.2</v>
      </c>
      <c r="M267" s="4">
        <f>SUMIF(基因升级!$D$141:$D$500,"&lt;"&amp;$B267,基因升级!L$141:L$500)</f>
        <v>0.69</v>
      </c>
      <c r="N267" s="4">
        <f>SUMIF(基因升级!$D$141:$D$500,"&lt;"&amp;$B267,基因升级!M$141:M$500)</f>
        <v>0.048</v>
      </c>
      <c r="O267" s="4">
        <f>SUMIF(基因升级!$D$141:$D$500,"&lt;"&amp;$B267,基因升级!N$141:N$500)</f>
        <v>0.18</v>
      </c>
      <c r="R267" s="4">
        <v>261</v>
      </c>
      <c r="S267" s="4">
        <f>SUMIF(基因升级!$D$141:$D$500,"&lt;="&amp;$R267,基因升级!$U$141:$U$500)</f>
        <v>0</v>
      </c>
      <c r="T267" s="4">
        <f>SUMIF(基因升级!$D$141:$D$500,"&lt;="&amp;$R267,基因升级!J$141:J$500)</f>
        <v>22050</v>
      </c>
      <c r="U267" s="4">
        <f>SUMIF(基因升级!$D$141:$D$500,"&lt;="&amp;$R267,基因升级!K$141:K$500)</f>
        <v>3.3</v>
      </c>
      <c r="V267" s="4">
        <f>SUMIF(基因升级!$D$141:$D$500,"&lt;="&amp;$R267,基因升级!L$141:L$500)</f>
        <v>1.95</v>
      </c>
      <c r="W267" s="4">
        <f>SUMIF(基因升级!$D$141:$D$500,"&lt;="&amp;$R267,基因升级!M$141:M$500)</f>
        <v>0.13</v>
      </c>
      <c r="X267" s="4">
        <f>SUMIF(基因升级!$D$141:$D$500,"&lt;="&amp;$R267,基因升级!N$141:N$500)</f>
        <v>0.4875</v>
      </c>
    </row>
    <row r="268" ht="16.5" spans="1:24">
      <c r="A268" s="14">
        <v>262</v>
      </c>
      <c r="B268" s="4">
        <f>IFERROR(_xlfn.XLOOKUP(A268+1,基因升级!$E$141:$E$500,基因升级!$D$141:$D$500)-1,B267)</f>
        <v>96</v>
      </c>
      <c r="C268" s="4">
        <f>SUMIF(基因升级!$D$141:$D$500,"&lt;"&amp;$B268,基因升级!$U$141:$U$500)</f>
        <v>0</v>
      </c>
      <c r="D268" s="4"/>
      <c r="E268" s="4"/>
      <c r="F268" s="4"/>
      <c r="G268" s="4"/>
      <c r="H268" s="4"/>
      <c r="I268" s="4"/>
      <c r="J268" s="4"/>
      <c r="K268" s="4">
        <f>SUMIF(基因升级!$D$141:$D$500,"&lt;"&amp;$B268,基因升级!J$141:J$500)</f>
        <v>3626</v>
      </c>
      <c r="L268" s="4">
        <f>SUMIF(基因升级!$D$141:$D$500,"&lt;"&amp;$B268,基因升级!K$141:K$500)</f>
        <v>1.2</v>
      </c>
      <c r="M268" s="4">
        <f>SUMIF(基因升级!$D$141:$D$500,"&lt;"&amp;$B268,基因升级!L$141:L$500)</f>
        <v>0.69</v>
      </c>
      <c r="N268" s="4">
        <f>SUMIF(基因升级!$D$141:$D$500,"&lt;"&amp;$B268,基因升级!M$141:M$500)</f>
        <v>0.048</v>
      </c>
      <c r="O268" s="4">
        <f>SUMIF(基因升级!$D$141:$D$500,"&lt;"&amp;$B268,基因升级!N$141:N$500)</f>
        <v>0.18</v>
      </c>
      <c r="R268" s="4">
        <v>262</v>
      </c>
      <c r="S268" s="4">
        <f>SUMIF(基因升级!$D$141:$D$500,"&lt;="&amp;$R268,基因升级!$U$141:$U$500)</f>
        <v>0</v>
      </c>
      <c r="T268" s="4">
        <f>SUMIF(基因升级!$D$141:$D$500,"&lt;="&amp;$R268,基因升级!J$141:J$500)</f>
        <v>22190</v>
      </c>
      <c r="U268" s="4">
        <f>SUMIF(基因升级!$D$141:$D$500,"&lt;="&amp;$R268,基因升级!K$141:K$500)</f>
        <v>3.3</v>
      </c>
      <c r="V268" s="4">
        <f>SUMIF(基因升级!$D$141:$D$500,"&lt;="&amp;$R268,基因升级!L$141:L$500)</f>
        <v>1.95</v>
      </c>
      <c r="W268" s="4">
        <f>SUMIF(基因升级!$D$141:$D$500,"&lt;="&amp;$R268,基因升级!M$141:M$500)</f>
        <v>0.13</v>
      </c>
      <c r="X268" s="4">
        <f>SUMIF(基因升级!$D$141:$D$500,"&lt;="&amp;$R268,基因升级!N$141:N$500)</f>
        <v>0.495</v>
      </c>
    </row>
    <row r="269" ht="16.5" spans="1:24">
      <c r="A269" s="14">
        <v>263</v>
      </c>
      <c r="B269" s="4">
        <f>IFERROR(_xlfn.XLOOKUP(A269+1,基因升级!$E$141:$E$500,基因升级!$D$141:$D$500)-1,B268)</f>
        <v>96</v>
      </c>
      <c r="C269" s="4">
        <f>SUMIF(基因升级!$D$141:$D$500,"&lt;"&amp;$B269,基因升级!$U$141:$U$500)</f>
        <v>0</v>
      </c>
      <c r="D269" s="4"/>
      <c r="E269" s="4"/>
      <c r="F269" s="4"/>
      <c r="G269" s="4"/>
      <c r="H269" s="4"/>
      <c r="I269" s="4"/>
      <c r="J269" s="4"/>
      <c r="K269" s="4">
        <f>SUMIF(基因升级!$D$141:$D$500,"&lt;"&amp;$B269,基因升级!J$141:J$500)</f>
        <v>3626</v>
      </c>
      <c r="L269" s="4">
        <f>SUMIF(基因升级!$D$141:$D$500,"&lt;"&amp;$B269,基因升级!K$141:K$500)</f>
        <v>1.2</v>
      </c>
      <c r="M269" s="4">
        <f>SUMIF(基因升级!$D$141:$D$500,"&lt;"&amp;$B269,基因升级!L$141:L$500)</f>
        <v>0.69</v>
      </c>
      <c r="N269" s="4">
        <f>SUMIF(基因升级!$D$141:$D$500,"&lt;"&amp;$B269,基因升级!M$141:M$500)</f>
        <v>0.048</v>
      </c>
      <c r="O269" s="4">
        <f>SUMIF(基因升级!$D$141:$D$500,"&lt;"&amp;$B269,基因升级!N$141:N$500)</f>
        <v>0.18</v>
      </c>
      <c r="R269" s="4">
        <v>263</v>
      </c>
      <c r="S269" s="4">
        <f>SUMIF(基因升级!$D$141:$D$500,"&lt;="&amp;$R269,基因升级!$U$141:$U$500)</f>
        <v>0</v>
      </c>
      <c r="T269" s="4">
        <f>SUMIF(基因升级!$D$141:$D$500,"&lt;="&amp;$R269,基因升级!J$141:J$500)</f>
        <v>22330</v>
      </c>
      <c r="U269" s="4">
        <f>SUMIF(基因升级!$D$141:$D$500,"&lt;="&amp;$R269,基因升级!K$141:K$500)</f>
        <v>3.3</v>
      </c>
      <c r="V269" s="4">
        <f>SUMIF(基因升级!$D$141:$D$500,"&lt;="&amp;$R269,基因升级!L$141:L$500)</f>
        <v>1.95</v>
      </c>
      <c r="W269" s="4">
        <f>SUMIF(基因升级!$D$141:$D$500,"&lt;="&amp;$R269,基因升级!M$141:M$500)</f>
        <v>0.132</v>
      </c>
      <c r="X269" s="4">
        <f>SUMIF(基因升级!$D$141:$D$500,"&lt;="&amp;$R269,基因升级!N$141:N$500)</f>
        <v>0.495</v>
      </c>
    </row>
    <row r="270" ht="16.5" spans="1:24">
      <c r="A270" s="14">
        <v>264</v>
      </c>
      <c r="B270" s="4">
        <f>IFERROR(_xlfn.XLOOKUP(A270+1,基因升级!$E$141:$E$500,基因升级!$D$141:$D$500)-1,B269)</f>
        <v>96</v>
      </c>
      <c r="C270" s="4">
        <f>SUMIF(基因升级!$D$141:$D$500,"&lt;"&amp;$B270,基因升级!$U$141:$U$500)</f>
        <v>0</v>
      </c>
      <c r="D270" s="4"/>
      <c r="E270" s="4"/>
      <c r="F270" s="4"/>
      <c r="G270" s="4"/>
      <c r="H270" s="4"/>
      <c r="I270" s="4"/>
      <c r="J270" s="4"/>
      <c r="K270" s="4">
        <f>SUMIF(基因升级!$D$141:$D$500,"&lt;"&amp;$B270,基因升级!J$141:J$500)</f>
        <v>3626</v>
      </c>
      <c r="L270" s="4">
        <f>SUMIF(基因升级!$D$141:$D$500,"&lt;"&amp;$B270,基因升级!K$141:K$500)</f>
        <v>1.2</v>
      </c>
      <c r="M270" s="4">
        <f>SUMIF(基因升级!$D$141:$D$500,"&lt;"&amp;$B270,基因升级!L$141:L$500)</f>
        <v>0.69</v>
      </c>
      <c r="N270" s="4">
        <f>SUMIF(基因升级!$D$141:$D$500,"&lt;"&amp;$B270,基因升级!M$141:M$500)</f>
        <v>0.048</v>
      </c>
      <c r="O270" s="4">
        <f>SUMIF(基因升级!$D$141:$D$500,"&lt;"&amp;$B270,基因升级!N$141:N$500)</f>
        <v>0.18</v>
      </c>
      <c r="R270" s="4">
        <v>264</v>
      </c>
      <c r="S270" s="4">
        <f>SUMIF(基因升级!$D$141:$D$500,"&lt;="&amp;$R270,基因升级!$U$141:$U$500)</f>
        <v>0</v>
      </c>
      <c r="T270" s="4">
        <f>SUMIF(基因升级!$D$141:$D$500,"&lt;="&amp;$R270,基因升级!J$141:J$500)</f>
        <v>22470</v>
      </c>
      <c r="U270" s="4">
        <f>SUMIF(基因升级!$D$141:$D$500,"&lt;="&amp;$R270,基因升级!K$141:K$500)</f>
        <v>3.3</v>
      </c>
      <c r="V270" s="4">
        <f>SUMIF(基因升级!$D$141:$D$500,"&lt;="&amp;$R270,基因升级!L$141:L$500)</f>
        <v>1.98</v>
      </c>
      <c r="W270" s="4">
        <f>SUMIF(基因升级!$D$141:$D$500,"&lt;="&amp;$R270,基因升级!M$141:M$500)</f>
        <v>0.132</v>
      </c>
      <c r="X270" s="4">
        <f>SUMIF(基因升级!$D$141:$D$500,"&lt;="&amp;$R270,基因升级!N$141:N$500)</f>
        <v>0.495</v>
      </c>
    </row>
    <row r="271" ht="16.5" spans="1:24">
      <c r="A271" s="14">
        <v>265</v>
      </c>
      <c r="B271" s="4">
        <f>IFERROR(_xlfn.XLOOKUP(A271+1,基因升级!$E$141:$E$500,基因升级!$D$141:$D$500)-1,B270)</f>
        <v>96</v>
      </c>
      <c r="C271" s="4">
        <f>SUMIF(基因升级!$D$141:$D$500,"&lt;"&amp;$B271,基因升级!$U$141:$U$500)</f>
        <v>0</v>
      </c>
      <c r="D271" s="4"/>
      <c r="E271" s="4"/>
      <c r="F271" s="4"/>
      <c r="G271" s="4"/>
      <c r="H271" s="4"/>
      <c r="I271" s="4"/>
      <c r="J271" s="4"/>
      <c r="K271" s="4">
        <f>SUMIF(基因升级!$D$141:$D$500,"&lt;"&amp;$B271,基因升级!J$141:J$500)</f>
        <v>3626</v>
      </c>
      <c r="L271" s="4">
        <f>SUMIF(基因升级!$D$141:$D$500,"&lt;"&amp;$B271,基因升级!K$141:K$500)</f>
        <v>1.2</v>
      </c>
      <c r="M271" s="4">
        <f>SUMIF(基因升级!$D$141:$D$500,"&lt;"&amp;$B271,基因升级!L$141:L$500)</f>
        <v>0.69</v>
      </c>
      <c r="N271" s="4">
        <f>SUMIF(基因升级!$D$141:$D$500,"&lt;"&amp;$B271,基因升级!M$141:M$500)</f>
        <v>0.048</v>
      </c>
      <c r="O271" s="4">
        <f>SUMIF(基因升级!$D$141:$D$500,"&lt;"&amp;$B271,基因升级!N$141:N$500)</f>
        <v>0.18</v>
      </c>
      <c r="R271" s="4">
        <v>265</v>
      </c>
      <c r="S271" s="4">
        <f>SUMIF(基因升级!$D$141:$D$500,"&lt;="&amp;$R271,基因升级!$U$141:$U$500)</f>
        <v>0</v>
      </c>
      <c r="T271" s="4">
        <f>SUMIF(基因升级!$D$141:$D$500,"&lt;="&amp;$R271,基因升级!J$141:J$500)</f>
        <v>22616</v>
      </c>
      <c r="U271" s="4">
        <f>SUMIF(基因升级!$D$141:$D$500,"&lt;="&amp;$R271,基因升级!K$141:K$500)</f>
        <v>3.35</v>
      </c>
      <c r="V271" s="4">
        <f>SUMIF(基因升级!$D$141:$D$500,"&lt;="&amp;$R271,基因升级!L$141:L$500)</f>
        <v>1.98</v>
      </c>
      <c r="W271" s="4">
        <f>SUMIF(基因升级!$D$141:$D$500,"&lt;="&amp;$R271,基因升级!M$141:M$500)</f>
        <v>0.132</v>
      </c>
      <c r="X271" s="4">
        <f>SUMIF(基因升级!$D$141:$D$500,"&lt;="&amp;$R271,基因升级!N$141:N$500)</f>
        <v>0.495</v>
      </c>
    </row>
    <row r="272" ht="16.5" spans="1:24">
      <c r="A272" s="14">
        <v>266</v>
      </c>
      <c r="B272" s="4">
        <f>IFERROR(_xlfn.XLOOKUP(A272+1,基因升级!$E$141:$E$500,基因升级!$D$141:$D$500)-1,B271)</f>
        <v>96</v>
      </c>
      <c r="C272" s="4">
        <f>SUMIF(基因升级!$D$141:$D$500,"&lt;"&amp;$B272,基因升级!$U$141:$U$500)</f>
        <v>0</v>
      </c>
      <c r="D272" s="4"/>
      <c r="E272" s="4"/>
      <c r="F272" s="4"/>
      <c r="G272" s="4"/>
      <c r="H272" s="4"/>
      <c r="I272" s="4"/>
      <c r="J272" s="4"/>
      <c r="K272" s="4">
        <f>SUMIF(基因升级!$D$141:$D$500,"&lt;"&amp;$B272,基因升级!J$141:J$500)</f>
        <v>3626</v>
      </c>
      <c r="L272" s="4">
        <f>SUMIF(基因升级!$D$141:$D$500,"&lt;"&amp;$B272,基因升级!K$141:K$500)</f>
        <v>1.2</v>
      </c>
      <c r="M272" s="4">
        <f>SUMIF(基因升级!$D$141:$D$500,"&lt;"&amp;$B272,基因升级!L$141:L$500)</f>
        <v>0.69</v>
      </c>
      <c r="N272" s="4">
        <f>SUMIF(基因升级!$D$141:$D$500,"&lt;"&amp;$B272,基因升级!M$141:M$500)</f>
        <v>0.048</v>
      </c>
      <c r="O272" s="4">
        <f>SUMIF(基因升级!$D$141:$D$500,"&lt;"&amp;$B272,基因升级!N$141:N$500)</f>
        <v>0.18</v>
      </c>
      <c r="R272" s="4">
        <v>266</v>
      </c>
      <c r="S272" s="4">
        <f>SUMIF(基因升级!$D$141:$D$500,"&lt;="&amp;$R272,基因升级!$U$141:$U$500)</f>
        <v>0</v>
      </c>
      <c r="T272" s="4">
        <f>SUMIF(基因升级!$D$141:$D$500,"&lt;="&amp;$R272,基因升级!J$141:J$500)</f>
        <v>22762</v>
      </c>
      <c r="U272" s="4">
        <f>SUMIF(基因升级!$D$141:$D$500,"&lt;="&amp;$R272,基因升级!K$141:K$500)</f>
        <v>3.35</v>
      </c>
      <c r="V272" s="4">
        <f>SUMIF(基因升级!$D$141:$D$500,"&lt;="&amp;$R272,基因升级!L$141:L$500)</f>
        <v>1.98</v>
      </c>
      <c r="W272" s="4">
        <f>SUMIF(基因升级!$D$141:$D$500,"&lt;="&amp;$R272,基因升级!M$141:M$500)</f>
        <v>0.132</v>
      </c>
      <c r="X272" s="4">
        <f>SUMIF(基因升级!$D$141:$D$500,"&lt;="&amp;$R272,基因升级!N$141:N$500)</f>
        <v>0.5025</v>
      </c>
    </row>
    <row r="273" ht="16.5" spans="1:24">
      <c r="A273" s="14">
        <v>267</v>
      </c>
      <c r="B273" s="4">
        <f>IFERROR(_xlfn.XLOOKUP(A273+1,基因升级!$E$141:$E$500,基因升级!$D$141:$D$500)-1,B272)</f>
        <v>96</v>
      </c>
      <c r="C273" s="4">
        <f>SUMIF(基因升级!$D$141:$D$500,"&lt;"&amp;$B273,基因升级!$U$141:$U$500)</f>
        <v>0</v>
      </c>
      <c r="D273" s="4"/>
      <c r="E273" s="4"/>
      <c r="F273" s="4"/>
      <c r="G273" s="4"/>
      <c r="H273" s="4"/>
      <c r="I273" s="4"/>
      <c r="J273" s="4"/>
      <c r="K273" s="4">
        <f>SUMIF(基因升级!$D$141:$D$500,"&lt;"&amp;$B273,基因升级!J$141:J$500)</f>
        <v>3626</v>
      </c>
      <c r="L273" s="4">
        <f>SUMIF(基因升级!$D$141:$D$500,"&lt;"&amp;$B273,基因升级!K$141:K$500)</f>
        <v>1.2</v>
      </c>
      <c r="M273" s="4">
        <f>SUMIF(基因升级!$D$141:$D$500,"&lt;"&amp;$B273,基因升级!L$141:L$500)</f>
        <v>0.69</v>
      </c>
      <c r="N273" s="4">
        <f>SUMIF(基因升级!$D$141:$D$500,"&lt;"&amp;$B273,基因升级!M$141:M$500)</f>
        <v>0.048</v>
      </c>
      <c r="O273" s="4">
        <f>SUMIF(基因升级!$D$141:$D$500,"&lt;"&amp;$B273,基因升级!N$141:N$500)</f>
        <v>0.18</v>
      </c>
      <c r="R273" s="4">
        <v>267</v>
      </c>
      <c r="S273" s="4">
        <f>SUMIF(基因升级!$D$141:$D$500,"&lt;="&amp;$R273,基因升级!$U$141:$U$500)</f>
        <v>0</v>
      </c>
      <c r="T273" s="4">
        <f>SUMIF(基因升级!$D$141:$D$500,"&lt;="&amp;$R273,基因升级!J$141:J$500)</f>
        <v>22908</v>
      </c>
      <c r="U273" s="4">
        <f>SUMIF(基因升级!$D$141:$D$500,"&lt;="&amp;$R273,基因升级!K$141:K$500)</f>
        <v>3.35</v>
      </c>
      <c r="V273" s="4">
        <f>SUMIF(基因升级!$D$141:$D$500,"&lt;="&amp;$R273,基因升级!L$141:L$500)</f>
        <v>1.98</v>
      </c>
      <c r="W273" s="4">
        <f>SUMIF(基因升级!$D$141:$D$500,"&lt;="&amp;$R273,基因升级!M$141:M$500)</f>
        <v>0.134</v>
      </c>
      <c r="X273" s="4">
        <f>SUMIF(基因升级!$D$141:$D$500,"&lt;="&amp;$R273,基因升级!N$141:N$500)</f>
        <v>0.5025</v>
      </c>
    </row>
    <row r="274" ht="16.5" spans="1:24">
      <c r="A274" s="14">
        <v>268</v>
      </c>
      <c r="B274" s="4">
        <f>IFERROR(_xlfn.XLOOKUP(A274+1,基因升级!$E$141:$E$500,基因升级!$D$141:$D$500)-1,B273)</f>
        <v>97</v>
      </c>
      <c r="C274" s="4">
        <f>SUMIF(基因升级!$D$141:$D$500,"&lt;"&amp;$B274,基因升级!$U$141:$U$500)</f>
        <v>0</v>
      </c>
      <c r="D274" s="4"/>
      <c r="E274" s="4"/>
      <c r="F274" s="4"/>
      <c r="G274" s="4"/>
      <c r="H274" s="4"/>
      <c r="I274" s="4"/>
      <c r="J274" s="4"/>
      <c r="K274" s="4">
        <f>SUMIF(基因升级!$D$141:$D$500,"&lt;"&amp;$B274,基因升级!J$141:J$500)</f>
        <v>3696</v>
      </c>
      <c r="L274" s="4">
        <f>SUMIF(基因升级!$D$141:$D$500,"&lt;"&amp;$B274,基因升级!K$141:K$500)</f>
        <v>1.2</v>
      </c>
      <c r="M274" s="4">
        <f>SUMIF(基因升级!$D$141:$D$500,"&lt;"&amp;$B274,基因升级!L$141:L$500)</f>
        <v>0.72</v>
      </c>
      <c r="N274" s="4">
        <f>SUMIF(基因升级!$D$141:$D$500,"&lt;"&amp;$B274,基因升级!M$141:M$500)</f>
        <v>0.048</v>
      </c>
      <c r="O274" s="4">
        <f>SUMIF(基因升级!$D$141:$D$500,"&lt;"&amp;$B274,基因升级!N$141:N$500)</f>
        <v>0.18</v>
      </c>
      <c r="R274" s="4">
        <v>268</v>
      </c>
      <c r="S274" s="4">
        <f>SUMIF(基因升级!$D$141:$D$500,"&lt;="&amp;$R274,基因升级!$U$141:$U$500)</f>
        <v>0</v>
      </c>
      <c r="T274" s="4">
        <f>SUMIF(基因升级!$D$141:$D$500,"&lt;="&amp;$R274,基因升级!J$141:J$500)</f>
        <v>23054</v>
      </c>
      <c r="U274" s="4">
        <f>SUMIF(基因升级!$D$141:$D$500,"&lt;="&amp;$R274,基因升级!K$141:K$500)</f>
        <v>3.35</v>
      </c>
      <c r="V274" s="4">
        <f>SUMIF(基因升级!$D$141:$D$500,"&lt;="&amp;$R274,基因升级!L$141:L$500)</f>
        <v>2.01</v>
      </c>
      <c r="W274" s="4">
        <f>SUMIF(基因升级!$D$141:$D$500,"&lt;="&amp;$R274,基因升级!M$141:M$500)</f>
        <v>0.134</v>
      </c>
      <c r="X274" s="4">
        <f>SUMIF(基因升级!$D$141:$D$500,"&lt;="&amp;$R274,基因升级!N$141:N$500)</f>
        <v>0.5025</v>
      </c>
    </row>
    <row r="275" ht="16.5" spans="1:24">
      <c r="A275" s="14">
        <v>269</v>
      </c>
      <c r="B275" s="4">
        <f>IFERROR(_xlfn.XLOOKUP(A275+1,基因升级!$E$141:$E$500,基因升级!$D$141:$D$500)-1,B274)</f>
        <v>97</v>
      </c>
      <c r="C275" s="4">
        <f>SUMIF(基因升级!$D$141:$D$500,"&lt;"&amp;$B275,基因升级!$U$141:$U$500)</f>
        <v>0</v>
      </c>
      <c r="D275" s="4"/>
      <c r="E275" s="4"/>
      <c r="F275" s="4"/>
      <c r="G275" s="4"/>
      <c r="H275" s="4"/>
      <c r="I275" s="4"/>
      <c r="J275" s="4"/>
      <c r="K275" s="4">
        <f>SUMIF(基因升级!$D$141:$D$500,"&lt;"&amp;$B275,基因升级!J$141:J$500)</f>
        <v>3696</v>
      </c>
      <c r="L275" s="4">
        <f>SUMIF(基因升级!$D$141:$D$500,"&lt;"&amp;$B275,基因升级!K$141:K$500)</f>
        <v>1.2</v>
      </c>
      <c r="M275" s="4">
        <f>SUMIF(基因升级!$D$141:$D$500,"&lt;"&amp;$B275,基因升级!L$141:L$500)</f>
        <v>0.72</v>
      </c>
      <c r="N275" s="4">
        <f>SUMIF(基因升级!$D$141:$D$500,"&lt;"&amp;$B275,基因升级!M$141:M$500)</f>
        <v>0.048</v>
      </c>
      <c r="O275" s="4">
        <f>SUMIF(基因升级!$D$141:$D$500,"&lt;"&amp;$B275,基因升级!N$141:N$500)</f>
        <v>0.18</v>
      </c>
      <c r="R275" s="4">
        <v>269</v>
      </c>
      <c r="S275" s="4">
        <f>SUMIF(基因升级!$D$141:$D$500,"&lt;="&amp;$R275,基因升级!$U$141:$U$500)</f>
        <v>0</v>
      </c>
      <c r="T275" s="4">
        <f>SUMIF(基因升级!$D$141:$D$500,"&lt;="&amp;$R275,基因升级!J$141:J$500)</f>
        <v>23200</v>
      </c>
      <c r="U275" s="4">
        <f>SUMIF(基因升级!$D$141:$D$500,"&lt;="&amp;$R275,基因升级!K$141:K$500)</f>
        <v>3.4</v>
      </c>
      <c r="V275" s="4">
        <f>SUMIF(基因升级!$D$141:$D$500,"&lt;="&amp;$R275,基因升级!L$141:L$500)</f>
        <v>2.01</v>
      </c>
      <c r="W275" s="4">
        <f>SUMIF(基因升级!$D$141:$D$500,"&lt;="&amp;$R275,基因升级!M$141:M$500)</f>
        <v>0.134</v>
      </c>
      <c r="X275" s="4">
        <f>SUMIF(基因升级!$D$141:$D$500,"&lt;="&amp;$R275,基因升级!N$141:N$500)</f>
        <v>0.5025</v>
      </c>
    </row>
    <row r="276" ht="16.5" spans="1:24">
      <c r="A276" s="14">
        <v>270</v>
      </c>
      <c r="B276" s="4">
        <f>IFERROR(_xlfn.XLOOKUP(A276+1,基因升级!$E$141:$E$500,基因升级!$D$141:$D$500)-1,B275)</f>
        <v>97</v>
      </c>
      <c r="C276" s="4">
        <f>SUMIF(基因升级!$D$141:$D$500,"&lt;"&amp;$B276,基因升级!$U$141:$U$500)</f>
        <v>0</v>
      </c>
      <c r="D276" s="4"/>
      <c r="E276" s="4"/>
      <c r="F276" s="4"/>
      <c r="G276" s="4"/>
      <c r="H276" s="4"/>
      <c r="I276" s="4"/>
      <c r="J276" s="4"/>
      <c r="K276" s="4">
        <f>SUMIF(基因升级!$D$141:$D$500,"&lt;"&amp;$B276,基因升级!J$141:J$500)</f>
        <v>3696</v>
      </c>
      <c r="L276" s="4">
        <f>SUMIF(基因升级!$D$141:$D$500,"&lt;"&amp;$B276,基因升级!K$141:K$500)</f>
        <v>1.2</v>
      </c>
      <c r="M276" s="4">
        <f>SUMIF(基因升级!$D$141:$D$500,"&lt;"&amp;$B276,基因升级!L$141:L$500)</f>
        <v>0.72</v>
      </c>
      <c r="N276" s="4">
        <f>SUMIF(基因升级!$D$141:$D$500,"&lt;"&amp;$B276,基因升级!M$141:M$500)</f>
        <v>0.048</v>
      </c>
      <c r="O276" s="4">
        <f>SUMIF(基因升级!$D$141:$D$500,"&lt;"&amp;$B276,基因升级!N$141:N$500)</f>
        <v>0.18</v>
      </c>
      <c r="R276" s="4">
        <v>270</v>
      </c>
      <c r="S276" s="4">
        <f>SUMIF(基因升级!$D$141:$D$500,"&lt;="&amp;$R276,基因升级!$U$141:$U$500)</f>
        <v>0</v>
      </c>
      <c r="T276" s="4">
        <f>SUMIF(基因升级!$D$141:$D$500,"&lt;="&amp;$R276,基因升级!J$141:J$500)</f>
        <v>23346</v>
      </c>
      <c r="U276" s="4">
        <f>SUMIF(基因升级!$D$141:$D$500,"&lt;="&amp;$R276,基因升级!K$141:K$500)</f>
        <v>3.4</v>
      </c>
      <c r="V276" s="4">
        <f>SUMIF(基因升级!$D$141:$D$500,"&lt;="&amp;$R276,基因升级!L$141:L$500)</f>
        <v>2.01</v>
      </c>
      <c r="W276" s="4">
        <f>SUMIF(基因升级!$D$141:$D$500,"&lt;="&amp;$R276,基因升级!M$141:M$500)</f>
        <v>0.134</v>
      </c>
      <c r="X276" s="4">
        <f>SUMIF(基因升级!$D$141:$D$500,"&lt;="&amp;$R276,基因升级!N$141:N$500)</f>
        <v>0.51</v>
      </c>
    </row>
    <row r="277" ht="16.5" spans="1:24">
      <c r="A277" s="14">
        <v>271</v>
      </c>
      <c r="B277" s="4">
        <f>IFERROR(_xlfn.XLOOKUP(A277+1,基因升级!$E$141:$E$500,基因升级!$D$141:$D$500)-1,B276)</f>
        <v>97</v>
      </c>
      <c r="C277" s="4">
        <f>SUMIF(基因升级!$D$141:$D$500,"&lt;"&amp;$B277,基因升级!$U$141:$U$500)</f>
        <v>0</v>
      </c>
      <c r="D277" s="4"/>
      <c r="E277" s="4"/>
      <c r="F277" s="4"/>
      <c r="G277" s="4"/>
      <c r="H277" s="4"/>
      <c r="I277" s="4"/>
      <c r="J277" s="4"/>
      <c r="K277" s="4">
        <f>SUMIF(基因升级!$D$141:$D$500,"&lt;"&amp;$B277,基因升级!J$141:J$500)</f>
        <v>3696</v>
      </c>
      <c r="L277" s="4">
        <f>SUMIF(基因升级!$D$141:$D$500,"&lt;"&amp;$B277,基因升级!K$141:K$500)</f>
        <v>1.2</v>
      </c>
      <c r="M277" s="4">
        <f>SUMIF(基因升级!$D$141:$D$500,"&lt;"&amp;$B277,基因升级!L$141:L$500)</f>
        <v>0.72</v>
      </c>
      <c r="N277" s="4">
        <f>SUMIF(基因升级!$D$141:$D$500,"&lt;"&amp;$B277,基因升级!M$141:M$500)</f>
        <v>0.048</v>
      </c>
      <c r="O277" s="4">
        <f>SUMIF(基因升级!$D$141:$D$500,"&lt;"&amp;$B277,基因升级!N$141:N$500)</f>
        <v>0.18</v>
      </c>
      <c r="R277" s="4">
        <v>271</v>
      </c>
      <c r="S277" s="4">
        <f>SUMIF(基因升级!$D$141:$D$500,"&lt;="&amp;$R277,基因升级!$U$141:$U$500)</f>
        <v>0</v>
      </c>
      <c r="T277" s="4">
        <f>SUMIF(基因升级!$D$141:$D$500,"&lt;="&amp;$R277,基因升级!J$141:J$500)</f>
        <v>23492</v>
      </c>
      <c r="U277" s="4">
        <f>SUMIF(基因升级!$D$141:$D$500,"&lt;="&amp;$R277,基因升级!K$141:K$500)</f>
        <v>3.4</v>
      </c>
      <c r="V277" s="4">
        <f>SUMIF(基因升级!$D$141:$D$500,"&lt;="&amp;$R277,基因升级!L$141:L$500)</f>
        <v>2.01</v>
      </c>
      <c r="W277" s="4">
        <f>SUMIF(基因升级!$D$141:$D$500,"&lt;="&amp;$R277,基因升级!M$141:M$500)</f>
        <v>0.136</v>
      </c>
      <c r="X277" s="4">
        <f>SUMIF(基因升级!$D$141:$D$500,"&lt;="&amp;$R277,基因升级!N$141:N$500)</f>
        <v>0.51</v>
      </c>
    </row>
    <row r="278" ht="16.5" spans="1:24">
      <c r="A278" s="14">
        <v>272</v>
      </c>
      <c r="B278" s="4">
        <f>IFERROR(_xlfn.XLOOKUP(A278+1,基因升级!$E$141:$E$500,基因升级!$D$141:$D$500)-1,B277)</f>
        <v>97</v>
      </c>
      <c r="C278" s="4">
        <f>SUMIF(基因升级!$D$141:$D$500,"&lt;"&amp;$B278,基因升级!$U$141:$U$500)</f>
        <v>0</v>
      </c>
      <c r="D278" s="4"/>
      <c r="E278" s="4"/>
      <c r="F278" s="4"/>
      <c r="G278" s="4"/>
      <c r="H278" s="4"/>
      <c r="I278" s="4"/>
      <c r="J278" s="4"/>
      <c r="K278" s="4">
        <f>SUMIF(基因升级!$D$141:$D$500,"&lt;"&amp;$B278,基因升级!J$141:J$500)</f>
        <v>3696</v>
      </c>
      <c r="L278" s="4">
        <f>SUMIF(基因升级!$D$141:$D$500,"&lt;"&amp;$B278,基因升级!K$141:K$500)</f>
        <v>1.2</v>
      </c>
      <c r="M278" s="4">
        <f>SUMIF(基因升级!$D$141:$D$500,"&lt;"&amp;$B278,基因升级!L$141:L$500)</f>
        <v>0.72</v>
      </c>
      <c r="N278" s="4">
        <f>SUMIF(基因升级!$D$141:$D$500,"&lt;"&amp;$B278,基因升级!M$141:M$500)</f>
        <v>0.048</v>
      </c>
      <c r="O278" s="4">
        <f>SUMIF(基因升级!$D$141:$D$500,"&lt;"&amp;$B278,基因升级!N$141:N$500)</f>
        <v>0.18</v>
      </c>
      <c r="R278" s="4">
        <v>272</v>
      </c>
      <c r="S278" s="4">
        <f>SUMIF(基因升级!$D$141:$D$500,"&lt;="&amp;$R278,基因升级!$U$141:$U$500)</f>
        <v>0</v>
      </c>
      <c r="T278" s="4">
        <f>SUMIF(基因升级!$D$141:$D$500,"&lt;="&amp;$R278,基因升级!J$141:J$500)</f>
        <v>23638</v>
      </c>
      <c r="U278" s="4">
        <f>SUMIF(基因升级!$D$141:$D$500,"&lt;="&amp;$R278,基因升级!K$141:K$500)</f>
        <v>3.4</v>
      </c>
      <c r="V278" s="4">
        <f>SUMIF(基因升级!$D$141:$D$500,"&lt;="&amp;$R278,基因升级!L$141:L$500)</f>
        <v>2.04</v>
      </c>
      <c r="W278" s="4">
        <f>SUMIF(基因升级!$D$141:$D$500,"&lt;="&amp;$R278,基因升级!M$141:M$500)</f>
        <v>0.136</v>
      </c>
      <c r="X278" s="4">
        <f>SUMIF(基因升级!$D$141:$D$500,"&lt;="&amp;$R278,基因升级!N$141:N$500)</f>
        <v>0.51</v>
      </c>
    </row>
    <row r="279" ht="16.5" spans="1:24">
      <c r="A279" s="14">
        <v>273</v>
      </c>
      <c r="B279" s="4">
        <f>IFERROR(_xlfn.XLOOKUP(A279+1,基因升级!$E$141:$E$500,基因升级!$D$141:$D$500)-1,B278)</f>
        <v>97</v>
      </c>
      <c r="C279" s="4">
        <f>SUMIF(基因升级!$D$141:$D$500,"&lt;"&amp;$B279,基因升级!$U$141:$U$500)</f>
        <v>0</v>
      </c>
      <c r="D279" s="4"/>
      <c r="E279" s="4"/>
      <c r="F279" s="4"/>
      <c r="G279" s="4"/>
      <c r="H279" s="4"/>
      <c r="I279" s="4"/>
      <c r="J279" s="4"/>
      <c r="K279" s="4">
        <f>SUMIF(基因升级!$D$141:$D$500,"&lt;"&amp;$B279,基因升级!J$141:J$500)</f>
        <v>3696</v>
      </c>
      <c r="L279" s="4">
        <f>SUMIF(基因升级!$D$141:$D$500,"&lt;"&amp;$B279,基因升级!K$141:K$500)</f>
        <v>1.2</v>
      </c>
      <c r="M279" s="4">
        <f>SUMIF(基因升级!$D$141:$D$500,"&lt;"&amp;$B279,基因升级!L$141:L$500)</f>
        <v>0.72</v>
      </c>
      <c r="N279" s="4">
        <f>SUMIF(基因升级!$D$141:$D$500,"&lt;"&amp;$B279,基因升级!M$141:M$500)</f>
        <v>0.048</v>
      </c>
      <c r="O279" s="4">
        <f>SUMIF(基因升级!$D$141:$D$500,"&lt;"&amp;$B279,基因升级!N$141:N$500)</f>
        <v>0.18</v>
      </c>
      <c r="R279" s="4">
        <v>273</v>
      </c>
      <c r="S279" s="4">
        <f>SUMIF(基因升级!$D$141:$D$500,"&lt;="&amp;$R279,基因升级!$U$141:$U$500)</f>
        <v>0</v>
      </c>
      <c r="T279" s="4">
        <f>SUMIF(基因升级!$D$141:$D$500,"&lt;="&amp;$R279,基因升级!J$141:J$500)</f>
        <v>23784</v>
      </c>
      <c r="U279" s="4">
        <f>SUMIF(基因升级!$D$141:$D$500,"&lt;="&amp;$R279,基因升级!K$141:K$500)</f>
        <v>3.45</v>
      </c>
      <c r="V279" s="4">
        <f>SUMIF(基因升级!$D$141:$D$500,"&lt;="&amp;$R279,基因升级!L$141:L$500)</f>
        <v>2.04</v>
      </c>
      <c r="W279" s="4">
        <f>SUMIF(基因升级!$D$141:$D$500,"&lt;="&amp;$R279,基因升级!M$141:M$500)</f>
        <v>0.136</v>
      </c>
      <c r="X279" s="4">
        <f>SUMIF(基因升级!$D$141:$D$500,"&lt;="&amp;$R279,基因升级!N$141:N$500)</f>
        <v>0.51</v>
      </c>
    </row>
    <row r="280" ht="16.5" spans="1:24">
      <c r="A280" s="14">
        <v>274</v>
      </c>
      <c r="B280" s="4">
        <f>IFERROR(_xlfn.XLOOKUP(A280+1,基因升级!$E$141:$E$500,基因升级!$D$141:$D$500)-1,B279)</f>
        <v>97</v>
      </c>
      <c r="C280" s="4">
        <f>SUMIF(基因升级!$D$141:$D$500,"&lt;"&amp;$B280,基因升级!$U$141:$U$500)</f>
        <v>0</v>
      </c>
      <c r="D280" s="4"/>
      <c r="E280" s="4"/>
      <c r="F280" s="4"/>
      <c r="G280" s="4"/>
      <c r="H280" s="4"/>
      <c r="I280" s="4"/>
      <c r="J280" s="4"/>
      <c r="K280" s="4">
        <f>SUMIF(基因升级!$D$141:$D$500,"&lt;"&amp;$B280,基因升级!J$141:J$500)</f>
        <v>3696</v>
      </c>
      <c r="L280" s="4">
        <f>SUMIF(基因升级!$D$141:$D$500,"&lt;"&amp;$B280,基因升级!K$141:K$500)</f>
        <v>1.2</v>
      </c>
      <c r="M280" s="4">
        <f>SUMIF(基因升级!$D$141:$D$500,"&lt;"&amp;$B280,基因升级!L$141:L$500)</f>
        <v>0.72</v>
      </c>
      <c r="N280" s="4">
        <f>SUMIF(基因升级!$D$141:$D$500,"&lt;"&amp;$B280,基因升级!M$141:M$500)</f>
        <v>0.048</v>
      </c>
      <c r="O280" s="4">
        <f>SUMIF(基因升级!$D$141:$D$500,"&lt;"&amp;$B280,基因升级!N$141:N$500)</f>
        <v>0.18</v>
      </c>
      <c r="R280" s="4">
        <v>274</v>
      </c>
      <c r="S280" s="4">
        <f>SUMIF(基因升级!$D$141:$D$500,"&lt;="&amp;$R280,基因升级!$U$141:$U$500)</f>
        <v>0</v>
      </c>
      <c r="T280" s="4">
        <f>SUMIF(基因升级!$D$141:$D$500,"&lt;="&amp;$R280,基因升级!J$141:J$500)</f>
        <v>23930</v>
      </c>
      <c r="U280" s="4">
        <f>SUMIF(基因升级!$D$141:$D$500,"&lt;="&amp;$R280,基因升级!K$141:K$500)</f>
        <v>3.45</v>
      </c>
      <c r="V280" s="4">
        <f>SUMIF(基因升级!$D$141:$D$500,"&lt;="&amp;$R280,基因升级!L$141:L$500)</f>
        <v>2.04</v>
      </c>
      <c r="W280" s="4">
        <f>SUMIF(基因升级!$D$141:$D$500,"&lt;="&amp;$R280,基因升级!M$141:M$500)</f>
        <v>0.136</v>
      </c>
      <c r="X280" s="4">
        <f>SUMIF(基因升级!$D$141:$D$500,"&lt;="&amp;$R280,基因升级!N$141:N$500)</f>
        <v>0.5175</v>
      </c>
    </row>
    <row r="281" ht="16.5" spans="1:24">
      <c r="A281" s="14">
        <v>275</v>
      </c>
      <c r="B281" s="4">
        <f>IFERROR(_xlfn.XLOOKUP(A281+1,基因升级!$E$141:$E$500,基因升级!$D$141:$D$500)-1,B280)</f>
        <v>97</v>
      </c>
      <c r="C281" s="4">
        <f>SUMIF(基因升级!$D$141:$D$500,"&lt;"&amp;$B281,基因升级!$U$141:$U$500)</f>
        <v>0</v>
      </c>
      <c r="D281" s="4"/>
      <c r="E281" s="4"/>
      <c r="F281" s="4"/>
      <c r="G281" s="4"/>
      <c r="H281" s="4"/>
      <c r="I281" s="4"/>
      <c r="J281" s="4"/>
      <c r="K281" s="4">
        <f>SUMIF(基因升级!$D$141:$D$500,"&lt;"&amp;$B281,基因升级!J$141:J$500)</f>
        <v>3696</v>
      </c>
      <c r="L281" s="4">
        <f>SUMIF(基因升级!$D$141:$D$500,"&lt;"&amp;$B281,基因升级!K$141:K$500)</f>
        <v>1.2</v>
      </c>
      <c r="M281" s="4">
        <f>SUMIF(基因升级!$D$141:$D$500,"&lt;"&amp;$B281,基因升级!L$141:L$500)</f>
        <v>0.72</v>
      </c>
      <c r="N281" s="4">
        <f>SUMIF(基因升级!$D$141:$D$500,"&lt;"&amp;$B281,基因升级!M$141:M$500)</f>
        <v>0.048</v>
      </c>
      <c r="O281" s="4">
        <f>SUMIF(基因升级!$D$141:$D$500,"&lt;"&amp;$B281,基因升级!N$141:N$500)</f>
        <v>0.18</v>
      </c>
      <c r="R281" s="4">
        <v>275</v>
      </c>
      <c r="S281" s="4">
        <f>SUMIF(基因升级!$D$141:$D$500,"&lt;="&amp;$R281,基因升级!$U$141:$U$500)</f>
        <v>0</v>
      </c>
      <c r="T281" s="4">
        <f>SUMIF(基因升级!$D$141:$D$500,"&lt;="&amp;$R281,基因升级!J$141:J$500)</f>
        <v>24076</v>
      </c>
      <c r="U281" s="4">
        <f>SUMIF(基因升级!$D$141:$D$500,"&lt;="&amp;$R281,基因升级!K$141:K$500)</f>
        <v>3.45</v>
      </c>
      <c r="V281" s="4">
        <f>SUMIF(基因升级!$D$141:$D$500,"&lt;="&amp;$R281,基因升级!L$141:L$500)</f>
        <v>2.04</v>
      </c>
      <c r="W281" s="4">
        <f>SUMIF(基因升级!$D$141:$D$500,"&lt;="&amp;$R281,基因升级!M$141:M$500)</f>
        <v>0.138</v>
      </c>
      <c r="X281" s="4">
        <f>SUMIF(基因升级!$D$141:$D$500,"&lt;="&amp;$R281,基因升级!N$141:N$500)</f>
        <v>0.5175</v>
      </c>
    </row>
    <row r="282" ht="16.5" spans="1:24">
      <c r="A282" s="14">
        <v>276</v>
      </c>
      <c r="B282" s="4">
        <f>IFERROR(_xlfn.XLOOKUP(A282+1,基因升级!$E$141:$E$500,基因升级!$D$141:$D$500)-1,B281)</f>
        <v>97</v>
      </c>
      <c r="C282" s="4">
        <f>SUMIF(基因升级!$D$141:$D$500,"&lt;"&amp;$B282,基因升级!$U$141:$U$500)</f>
        <v>0</v>
      </c>
      <c r="D282" s="4"/>
      <c r="E282" s="4"/>
      <c r="F282" s="4"/>
      <c r="G282" s="4"/>
      <c r="H282" s="4"/>
      <c r="I282" s="4"/>
      <c r="J282" s="4"/>
      <c r="K282" s="4">
        <f>SUMIF(基因升级!$D$141:$D$500,"&lt;"&amp;$B282,基因升级!J$141:J$500)</f>
        <v>3696</v>
      </c>
      <c r="L282" s="4">
        <f>SUMIF(基因升级!$D$141:$D$500,"&lt;"&amp;$B282,基因升级!K$141:K$500)</f>
        <v>1.2</v>
      </c>
      <c r="M282" s="4">
        <f>SUMIF(基因升级!$D$141:$D$500,"&lt;"&amp;$B282,基因升级!L$141:L$500)</f>
        <v>0.72</v>
      </c>
      <c r="N282" s="4">
        <f>SUMIF(基因升级!$D$141:$D$500,"&lt;"&amp;$B282,基因升级!M$141:M$500)</f>
        <v>0.048</v>
      </c>
      <c r="O282" s="4">
        <f>SUMIF(基因升级!$D$141:$D$500,"&lt;"&amp;$B282,基因升级!N$141:N$500)</f>
        <v>0.18</v>
      </c>
      <c r="R282" s="4">
        <v>276</v>
      </c>
      <c r="S282" s="4">
        <f>SUMIF(基因升级!$D$141:$D$500,"&lt;="&amp;$R282,基因升级!$U$141:$U$500)</f>
        <v>0</v>
      </c>
      <c r="T282" s="4">
        <f>SUMIF(基因升级!$D$141:$D$500,"&lt;="&amp;$R282,基因升级!J$141:J$500)</f>
        <v>24222</v>
      </c>
      <c r="U282" s="4">
        <f>SUMIF(基因升级!$D$141:$D$500,"&lt;="&amp;$R282,基因升级!K$141:K$500)</f>
        <v>3.45</v>
      </c>
      <c r="V282" s="4">
        <f>SUMIF(基因升级!$D$141:$D$500,"&lt;="&amp;$R282,基因升级!L$141:L$500)</f>
        <v>2.07</v>
      </c>
      <c r="W282" s="4">
        <f>SUMIF(基因升级!$D$141:$D$500,"&lt;="&amp;$R282,基因升级!M$141:M$500)</f>
        <v>0.138</v>
      </c>
      <c r="X282" s="4">
        <f>SUMIF(基因升级!$D$141:$D$500,"&lt;="&amp;$R282,基因升级!N$141:N$500)</f>
        <v>0.5175</v>
      </c>
    </row>
    <row r="283" ht="16.5" spans="1:24">
      <c r="A283" s="14">
        <v>277</v>
      </c>
      <c r="B283" s="4">
        <f>IFERROR(_xlfn.XLOOKUP(A283+1,基因升级!$E$141:$E$500,基因升级!$D$141:$D$500)-1,B282)</f>
        <v>97</v>
      </c>
      <c r="C283" s="4">
        <f>SUMIF(基因升级!$D$141:$D$500,"&lt;"&amp;$B283,基因升级!$U$141:$U$500)</f>
        <v>0</v>
      </c>
      <c r="D283" s="4"/>
      <c r="E283" s="4"/>
      <c r="F283" s="4"/>
      <c r="G283" s="4"/>
      <c r="H283" s="4"/>
      <c r="I283" s="4"/>
      <c r="J283" s="4"/>
      <c r="K283" s="4">
        <f>SUMIF(基因升级!$D$141:$D$500,"&lt;"&amp;$B283,基因升级!J$141:J$500)</f>
        <v>3696</v>
      </c>
      <c r="L283" s="4">
        <f>SUMIF(基因升级!$D$141:$D$500,"&lt;"&amp;$B283,基因升级!K$141:K$500)</f>
        <v>1.2</v>
      </c>
      <c r="M283" s="4">
        <f>SUMIF(基因升级!$D$141:$D$500,"&lt;"&amp;$B283,基因升级!L$141:L$500)</f>
        <v>0.72</v>
      </c>
      <c r="N283" s="4">
        <f>SUMIF(基因升级!$D$141:$D$500,"&lt;"&amp;$B283,基因升级!M$141:M$500)</f>
        <v>0.048</v>
      </c>
      <c r="O283" s="4">
        <f>SUMIF(基因升级!$D$141:$D$500,"&lt;"&amp;$B283,基因升级!N$141:N$500)</f>
        <v>0.18</v>
      </c>
      <c r="R283" s="4">
        <v>277</v>
      </c>
      <c r="S283" s="4">
        <f>SUMIF(基因升级!$D$141:$D$500,"&lt;="&amp;$R283,基因升级!$U$141:$U$500)</f>
        <v>0</v>
      </c>
      <c r="T283" s="4">
        <f>SUMIF(基因升级!$D$141:$D$500,"&lt;="&amp;$R283,基因升级!J$141:J$500)</f>
        <v>24368</v>
      </c>
      <c r="U283" s="4">
        <f>SUMIF(基因升级!$D$141:$D$500,"&lt;="&amp;$R283,基因升级!K$141:K$500)</f>
        <v>3.5</v>
      </c>
      <c r="V283" s="4">
        <f>SUMIF(基因升级!$D$141:$D$500,"&lt;="&amp;$R283,基因升级!L$141:L$500)</f>
        <v>2.07</v>
      </c>
      <c r="W283" s="4">
        <f>SUMIF(基因升级!$D$141:$D$500,"&lt;="&amp;$R283,基因升级!M$141:M$500)</f>
        <v>0.138</v>
      </c>
      <c r="X283" s="4">
        <f>SUMIF(基因升级!$D$141:$D$500,"&lt;="&amp;$R283,基因升级!N$141:N$500)</f>
        <v>0.5175</v>
      </c>
    </row>
    <row r="284" ht="16.5" spans="1:24">
      <c r="A284" s="14">
        <v>278</v>
      </c>
      <c r="B284" s="4">
        <f>IFERROR(_xlfn.XLOOKUP(A284+1,基因升级!$E$141:$E$500,基因升级!$D$141:$D$500)-1,B283)</f>
        <v>98</v>
      </c>
      <c r="C284" s="4">
        <f>SUMIF(基因升级!$D$141:$D$500,"&lt;"&amp;$B284,基因升级!$U$141:$U$500)</f>
        <v>0</v>
      </c>
      <c r="D284" s="4"/>
      <c r="E284" s="4"/>
      <c r="F284" s="4"/>
      <c r="G284" s="4"/>
      <c r="H284" s="4"/>
      <c r="I284" s="4"/>
      <c r="J284" s="4"/>
      <c r="K284" s="4">
        <f>SUMIF(基因升级!$D$141:$D$500,"&lt;"&amp;$B284,基因升级!J$141:J$500)</f>
        <v>3772</v>
      </c>
      <c r="L284" s="4">
        <f>SUMIF(基因升级!$D$141:$D$500,"&lt;"&amp;$B284,基因升级!K$141:K$500)</f>
        <v>1.25</v>
      </c>
      <c r="M284" s="4">
        <f>SUMIF(基因升级!$D$141:$D$500,"&lt;"&amp;$B284,基因升级!L$141:L$500)</f>
        <v>0.72</v>
      </c>
      <c r="N284" s="4">
        <f>SUMIF(基因升级!$D$141:$D$500,"&lt;"&amp;$B284,基因升级!M$141:M$500)</f>
        <v>0.048</v>
      </c>
      <c r="O284" s="4">
        <f>SUMIF(基因升级!$D$141:$D$500,"&lt;"&amp;$B284,基因升级!N$141:N$500)</f>
        <v>0.18</v>
      </c>
      <c r="R284" s="4">
        <v>278</v>
      </c>
      <c r="S284" s="4">
        <f>SUMIF(基因升级!$D$141:$D$500,"&lt;="&amp;$R284,基因升级!$U$141:$U$500)</f>
        <v>0</v>
      </c>
      <c r="T284" s="4">
        <f>SUMIF(基因升级!$D$141:$D$500,"&lt;="&amp;$R284,基因升级!J$141:J$500)</f>
        <v>24514</v>
      </c>
      <c r="U284" s="4">
        <f>SUMIF(基因升级!$D$141:$D$500,"&lt;="&amp;$R284,基因升级!K$141:K$500)</f>
        <v>3.5</v>
      </c>
      <c r="V284" s="4">
        <f>SUMIF(基因升级!$D$141:$D$500,"&lt;="&amp;$R284,基因升级!L$141:L$500)</f>
        <v>2.07</v>
      </c>
      <c r="W284" s="4">
        <f>SUMIF(基因升级!$D$141:$D$500,"&lt;="&amp;$R284,基因升级!M$141:M$500)</f>
        <v>0.138</v>
      </c>
      <c r="X284" s="4">
        <f>SUMIF(基因升级!$D$141:$D$500,"&lt;="&amp;$R284,基因升级!N$141:N$500)</f>
        <v>0.525</v>
      </c>
    </row>
    <row r="285" ht="16.5" spans="1:24">
      <c r="A285" s="14">
        <v>279</v>
      </c>
      <c r="B285" s="4">
        <f>IFERROR(_xlfn.XLOOKUP(A285+1,基因升级!$E$141:$E$500,基因升级!$D$141:$D$500)-1,B284)</f>
        <v>98</v>
      </c>
      <c r="C285" s="4">
        <f>SUMIF(基因升级!$D$141:$D$500,"&lt;"&amp;$B285,基因升级!$U$141:$U$500)</f>
        <v>0</v>
      </c>
      <c r="D285" s="4"/>
      <c r="E285" s="4"/>
      <c r="F285" s="4"/>
      <c r="G285" s="4"/>
      <c r="H285" s="4"/>
      <c r="I285" s="4"/>
      <c r="J285" s="4"/>
      <c r="K285" s="4">
        <f>SUMIF(基因升级!$D$141:$D$500,"&lt;"&amp;$B285,基因升级!J$141:J$500)</f>
        <v>3772</v>
      </c>
      <c r="L285" s="4">
        <f>SUMIF(基因升级!$D$141:$D$500,"&lt;"&amp;$B285,基因升级!K$141:K$500)</f>
        <v>1.25</v>
      </c>
      <c r="M285" s="4">
        <f>SUMIF(基因升级!$D$141:$D$500,"&lt;"&amp;$B285,基因升级!L$141:L$500)</f>
        <v>0.72</v>
      </c>
      <c r="N285" s="4">
        <f>SUMIF(基因升级!$D$141:$D$500,"&lt;"&amp;$B285,基因升级!M$141:M$500)</f>
        <v>0.048</v>
      </c>
      <c r="O285" s="4">
        <f>SUMIF(基因升级!$D$141:$D$500,"&lt;"&amp;$B285,基因升级!N$141:N$500)</f>
        <v>0.18</v>
      </c>
      <c r="R285" s="4">
        <v>279</v>
      </c>
      <c r="S285" s="4">
        <f>SUMIF(基因升级!$D$141:$D$500,"&lt;="&amp;$R285,基因升级!$U$141:$U$500)</f>
        <v>0</v>
      </c>
      <c r="T285" s="4">
        <f>SUMIF(基因升级!$D$141:$D$500,"&lt;="&amp;$R285,基因升级!J$141:J$500)</f>
        <v>24660</v>
      </c>
      <c r="U285" s="4">
        <f>SUMIF(基因升级!$D$141:$D$500,"&lt;="&amp;$R285,基因升级!K$141:K$500)</f>
        <v>3.5</v>
      </c>
      <c r="V285" s="4">
        <f>SUMIF(基因升级!$D$141:$D$500,"&lt;="&amp;$R285,基因升级!L$141:L$500)</f>
        <v>2.07</v>
      </c>
      <c r="W285" s="4">
        <f>SUMIF(基因升级!$D$141:$D$500,"&lt;="&amp;$R285,基因升级!M$141:M$500)</f>
        <v>0.14</v>
      </c>
      <c r="X285" s="4">
        <f>SUMIF(基因升级!$D$141:$D$500,"&lt;="&amp;$R285,基因升级!N$141:N$500)</f>
        <v>0.525</v>
      </c>
    </row>
    <row r="286" ht="16.5" spans="1:24">
      <c r="A286" s="14">
        <v>280</v>
      </c>
      <c r="B286" s="4">
        <f>IFERROR(_xlfn.XLOOKUP(A286+1,基因升级!$E$141:$E$500,基因升级!$D$141:$D$500)-1,B285)</f>
        <v>98</v>
      </c>
      <c r="C286" s="4">
        <f>SUMIF(基因升级!$D$141:$D$500,"&lt;"&amp;$B286,基因升级!$U$141:$U$500)</f>
        <v>0</v>
      </c>
      <c r="D286" s="4"/>
      <c r="E286" s="4"/>
      <c r="F286" s="4"/>
      <c r="G286" s="4"/>
      <c r="H286" s="4"/>
      <c r="I286" s="4"/>
      <c r="J286" s="4"/>
      <c r="K286" s="4">
        <f>SUMIF(基因升级!$D$141:$D$500,"&lt;"&amp;$B286,基因升级!J$141:J$500)</f>
        <v>3772</v>
      </c>
      <c r="L286" s="4">
        <f>SUMIF(基因升级!$D$141:$D$500,"&lt;"&amp;$B286,基因升级!K$141:K$500)</f>
        <v>1.25</v>
      </c>
      <c r="M286" s="4">
        <f>SUMIF(基因升级!$D$141:$D$500,"&lt;"&amp;$B286,基因升级!L$141:L$500)</f>
        <v>0.72</v>
      </c>
      <c r="N286" s="4">
        <f>SUMIF(基因升级!$D$141:$D$500,"&lt;"&amp;$B286,基因升级!M$141:M$500)</f>
        <v>0.048</v>
      </c>
      <c r="O286" s="4">
        <f>SUMIF(基因升级!$D$141:$D$500,"&lt;"&amp;$B286,基因升级!N$141:N$500)</f>
        <v>0.18</v>
      </c>
      <c r="R286" s="4">
        <v>280</v>
      </c>
      <c r="S286" s="4">
        <f>SUMIF(基因升级!$D$141:$D$500,"&lt;="&amp;$R286,基因升级!$U$141:$U$500)</f>
        <v>0</v>
      </c>
      <c r="T286" s="4">
        <f>SUMIF(基因升级!$D$141:$D$500,"&lt;="&amp;$R286,基因升级!J$141:J$500)</f>
        <v>24806</v>
      </c>
      <c r="U286" s="4">
        <f>SUMIF(基因升级!$D$141:$D$500,"&lt;="&amp;$R286,基因升级!K$141:K$500)</f>
        <v>3.5</v>
      </c>
      <c r="V286" s="4">
        <f>SUMIF(基因升级!$D$141:$D$500,"&lt;="&amp;$R286,基因升级!L$141:L$500)</f>
        <v>2.1</v>
      </c>
      <c r="W286" s="4">
        <f>SUMIF(基因升级!$D$141:$D$500,"&lt;="&amp;$R286,基因升级!M$141:M$500)</f>
        <v>0.14</v>
      </c>
      <c r="X286" s="4">
        <f>SUMIF(基因升级!$D$141:$D$500,"&lt;="&amp;$R286,基因升级!N$141:N$500)</f>
        <v>0.525</v>
      </c>
    </row>
    <row r="287" ht="16.5" spans="1:24">
      <c r="A287" s="14">
        <v>281</v>
      </c>
      <c r="B287" s="4">
        <f>IFERROR(_xlfn.XLOOKUP(A287+1,基因升级!$E$141:$E$500,基因升级!$D$141:$D$500)-1,B286)</f>
        <v>98</v>
      </c>
      <c r="C287" s="4">
        <f>SUMIF(基因升级!$D$141:$D$500,"&lt;"&amp;$B287,基因升级!$U$141:$U$500)</f>
        <v>0</v>
      </c>
      <c r="D287" s="4"/>
      <c r="E287" s="4"/>
      <c r="F287" s="4"/>
      <c r="G287" s="4"/>
      <c r="H287" s="4"/>
      <c r="I287" s="4"/>
      <c r="J287" s="4"/>
      <c r="K287" s="4">
        <f>SUMIF(基因升级!$D$141:$D$500,"&lt;"&amp;$B287,基因升级!J$141:J$500)</f>
        <v>3772</v>
      </c>
      <c r="L287" s="4">
        <f>SUMIF(基因升级!$D$141:$D$500,"&lt;"&amp;$B287,基因升级!K$141:K$500)</f>
        <v>1.25</v>
      </c>
      <c r="M287" s="4">
        <f>SUMIF(基因升级!$D$141:$D$500,"&lt;"&amp;$B287,基因升级!L$141:L$500)</f>
        <v>0.72</v>
      </c>
      <c r="N287" s="4">
        <f>SUMIF(基因升级!$D$141:$D$500,"&lt;"&amp;$B287,基因升级!M$141:M$500)</f>
        <v>0.048</v>
      </c>
      <c r="O287" s="4">
        <f>SUMIF(基因升级!$D$141:$D$500,"&lt;"&amp;$B287,基因升级!N$141:N$500)</f>
        <v>0.18</v>
      </c>
      <c r="R287" s="4">
        <v>281</v>
      </c>
      <c r="S287" s="4">
        <f>SUMIF(基因升级!$D$141:$D$500,"&lt;="&amp;$R287,基因升级!$U$141:$U$500)</f>
        <v>0</v>
      </c>
      <c r="T287" s="4">
        <f>SUMIF(基因升级!$D$141:$D$500,"&lt;="&amp;$R287,基因升级!J$141:J$500)</f>
        <v>24958</v>
      </c>
      <c r="U287" s="4">
        <f>SUMIF(基因升级!$D$141:$D$500,"&lt;="&amp;$R287,基因升级!K$141:K$500)</f>
        <v>3.55</v>
      </c>
      <c r="V287" s="4">
        <f>SUMIF(基因升级!$D$141:$D$500,"&lt;="&amp;$R287,基因升级!L$141:L$500)</f>
        <v>2.1</v>
      </c>
      <c r="W287" s="4">
        <f>SUMIF(基因升级!$D$141:$D$500,"&lt;="&amp;$R287,基因升级!M$141:M$500)</f>
        <v>0.14</v>
      </c>
      <c r="X287" s="4">
        <f>SUMIF(基因升级!$D$141:$D$500,"&lt;="&amp;$R287,基因升级!N$141:N$500)</f>
        <v>0.525</v>
      </c>
    </row>
    <row r="288" ht="16.5" spans="1:24">
      <c r="A288" s="14">
        <v>282</v>
      </c>
      <c r="B288" s="4">
        <f>IFERROR(_xlfn.XLOOKUP(A288+1,基因升级!$E$141:$E$500,基因升级!$D$141:$D$500)-1,B287)</f>
        <v>98</v>
      </c>
      <c r="C288" s="4">
        <f>SUMIF(基因升级!$D$141:$D$500,"&lt;"&amp;$B288,基因升级!$U$141:$U$500)</f>
        <v>0</v>
      </c>
      <c r="D288" s="4"/>
      <c r="E288" s="4"/>
      <c r="F288" s="4"/>
      <c r="G288" s="4"/>
      <c r="H288" s="4"/>
      <c r="I288" s="4"/>
      <c r="J288" s="4"/>
      <c r="K288" s="4">
        <f>SUMIF(基因升级!$D$141:$D$500,"&lt;"&amp;$B288,基因升级!J$141:J$500)</f>
        <v>3772</v>
      </c>
      <c r="L288" s="4">
        <f>SUMIF(基因升级!$D$141:$D$500,"&lt;"&amp;$B288,基因升级!K$141:K$500)</f>
        <v>1.25</v>
      </c>
      <c r="M288" s="4">
        <f>SUMIF(基因升级!$D$141:$D$500,"&lt;"&amp;$B288,基因升级!L$141:L$500)</f>
        <v>0.72</v>
      </c>
      <c r="N288" s="4">
        <f>SUMIF(基因升级!$D$141:$D$500,"&lt;"&amp;$B288,基因升级!M$141:M$500)</f>
        <v>0.048</v>
      </c>
      <c r="O288" s="4">
        <f>SUMIF(基因升级!$D$141:$D$500,"&lt;"&amp;$B288,基因升级!N$141:N$500)</f>
        <v>0.18</v>
      </c>
      <c r="R288" s="4">
        <v>282</v>
      </c>
      <c r="S288" s="4">
        <f>SUMIF(基因升级!$D$141:$D$500,"&lt;="&amp;$R288,基因升级!$U$141:$U$500)</f>
        <v>0</v>
      </c>
      <c r="T288" s="4">
        <f>SUMIF(基因升级!$D$141:$D$500,"&lt;="&amp;$R288,基因升级!J$141:J$500)</f>
        <v>25110</v>
      </c>
      <c r="U288" s="4">
        <f>SUMIF(基因升级!$D$141:$D$500,"&lt;="&amp;$R288,基因升级!K$141:K$500)</f>
        <v>3.55</v>
      </c>
      <c r="V288" s="4">
        <f>SUMIF(基因升级!$D$141:$D$500,"&lt;="&amp;$R288,基因升级!L$141:L$500)</f>
        <v>2.1</v>
      </c>
      <c r="W288" s="4">
        <f>SUMIF(基因升级!$D$141:$D$500,"&lt;="&amp;$R288,基因升级!M$141:M$500)</f>
        <v>0.14</v>
      </c>
      <c r="X288" s="4">
        <f>SUMIF(基因升级!$D$141:$D$500,"&lt;="&amp;$R288,基因升级!N$141:N$500)</f>
        <v>0.5325</v>
      </c>
    </row>
    <row r="289" ht="16.5" spans="1:24">
      <c r="A289" s="14">
        <v>283</v>
      </c>
      <c r="B289" s="4">
        <f>IFERROR(_xlfn.XLOOKUP(A289+1,基因升级!$E$141:$E$500,基因升级!$D$141:$D$500)-1,B288)</f>
        <v>98</v>
      </c>
      <c r="C289" s="4">
        <f>SUMIF(基因升级!$D$141:$D$500,"&lt;"&amp;$B289,基因升级!$U$141:$U$500)</f>
        <v>0</v>
      </c>
      <c r="D289" s="4"/>
      <c r="E289" s="4"/>
      <c r="F289" s="4"/>
      <c r="G289" s="4"/>
      <c r="H289" s="4"/>
      <c r="I289" s="4"/>
      <c r="J289" s="4"/>
      <c r="K289" s="4">
        <f>SUMIF(基因升级!$D$141:$D$500,"&lt;"&amp;$B289,基因升级!J$141:J$500)</f>
        <v>3772</v>
      </c>
      <c r="L289" s="4">
        <f>SUMIF(基因升级!$D$141:$D$500,"&lt;"&amp;$B289,基因升级!K$141:K$500)</f>
        <v>1.25</v>
      </c>
      <c r="M289" s="4">
        <f>SUMIF(基因升级!$D$141:$D$500,"&lt;"&amp;$B289,基因升级!L$141:L$500)</f>
        <v>0.72</v>
      </c>
      <c r="N289" s="4">
        <f>SUMIF(基因升级!$D$141:$D$500,"&lt;"&amp;$B289,基因升级!M$141:M$500)</f>
        <v>0.048</v>
      </c>
      <c r="O289" s="4">
        <f>SUMIF(基因升级!$D$141:$D$500,"&lt;"&amp;$B289,基因升级!N$141:N$500)</f>
        <v>0.18</v>
      </c>
      <c r="R289" s="4">
        <v>283</v>
      </c>
      <c r="S289" s="4">
        <f>SUMIF(基因升级!$D$141:$D$500,"&lt;="&amp;$R289,基因升级!$U$141:$U$500)</f>
        <v>0</v>
      </c>
      <c r="T289" s="4">
        <f>SUMIF(基因升级!$D$141:$D$500,"&lt;="&amp;$R289,基因升级!J$141:J$500)</f>
        <v>25262</v>
      </c>
      <c r="U289" s="4">
        <f>SUMIF(基因升级!$D$141:$D$500,"&lt;="&amp;$R289,基因升级!K$141:K$500)</f>
        <v>3.55</v>
      </c>
      <c r="V289" s="4">
        <f>SUMIF(基因升级!$D$141:$D$500,"&lt;="&amp;$R289,基因升级!L$141:L$500)</f>
        <v>2.1</v>
      </c>
      <c r="W289" s="4">
        <f>SUMIF(基因升级!$D$141:$D$500,"&lt;="&amp;$R289,基因升级!M$141:M$500)</f>
        <v>0.142</v>
      </c>
      <c r="X289" s="4">
        <f>SUMIF(基因升级!$D$141:$D$500,"&lt;="&amp;$R289,基因升级!N$141:N$500)</f>
        <v>0.5325</v>
      </c>
    </row>
    <row r="290" ht="16.5" spans="1:24">
      <c r="A290" s="14">
        <v>284</v>
      </c>
      <c r="B290" s="4">
        <f>IFERROR(_xlfn.XLOOKUP(A290+1,基因升级!$E$141:$E$500,基因升级!$D$141:$D$500)-1,B289)</f>
        <v>98</v>
      </c>
      <c r="C290" s="4">
        <f>SUMIF(基因升级!$D$141:$D$500,"&lt;"&amp;$B290,基因升级!$U$141:$U$500)</f>
        <v>0</v>
      </c>
      <c r="D290" s="4"/>
      <c r="E290" s="4"/>
      <c r="F290" s="4"/>
      <c r="G290" s="4"/>
      <c r="H290" s="4"/>
      <c r="I290" s="4"/>
      <c r="J290" s="4"/>
      <c r="K290" s="4">
        <f>SUMIF(基因升级!$D$141:$D$500,"&lt;"&amp;$B290,基因升级!J$141:J$500)</f>
        <v>3772</v>
      </c>
      <c r="L290" s="4">
        <f>SUMIF(基因升级!$D$141:$D$500,"&lt;"&amp;$B290,基因升级!K$141:K$500)</f>
        <v>1.25</v>
      </c>
      <c r="M290" s="4">
        <f>SUMIF(基因升级!$D$141:$D$500,"&lt;"&amp;$B290,基因升级!L$141:L$500)</f>
        <v>0.72</v>
      </c>
      <c r="N290" s="4">
        <f>SUMIF(基因升级!$D$141:$D$500,"&lt;"&amp;$B290,基因升级!M$141:M$500)</f>
        <v>0.048</v>
      </c>
      <c r="O290" s="4">
        <f>SUMIF(基因升级!$D$141:$D$500,"&lt;"&amp;$B290,基因升级!N$141:N$500)</f>
        <v>0.18</v>
      </c>
      <c r="R290" s="4">
        <v>284</v>
      </c>
      <c r="S290" s="4">
        <f>SUMIF(基因升级!$D$141:$D$500,"&lt;="&amp;$R290,基因升级!$U$141:$U$500)</f>
        <v>0</v>
      </c>
      <c r="T290" s="4">
        <f>SUMIF(基因升级!$D$141:$D$500,"&lt;="&amp;$R290,基因升级!J$141:J$500)</f>
        <v>25414</v>
      </c>
      <c r="U290" s="4">
        <f>SUMIF(基因升级!$D$141:$D$500,"&lt;="&amp;$R290,基因升级!K$141:K$500)</f>
        <v>3.55</v>
      </c>
      <c r="V290" s="4">
        <f>SUMIF(基因升级!$D$141:$D$500,"&lt;="&amp;$R290,基因升级!L$141:L$500)</f>
        <v>2.13</v>
      </c>
      <c r="W290" s="4">
        <f>SUMIF(基因升级!$D$141:$D$500,"&lt;="&amp;$R290,基因升级!M$141:M$500)</f>
        <v>0.142</v>
      </c>
      <c r="X290" s="4">
        <f>SUMIF(基因升级!$D$141:$D$500,"&lt;="&amp;$R290,基因升级!N$141:N$500)</f>
        <v>0.5325</v>
      </c>
    </row>
    <row r="291" ht="16.5" spans="1:24">
      <c r="A291" s="14">
        <v>285</v>
      </c>
      <c r="B291" s="4">
        <f>IFERROR(_xlfn.XLOOKUP(A291+1,基因升级!$E$141:$E$500,基因升级!$D$141:$D$500)-1,B290)</f>
        <v>98</v>
      </c>
      <c r="C291" s="4">
        <f>SUMIF(基因升级!$D$141:$D$500,"&lt;"&amp;$B291,基因升级!$U$141:$U$500)</f>
        <v>0</v>
      </c>
      <c r="D291" s="4"/>
      <c r="E291" s="4"/>
      <c r="F291" s="4"/>
      <c r="G291" s="4"/>
      <c r="H291" s="4"/>
      <c r="I291" s="4"/>
      <c r="J291" s="4"/>
      <c r="K291" s="4">
        <f>SUMIF(基因升级!$D$141:$D$500,"&lt;"&amp;$B291,基因升级!J$141:J$500)</f>
        <v>3772</v>
      </c>
      <c r="L291" s="4">
        <f>SUMIF(基因升级!$D$141:$D$500,"&lt;"&amp;$B291,基因升级!K$141:K$500)</f>
        <v>1.25</v>
      </c>
      <c r="M291" s="4">
        <f>SUMIF(基因升级!$D$141:$D$500,"&lt;"&amp;$B291,基因升级!L$141:L$500)</f>
        <v>0.72</v>
      </c>
      <c r="N291" s="4">
        <f>SUMIF(基因升级!$D$141:$D$500,"&lt;"&amp;$B291,基因升级!M$141:M$500)</f>
        <v>0.048</v>
      </c>
      <c r="O291" s="4">
        <f>SUMIF(基因升级!$D$141:$D$500,"&lt;"&amp;$B291,基因升级!N$141:N$500)</f>
        <v>0.18</v>
      </c>
      <c r="R291" s="4">
        <v>285</v>
      </c>
      <c r="S291" s="4">
        <f>SUMIF(基因升级!$D$141:$D$500,"&lt;="&amp;$R291,基因升级!$U$141:$U$500)</f>
        <v>0</v>
      </c>
      <c r="T291" s="4">
        <f>SUMIF(基因升级!$D$141:$D$500,"&lt;="&amp;$R291,基因升级!J$141:J$500)</f>
        <v>25566</v>
      </c>
      <c r="U291" s="4">
        <f>SUMIF(基因升级!$D$141:$D$500,"&lt;="&amp;$R291,基因升级!K$141:K$500)</f>
        <v>3.59999999999999</v>
      </c>
      <c r="V291" s="4">
        <f>SUMIF(基因升级!$D$141:$D$500,"&lt;="&amp;$R291,基因升级!L$141:L$500)</f>
        <v>2.13</v>
      </c>
      <c r="W291" s="4">
        <f>SUMIF(基因升级!$D$141:$D$500,"&lt;="&amp;$R291,基因升级!M$141:M$500)</f>
        <v>0.142</v>
      </c>
      <c r="X291" s="4">
        <f>SUMIF(基因升级!$D$141:$D$500,"&lt;="&amp;$R291,基因升级!N$141:N$500)</f>
        <v>0.5325</v>
      </c>
    </row>
    <row r="292" ht="16.5" spans="1:24">
      <c r="A292" s="14">
        <v>286</v>
      </c>
      <c r="B292" s="4">
        <f>IFERROR(_xlfn.XLOOKUP(A292+1,基因升级!$E$141:$E$500,基因升级!$D$141:$D$500)-1,B291)</f>
        <v>98</v>
      </c>
      <c r="C292" s="4">
        <f>SUMIF(基因升级!$D$141:$D$500,"&lt;"&amp;$B292,基因升级!$U$141:$U$500)</f>
        <v>0</v>
      </c>
      <c r="D292" s="4"/>
      <c r="E292" s="4"/>
      <c r="F292" s="4"/>
      <c r="G292" s="4"/>
      <c r="H292" s="4"/>
      <c r="I292" s="4"/>
      <c r="J292" s="4"/>
      <c r="K292" s="4">
        <f>SUMIF(基因升级!$D$141:$D$500,"&lt;"&amp;$B292,基因升级!J$141:J$500)</f>
        <v>3772</v>
      </c>
      <c r="L292" s="4">
        <f>SUMIF(基因升级!$D$141:$D$500,"&lt;"&amp;$B292,基因升级!K$141:K$500)</f>
        <v>1.25</v>
      </c>
      <c r="M292" s="4">
        <f>SUMIF(基因升级!$D$141:$D$500,"&lt;"&amp;$B292,基因升级!L$141:L$500)</f>
        <v>0.72</v>
      </c>
      <c r="N292" s="4">
        <f>SUMIF(基因升级!$D$141:$D$500,"&lt;"&amp;$B292,基因升级!M$141:M$500)</f>
        <v>0.048</v>
      </c>
      <c r="O292" s="4">
        <f>SUMIF(基因升级!$D$141:$D$500,"&lt;"&amp;$B292,基因升级!N$141:N$500)</f>
        <v>0.18</v>
      </c>
      <c r="R292" s="4">
        <v>286</v>
      </c>
      <c r="S292" s="4">
        <f>SUMIF(基因升级!$D$141:$D$500,"&lt;="&amp;$R292,基因升级!$U$141:$U$500)</f>
        <v>0</v>
      </c>
      <c r="T292" s="4">
        <f>SUMIF(基因升级!$D$141:$D$500,"&lt;="&amp;$R292,基因升级!J$141:J$500)</f>
        <v>25718</v>
      </c>
      <c r="U292" s="4">
        <f>SUMIF(基因升级!$D$141:$D$500,"&lt;="&amp;$R292,基因升级!K$141:K$500)</f>
        <v>3.59999999999999</v>
      </c>
      <c r="V292" s="4">
        <f>SUMIF(基因升级!$D$141:$D$500,"&lt;="&amp;$R292,基因升级!L$141:L$500)</f>
        <v>2.13</v>
      </c>
      <c r="W292" s="4">
        <f>SUMIF(基因升级!$D$141:$D$500,"&lt;="&amp;$R292,基因升级!M$141:M$500)</f>
        <v>0.142</v>
      </c>
      <c r="X292" s="4">
        <f>SUMIF(基因升级!$D$141:$D$500,"&lt;="&amp;$R292,基因升级!N$141:N$500)</f>
        <v>0.54</v>
      </c>
    </row>
    <row r="293" ht="16.5" spans="1:24">
      <c r="A293" s="14">
        <v>287</v>
      </c>
      <c r="B293" s="4">
        <f>IFERROR(_xlfn.XLOOKUP(A293+1,基因升级!$E$141:$E$500,基因升级!$D$141:$D$500)-1,B292)</f>
        <v>98</v>
      </c>
      <c r="C293" s="4">
        <f>SUMIF(基因升级!$D$141:$D$500,"&lt;"&amp;$B293,基因升级!$U$141:$U$500)</f>
        <v>0</v>
      </c>
      <c r="D293" s="4"/>
      <c r="E293" s="4"/>
      <c r="F293" s="4"/>
      <c r="G293" s="4"/>
      <c r="H293" s="4"/>
      <c r="I293" s="4"/>
      <c r="J293" s="4"/>
      <c r="K293" s="4">
        <f>SUMIF(基因升级!$D$141:$D$500,"&lt;"&amp;$B293,基因升级!J$141:J$500)</f>
        <v>3772</v>
      </c>
      <c r="L293" s="4">
        <f>SUMIF(基因升级!$D$141:$D$500,"&lt;"&amp;$B293,基因升级!K$141:K$500)</f>
        <v>1.25</v>
      </c>
      <c r="M293" s="4">
        <f>SUMIF(基因升级!$D$141:$D$500,"&lt;"&amp;$B293,基因升级!L$141:L$500)</f>
        <v>0.72</v>
      </c>
      <c r="N293" s="4">
        <f>SUMIF(基因升级!$D$141:$D$500,"&lt;"&amp;$B293,基因升级!M$141:M$500)</f>
        <v>0.048</v>
      </c>
      <c r="O293" s="4">
        <f>SUMIF(基因升级!$D$141:$D$500,"&lt;"&amp;$B293,基因升级!N$141:N$500)</f>
        <v>0.18</v>
      </c>
      <c r="R293" s="4">
        <v>287</v>
      </c>
      <c r="S293" s="4">
        <f>SUMIF(基因升级!$D$141:$D$500,"&lt;="&amp;$R293,基因升级!$U$141:$U$500)</f>
        <v>0</v>
      </c>
      <c r="T293" s="4">
        <f>SUMIF(基因升级!$D$141:$D$500,"&lt;="&amp;$R293,基因升级!J$141:J$500)</f>
        <v>25870</v>
      </c>
      <c r="U293" s="4">
        <f>SUMIF(基因升级!$D$141:$D$500,"&lt;="&amp;$R293,基因升级!K$141:K$500)</f>
        <v>3.59999999999999</v>
      </c>
      <c r="V293" s="4">
        <f>SUMIF(基因升级!$D$141:$D$500,"&lt;="&amp;$R293,基因升级!L$141:L$500)</f>
        <v>2.13</v>
      </c>
      <c r="W293" s="4">
        <f>SUMIF(基因升级!$D$141:$D$500,"&lt;="&amp;$R293,基因升级!M$141:M$500)</f>
        <v>0.144</v>
      </c>
      <c r="X293" s="4">
        <f>SUMIF(基因升级!$D$141:$D$500,"&lt;="&amp;$R293,基因升级!N$141:N$500)</f>
        <v>0.54</v>
      </c>
    </row>
    <row r="294" ht="16.5" spans="1:24">
      <c r="A294" s="14">
        <v>288</v>
      </c>
      <c r="B294" s="4">
        <f>IFERROR(_xlfn.XLOOKUP(A294+1,基因升级!$E$141:$E$500,基因升级!$D$141:$D$500)-1,B293)</f>
        <v>99</v>
      </c>
      <c r="C294" s="4">
        <f>SUMIF(基因升级!$D$141:$D$500,"&lt;"&amp;$B294,基因升级!$U$141:$U$500)</f>
        <v>0</v>
      </c>
      <c r="D294" s="4"/>
      <c r="E294" s="4"/>
      <c r="F294" s="4"/>
      <c r="G294" s="4"/>
      <c r="H294" s="4"/>
      <c r="I294" s="4"/>
      <c r="J294" s="4"/>
      <c r="K294" s="4">
        <f>SUMIF(基因升级!$D$141:$D$500,"&lt;"&amp;$B294,基因升级!J$141:J$500)</f>
        <v>3848</v>
      </c>
      <c r="L294" s="4">
        <f>SUMIF(基因升级!$D$141:$D$500,"&lt;"&amp;$B294,基因升级!K$141:K$500)</f>
        <v>1.25</v>
      </c>
      <c r="M294" s="4">
        <f>SUMIF(基因升级!$D$141:$D$500,"&lt;"&amp;$B294,基因升级!L$141:L$500)</f>
        <v>0.72</v>
      </c>
      <c r="N294" s="4">
        <f>SUMIF(基因升级!$D$141:$D$500,"&lt;"&amp;$B294,基因升级!M$141:M$500)</f>
        <v>0.048</v>
      </c>
      <c r="O294" s="4">
        <f>SUMIF(基因升级!$D$141:$D$500,"&lt;"&amp;$B294,基因升级!N$141:N$500)</f>
        <v>0.1875</v>
      </c>
      <c r="R294" s="4">
        <v>288</v>
      </c>
      <c r="S294" s="4">
        <f>SUMIF(基因升级!$D$141:$D$500,"&lt;="&amp;$R294,基因升级!$U$141:$U$500)</f>
        <v>0</v>
      </c>
      <c r="T294" s="4">
        <f>SUMIF(基因升级!$D$141:$D$500,"&lt;="&amp;$R294,基因升级!J$141:J$500)</f>
        <v>26022</v>
      </c>
      <c r="U294" s="4">
        <f>SUMIF(基因升级!$D$141:$D$500,"&lt;="&amp;$R294,基因升级!K$141:K$500)</f>
        <v>3.59999999999999</v>
      </c>
      <c r="V294" s="4">
        <f>SUMIF(基因升级!$D$141:$D$500,"&lt;="&amp;$R294,基因升级!L$141:L$500)</f>
        <v>2.16</v>
      </c>
      <c r="W294" s="4">
        <f>SUMIF(基因升级!$D$141:$D$500,"&lt;="&amp;$R294,基因升级!M$141:M$500)</f>
        <v>0.144</v>
      </c>
      <c r="X294" s="4">
        <f>SUMIF(基因升级!$D$141:$D$500,"&lt;="&amp;$R294,基因升级!N$141:N$500)</f>
        <v>0.54</v>
      </c>
    </row>
    <row r="295" ht="16.5" spans="1:24">
      <c r="A295" s="14">
        <v>289</v>
      </c>
      <c r="B295" s="4">
        <f>IFERROR(_xlfn.XLOOKUP(A295+1,基因升级!$E$141:$E$500,基因升级!$D$141:$D$500)-1,B294)</f>
        <v>99</v>
      </c>
      <c r="C295" s="4">
        <f>SUMIF(基因升级!$D$141:$D$500,"&lt;"&amp;$B295,基因升级!$U$141:$U$500)</f>
        <v>0</v>
      </c>
      <c r="D295" s="4"/>
      <c r="E295" s="4"/>
      <c r="F295" s="4"/>
      <c r="G295" s="4"/>
      <c r="H295" s="4"/>
      <c r="I295" s="4"/>
      <c r="J295" s="4"/>
      <c r="K295" s="4">
        <f>SUMIF(基因升级!$D$141:$D$500,"&lt;"&amp;$B295,基因升级!J$141:J$500)</f>
        <v>3848</v>
      </c>
      <c r="L295" s="4">
        <f>SUMIF(基因升级!$D$141:$D$500,"&lt;"&amp;$B295,基因升级!K$141:K$500)</f>
        <v>1.25</v>
      </c>
      <c r="M295" s="4">
        <f>SUMIF(基因升级!$D$141:$D$500,"&lt;"&amp;$B295,基因升级!L$141:L$500)</f>
        <v>0.72</v>
      </c>
      <c r="N295" s="4">
        <f>SUMIF(基因升级!$D$141:$D$500,"&lt;"&amp;$B295,基因升级!M$141:M$500)</f>
        <v>0.048</v>
      </c>
      <c r="O295" s="4">
        <f>SUMIF(基因升级!$D$141:$D$500,"&lt;"&amp;$B295,基因升级!N$141:N$500)</f>
        <v>0.1875</v>
      </c>
      <c r="R295" s="4">
        <v>289</v>
      </c>
      <c r="S295" s="4">
        <f>SUMIF(基因升级!$D$141:$D$500,"&lt;="&amp;$R295,基因升级!$U$141:$U$500)</f>
        <v>0</v>
      </c>
      <c r="T295" s="4">
        <f>SUMIF(基因升级!$D$141:$D$500,"&lt;="&amp;$R295,基因升级!J$141:J$500)</f>
        <v>26174</v>
      </c>
      <c r="U295" s="4">
        <f>SUMIF(基因升级!$D$141:$D$500,"&lt;="&amp;$R295,基因升级!K$141:K$500)</f>
        <v>3.64999999999999</v>
      </c>
      <c r="V295" s="4">
        <f>SUMIF(基因升级!$D$141:$D$500,"&lt;="&amp;$R295,基因升级!L$141:L$500)</f>
        <v>2.16</v>
      </c>
      <c r="W295" s="4">
        <f>SUMIF(基因升级!$D$141:$D$500,"&lt;="&amp;$R295,基因升级!M$141:M$500)</f>
        <v>0.144</v>
      </c>
      <c r="X295" s="4">
        <f>SUMIF(基因升级!$D$141:$D$500,"&lt;="&amp;$R295,基因升级!N$141:N$500)</f>
        <v>0.54</v>
      </c>
    </row>
    <row r="296" ht="16.5" spans="1:24">
      <c r="A296" s="14">
        <v>290</v>
      </c>
      <c r="B296" s="4">
        <f>IFERROR(_xlfn.XLOOKUP(A296+1,基因升级!$E$141:$E$500,基因升级!$D$141:$D$500)-1,B295)</f>
        <v>99</v>
      </c>
      <c r="C296" s="4">
        <f>SUMIF(基因升级!$D$141:$D$500,"&lt;"&amp;$B296,基因升级!$U$141:$U$500)</f>
        <v>0</v>
      </c>
      <c r="D296" s="4"/>
      <c r="E296" s="4"/>
      <c r="F296" s="4"/>
      <c r="G296" s="4"/>
      <c r="H296" s="4"/>
      <c r="I296" s="4"/>
      <c r="J296" s="4"/>
      <c r="K296" s="4">
        <f>SUMIF(基因升级!$D$141:$D$500,"&lt;"&amp;$B296,基因升级!J$141:J$500)</f>
        <v>3848</v>
      </c>
      <c r="L296" s="4">
        <f>SUMIF(基因升级!$D$141:$D$500,"&lt;"&amp;$B296,基因升级!K$141:K$500)</f>
        <v>1.25</v>
      </c>
      <c r="M296" s="4">
        <f>SUMIF(基因升级!$D$141:$D$500,"&lt;"&amp;$B296,基因升级!L$141:L$500)</f>
        <v>0.72</v>
      </c>
      <c r="N296" s="4">
        <f>SUMIF(基因升级!$D$141:$D$500,"&lt;"&amp;$B296,基因升级!M$141:M$500)</f>
        <v>0.048</v>
      </c>
      <c r="O296" s="4">
        <f>SUMIF(基因升级!$D$141:$D$500,"&lt;"&amp;$B296,基因升级!N$141:N$500)</f>
        <v>0.1875</v>
      </c>
      <c r="R296" s="4">
        <v>290</v>
      </c>
      <c r="S296" s="4">
        <f>SUMIF(基因升级!$D$141:$D$500,"&lt;="&amp;$R296,基因升级!$U$141:$U$500)</f>
        <v>0</v>
      </c>
      <c r="T296" s="4">
        <f>SUMIF(基因升级!$D$141:$D$500,"&lt;="&amp;$R296,基因升级!J$141:J$500)</f>
        <v>26326</v>
      </c>
      <c r="U296" s="4">
        <f>SUMIF(基因升级!$D$141:$D$500,"&lt;="&amp;$R296,基因升级!K$141:K$500)</f>
        <v>3.64999999999999</v>
      </c>
      <c r="V296" s="4">
        <f>SUMIF(基因升级!$D$141:$D$500,"&lt;="&amp;$R296,基因升级!L$141:L$500)</f>
        <v>2.16</v>
      </c>
      <c r="W296" s="4">
        <f>SUMIF(基因升级!$D$141:$D$500,"&lt;="&amp;$R296,基因升级!M$141:M$500)</f>
        <v>0.144</v>
      </c>
      <c r="X296" s="4">
        <f>SUMIF(基因升级!$D$141:$D$500,"&lt;="&amp;$R296,基因升级!N$141:N$500)</f>
        <v>0.5475</v>
      </c>
    </row>
    <row r="297" ht="16.5" spans="1:24">
      <c r="A297" s="14">
        <v>291</v>
      </c>
      <c r="B297" s="4">
        <f>IFERROR(_xlfn.XLOOKUP(A297+1,基因升级!$E$141:$E$500,基因升级!$D$141:$D$500)-1,B296)</f>
        <v>99</v>
      </c>
      <c r="C297" s="4">
        <f>SUMIF(基因升级!$D$141:$D$500,"&lt;"&amp;$B297,基因升级!$U$141:$U$500)</f>
        <v>0</v>
      </c>
      <c r="D297" s="4"/>
      <c r="E297" s="4"/>
      <c r="F297" s="4"/>
      <c r="G297" s="4"/>
      <c r="H297" s="4"/>
      <c r="I297" s="4"/>
      <c r="J297" s="4"/>
      <c r="K297" s="4">
        <f>SUMIF(基因升级!$D$141:$D$500,"&lt;"&amp;$B297,基因升级!J$141:J$500)</f>
        <v>3848</v>
      </c>
      <c r="L297" s="4">
        <f>SUMIF(基因升级!$D$141:$D$500,"&lt;"&amp;$B297,基因升级!K$141:K$500)</f>
        <v>1.25</v>
      </c>
      <c r="M297" s="4">
        <f>SUMIF(基因升级!$D$141:$D$500,"&lt;"&amp;$B297,基因升级!L$141:L$500)</f>
        <v>0.72</v>
      </c>
      <c r="N297" s="4">
        <f>SUMIF(基因升级!$D$141:$D$500,"&lt;"&amp;$B297,基因升级!M$141:M$500)</f>
        <v>0.048</v>
      </c>
      <c r="O297" s="4">
        <f>SUMIF(基因升级!$D$141:$D$500,"&lt;"&amp;$B297,基因升级!N$141:N$500)</f>
        <v>0.1875</v>
      </c>
      <c r="R297" s="4">
        <v>291</v>
      </c>
      <c r="S297" s="4">
        <f>SUMIF(基因升级!$D$141:$D$500,"&lt;="&amp;$R297,基因升级!$U$141:$U$500)</f>
        <v>0</v>
      </c>
      <c r="T297" s="4">
        <f>SUMIF(基因升级!$D$141:$D$500,"&lt;="&amp;$R297,基因升级!J$141:J$500)</f>
        <v>26478</v>
      </c>
      <c r="U297" s="4">
        <f>SUMIF(基因升级!$D$141:$D$500,"&lt;="&amp;$R297,基因升级!K$141:K$500)</f>
        <v>3.64999999999999</v>
      </c>
      <c r="V297" s="4">
        <f>SUMIF(基因升级!$D$141:$D$500,"&lt;="&amp;$R297,基因升级!L$141:L$500)</f>
        <v>2.16</v>
      </c>
      <c r="W297" s="4">
        <f>SUMIF(基因升级!$D$141:$D$500,"&lt;="&amp;$R297,基因升级!M$141:M$500)</f>
        <v>0.146</v>
      </c>
      <c r="X297" s="4">
        <f>SUMIF(基因升级!$D$141:$D$500,"&lt;="&amp;$R297,基因升级!N$141:N$500)</f>
        <v>0.5475</v>
      </c>
    </row>
    <row r="298" ht="16.5" spans="1:24">
      <c r="A298" s="14">
        <v>292</v>
      </c>
      <c r="B298" s="4">
        <f>IFERROR(_xlfn.XLOOKUP(A298+1,基因升级!$E$141:$E$500,基因升级!$D$141:$D$500)-1,B297)</f>
        <v>99</v>
      </c>
      <c r="C298" s="4">
        <f>SUMIF(基因升级!$D$141:$D$500,"&lt;"&amp;$B298,基因升级!$U$141:$U$500)</f>
        <v>0</v>
      </c>
      <c r="D298" s="4"/>
      <c r="E298" s="4"/>
      <c r="F298" s="4"/>
      <c r="G298" s="4"/>
      <c r="H298" s="4"/>
      <c r="I298" s="4"/>
      <c r="J298" s="4"/>
      <c r="K298" s="4">
        <f>SUMIF(基因升级!$D$141:$D$500,"&lt;"&amp;$B298,基因升级!J$141:J$500)</f>
        <v>3848</v>
      </c>
      <c r="L298" s="4">
        <f>SUMIF(基因升级!$D$141:$D$500,"&lt;"&amp;$B298,基因升级!K$141:K$500)</f>
        <v>1.25</v>
      </c>
      <c r="M298" s="4">
        <f>SUMIF(基因升级!$D$141:$D$500,"&lt;"&amp;$B298,基因升级!L$141:L$500)</f>
        <v>0.72</v>
      </c>
      <c r="N298" s="4">
        <f>SUMIF(基因升级!$D$141:$D$500,"&lt;"&amp;$B298,基因升级!M$141:M$500)</f>
        <v>0.048</v>
      </c>
      <c r="O298" s="4">
        <f>SUMIF(基因升级!$D$141:$D$500,"&lt;"&amp;$B298,基因升级!N$141:N$500)</f>
        <v>0.1875</v>
      </c>
      <c r="R298" s="4">
        <v>292</v>
      </c>
      <c r="S298" s="4">
        <f>SUMIF(基因升级!$D$141:$D$500,"&lt;="&amp;$R298,基因升级!$U$141:$U$500)</f>
        <v>0</v>
      </c>
      <c r="T298" s="4">
        <f>SUMIF(基因升级!$D$141:$D$500,"&lt;="&amp;$R298,基因升级!J$141:J$500)</f>
        <v>26630</v>
      </c>
      <c r="U298" s="4">
        <f>SUMIF(基因升级!$D$141:$D$500,"&lt;="&amp;$R298,基因升级!K$141:K$500)</f>
        <v>3.64999999999999</v>
      </c>
      <c r="V298" s="4">
        <f>SUMIF(基因升级!$D$141:$D$500,"&lt;="&amp;$R298,基因升级!L$141:L$500)</f>
        <v>2.19</v>
      </c>
      <c r="W298" s="4">
        <f>SUMIF(基因升级!$D$141:$D$500,"&lt;="&amp;$R298,基因升级!M$141:M$500)</f>
        <v>0.146</v>
      </c>
      <c r="X298" s="4">
        <f>SUMIF(基因升级!$D$141:$D$500,"&lt;="&amp;$R298,基因升级!N$141:N$500)</f>
        <v>0.5475</v>
      </c>
    </row>
    <row r="299" ht="16.5" spans="1:24">
      <c r="A299" s="14">
        <v>293</v>
      </c>
      <c r="B299" s="4">
        <f>IFERROR(_xlfn.XLOOKUP(A299+1,基因升级!$E$141:$E$500,基因升级!$D$141:$D$500)-1,B298)</f>
        <v>99</v>
      </c>
      <c r="C299" s="4">
        <f>SUMIF(基因升级!$D$141:$D$500,"&lt;"&amp;$B299,基因升级!$U$141:$U$500)</f>
        <v>0</v>
      </c>
      <c r="D299" s="4"/>
      <c r="E299" s="4"/>
      <c r="F299" s="4"/>
      <c r="G299" s="4"/>
      <c r="H299" s="4"/>
      <c r="I299" s="4"/>
      <c r="J299" s="4"/>
      <c r="K299" s="4">
        <f>SUMIF(基因升级!$D$141:$D$500,"&lt;"&amp;$B299,基因升级!J$141:J$500)</f>
        <v>3848</v>
      </c>
      <c r="L299" s="4">
        <f>SUMIF(基因升级!$D$141:$D$500,"&lt;"&amp;$B299,基因升级!K$141:K$500)</f>
        <v>1.25</v>
      </c>
      <c r="M299" s="4">
        <f>SUMIF(基因升级!$D$141:$D$500,"&lt;"&amp;$B299,基因升级!L$141:L$500)</f>
        <v>0.72</v>
      </c>
      <c r="N299" s="4">
        <f>SUMIF(基因升级!$D$141:$D$500,"&lt;"&amp;$B299,基因升级!M$141:M$500)</f>
        <v>0.048</v>
      </c>
      <c r="O299" s="4">
        <f>SUMIF(基因升级!$D$141:$D$500,"&lt;"&amp;$B299,基因升级!N$141:N$500)</f>
        <v>0.1875</v>
      </c>
      <c r="R299" s="4">
        <v>293</v>
      </c>
      <c r="S299" s="4">
        <f>SUMIF(基因升级!$D$141:$D$500,"&lt;="&amp;$R299,基因升级!$U$141:$U$500)</f>
        <v>0</v>
      </c>
      <c r="T299" s="4">
        <f>SUMIF(基因升级!$D$141:$D$500,"&lt;="&amp;$R299,基因升级!J$141:J$500)</f>
        <v>26782</v>
      </c>
      <c r="U299" s="4">
        <f>SUMIF(基因升级!$D$141:$D$500,"&lt;="&amp;$R299,基因升级!K$141:K$500)</f>
        <v>3.69999999999999</v>
      </c>
      <c r="V299" s="4">
        <f>SUMIF(基因升级!$D$141:$D$500,"&lt;="&amp;$R299,基因升级!L$141:L$500)</f>
        <v>2.19</v>
      </c>
      <c r="W299" s="4">
        <f>SUMIF(基因升级!$D$141:$D$500,"&lt;="&amp;$R299,基因升级!M$141:M$500)</f>
        <v>0.146</v>
      </c>
      <c r="X299" s="4">
        <f>SUMIF(基因升级!$D$141:$D$500,"&lt;="&amp;$R299,基因升级!N$141:N$500)</f>
        <v>0.5475</v>
      </c>
    </row>
    <row r="300" ht="16.5" spans="1:24">
      <c r="A300" s="14">
        <v>294</v>
      </c>
      <c r="B300" s="4">
        <f>IFERROR(_xlfn.XLOOKUP(A300+1,基因升级!$E$141:$E$500,基因升级!$D$141:$D$500)-1,B299)</f>
        <v>99</v>
      </c>
      <c r="C300" s="4">
        <f>SUMIF(基因升级!$D$141:$D$500,"&lt;"&amp;$B300,基因升级!$U$141:$U$500)</f>
        <v>0</v>
      </c>
      <c r="D300" s="4"/>
      <c r="E300" s="4"/>
      <c r="F300" s="4"/>
      <c r="G300" s="4"/>
      <c r="H300" s="4"/>
      <c r="I300" s="4"/>
      <c r="J300" s="4"/>
      <c r="K300" s="4">
        <f>SUMIF(基因升级!$D$141:$D$500,"&lt;"&amp;$B300,基因升级!J$141:J$500)</f>
        <v>3848</v>
      </c>
      <c r="L300" s="4">
        <f>SUMIF(基因升级!$D$141:$D$500,"&lt;"&amp;$B300,基因升级!K$141:K$500)</f>
        <v>1.25</v>
      </c>
      <c r="M300" s="4">
        <f>SUMIF(基因升级!$D$141:$D$500,"&lt;"&amp;$B300,基因升级!L$141:L$500)</f>
        <v>0.72</v>
      </c>
      <c r="N300" s="4">
        <f>SUMIF(基因升级!$D$141:$D$500,"&lt;"&amp;$B300,基因升级!M$141:M$500)</f>
        <v>0.048</v>
      </c>
      <c r="O300" s="4">
        <f>SUMIF(基因升级!$D$141:$D$500,"&lt;"&amp;$B300,基因升级!N$141:N$500)</f>
        <v>0.1875</v>
      </c>
      <c r="R300" s="4">
        <v>294</v>
      </c>
      <c r="S300" s="4">
        <f>SUMIF(基因升级!$D$141:$D$500,"&lt;="&amp;$R300,基因升级!$U$141:$U$500)</f>
        <v>0</v>
      </c>
      <c r="T300" s="4">
        <f>SUMIF(基因升级!$D$141:$D$500,"&lt;="&amp;$R300,基因升级!J$141:J$500)</f>
        <v>26934</v>
      </c>
      <c r="U300" s="4">
        <f>SUMIF(基因升级!$D$141:$D$500,"&lt;="&amp;$R300,基因升级!K$141:K$500)</f>
        <v>3.69999999999999</v>
      </c>
      <c r="V300" s="4">
        <f>SUMIF(基因升级!$D$141:$D$500,"&lt;="&amp;$R300,基因升级!L$141:L$500)</f>
        <v>2.19</v>
      </c>
      <c r="W300" s="4">
        <f>SUMIF(基因升级!$D$141:$D$500,"&lt;="&amp;$R300,基因升级!M$141:M$500)</f>
        <v>0.146</v>
      </c>
      <c r="X300" s="4">
        <f>SUMIF(基因升级!$D$141:$D$500,"&lt;="&amp;$R300,基因升级!N$141:N$500)</f>
        <v>0.555</v>
      </c>
    </row>
    <row r="301" ht="16.5" spans="1:24">
      <c r="A301" s="14">
        <v>295</v>
      </c>
      <c r="B301" s="4">
        <f>IFERROR(_xlfn.XLOOKUP(A301+1,基因升级!$E$141:$E$500,基因升级!$D$141:$D$500)-1,B300)</f>
        <v>99</v>
      </c>
      <c r="C301" s="4">
        <f>SUMIF(基因升级!$D$141:$D$500,"&lt;"&amp;$B301,基因升级!$U$141:$U$500)</f>
        <v>0</v>
      </c>
      <c r="D301" s="4"/>
      <c r="E301" s="4"/>
      <c r="F301" s="4"/>
      <c r="G301" s="4"/>
      <c r="H301" s="4"/>
      <c r="I301" s="4"/>
      <c r="J301" s="4"/>
      <c r="K301" s="4">
        <f>SUMIF(基因升级!$D$141:$D$500,"&lt;"&amp;$B301,基因升级!J$141:J$500)</f>
        <v>3848</v>
      </c>
      <c r="L301" s="4">
        <f>SUMIF(基因升级!$D$141:$D$500,"&lt;"&amp;$B301,基因升级!K$141:K$500)</f>
        <v>1.25</v>
      </c>
      <c r="M301" s="4">
        <f>SUMIF(基因升级!$D$141:$D$500,"&lt;"&amp;$B301,基因升级!L$141:L$500)</f>
        <v>0.72</v>
      </c>
      <c r="N301" s="4">
        <f>SUMIF(基因升级!$D$141:$D$500,"&lt;"&amp;$B301,基因升级!M$141:M$500)</f>
        <v>0.048</v>
      </c>
      <c r="O301" s="4">
        <f>SUMIF(基因升级!$D$141:$D$500,"&lt;"&amp;$B301,基因升级!N$141:N$500)</f>
        <v>0.1875</v>
      </c>
      <c r="R301" s="4">
        <v>295</v>
      </c>
      <c r="S301" s="4">
        <f>SUMIF(基因升级!$D$141:$D$500,"&lt;="&amp;$R301,基因升级!$U$141:$U$500)</f>
        <v>0</v>
      </c>
      <c r="T301" s="4">
        <f>SUMIF(基因升级!$D$141:$D$500,"&lt;="&amp;$R301,基因升级!J$141:J$500)</f>
        <v>27086</v>
      </c>
      <c r="U301" s="4">
        <f>SUMIF(基因升级!$D$141:$D$500,"&lt;="&amp;$R301,基因升级!K$141:K$500)</f>
        <v>3.69999999999999</v>
      </c>
      <c r="V301" s="4">
        <f>SUMIF(基因升级!$D$141:$D$500,"&lt;="&amp;$R301,基因升级!L$141:L$500)</f>
        <v>2.19</v>
      </c>
      <c r="W301" s="4">
        <f>SUMIF(基因升级!$D$141:$D$500,"&lt;="&amp;$R301,基因升级!M$141:M$500)</f>
        <v>0.148</v>
      </c>
      <c r="X301" s="4">
        <f>SUMIF(基因升级!$D$141:$D$500,"&lt;="&amp;$R301,基因升级!N$141:N$500)</f>
        <v>0.555</v>
      </c>
    </row>
    <row r="302" ht="16.5" spans="1:24">
      <c r="A302" s="14">
        <v>296</v>
      </c>
      <c r="B302" s="4">
        <f>IFERROR(_xlfn.XLOOKUP(A302+1,基因升级!$E$141:$E$500,基因升级!$D$141:$D$500)-1,B301)</f>
        <v>99</v>
      </c>
      <c r="C302" s="4">
        <f>SUMIF(基因升级!$D$141:$D$500,"&lt;"&amp;$B302,基因升级!$U$141:$U$500)</f>
        <v>0</v>
      </c>
      <c r="D302" s="4"/>
      <c r="E302" s="4"/>
      <c r="F302" s="4"/>
      <c r="G302" s="4"/>
      <c r="H302" s="4"/>
      <c r="I302" s="4"/>
      <c r="J302" s="4"/>
      <c r="K302" s="4">
        <f>SUMIF(基因升级!$D$141:$D$500,"&lt;"&amp;$B302,基因升级!J$141:J$500)</f>
        <v>3848</v>
      </c>
      <c r="L302" s="4">
        <f>SUMIF(基因升级!$D$141:$D$500,"&lt;"&amp;$B302,基因升级!K$141:K$500)</f>
        <v>1.25</v>
      </c>
      <c r="M302" s="4">
        <f>SUMIF(基因升级!$D$141:$D$500,"&lt;"&amp;$B302,基因升级!L$141:L$500)</f>
        <v>0.72</v>
      </c>
      <c r="N302" s="4">
        <f>SUMIF(基因升级!$D$141:$D$500,"&lt;"&amp;$B302,基因升级!M$141:M$500)</f>
        <v>0.048</v>
      </c>
      <c r="O302" s="4">
        <f>SUMIF(基因升级!$D$141:$D$500,"&lt;"&amp;$B302,基因升级!N$141:N$500)</f>
        <v>0.1875</v>
      </c>
      <c r="R302" s="4">
        <v>296</v>
      </c>
      <c r="S302" s="4">
        <f>SUMIF(基因升级!$D$141:$D$500,"&lt;="&amp;$R302,基因升级!$U$141:$U$500)</f>
        <v>0</v>
      </c>
      <c r="T302" s="4">
        <f>SUMIF(基因升级!$D$141:$D$500,"&lt;="&amp;$R302,基因升级!J$141:J$500)</f>
        <v>27238</v>
      </c>
      <c r="U302" s="4">
        <f>SUMIF(基因升级!$D$141:$D$500,"&lt;="&amp;$R302,基因升级!K$141:K$500)</f>
        <v>3.69999999999999</v>
      </c>
      <c r="V302" s="4">
        <f>SUMIF(基因升级!$D$141:$D$500,"&lt;="&amp;$R302,基因升级!L$141:L$500)</f>
        <v>2.22</v>
      </c>
      <c r="W302" s="4">
        <f>SUMIF(基因升级!$D$141:$D$500,"&lt;="&amp;$R302,基因升级!M$141:M$500)</f>
        <v>0.148</v>
      </c>
      <c r="X302" s="4">
        <f>SUMIF(基因升级!$D$141:$D$500,"&lt;="&amp;$R302,基因升级!N$141:N$500)</f>
        <v>0.555</v>
      </c>
    </row>
    <row r="303" ht="16.5" spans="1:24">
      <c r="A303" s="14">
        <v>297</v>
      </c>
      <c r="B303" s="4">
        <f>IFERROR(_xlfn.XLOOKUP(A303+1,基因升级!$E$141:$E$500,基因升级!$D$141:$D$500)-1,B302)</f>
        <v>99</v>
      </c>
      <c r="C303" s="4">
        <f>SUMIF(基因升级!$D$141:$D$500,"&lt;"&amp;$B303,基因升级!$U$141:$U$500)</f>
        <v>0</v>
      </c>
      <c r="D303" s="4"/>
      <c r="E303" s="4"/>
      <c r="F303" s="4"/>
      <c r="G303" s="4"/>
      <c r="H303" s="4"/>
      <c r="I303" s="4"/>
      <c r="J303" s="4"/>
      <c r="K303" s="4">
        <f>SUMIF(基因升级!$D$141:$D$500,"&lt;"&amp;$B303,基因升级!J$141:J$500)</f>
        <v>3848</v>
      </c>
      <c r="L303" s="4">
        <f>SUMIF(基因升级!$D$141:$D$500,"&lt;"&amp;$B303,基因升级!K$141:K$500)</f>
        <v>1.25</v>
      </c>
      <c r="M303" s="4">
        <f>SUMIF(基因升级!$D$141:$D$500,"&lt;"&amp;$B303,基因升级!L$141:L$500)</f>
        <v>0.72</v>
      </c>
      <c r="N303" s="4">
        <f>SUMIF(基因升级!$D$141:$D$500,"&lt;"&amp;$B303,基因升级!M$141:M$500)</f>
        <v>0.048</v>
      </c>
      <c r="O303" s="4">
        <f>SUMIF(基因升级!$D$141:$D$500,"&lt;"&amp;$B303,基因升级!N$141:N$500)</f>
        <v>0.1875</v>
      </c>
      <c r="R303" s="4">
        <v>297</v>
      </c>
      <c r="S303" s="4">
        <f>SUMIF(基因升级!$D$141:$D$500,"&lt;="&amp;$R303,基因升级!$U$141:$U$500)</f>
        <v>0</v>
      </c>
      <c r="T303" s="4">
        <f>SUMIF(基因升级!$D$141:$D$500,"&lt;="&amp;$R303,基因升级!J$141:J$500)</f>
        <v>27396</v>
      </c>
      <c r="U303" s="4">
        <f>SUMIF(基因升级!$D$141:$D$500,"&lt;="&amp;$R303,基因升级!K$141:K$500)</f>
        <v>3.74999999999999</v>
      </c>
      <c r="V303" s="4">
        <f>SUMIF(基因升级!$D$141:$D$500,"&lt;="&amp;$R303,基因升级!L$141:L$500)</f>
        <v>2.22</v>
      </c>
      <c r="W303" s="4">
        <f>SUMIF(基因升级!$D$141:$D$500,"&lt;="&amp;$R303,基因升级!M$141:M$500)</f>
        <v>0.148</v>
      </c>
      <c r="X303" s="4">
        <f>SUMIF(基因升级!$D$141:$D$500,"&lt;="&amp;$R303,基因升级!N$141:N$500)</f>
        <v>0.555</v>
      </c>
    </row>
    <row r="304" ht="16.5" spans="1:24">
      <c r="A304" s="14">
        <v>298</v>
      </c>
      <c r="B304" s="4">
        <f>IFERROR(_xlfn.XLOOKUP(A304+1,基因升级!$E$141:$E$500,基因升级!$D$141:$D$500)-1,B303)</f>
        <v>100</v>
      </c>
      <c r="C304" s="4">
        <f>SUMIF(基因升级!$D$141:$D$500,"&lt;"&amp;$B304,基因升级!$U$141:$U$500)</f>
        <v>0</v>
      </c>
      <c r="D304" s="4"/>
      <c r="E304" s="4"/>
      <c r="F304" s="4"/>
      <c r="G304" s="4"/>
      <c r="H304" s="4"/>
      <c r="I304" s="4"/>
      <c r="J304" s="4"/>
      <c r="K304" s="4">
        <f>SUMIF(基因升级!$D$141:$D$500,"&lt;"&amp;$B304,基因升级!J$141:J$500)</f>
        <v>3924</v>
      </c>
      <c r="L304" s="4">
        <f>SUMIF(基因升级!$D$141:$D$500,"&lt;"&amp;$B304,基因升级!K$141:K$500)</f>
        <v>1.25</v>
      </c>
      <c r="M304" s="4">
        <f>SUMIF(基因升级!$D$141:$D$500,"&lt;"&amp;$B304,基因升级!L$141:L$500)</f>
        <v>0.72</v>
      </c>
      <c r="N304" s="4">
        <f>SUMIF(基因升级!$D$141:$D$500,"&lt;"&amp;$B304,基因升级!M$141:M$500)</f>
        <v>0.05</v>
      </c>
      <c r="O304" s="4">
        <f>SUMIF(基因升级!$D$141:$D$500,"&lt;"&amp;$B304,基因升级!N$141:N$500)</f>
        <v>0.1875</v>
      </c>
      <c r="R304" s="4">
        <v>298</v>
      </c>
      <c r="S304" s="4">
        <f>SUMIF(基因升级!$D$141:$D$500,"&lt;="&amp;$R304,基因升级!$U$141:$U$500)</f>
        <v>0</v>
      </c>
      <c r="T304" s="4">
        <f>SUMIF(基因升级!$D$141:$D$500,"&lt;="&amp;$R304,基因升级!J$141:J$500)</f>
        <v>27554</v>
      </c>
      <c r="U304" s="4">
        <f>SUMIF(基因升级!$D$141:$D$500,"&lt;="&amp;$R304,基因升级!K$141:K$500)</f>
        <v>3.74999999999999</v>
      </c>
      <c r="V304" s="4">
        <f>SUMIF(基因升级!$D$141:$D$500,"&lt;="&amp;$R304,基因升级!L$141:L$500)</f>
        <v>2.22</v>
      </c>
      <c r="W304" s="4">
        <f>SUMIF(基因升级!$D$141:$D$500,"&lt;="&amp;$R304,基因升级!M$141:M$500)</f>
        <v>0.148</v>
      </c>
      <c r="X304" s="4">
        <f>SUMIF(基因升级!$D$141:$D$500,"&lt;="&amp;$R304,基因升级!N$141:N$500)</f>
        <v>0.5625</v>
      </c>
    </row>
    <row r="305" ht="16.5" spans="1:24">
      <c r="A305" s="14">
        <v>299</v>
      </c>
      <c r="B305" s="4">
        <f>IFERROR(_xlfn.XLOOKUP(A305+1,基因升级!$E$141:$E$500,基因升级!$D$141:$D$500)-1,B304)</f>
        <v>100</v>
      </c>
      <c r="C305" s="4">
        <f>SUMIF(基因升级!$D$141:$D$500,"&lt;"&amp;$B305,基因升级!$U$141:$U$500)</f>
        <v>0</v>
      </c>
      <c r="D305" s="4"/>
      <c r="E305" s="4"/>
      <c r="F305" s="4"/>
      <c r="G305" s="4"/>
      <c r="H305" s="4"/>
      <c r="I305" s="4"/>
      <c r="J305" s="4"/>
      <c r="K305" s="4">
        <f>SUMIF(基因升级!$D$141:$D$500,"&lt;"&amp;$B305,基因升级!J$141:J$500)</f>
        <v>3924</v>
      </c>
      <c r="L305" s="4">
        <f>SUMIF(基因升级!$D$141:$D$500,"&lt;"&amp;$B305,基因升级!K$141:K$500)</f>
        <v>1.25</v>
      </c>
      <c r="M305" s="4">
        <f>SUMIF(基因升级!$D$141:$D$500,"&lt;"&amp;$B305,基因升级!L$141:L$500)</f>
        <v>0.72</v>
      </c>
      <c r="N305" s="4">
        <f>SUMIF(基因升级!$D$141:$D$500,"&lt;"&amp;$B305,基因升级!M$141:M$500)</f>
        <v>0.05</v>
      </c>
      <c r="O305" s="4">
        <f>SUMIF(基因升级!$D$141:$D$500,"&lt;"&amp;$B305,基因升级!N$141:N$500)</f>
        <v>0.1875</v>
      </c>
      <c r="R305" s="4">
        <v>299</v>
      </c>
      <c r="S305" s="4">
        <f>SUMIF(基因升级!$D$141:$D$500,"&lt;="&amp;$R305,基因升级!$U$141:$U$500)</f>
        <v>0</v>
      </c>
      <c r="T305" s="4">
        <f>SUMIF(基因升级!$D$141:$D$500,"&lt;="&amp;$R305,基因升级!J$141:J$500)</f>
        <v>27712</v>
      </c>
      <c r="U305" s="4">
        <f>SUMIF(基因升级!$D$141:$D$500,"&lt;="&amp;$R305,基因升级!K$141:K$500)</f>
        <v>3.74999999999999</v>
      </c>
      <c r="V305" s="4">
        <f>SUMIF(基因升级!$D$141:$D$500,"&lt;="&amp;$R305,基因升级!L$141:L$500)</f>
        <v>2.22</v>
      </c>
      <c r="W305" s="4">
        <f>SUMIF(基因升级!$D$141:$D$500,"&lt;="&amp;$R305,基因升级!M$141:M$500)</f>
        <v>0.15</v>
      </c>
      <c r="X305" s="4">
        <f>SUMIF(基因升级!$D$141:$D$500,"&lt;="&amp;$R305,基因升级!N$141:N$500)</f>
        <v>0.5625</v>
      </c>
    </row>
    <row r="306" ht="16.5" spans="1:24">
      <c r="A306" s="14">
        <v>300</v>
      </c>
      <c r="B306" s="4">
        <f>IFERROR(_xlfn.XLOOKUP(A306+1,基因升级!$E$141:$E$500,基因升级!$D$141:$D$500)-1,B305)</f>
        <v>100</v>
      </c>
      <c r="C306" s="4">
        <f>SUMIF(基因升级!$D$141:$D$500,"&lt;"&amp;$B306,基因升级!$U$141:$U$500)</f>
        <v>0</v>
      </c>
      <c r="D306" s="4"/>
      <c r="E306" s="4"/>
      <c r="F306" s="4"/>
      <c r="G306" s="4"/>
      <c r="H306" s="4"/>
      <c r="I306" s="4"/>
      <c r="J306" s="4"/>
      <c r="K306" s="4">
        <f>SUMIF(基因升级!$D$141:$D$500,"&lt;"&amp;$B306,基因升级!J$141:J$500)</f>
        <v>3924</v>
      </c>
      <c r="L306" s="4">
        <f>SUMIF(基因升级!$D$141:$D$500,"&lt;"&amp;$B306,基因升级!K$141:K$500)</f>
        <v>1.25</v>
      </c>
      <c r="M306" s="4">
        <f>SUMIF(基因升级!$D$141:$D$500,"&lt;"&amp;$B306,基因升级!L$141:L$500)</f>
        <v>0.72</v>
      </c>
      <c r="N306" s="4">
        <f>SUMIF(基因升级!$D$141:$D$500,"&lt;"&amp;$B306,基因升级!M$141:M$500)</f>
        <v>0.05</v>
      </c>
      <c r="O306" s="4">
        <f>SUMIF(基因升级!$D$141:$D$500,"&lt;"&amp;$B306,基因升级!N$141:N$500)</f>
        <v>0.1875</v>
      </c>
      <c r="R306" s="4">
        <v>300</v>
      </c>
      <c r="S306" s="4">
        <f>SUMIF(基因升级!$D$141:$D$500,"&lt;="&amp;$R306,基因升级!$U$141:$U$500)</f>
        <v>0</v>
      </c>
      <c r="T306" s="4">
        <f>SUMIF(基因升级!$D$141:$D$500,"&lt;="&amp;$R306,基因升级!J$141:J$500)</f>
        <v>27870</v>
      </c>
      <c r="U306" s="4">
        <f>SUMIF(基因升级!$D$141:$D$500,"&lt;="&amp;$R306,基因升级!K$141:K$500)</f>
        <v>3.74999999999999</v>
      </c>
      <c r="V306" s="4">
        <f>SUMIF(基因升级!$D$141:$D$500,"&lt;="&amp;$R306,基因升级!L$141:L$500)</f>
        <v>2.25</v>
      </c>
      <c r="W306" s="4">
        <f>SUMIF(基因升级!$D$141:$D$500,"&lt;="&amp;$R306,基因升级!M$141:M$500)</f>
        <v>0.15</v>
      </c>
      <c r="X306" s="4">
        <f>SUMIF(基因升级!$D$141:$D$500,"&lt;="&amp;$R306,基因升级!N$141:N$500)</f>
        <v>0.5625</v>
      </c>
    </row>
    <row r="307" ht="16.5" spans="1:24">
      <c r="A307" s="14"/>
    </row>
    <row r="308" ht="16.5" spans="1:24">
      <c r="A308" s="14"/>
    </row>
    <row r="309" ht="16.5" spans="1:24">
      <c r="A309" s="14"/>
    </row>
    <row r="310" ht="16.5" spans="1:24">
      <c r="A310" s="1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AA202"/>
  <sheetViews>
    <sheetView zoomScale="115" zoomScaleNormal="115" workbookViewId="0">
      <selection activeCell="N137" sqref="N137"/>
    </sheetView>
  </sheetViews>
  <sheetFormatPr defaultColWidth="9.14285714285714" defaultRowHeight="16.5"/>
  <cols>
    <col min="1" max="2" width="9.14285714285714" style="1"/>
    <col min="3" max="7" width="12.5714285714286" style="1" customWidth="1"/>
    <col min="8" max="12" width="9.14285714285714" style="1"/>
    <col min="13" max="13" width="22.5714285714286" style="1" customWidth="1"/>
    <col min="14" max="23" width="9.14285714285714" style="1"/>
    <col min="24" max="24" width="14.5714285714286" style="1"/>
    <col min="25" max="16384" width="9.14285714285714" style="1"/>
  </cols>
  <sheetData>
    <row r="1" spans="2:27">
      <c r="M1" s="1">
        <f>COUNTA(M5:M202)</f>
        <v>95</v>
      </c>
    </row>
    <row r="2" spans="2:27">
      <c r="B2" s="1" t="s">
        <v>381</v>
      </c>
      <c r="C2" s="1" t="s">
        <v>382</v>
      </c>
      <c r="D2" s="1" t="s">
        <v>383</v>
      </c>
      <c r="E2" s="1" t="s">
        <v>384</v>
      </c>
      <c r="F2" s="1" t="s">
        <v>385</v>
      </c>
      <c r="G2" s="1" t="s">
        <v>386</v>
      </c>
      <c r="H2" s="1" t="s">
        <v>387</v>
      </c>
      <c r="I2" s="1" t="s">
        <v>388</v>
      </c>
      <c r="J2" s="1" t="s">
        <v>128</v>
      </c>
      <c r="K2" s="1" t="s">
        <v>57</v>
      </c>
      <c r="L2" s="1" t="s">
        <v>35</v>
      </c>
      <c r="M2" s="1" t="s">
        <v>389</v>
      </c>
      <c r="N2" s="1" t="s">
        <v>390</v>
      </c>
      <c r="O2" s="1" t="s">
        <v>391</v>
      </c>
    </row>
    <row r="3" spans="2:27">
      <c r="B3" s="1">
        <v>1</v>
      </c>
      <c r="H3" s="1" t="s">
        <v>392</v>
      </c>
      <c r="I3" s="1" t="s">
        <v>166</v>
      </c>
      <c r="J3" s="1" t="s">
        <v>166</v>
      </c>
      <c r="M3" s="2"/>
      <c r="O3" s="1" t="str">
        <f>IF(L3&amp;M3="","",J3*5)</f>
        <v/>
      </c>
    </row>
    <row r="4" spans="2:27">
      <c r="B4" s="1">
        <f t="shared" ref="B4:B67" si="0">B3+1</f>
        <v>2</v>
      </c>
      <c r="C4" s="1">
        <v>6</v>
      </c>
      <c r="D4" s="3">
        <v>0.05</v>
      </c>
      <c r="I4" s="1">
        <v>10</v>
      </c>
      <c r="J4" s="1">
        <v>220</v>
      </c>
      <c r="M4" s="2"/>
      <c r="O4" s="1" t="str">
        <f t="shared" ref="O4:O35" si="1">IF(L4&amp;M4="","",J4*5)</f>
        <v/>
      </c>
      <c r="R4"/>
      <c r="S4" s="4"/>
      <c r="U4"/>
      <c r="V4"/>
      <c r="W4"/>
      <c r="X4"/>
      <c r="Y4"/>
      <c r="Z4"/>
      <c r="AA4"/>
    </row>
    <row r="5" spans="2:27">
      <c r="B5" s="1">
        <f t="shared" si="0"/>
        <v>3</v>
      </c>
      <c r="C5" s="1">
        <v>6</v>
      </c>
      <c r="E5" s="5">
        <v>0.005</v>
      </c>
      <c r="I5" s="1">
        <v>15</v>
      </c>
      <c r="J5" s="1">
        <f>J6-140</f>
        <v>320</v>
      </c>
      <c r="M5" s="2"/>
      <c r="O5" s="1" t="str">
        <f t="shared" si="1"/>
        <v/>
      </c>
      <c r="R5"/>
      <c r="S5" s="4"/>
      <c r="U5"/>
      <c r="V5"/>
      <c r="W5"/>
      <c r="X5"/>
      <c r="Y5"/>
      <c r="Z5"/>
      <c r="AA5"/>
    </row>
    <row r="6" spans="2:27">
      <c r="B6" s="1">
        <f t="shared" si="0"/>
        <v>4</v>
      </c>
      <c r="C6" s="1">
        <v>6</v>
      </c>
      <c r="F6" s="3">
        <v>0.02</v>
      </c>
      <c r="I6" s="1">
        <v>20</v>
      </c>
      <c r="J6" s="1">
        <f t="shared" ref="J6:J19" si="2">J7-140</f>
        <v>460</v>
      </c>
      <c r="M6" s="2"/>
      <c r="O6" s="1" t="str">
        <f t="shared" si="1"/>
        <v/>
      </c>
      <c r="R6"/>
      <c r="S6" s="4"/>
      <c r="U6"/>
      <c r="V6"/>
      <c r="W6"/>
      <c r="X6"/>
      <c r="Y6"/>
      <c r="Z6"/>
      <c r="AA6"/>
    </row>
    <row r="7" spans="2:27">
      <c r="B7" s="1">
        <f t="shared" si="0"/>
        <v>5</v>
      </c>
      <c r="C7" s="1">
        <v>6</v>
      </c>
      <c r="G7" s="3">
        <v>0.01</v>
      </c>
      <c r="I7" s="1">
        <v>25</v>
      </c>
      <c r="J7" s="1">
        <f t="shared" si="2"/>
        <v>600</v>
      </c>
      <c r="M7" s="2" t="s">
        <v>393</v>
      </c>
      <c r="N7" s="1">
        <v>3</v>
      </c>
      <c r="O7" s="1">
        <f t="shared" si="1"/>
        <v>3000</v>
      </c>
      <c r="R7"/>
      <c r="U7"/>
      <c r="V7"/>
      <c r="W7"/>
      <c r="X7"/>
      <c r="Y7"/>
      <c r="Z7"/>
      <c r="AA7"/>
    </row>
    <row r="8" spans="2:27">
      <c r="B8" s="1">
        <f t="shared" si="0"/>
        <v>6</v>
      </c>
      <c r="C8" s="1">
        <v>8</v>
      </c>
      <c r="D8" s="3">
        <v>0.05</v>
      </c>
      <c r="I8" s="1">
        <v>30</v>
      </c>
      <c r="J8" s="1">
        <f t="shared" si="2"/>
        <v>740</v>
      </c>
      <c r="M8" s="2"/>
      <c r="O8" s="1" t="str">
        <f t="shared" si="1"/>
        <v/>
      </c>
      <c r="R8"/>
      <c r="S8" s="6" t="s">
        <v>393</v>
      </c>
      <c r="U8"/>
      <c r="V8"/>
      <c r="W8"/>
      <c r="X8"/>
      <c r="Y8"/>
      <c r="Z8"/>
      <c r="AA8"/>
    </row>
    <row r="9" spans="2:27">
      <c r="B9" s="1">
        <f t="shared" si="0"/>
        <v>7</v>
      </c>
      <c r="C9" s="1">
        <v>8</v>
      </c>
      <c r="E9" s="5">
        <v>0.005</v>
      </c>
      <c r="I9" s="1">
        <v>35</v>
      </c>
      <c r="J9" s="1">
        <f t="shared" si="2"/>
        <v>880</v>
      </c>
      <c r="M9" s="2"/>
      <c r="O9" s="1" t="str">
        <f t="shared" si="1"/>
        <v/>
      </c>
      <c r="R9"/>
      <c r="S9" s="6" t="s">
        <v>394</v>
      </c>
      <c r="U9"/>
      <c r="V9"/>
      <c r="W9"/>
      <c r="X9"/>
      <c r="Y9"/>
      <c r="Z9"/>
      <c r="AA9"/>
    </row>
    <row r="10" spans="2:27">
      <c r="B10" s="1">
        <f t="shared" si="0"/>
        <v>8</v>
      </c>
      <c r="C10" s="1">
        <v>8</v>
      </c>
      <c r="F10" s="3">
        <v>0.02</v>
      </c>
      <c r="I10" s="1">
        <v>40</v>
      </c>
      <c r="J10" s="1">
        <f t="shared" si="2"/>
        <v>1020</v>
      </c>
      <c r="M10" s="2"/>
      <c r="O10" s="1" t="str">
        <f t="shared" si="1"/>
        <v/>
      </c>
      <c r="R10"/>
      <c r="S10" s="6" t="s">
        <v>395</v>
      </c>
      <c r="U10"/>
      <c r="V10"/>
      <c r="W10"/>
      <c r="X10"/>
      <c r="Y10"/>
      <c r="Z10"/>
      <c r="AA10"/>
    </row>
    <row r="11" spans="2:27">
      <c r="B11" s="1">
        <f t="shared" si="0"/>
        <v>9</v>
      </c>
      <c r="C11" s="1">
        <v>8</v>
      </c>
      <c r="G11" s="3">
        <v>0.01</v>
      </c>
      <c r="I11" s="1">
        <v>45</v>
      </c>
      <c r="J11" s="1">
        <f t="shared" si="2"/>
        <v>1160</v>
      </c>
      <c r="L11" s="1">
        <v>40</v>
      </c>
      <c r="M11" s="2"/>
      <c r="N11" s="1">
        <v>3</v>
      </c>
      <c r="O11" s="1">
        <f t="shared" si="1"/>
        <v>5800</v>
      </c>
      <c r="R11"/>
      <c r="S11" s="6" t="s">
        <v>396</v>
      </c>
      <c r="U11"/>
      <c r="V11"/>
      <c r="W11"/>
      <c r="X11"/>
      <c r="Y11"/>
      <c r="Z11"/>
      <c r="AA11"/>
    </row>
    <row r="12" spans="2:27">
      <c r="B12" s="1">
        <f t="shared" si="0"/>
        <v>10</v>
      </c>
      <c r="C12" s="1">
        <v>12</v>
      </c>
      <c r="D12" s="3">
        <v>0.05</v>
      </c>
      <c r="I12" s="1">
        <v>50</v>
      </c>
      <c r="J12" s="1">
        <f t="shared" si="2"/>
        <v>1300</v>
      </c>
      <c r="M12" s="2"/>
      <c r="O12" s="1" t="str">
        <f t="shared" si="1"/>
        <v/>
      </c>
      <c r="R12"/>
      <c r="S12" s="6" t="s">
        <v>397</v>
      </c>
      <c r="U12"/>
      <c r="V12"/>
      <c r="W12"/>
      <c r="X12"/>
      <c r="Y12"/>
      <c r="Z12"/>
      <c r="AA12"/>
    </row>
    <row r="13" spans="2:27">
      <c r="B13" s="1">
        <f t="shared" si="0"/>
        <v>11</v>
      </c>
      <c r="C13" s="1">
        <v>12</v>
      </c>
      <c r="E13" s="5">
        <v>0.005</v>
      </c>
      <c r="I13" s="1">
        <v>55</v>
      </c>
      <c r="J13" s="1">
        <f t="shared" si="2"/>
        <v>1440</v>
      </c>
      <c r="M13" s="2"/>
      <c r="O13" s="1" t="str">
        <f t="shared" si="1"/>
        <v/>
      </c>
      <c r="R13"/>
      <c r="S13" s="6" t="s">
        <v>398</v>
      </c>
      <c r="U13"/>
      <c r="V13"/>
      <c r="W13"/>
      <c r="X13"/>
      <c r="Y13"/>
      <c r="Z13"/>
      <c r="AA13"/>
    </row>
    <row r="14" spans="2:27">
      <c r="B14" s="1">
        <f t="shared" si="0"/>
        <v>12</v>
      </c>
      <c r="C14" s="1">
        <v>12</v>
      </c>
      <c r="F14" s="3">
        <v>0.02</v>
      </c>
      <c r="I14" s="1">
        <v>60</v>
      </c>
      <c r="J14" s="1">
        <f t="shared" si="2"/>
        <v>1580</v>
      </c>
      <c r="M14" s="2"/>
      <c r="O14" s="1" t="str">
        <f t="shared" si="1"/>
        <v/>
      </c>
      <c r="R14"/>
      <c r="S14" s="6" t="s">
        <v>399</v>
      </c>
      <c r="U14"/>
      <c r="V14"/>
      <c r="W14"/>
      <c r="X14"/>
      <c r="Y14"/>
      <c r="Z14"/>
      <c r="AA14"/>
    </row>
    <row r="15" spans="2:27">
      <c r="B15" s="1">
        <f t="shared" si="0"/>
        <v>13</v>
      </c>
      <c r="C15" s="1">
        <v>12</v>
      </c>
      <c r="G15" s="3">
        <v>0.01</v>
      </c>
      <c r="I15" s="1">
        <v>65</v>
      </c>
      <c r="J15" s="1">
        <f t="shared" si="2"/>
        <v>1720</v>
      </c>
      <c r="M15" s="2"/>
      <c r="O15" s="1" t="str">
        <f t="shared" si="1"/>
        <v/>
      </c>
      <c r="R15"/>
      <c r="S15" s="6" t="s">
        <v>400</v>
      </c>
      <c r="U15"/>
      <c r="V15"/>
      <c r="W15"/>
      <c r="X15"/>
      <c r="Y15"/>
      <c r="Z15"/>
      <c r="AA15"/>
    </row>
    <row r="16" spans="2:27">
      <c r="B16" s="1">
        <f t="shared" si="0"/>
        <v>14</v>
      </c>
      <c r="C16" s="1">
        <v>12</v>
      </c>
      <c r="D16" s="3">
        <v>0.05</v>
      </c>
      <c r="I16" s="1">
        <v>70</v>
      </c>
      <c r="J16" s="1">
        <f t="shared" si="2"/>
        <v>1860</v>
      </c>
      <c r="M16" s="2"/>
      <c r="O16" s="1" t="str">
        <f t="shared" si="1"/>
        <v/>
      </c>
      <c r="R16"/>
      <c r="S16" s="6" t="s">
        <v>401</v>
      </c>
      <c r="U16"/>
      <c r="V16"/>
      <c r="W16"/>
      <c r="X16"/>
      <c r="Y16"/>
      <c r="Z16"/>
      <c r="AA16"/>
    </row>
    <row r="17" spans="2:27">
      <c r="B17" s="1">
        <f t="shared" si="0"/>
        <v>15</v>
      </c>
      <c r="C17" s="1">
        <v>12</v>
      </c>
      <c r="E17" s="5">
        <v>0.005</v>
      </c>
      <c r="I17" s="1">
        <v>75</v>
      </c>
      <c r="J17" s="1">
        <f t="shared" si="2"/>
        <v>2000</v>
      </c>
      <c r="M17" s="2" t="s">
        <v>394</v>
      </c>
      <c r="N17" s="1">
        <v>3</v>
      </c>
      <c r="O17" s="1">
        <f t="shared" si="1"/>
        <v>10000</v>
      </c>
      <c r="R17"/>
      <c r="S17" s="6" t="s">
        <v>402</v>
      </c>
      <c r="U17"/>
      <c r="V17"/>
      <c r="W17"/>
      <c r="X17"/>
      <c r="Y17"/>
      <c r="Z17"/>
      <c r="AA17"/>
    </row>
    <row r="18" spans="2:27">
      <c r="B18" s="1">
        <f t="shared" si="0"/>
        <v>16</v>
      </c>
      <c r="C18" s="1">
        <v>16</v>
      </c>
      <c r="F18" s="3">
        <v>0.02</v>
      </c>
      <c r="I18" s="1">
        <v>80</v>
      </c>
      <c r="J18" s="1">
        <f t="shared" si="2"/>
        <v>2140</v>
      </c>
      <c r="M18" s="2"/>
      <c r="O18" s="1" t="str">
        <f t="shared" si="1"/>
        <v/>
      </c>
      <c r="R18"/>
      <c r="S18" s="6" t="s">
        <v>403</v>
      </c>
      <c r="U18"/>
      <c r="V18"/>
      <c r="W18"/>
      <c r="X18"/>
      <c r="Y18"/>
      <c r="Z18"/>
      <c r="AA18"/>
    </row>
    <row r="19" spans="2:27">
      <c r="B19" s="1">
        <f t="shared" si="0"/>
        <v>17</v>
      </c>
      <c r="C19" s="1">
        <v>16</v>
      </c>
      <c r="G19" s="3">
        <v>0.01</v>
      </c>
      <c r="I19" s="1">
        <v>85</v>
      </c>
      <c r="J19" s="1">
        <f t="shared" si="2"/>
        <v>2280</v>
      </c>
      <c r="M19" s="2"/>
      <c r="O19" s="1" t="str">
        <f t="shared" si="1"/>
        <v/>
      </c>
      <c r="R19"/>
      <c r="S19" s="6" t="s">
        <v>404</v>
      </c>
      <c r="U19"/>
      <c r="V19"/>
      <c r="W19"/>
      <c r="X19"/>
      <c r="Y19"/>
      <c r="Z19"/>
      <c r="AA19"/>
    </row>
    <row r="20" spans="2:27">
      <c r="B20" s="1">
        <f t="shared" si="0"/>
        <v>18</v>
      </c>
      <c r="C20" s="1">
        <v>16</v>
      </c>
      <c r="D20" s="3">
        <v>0.05</v>
      </c>
      <c r="I20" s="1">
        <v>90</v>
      </c>
      <c r="J20" s="1">
        <f t="shared" ref="J20:J33" si="3">J21-275</f>
        <v>2420</v>
      </c>
      <c r="M20" s="2"/>
      <c r="O20" s="1" t="str">
        <f t="shared" si="1"/>
        <v/>
      </c>
      <c r="R20"/>
      <c r="S20" s="6" t="s">
        <v>405</v>
      </c>
      <c r="U20"/>
      <c r="V20"/>
      <c r="W20"/>
      <c r="X20"/>
      <c r="Y20"/>
      <c r="Z20"/>
      <c r="AA20"/>
    </row>
    <row r="21" spans="2:27">
      <c r="B21" s="1">
        <f t="shared" si="0"/>
        <v>19</v>
      </c>
      <c r="C21" s="1">
        <v>16</v>
      </c>
      <c r="E21" s="5">
        <v>0.005</v>
      </c>
      <c r="I21" s="1">
        <v>100</v>
      </c>
      <c r="J21" s="1">
        <f t="shared" si="3"/>
        <v>2695</v>
      </c>
      <c r="M21" s="2"/>
      <c r="O21" s="1" t="str">
        <f t="shared" si="1"/>
        <v/>
      </c>
      <c r="R21"/>
      <c r="U21"/>
      <c r="V21"/>
      <c r="W21"/>
      <c r="X21"/>
      <c r="Y21"/>
      <c r="Z21"/>
      <c r="AA21"/>
    </row>
    <row r="22" spans="2:27">
      <c r="B22" s="1">
        <f t="shared" si="0"/>
        <v>20</v>
      </c>
      <c r="C22" s="1">
        <v>16</v>
      </c>
      <c r="F22" s="3">
        <v>0.02</v>
      </c>
      <c r="I22" s="1">
        <v>110</v>
      </c>
      <c r="J22" s="1">
        <f t="shared" si="3"/>
        <v>2970</v>
      </c>
      <c r="L22" s="1">
        <v>40</v>
      </c>
      <c r="M22" s="2"/>
      <c r="N22" s="1">
        <v>6</v>
      </c>
      <c r="O22" s="1">
        <f t="shared" si="1"/>
        <v>14850</v>
      </c>
      <c r="R22"/>
      <c r="S22"/>
      <c r="U22"/>
      <c r="V22"/>
      <c r="W22"/>
      <c r="X22"/>
      <c r="Y22"/>
      <c r="Z22"/>
      <c r="AA22"/>
    </row>
    <row r="23" spans="2:27">
      <c r="B23" s="1">
        <f t="shared" si="0"/>
        <v>21</v>
      </c>
      <c r="C23" s="1">
        <v>20</v>
      </c>
      <c r="G23" s="3">
        <v>0.01</v>
      </c>
      <c r="I23" s="1">
        <v>120</v>
      </c>
      <c r="J23" s="1">
        <f t="shared" si="3"/>
        <v>3245</v>
      </c>
      <c r="M23" s="2"/>
      <c r="O23" s="1" t="str">
        <f t="shared" si="1"/>
        <v/>
      </c>
      <c r="R23"/>
      <c r="S23"/>
      <c r="T23" s="4"/>
      <c r="U23"/>
      <c r="V23"/>
      <c r="W23"/>
      <c r="X23"/>
      <c r="Y23"/>
      <c r="Z23"/>
      <c r="AA23"/>
    </row>
    <row r="24" spans="2:27">
      <c r="B24" s="1">
        <f t="shared" si="0"/>
        <v>22</v>
      </c>
      <c r="C24" s="1">
        <v>20</v>
      </c>
      <c r="D24" s="7">
        <f t="shared" ref="D24:D87" si="4">IF(D20="","",D20)</f>
        <v>0.05</v>
      </c>
      <c r="E24" s="8" t="str">
        <f t="shared" ref="E24:E87" si="5">IF(E20="","",E20)</f>
        <v/>
      </c>
      <c r="F24" s="7" t="str">
        <f t="shared" ref="F24:F87" si="6">IF(F20="","",F20)</f>
        <v/>
      </c>
      <c r="G24" s="7" t="str">
        <f t="shared" ref="G24:G87" si="7">IF(G20="","",G20)</f>
        <v/>
      </c>
      <c r="I24" s="1">
        <v>130</v>
      </c>
      <c r="J24" s="1">
        <f t="shared" si="3"/>
        <v>3520</v>
      </c>
      <c r="M24" s="2"/>
      <c r="O24" s="1" t="str">
        <f t="shared" si="1"/>
        <v/>
      </c>
      <c r="R24"/>
      <c r="S24"/>
      <c r="T24" s="4"/>
      <c r="U24"/>
      <c r="V24"/>
      <c r="W24"/>
      <c r="X24"/>
      <c r="Y24"/>
      <c r="Z24"/>
      <c r="AA24"/>
    </row>
    <row r="25" spans="2:27">
      <c r="B25" s="1">
        <f t="shared" si="0"/>
        <v>23</v>
      </c>
      <c r="C25" s="1">
        <v>20</v>
      </c>
      <c r="D25" s="7" t="str">
        <f t="shared" si="4"/>
        <v/>
      </c>
      <c r="E25" s="8">
        <f t="shared" si="5"/>
        <v>0.005</v>
      </c>
      <c r="F25" s="7" t="str">
        <f t="shared" si="6"/>
        <v/>
      </c>
      <c r="G25" s="7" t="str">
        <f t="shared" si="7"/>
        <v/>
      </c>
      <c r="I25" s="1">
        <v>140</v>
      </c>
      <c r="J25" s="1">
        <f t="shared" si="3"/>
        <v>3795</v>
      </c>
      <c r="M25" s="2"/>
      <c r="O25" s="1" t="str">
        <f t="shared" si="1"/>
        <v/>
      </c>
      <c r="R25"/>
      <c r="S25"/>
      <c r="T25" s="4"/>
      <c r="U25"/>
      <c r="V25"/>
      <c r="W25"/>
      <c r="X25"/>
      <c r="Y25"/>
      <c r="Z25"/>
      <c r="AA25"/>
    </row>
    <row r="26" spans="2:27">
      <c r="B26" s="1">
        <f t="shared" si="0"/>
        <v>24</v>
      </c>
      <c r="C26" s="1">
        <v>20</v>
      </c>
      <c r="D26" s="7" t="str">
        <f t="shared" si="4"/>
        <v/>
      </c>
      <c r="E26" s="8" t="str">
        <f t="shared" si="5"/>
        <v/>
      </c>
      <c r="F26" s="7">
        <f t="shared" si="6"/>
        <v>0.02</v>
      </c>
      <c r="G26" s="7" t="str">
        <f t="shared" si="7"/>
        <v/>
      </c>
      <c r="I26" s="1">
        <v>150</v>
      </c>
      <c r="J26" s="1">
        <f t="shared" si="3"/>
        <v>4070</v>
      </c>
      <c r="M26" s="2"/>
      <c r="O26" s="1" t="str">
        <f t="shared" si="1"/>
        <v/>
      </c>
      <c r="R26"/>
      <c r="S26"/>
      <c r="T26" s="4"/>
      <c r="U26"/>
      <c r="V26"/>
      <c r="W26"/>
      <c r="X26"/>
      <c r="Y26"/>
      <c r="Z26"/>
      <c r="AA26"/>
    </row>
    <row r="27" spans="2:27">
      <c r="B27" s="1">
        <f t="shared" si="0"/>
        <v>25</v>
      </c>
      <c r="C27" s="1">
        <v>20</v>
      </c>
      <c r="D27" s="7" t="str">
        <f t="shared" si="4"/>
        <v/>
      </c>
      <c r="E27" s="8" t="str">
        <f t="shared" si="5"/>
        <v/>
      </c>
      <c r="F27" s="7" t="str">
        <f t="shared" si="6"/>
        <v/>
      </c>
      <c r="G27" s="7">
        <f t="shared" si="7"/>
        <v>0.01</v>
      </c>
      <c r="I27" s="1">
        <v>160</v>
      </c>
      <c r="J27" s="1">
        <f t="shared" si="3"/>
        <v>4345</v>
      </c>
      <c r="M27" s="2" t="s">
        <v>395</v>
      </c>
      <c r="N27" s="1">
        <v>6</v>
      </c>
      <c r="O27" s="1">
        <f t="shared" si="1"/>
        <v>21725</v>
      </c>
      <c r="S27"/>
      <c r="T27" s="4"/>
    </row>
    <row r="28" spans="2:27">
      <c r="B28" s="1">
        <f t="shared" si="0"/>
        <v>26</v>
      </c>
      <c r="C28" s="1">
        <v>24</v>
      </c>
      <c r="D28" s="7">
        <f t="shared" si="4"/>
        <v>0.05</v>
      </c>
      <c r="E28" s="8" t="str">
        <f t="shared" si="5"/>
        <v/>
      </c>
      <c r="F28" s="7" t="str">
        <f t="shared" si="6"/>
        <v/>
      </c>
      <c r="G28" s="7" t="str">
        <f t="shared" si="7"/>
        <v/>
      </c>
      <c r="I28" s="1">
        <v>170</v>
      </c>
      <c r="J28" s="1">
        <f t="shared" si="3"/>
        <v>4620</v>
      </c>
      <c r="M28" s="2"/>
      <c r="O28" s="1" t="str">
        <f t="shared" si="1"/>
        <v/>
      </c>
      <c r="S28"/>
      <c r="T28" s="4"/>
    </row>
    <row r="29" spans="2:27">
      <c r="B29" s="1">
        <f t="shared" si="0"/>
        <v>27</v>
      </c>
      <c r="C29" s="1">
        <v>24</v>
      </c>
      <c r="D29" s="7" t="str">
        <f t="shared" si="4"/>
        <v/>
      </c>
      <c r="E29" s="8">
        <f t="shared" si="5"/>
        <v>0.005</v>
      </c>
      <c r="F29" s="7" t="str">
        <f t="shared" si="6"/>
        <v/>
      </c>
      <c r="G29" s="7" t="str">
        <f t="shared" si="7"/>
        <v/>
      </c>
      <c r="I29" s="1">
        <v>180</v>
      </c>
      <c r="J29" s="1">
        <f t="shared" si="3"/>
        <v>4895</v>
      </c>
      <c r="M29" s="2"/>
      <c r="O29" s="1" t="str">
        <f t="shared" si="1"/>
        <v/>
      </c>
      <c r="S29"/>
      <c r="T29" s="4"/>
    </row>
    <row r="30" spans="2:27">
      <c r="B30" s="1">
        <f t="shared" si="0"/>
        <v>28</v>
      </c>
      <c r="C30" s="1">
        <v>24</v>
      </c>
      <c r="D30" s="7" t="str">
        <f t="shared" si="4"/>
        <v/>
      </c>
      <c r="E30" s="8" t="str">
        <f t="shared" si="5"/>
        <v/>
      </c>
      <c r="F30" s="7">
        <f t="shared" si="6"/>
        <v>0.02</v>
      </c>
      <c r="G30" s="7" t="str">
        <f t="shared" si="7"/>
        <v/>
      </c>
      <c r="I30" s="1">
        <v>190</v>
      </c>
      <c r="J30" s="1">
        <f t="shared" si="3"/>
        <v>5170</v>
      </c>
      <c r="M30" s="2"/>
      <c r="O30" s="1" t="str">
        <f t="shared" si="1"/>
        <v/>
      </c>
      <c r="S30"/>
      <c r="T30" s="4"/>
    </row>
    <row r="31" spans="2:27">
      <c r="B31" s="1">
        <f t="shared" si="0"/>
        <v>29</v>
      </c>
      <c r="C31" s="1">
        <v>24</v>
      </c>
      <c r="D31" s="7" t="str">
        <f t="shared" si="4"/>
        <v/>
      </c>
      <c r="E31" s="8" t="str">
        <f t="shared" si="5"/>
        <v/>
      </c>
      <c r="F31" s="7" t="str">
        <f t="shared" si="6"/>
        <v/>
      </c>
      <c r="G31" s="7">
        <f t="shared" si="7"/>
        <v>0.01</v>
      </c>
      <c r="I31" s="1">
        <v>200</v>
      </c>
      <c r="J31" s="1">
        <f t="shared" si="3"/>
        <v>5445</v>
      </c>
      <c r="M31" s="2"/>
      <c r="O31" s="1" t="str">
        <f t="shared" si="1"/>
        <v/>
      </c>
      <c r="S31"/>
      <c r="T31" s="4"/>
    </row>
    <row r="32" spans="2:27">
      <c r="B32" s="1">
        <f t="shared" si="0"/>
        <v>30</v>
      </c>
      <c r="C32" s="1">
        <v>24</v>
      </c>
      <c r="D32" s="7">
        <f t="shared" si="4"/>
        <v>0.05</v>
      </c>
      <c r="E32" s="8" t="str">
        <f t="shared" si="5"/>
        <v/>
      </c>
      <c r="F32" s="7" t="str">
        <f t="shared" si="6"/>
        <v/>
      </c>
      <c r="G32" s="7" t="str">
        <f t="shared" si="7"/>
        <v/>
      </c>
      <c r="I32" s="1">
        <v>210</v>
      </c>
      <c r="J32" s="1">
        <f t="shared" si="3"/>
        <v>5720</v>
      </c>
      <c r="L32" s="1">
        <v>50</v>
      </c>
      <c r="M32" s="2"/>
      <c r="N32" s="1">
        <v>6</v>
      </c>
      <c r="O32" s="1">
        <f t="shared" si="1"/>
        <v>28600</v>
      </c>
      <c r="S32"/>
      <c r="T32" s="4"/>
    </row>
    <row r="33" spans="2:20">
      <c r="B33" s="1">
        <f t="shared" si="0"/>
        <v>31</v>
      </c>
      <c r="C33" s="1">
        <v>28</v>
      </c>
      <c r="D33" s="7" t="str">
        <f t="shared" si="4"/>
        <v/>
      </c>
      <c r="E33" s="8">
        <f t="shared" si="5"/>
        <v>0.005</v>
      </c>
      <c r="F33" s="7" t="str">
        <f t="shared" si="6"/>
        <v/>
      </c>
      <c r="G33" s="7" t="str">
        <f t="shared" si="7"/>
        <v/>
      </c>
      <c r="I33" s="1">
        <v>220</v>
      </c>
      <c r="J33" s="1">
        <f t="shared" si="3"/>
        <v>5995</v>
      </c>
      <c r="M33" s="2"/>
      <c r="O33" s="1" t="str">
        <f t="shared" si="1"/>
        <v/>
      </c>
      <c r="S33"/>
      <c r="T33" s="4"/>
    </row>
    <row r="34" spans="2:20">
      <c r="B34" s="1">
        <f t="shared" si="0"/>
        <v>32</v>
      </c>
      <c r="C34" s="1">
        <v>28</v>
      </c>
      <c r="D34" s="7" t="str">
        <f t="shared" si="4"/>
        <v/>
      </c>
      <c r="E34" s="8" t="str">
        <f t="shared" si="5"/>
        <v/>
      </c>
      <c r="F34" s="7">
        <f t="shared" si="6"/>
        <v>0.02</v>
      </c>
      <c r="G34" s="7" t="str">
        <f t="shared" si="7"/>
        <v/>
      </c>
      <c r="I34" s="1">
        <v>230</v>
      </c>
      <c r="J34" s="1">
        <v>6270</v>
      </c>
      <c r="M34" s="2"/>
      <c r="O34" s="1" t="str">
        <f t="shared" si="1"/>
        <v/>
      </c>
      <c r="S34"/>
      <c r="T34" s="4"/>
    </row>
    <row r="35" spans="2:20">
      <c r="B35" s="1">
        <f t="shared" si="0"/>
        <v>33</v>
      </c>
      <c r="C35" s="1">
        <v>28</v>
      </c>
      <c r="D35" s="7" t="str">
        <f t="shared" si="4"/>
        <v/>
      </c>
      <c r="E35" s="8" t="str">
        <f t="shared" si="5"/>
        <v/>
      </c>
      <c r="F35" s="7" t="str">
        <f t="shared" si="6"/>
        <v/>
      </c>
      <c r="G35" s="7">
        <f t="shared" si="7"/>
        <v>0.01</v>
      </c>
      <c r="I35" s="1">
        <v>240</v>
      </c>
      <c r="J35" s="1">
        <v>6545</v>
      </c>
      <c r="M35" s="2"/>
      <c r="O35" s="1" t="str">
        <f t="shared" si="1"/>
        <v/>
      </c>
      <c r="S35"/>
      <c r="T35" s="4"/>
    </row>
    <row r="36" spans="2:20">
      <c r="B36" s="1">
        <f t="shared" si="0"/>
        <v>34</v>
      </c>
      <c r="C36" s="1">
        <v>28</v>
      </c>
      <c r="D36" s="7">
        <f t="shared" si="4"/>
        <v>0.05</v>
      </c>
      <c r="E36" s="8" t="str">
        <f t="shared" si="5"/>
        <v/>
      </c>
      <c r="F36" s="7" t="str">
        <f t="shared" si="6"/>
        <v/>
      </c>
      <c r="G36" s="7" t="str">
        <f t="shared" si="7"/>
        <v/>
      </c>
      <c r="I36" s="1">
        <v>250</v>
      </c>
      <c r="J36" s="1">
        <v>6820</v>
      </c>
      <c r="M36" s="2"/>
      <c r="O36" s="1" t="str">
        <f t="shared" ref="O36:O67" si="8">IF(L36&amp;M36="","",J36*5)</f>
        <v/>
      </c>
      <c r="S36"/>
      <c r="T36" s="4"/>
    </row>
    <row r="37" spans="2:20">
      <c r="B37" s="1">
        <f t="shared" si="0"/>
        <v>35</v>
      </c>
      <c r="C37" s="1">
        <v>28</v>
      </c>
      <c r="D37" s="7" t="str">
        <f t="shared" si="4"/>
        <v/>
      </c>
      <c r="E37" s="8">
        <f t="shared" si="5"/>
        <v>0.005</v>
      </c>
      <c r="F37" s="7" t="str">
        <f t="shared" si="6"/>
        <v/>
      </c>
      <c r="G37" s="7" t="str">
        <f t="shared" si="7"/>
        <v/>
      </c>
      <c r="I37" s="1">
        <v>260</v>
      </c>
      <c r="J37" s="1">
        <v>7095</v>
      </c>
      <c r="M37" s="2" t="s">
        <v>396</v>
      </c>
      <c r="N37" s="1">
        <v>6</v>
      </c>
      <c r="O37" s="1">
        <f t="shared" si="8"/>
        <v>35475</v>
      </c>
      <c r="S37"/>
    </row>
    <row r="38" spans="2:20">
      <c r="B38" s="1">
        <f t="shared" si="0"/>
        <v>36</v>
      </c>
      <c r="C38" s="1">
        <v>32</v>
      </c>
      <c r="D38" s="7" t="str">
        <f t="shared" si="4"/>
        <v/>
      </c>
      <c r="E38" s="8" t="str">
        <f t="shared" si="5"/>
        <v/>
      </c>
      <c r="F38" s="7">
        <f t="shared" si="6"/>
        <v>0.02</v>
      </c>
      <c r="G38" s="7" t="str">
        <f t="shared" si="7"/>
        <v/>
      </c>
      <c r="I38" s="1">
        <v>270</v>
      </c>
      <c r="J38" s="1">
        <f>J37+285</f>
        <v>7380</v>
      </c>
      <c r="M38" s="2"/>
      <c r="O38" s="1" t="str">
        <f t="shared" si="8"/>
        <v/>
      </c>
      <c r="S38"/>
    </row>
    <row r="39" spans="2:20">
      <c r="B39" s="1">
        <f t="shared" si="0"/>
        <v>37</v>
      </c>
      <c r="C39" s="1">
        <v>32</v>
      </c>
      <c r="D39" s="7" t="str">
        <f t="shared" si="4"/>
        <v/>
      </c>
      <c r="E39" s="8" t="str">
        <f t="shared" si="5"/>
        <v/>
      </c>
      <c r="F39" s="7" t="str">
        <f t="shared" si="6"/>
        <v/>
      </c>
      <c r="G39" s="7">
        <f t="shared" si="7"/>
        <v>0.01</v>
      </c>
      <c r="I39" s="1">
        <v>280</v>
      </c>
      <c r="J39" s="1">
        <f>J38+285</f>
        <v>7665</v>
      </c>
      <c r="M39" s="2"/>
      <c r="O39" s="1" t="str">
        <f t="shared" si="8"/>
        <v/>
      </c>
      <c r="S39"/>
    </row>
    <row r="40" spans="2:20">
      <c r="B40" s="1">
        <f t="shared" si="0"/>
        <v>38</v>
      </c>
      <c r="C40" s="1">
        <v>32</v>
      </c>
      <c r="D40" s="7">
        <f t="shared" si="4"/>
        <v>0.05</v>
      </c>
      <c r="E40" s="8" t="str">
        <f t="shared" si="5"/>
        <v/>
      </c>
      <c r="F40" s="7" t="str">
        <f t="shared" si="6"/>
        <v/>
      </c>
      <c r="G40" s="7" t="str">
        <f t="shared" si="7"/>
        <v/>
      </c>
      <c r="I40" s="1">
        <v>290</v>
      </c>
      <c r="J40" s="1">
        <f t="shared" ref="J40:J50" si="9">J39+285</f>
        <v>7950</v>
      </c>
      <c r="M40" s="2"/>
      <c r="O40" s="1" t="str">
        <f t="shared" si="8"/>
        <v/>
      </c>
      <c r="S40"/>
    </row>
    <row r="41" spans="2:20">
      <c r="B41" s="1">
        <f t="shared" si="0"/>
        <v>39</v>
      </c>
      <c r="C41" s="1">
        <v>32</v>
      </c>
      <c r="D41" s="7" t="str">
        <f t="shared" si="4"/>
        <v/>
      </c>
      <c r="E41" s="8">
        <f t="shared" si="5"/>
        <v>0.005</v>
      </c>
      <c r="F41" s="7" t="str">
        <f t="shared" si="6"/>
        <v/>
      </c>
      <c r="G41" s="7" t="str">
        <f t="shared" si="7"/>
        <v/>
      </c>
      <c r="I41" s="1">
        <v>300</v>
      </c>
      <c r="J41" s="1">
        <f t="shared" si="9"/>
        <v>8235</v>
      </c>
      <c r="M41" s="2"/>
      <c r="O41" s="1" t="str">
        <f t="shared" si="8"/>
        <v/>
      </c>
      <c r="S41"/>
    </row>
    <row r="42" spans="2:20">
      <c r="B42" s="1">
        <f t="shared" si="0"/>
        <v>40</v>
      </c>
      <c r="C42" s="1">
        <v>32</v>
      </c>
      <c r="D42" s="7" t="str">
        <f t="shared" si="4"/>
        <v/>
      </c>
      <c r="E42" s="8" t="str">
        <f t="shared" si="5"/>
        <v/>
      </c>
      <c r="F42" s="7">
        <f t="shared" si="6"/>
        <v>0.02</v>
      </c>
      <c r="G42" s="7" t="str">
        <f t="shared" si="7"/>
        <v/>
      </c>
      <c r="I42" s="1">
        <v>310</v>
      </c>
      <c r="J42" s="1">
        <f t="shared" si="9"/>
        <v>8520</v>
      </c>
      <c r="L42" s="1">
        <v>50</v>
      </c>
      <c r="M42" s="2"/>
      <c r="N42" s="1">
        <v>6</v>
      </c>
      <c r="O42" s="1">
        <f t="shared" si="8"/>
        <v>42600</v>
      </c>
      <c r="S42"/>
    </row>
    <row r="43" spans="2:20">
      <c r="B43" s="1">
        <f t="shared" si="0"/>
        <v>41</v>
      </c>
      <c r="C43" s="1">
        <v>36</v>
      </c>
      <c r="D43" s="7" t="str">
        <f t="shared" si="4"/>
        <v/>
      </c>
      <c r="E43" s="8" t="str">
        <f t="shared" si="5"/>
        <v/>
      </c>
      <c r="F43" s="7" t="str">
        <f t="shared" si="6"/>
        <v/>
      </c>
      <c r="G43" s="7">
        <f t="shared" si="7"/>
        <v>0.01</v>
      </c>
      <c r="I43" s="1">
        <v>320</v>
      </c>
      <c r="J43" s="1">
        <f t="shared" si="9"/>
        <v>8805</v>
      </c>
      <c r="M43" s="2"/>
      <c r="O43" s="1" t="str">
        <f t="shared" si="8"/>
        <v/>
      </c>
      <c r="S43"/>
    </row>
    <row r="44" spans="2:20">
      <c r="B44" s="1">
        <f t="shared" si="0"/>
        <v>42</v>
      </c>
      <c r="C44" s="1">
        <v>36</v>
      </c>
      <c r="D44" s="7">
        <f t="shared" si="4"/>
        <v>0.05</v>
      </c>
      <c r="E44" s="8" t="str">
        <f t="shared" si="5"/>
        <v/>
      </c>
      <c r="F44" s="7" t="str">
        <f t="shared" si="6"/>
        <v/>
      </c>
      <c r="G44" s="7" t="str">
        <f t="shared" si="7"/>
        <v/>
      </c>
      <c r="I44" s="1">
        <v>330</v>
      </c>
      <c r="J44" s="1">
        <f t="shared" si="9"/>
        <v>9090</v>
      </c>
      <c r="M44" s="2"/>
      <c r="O44" s="1" t="str">
        <f t="shared" si="8"/>
        <v/>
      </c>
      <c r="S44"/>
    </row>
    <row r="45" spans="2:20">
      <c r="B45" s="1">
        <f t="shared" si="0"/>
        <v>43</v>
      </c>
      <c r="C45" s="1">
        <v>36</v>
      </c>
      <c r="D45" s="7" t="str">
        <f t="shared" si="4"/>
        <v/>
      </c>
      <c r="E45" s="8">
        <f t="shared" si="5"/>
        <v>0.005</v>
      </c>
      <c r="F45" s="7" t="str">
        <f t="shared" si="6"/>
        <v/>
      </c>
      <c r="G45" s="7" t="str">
        <f t="shared" si="7"/>
        <v/>
      </c>
      <c r="I45" s="1">
        <v>340</v>
      </c>
      <c r="J45" s="1">
        <f t="shared" si="9"/>
        <v>9375</v>
      </c>
      <c r="M45" s="2"/>
      <c r="O45" s="1" t="str">
        <f t="shared" si="8"/>
        <v/>
      </c>
      <c r="S45"/>
    </row>
    <row r="46" spans="2:20">
      <c r="B46" s="1">
        <f t="shared" si="0"/>
        <v>44</v>
      </c>
      <c r="C46" s="1">
        <v>36</v>
      </c>
      <c r="D46" s="7" t="str">
        <f t="shared" si="4"/>
        <v/>
      </c>
      <c r="E46" s="8" t="str">
        <f t="shared" si="5"/>
        <v/>
      </c>
      <c r="F46" s="7">
        <f t="shared" si="6"/>
        <v>0.02</v>
      </c>
      <c r="G46" s="7" t="str">
        <f t="shared" si="7"/>
        <v/>
      </c>
      <c r="I46" s="1">
        <v>350</v>
      </c>
      <c r="J46" s="1">
        <f t="shared" si="9"/>
        <v>9660</v>
      </c>
      <c r="M46" s="2"/>
      <c r="O46" s="1" t="str">
        <f t="shared" si="8"/>
        <v/>
      </c>
      <c r="S46"/>
    </row>
    <row r="47" spans="2:20">
      <c r="B47" s="1">
        <f t="shared" si="0"/>
        <v>45</v>
      </c>
      <c r="C47" s="1">
        <v>36</v>
      </c>
      <c r="D47" s="7" t="str">
        <f t="shared" si="4"/>
        <v/>
      </c>
      <c r="E47" s="8" t="str">
        <f t="shared" si="5"/>
        <v/>
      </c>
      <c r="F47" s="7" t="str">
        <f t="shared" si="6"/>
        <v/>
      </c>
      <c r="G47" s="7">
        <f t="shared" si="7"/>
        <v>0.01</v>
      </c>
      <c r="I47" s="1">
        <v>360</v>
      </c>
      <c r="J47" s="1">
        <f t="shared" si="9"/>
        <v>9945</v>
      </c>
      <c r="M47" s="2" t="s">
        <v>397</v>
      </c>
      <c r="N47" s="1">
        <v>6</v>
      </c>
      <c r="O47" s="1">
        <f t="shared" si="8"/>
        <v>49725</v>
      </c>
      <c r="S47"/>
    </row>
    <row r="48" spans="2:20">
      <c r="B48" s="1">
        <f t="shared" si="0"/>
        <v>46</v>
      </c>
      <c r="C48" s="1">
        <f t="shared" ref="C48:C78" si="10">C43+4</f>
        <v>40</v>
      </c>
      <c r="D48" s="7">
        <f t="shared" si="4"/>
        <v>0.05</v>
      </c>
      <c r="E48" s="8" t="str">
        <f t="shared" si="5"/>
        <v/>
      </c>
      <c r="F48" s="7" t="str">
        <f t="shared" si="6"/>
        <v/>
      </c>
      <c r="G48" s="7" t="str">
        <f t="shared" si="7"/>
        <v/>
      </c>
      <c r="I48" s="1">
        <v>370</v>
      </c>
      <c r="J48" s="1">
        <f t="shared" si="9"/>
        <v>10230</v>
      </c>
      <c r="M48" s="2"/>
      <c r="O48" s="1" t="str">
        <f t="shared" si="8"/>
        <v/>
      </c>
      <c r="S48"/>
    </row>
    <row r="49" spans="2:19">
      <c r="B49" s="1">
        <f t="shared" si="0"/>
        <v>47</v>
      </c>
      <c r="C49" s="1">
        <f t="shared" si="10"/>
        <v>40</v>
      </c>
      <c r="D49" s="7" t="str">
        <f t="shared" si="4"/>
        <v/>
      </c>
      <c r="E49" s="8">
        <f t="shared" si="5"/>
        <v>0.005</v>
      </c>
      <c r="F49" s="7" t="str">
        <f t="shared" si="6"/>
        <v/>
      </c>
      <c r="G49" s="7" t="str">
        <f t="shared" si="7"/>
        <v/>
      </c>
      <c r="I49" s="1">
        <v>380</v>
      </c>
      <c r="J49" s="1">
        <f t="shared" si="9"/>
        <v>10515</v>
      </c>
      <c r="M49" s="2"/>
      <c r="O49" s="1" t="str">
        <f t="shared" si="8"/>
        <v/>
      </c>
      <c r="S49"/>
    </row>
    <row r="50" spans="2:19">
      <c r="B50" s="1">
        <f t="shared" si="0"/>
        <v>48</v>
      </c>
      <c r="C50" s="1">
        <f t="shared" si="10"/>
        <v>40</v>
      </c>
      <c r="D50" s="7" t="str">
        <f t="shared" si="4"/>
        <v/>
      </c>
      <c r="E50" s="8" t="str">
        <f t="shared" si="5"/>
        <v/>
      </c>
      <c r="F50" s="7">
        <f t="shared" si="6"/>
        <v>0.02</v>
      </c>
      <c r="G50" s="7" t="str">
        <f t="shared" si="7"/>
        <v/>
      </c>
      <c r="I50" s="1">
        <v>390</v>
      </c>
      <c r="J50" s="1">
        <f t="shared" si="9"/>
        <v>10800</v>
      </c>
      <c r="M50" s="2"/>
      <c r="O50" s="1" t="str">
        <f t="shared" si="8"/>
        <v/>
      </c>
      <c r="S50"/>
    </row>
    <row r="51" spans="2:19">
      <c r="B51" s="1">
        <f t="shared" si="0"/>
        <v>49</v>
      </c>
      <c r="C51" s="1">
        <f t="shared" si="10"/>
        <v>40</v>
      </c>
      <c r="D51" s="7" t="str">
        <f t="shared" si="4"/>
        <v/>
      </c>
      <c r="E51" s="8" t="str">
        <f t="shared" si="5"/>
        <v/>
      </c>
      <c r="F51" s="7" t="str">
        <f t="shared" si="6"/>
        <v/>
      </c>
      <c r="G51" s="7">
        <f t="shared" si="7"/>
        <v>0.01</v>
      </c>
      <c r="I51" s="1">
        <v>400</v>
      </c>
      <c r="J51" s="1">
        <v>10945</v>
      </c>
      <c r="M51" s="2"/>
      <c r="O51" s="1" t="str">
        <f t="shared" si="8"/>
        <v/>
      </c>
      <c r="S51"/>
    </row>
    <row r="52" spans="2:19">
      <c r="B52" s="1">
        <f t="shared" si="0"/>
        <v>50</v>
      </c>
      <c r="C52" s="1">
        <f t="shared" si="10"/>
        <v>40</v>
      </c>
      <c r="D52" s="7">
        <f t="shared" si="4"/>
        <v>0.05</v>
      </c>
      <c r="E52" s="8" t="str">
        <f t="shared" si="5"/>
        <v/>
      </c>
      <c r="F52" s="7" t="str">
        <f t="shared" si="6"/>
        <v/>
      </c>
      <c r="G52" s="7" t="str">
        <f t="shared" si="7"/>
        <v/>
      </c>
      <c r="I52" s="1">
        <v>410</v>
      </c>
      <c r="J52" s="1">
        <f>J51+285</f>
        <v>11230</v>
      </c>
      <c r="L52" s="1">
        <f t="shared" ref="L52:L71" si="11">IF(L32="","",L32+10)</f>
        <v>60</v>
      </c>
      <c r="M52" s="2"/>
      <c r="N52" s="1">
        <v>6</v>
      </c>
      <c r="O52" s="1">
        <f t="shared" si="8"/>
        <v>56150</v>
      </c>
      <c r="S52"/>
    </row>
    <row r="53" spans="2:19">
      <c r="B53" s="1">
        <f t="shared" si="0"/>
        <v>51</v>
      </c>
      <c r="C53" s="1">
        <f t="shared" si="10"/>
        <v>44</v>
      </c>
      <c r="D53" s="7" t="str">
        <f t="shared" si="4"/>
        <v/>
      </c>
      <c r="E53" s="8">
        <f t="shared" si="5"/>
        <v>0.005</v>
      </c>
      <c r="F53" s="7" t="str">
        <f t="shared" si="6"/>
        <v/>
      </c>
      <c r="G53" s="7" t="str">
        <f t="shared" si="7"/>
        <v/>
      </c>
      <c r="I53" s="1">
        <v>420</v>
      </c>
      <c r="J53" s="1">
        <f t="shared" ref="J53:J84" si="12">J52+285</f>
        <v>11515</v>
      </c>
      <c r="L53" s="1" t="str">
        <f t="shared" si="11"/>
        <v/>
      </c>
      <c r="M53" s="2"/>
      <c r="O53" s="1" t="str">
        <f t="shared" si="8"/>
        <v/>
      </c>
      <c r="S53"/>
    </row>
    <row r="54" spans="2:19">
      <c r="B54" s="1">
        <f t="shared" si="0"/>
        <v>52</v>
      </c>
      <c r="C54" s="1">
        <f t="shared" si="10"/>
        <v>44</v>
      </c>
      <c r="D54" s="7" t="str">
        <f t="shared" si="4"/>
        <v/>
      </c>
      <c r="E54" s="8" t="str">
        <f t="shared" si="5"/>
        <v/>
      </c>
      <c r="F54" s="7">
        <f t="shared" si="6"/>
        <v>0.02</v>
      </c>
      <c r="G54" s="7" t="str">
        <f t="shared" si="7"/>
        <v/>
      </c>
      <c r="I54" s="1">
        <v>430</v>
      </c>
      <c r="J54" s="1">
        <f t="shared" si="12"/>
        <v>11800</v>
      </c>
      <c r="L54" s="1" t="str">
        <f t="shared" si="11"/>
        <v/>
      </c>
      <c r="M54" s="2"/>
      <c r="O54" s="1" t="str">
        <f t="shared" si="8"/>
        <v/>
      </c>
      <c r="S54"/>
    </row>
    <row r="55" spans="2:19">
      <c r="B55" s="1">
        <f t="shared" si="0"/>
        <v>53</v>
      </c>
      <c r="C55" s="1">
        <f t="shared" si="10"/>
        <v>44</v>
      </c>
      <c r="D55" s="7" t="str">
        <f t="shared" si="4"/>
        <v/>
      </c>
      <c r="E55" s="8" t="str">
        <f t="shared" si="5"/>
        <v/>
      </c>
      <c r="F55" s="7" t="str">
        <f t="shared" si="6"/>
        <v/>
      </c>
      <c r="G55" s="7">
        <f t="shared" si="7"/>
        <v>0.01</v>
      </c>
      <c r="I55" s="1">
        <v>440</v>
      </c>
      <c r="J55" s="1">
        <f t="shared" si="12"/>
        <v>12085</v>
      </c>
      <c r="L55" s="1" t="str">
        <f t="shared" si="11"/>
        <v/>
      </c>
      <c r="M55" s="2"/>
      <c r="O55" s="1" t="str">
        <f t="shared" si="8"/>
        <v/>
      </c>
      <c r="S55"/>
    </row>
    <row r="56" spans="2:19">
      <c r="B56" s="1">
        <f t="shared" si="0"/>
        <v>54</v>
      </c>
      <c r="C56" s="1">
        <f t="shared" si="10"/>
        <v>44</v>
      </c>
      <c r="D56" s="7">
        <f t="shared" si="4"/>
        <v>0.05</v>
      </c>
      <c r="E56" s="8" t="str">
        <f t="shared" si="5"/>
        <v/>
      </c>
      <c r="F56" s="7" t="str">
        <f t="shared" si="6"/>
        <v/>
      </c>
      <c r="G56" s="7" t="str">
        <f t="shared" si="7"/>
        <v/>
      </c>
      <c r="I56" s="1">
        <v>450</v>
      </c>
      <c r="J56" s="1">
        <f t="shared" si="12"/>
        <v>12370</v>
      </c>
      <c r="L56" s="1" t="str">
        <f t="shared" si="11"/>
        <v/>
      </c>
      <c r="M56" s="2"/>
      <c r="O56" s="1" t="str">
        <f t="shared" si="8"/>
        <v/>
      </c>
      <c r="S56"/>
    </row>
    <row r="57" spans="2:19">
      <c r="B57" s="1">
        <f t="shared" si="0"/>
        <v>55</v>
      </c>
      <c r="C57" s="1">
        <f t="shared" si="10"/>
        <v>44</v>
      </c>
      <c r="D57" s="7" t="str">
        <f t="shared" si="4"/>
        <v/>
      </c>
      <c r="E57" s="8">
        <f t="shared" si="5"/>
        <v>0.005</v>
      </c>
      <c r="F57" s="7" t="str">
        <f t="shared" si="6"/>
        <v/>
      </c>
      <c r="G57" s="7" t="str">
        <f t="shared" si="7"/>
        <v/>
      </c>
      <c r="I57" s="1">
        <v>460</v>
      </c>
      <c r="J57" s="1">
        <f t="shared" si="12"/>
        <v>12655</v>
      </c>
      <c r="L57" s="1" t="str">
        <f t="shared" si="11"/>
        <v/>
      </c>
      <c r="M57" s="2" t="s">
        <v>398</v>
      </c>
      <c r="N57" s="1">
        <v>6</v>
      </c>
      <c r="O57" s="1">
        <f t="shared" si="8"/>
        <v>63275</v>
      </c>
      <c r="S57"/>
    </row>
    <row r="58" spans="2:19">
      <c r="B58" s="1">
        <f t="shared" si="0"/>
        <v>56</v>
      </c>
      <c r="C58" s="1">
        <f t="shared" si="10"/>
        <v>48</v>
      </c>
      <c r="D58" s="7" t="str">
        <f t="shared" si="4"/>
        <v/>
      </c>
      <c r="E58" s="8" t="str">
        <f t="shared" si="5"/>
        <v/>
      </c>
      <c r="F58" s="7">
        <f t="shared" si="6"/>
        <v>0.02</v>
      </c>
      <c r="G58" s="7" t="str">
        <f t="shared" si="7"/>
        <v/>
      </c>
      <c r="I58" s="1">
        <v>470</v>
      </c>
      <c r="J58" s="1">
        <f t="shared" si="12"/>
        <v>12940</v>
      </c>
      <c r="L58" s="1" t="str">
        <f t="shared" si="11"/>
        <v/>
      </c>
      <c r="M58" s="2"/>
      <c r="O58" s="1" t="str">
        <f t="shared" si="8"/>
        <v/>
      </c>
      <c r="S58"/>
    </row>
    <row r="59" spans="2:19">
      <c r="B59" s="1">
        <f t="shared" si="0"/>
        <v>57</v>
      </c>
      <c r="C59" s="1">
        <f t="shared" si="10"/>
        <v>48</v>
      </c>
      <c r="D59" s="7" t="str">
        <f t="shared" si="4"/>
        <v/>
      </c>
      <c r="E59" s="8" t="str">
        <f t="shared" si="5"/>
        <v/>
      </c>
      <c r="F59" s="7" t="str">
        <f t="shared" si="6"/>
        <v/>
      </c>
      <c r="G59" s="7">
        <f t="shared" si="7"/>
        <v>0.01</v>
      </c>
      <c r="I59" s="1">
        <v>480</v>
      </c>
      <c r="J59" s="1">
        <f t="shared" si="12"/>
        <v>13225</v>
      </c>
      <c r="L59" s="1" t="str">
        <f t="shared" si="11"/>
        <v/>
      </c>
      <c r="M59" s="2"/>
      <c r="O59" s="1" t="str">
        <f t="shared" si="8"/>
        <v/>
      </c>
      <c r="S59"/>
    </row>
    <row r="60" spans="2:19">
      <c r="B60" s="1">
        <f t="shared" si="0"/>
        <v>58</v>
      </c>
      <c r="C60" s="1">
        <f t="shared" si="10"/>
        <v>48</v>
      </c>
      <c r="D60" s="7">
        <f t="shared" si="4"/>
        <v>0.05</v>
      </c>
      <c r="E60" s="8" t="str">
        <f t="shared" si="5"/>
        <v/>
      </c>
      <c r="F60" s="7" t="str">
        <f t="shared" si="6"/>
        <v/>
      </c>
      <c r="G60" s="7" t="str">
        <f t="shared" si="7"/>
        <v/>
      </c>
      <c r="I60" s="1">
        <v>490</v>
      </c>
      <c r="J60" s="1">
        <f t="shared" si="12"/>
        <v>13510</v>
      </c>
      <c r="L60" s="1" t="str">
        <f t="shared" si="11"/>
        <v/>
      </c>
      <c r="M60" s="2"/>
      <c r="O60" s="1" t="str">
        <f t="shared" si="8"/>
        <v/>
      </c>
      <c r="S60"/>
    </row>
    <row r="61" spans="2:19">
      <c r="B61" s="1">
        <f t="shared" si="0"/>
        <v>59</v>
      </c>
      <c r="C61" s="1">
        <f t="shared" si="10"/>
        <v>48</v>
      </c>
      <c r="D61" s="7" t="str">
        <f t="shared" si="4"/>
        <v/>
      </c>
      <c r="E61" s="8">
        <f t="shared" si="5"/>
        <v>0.005</v>
      </c>
      <c r="F61" s="7" t="str">
        <f t="shared" si="6"/>
        <v/>
      </c>
      <c r="G61" s="7" t="str">
        <f t="shared" si="7"/>
        <v/>
      </c>
      <c r="I61" s="1">
        <v>500</v>
      </c>
      <c r="J61" s="1">
        <f t="shared" si="12"/>
        <v>13795</v>
      </c>
      <c r="L61" s="1" t="str">
        <f t="shared" si="11"/>
        <v/>
      </c>
      <c r="M61" s="2"/>
      <c r="O61" s="1" t="str">
        <f t="shared" si="8"/>
        <v/>
      </c>
      <c r="S61"/>
    </row>
    <row r="62" spans="2:19">
      <c r="B62" s="1">
        <f t="shared" si="0"/>
        <v>60</v>
      </c>
      <c r="C62" s="1">
        <f t="shared" si="10"/>
        <v>48</v>
      </c>
      <c r="D62" s="7" t="str">
        <f t="shared" si="4"/>
        <v/>
      </c>
      <c r="E62" s="8" t="str">
        <f t="shared" si="5"/>
        <v/>
      </c>
      <c r="F62" s="7">
        <f t="shared" si="6"/>
        <v>0.02</v>
      </c>
      <c r="G62" s="7" t="str">
        <f t="shared" si="7"/>
        <v/>
      </c>
      <c r="I62" s="1">
        <v>510</v>
      </c>
      <c r="J62" s="1">
        <f t="shared" si="12"/>
        <v>14080</v>
      </c>
      <c r="L62" s="1">
        <f t="shared" si="11"/>
        <v>60</v>
      </c>
      <c r="M62" s="2"/>
      <c r="O62" s="1">
        <f t="shared" si="8"/>
        <v>70400</v>
      </c>
      <c r="S62"/>
    </row>
    <row r="63" spans="2:19">
      <c r="B63" s="1">
        <f t="shared" si="0"/>
        <v>61</v>
      </c>
      <c r="C63" s="1">
        <f t="shared" si="10"/>
        <v>52</v>
      </c>
      <c r="D63" s="7" t="str">
        <f t="shared" si="4"/>
        <v/>
      </c>
      <c r="E63" s="8" t="str">
        <f t="shared" si="5"/>
        <v/>
      </c>
      <c r="F63" s="7" t="str">
        <f t="shared" si="6"/>
        <v/>
      </c>
      <c r="G63" s="7">
        <f t="shared" si="7"/>
        <v>0.01</v>
      </c>
      <c r="I63" s="1">
        <v>520</v>
      </c>
      <c r="J63" s="1">
        <f t="shared" si="12"/>
        <v>14365</v>
      </c>
      <c r="L63" s="1" t="str">
        <f t="shared" si="11"/>
        <v/>
      </c>
      <c r="M63" s="2"/>
      <c r="O63" s="1" t="str">
        <f t="shared" si="8"/>
        <v/>
      </c>
      <c r="S63"/>
    </row>
    <row r="64" spans="2:19">
      <c r="B64" s="1">
        <f t="shared" si="0"/>
        <v>62</v>
      </c>
      <c r="C64" s="1">
        <f t="shared" si="10"/>
        <v>52</v>
      </c>
      <c r="D64" s="7">
        <f t="shared" si="4"/>
        <v>0.05</v>
      </c>
      <c r="E64" s="8" t="str">
        <f t="shared" si="5"/>
        <v/>
      </c>
      <c r="F64" s="7" t="str">
        <f t="shared" si="6"/>
        <v/>
      </c>
      <c r="G64" s="7" t="str">
        <f t="shared" si="7"/>
        <v/>
      </c>
      <c r="I64" s="1">
        <v>530</v>
      </c>
      <c r="J64" s="1">
        <f t="shared" si="12"/>
        <v>14650</v>
      </c>
      <c r="L64" s="1" t="str">
        <f t="shared" si="11"/>
        <v/>
      </c>
      <c r="M64" s="2"/>
      <c r="O64" s="1" t="str">
        <f t="shared" si="8"/>
        <v/>
      </c>
      <c r="S64"/>
    </row>
    <row r="65" spans="2:19">
      <c r="B65" s="1">
        <f t="shared" si="0"/>
        <v>63</v>
      </c>
      <c r="C65" s="1">
        <f t="shared" si="10"/>
        <v>52</v>
      </c>
      <c r="D65" s="7" t="str">
        <f t="shared" si="4"/>
        <v/>
      </c>
      <c r="E65" s="8">
        <f t="shared" si="5"/>
        <v>0.005</v>
      </c>
      <c r="F65" s="7" t="str">
        <f t="shared" si="6"/>
        <v/>
      </c>
      <c r="G65" s="7" t="str">
        <f t="shared" si="7"/>
        <v/>
      </c>
      <c r="I65" s="1">
        <v>540</v>
      </c>
      <c r="J65" s="1">
        <f t="shared" si="12"/>
        <v>14935</v>
      </c>
      <c r="L65" s="1" t="str">
        <f t="shared" si="11"/>
        <v/>
      </c>
      <c r="M65" s="2"/>
      <c r="O65" s="1" t="str">
        <f t="shared" si="8"/>
        <v/>
      </c>
      <c r="S65"/>
    </row>
    <row r="66" spans="2:19">
      <c r="B66" s="1">
        <f t="shared" si="0"/>
        <v>64</v>
      </c>
      <c r="C66" s="1">
        <f t="shared" si="10"/>
        <v>52</v>
      </c>
      <c r="D66" s="7" t="str">
        <f t="shared" si="4"/>
        <v/>
      </c>
      <c r="E66" s="8" t="str">
        <f t="shared" si="5"/>
        <v/>
      </c>
      <c r="F66" s="7">
        <f t="shared" si="6"/>
        <v>0.02</v>
      </c>
      <c r="G66" s="7" t="str">
        <f t="shared" si="7"/>
        <v/>
      </c>
      <c r="I66" s="1">
        <v>550</v>
      </c>
      <c r="J66" s="1">
        <f t="shared" si="12"/>
        <v>15220</v>
      </c>
      <c r="L66" s="1" t="str">
        <f t="shared" si="11"/>
        <v/>
      </c>
      <c r="M66" s="2"/>
      <c r="O66" s="1" t="str">
        <f t="shared" si="8"/>
        <v/>
      </c>
      <c r="S66"/>
    </row>
    <row r="67" spans="2:19">
      <c r="B67" s="1">
        <f t="shared" si="0"/>
        <v>65</v>
      </c>
      <c r="C67" s="1">
        <f t="shared" si="10"/>
        <v>52</v>
      </c>
      <c r="D67" s="7" t="str">
        <f t="shared" si="4"/>
        <v/>
      </c>
      <c r="E67" s="8" t="str">
        <f t="shared" si="5"/>
        <v/>
      </c>
      <c r="F67" s="7" t="str">
        <f t="shared" si="6"/>
        <v/>
      </c>
      <c r="G67" s="7">
        <f t="shared" si="7"/>
        <v>0.01</v>
      </c>
      <c r="I67" s="1">
        <v>560</v>
      </c>
      <c r="J67" s="1">
        <f t="shared" si="12"/>
        <v>15505</v>
      </c>
      <c r="L67" s="1" t="str">
        <f t="shared" si="11"/>
        <v/>
      </c>
      <c r="M67" s="2" t="s">
        <v>399</v>
      </c>
      <c r="N67" s="1">
        <v>6</v>
      </c>
      <c r="O67" s="1">
        <f t="shared" si="8"/>
        <v>77525</v>
      </c>
      <c r="S67"/>
    </row>
    <row r="68" spans="2:19">
      <c r="B68" s="1">
        <f t="shared" ref="B68:B102" si="13">B67+1</f>
        <v>66</v>
      </c>
      <c r="C68" s="1">
        <f t="shared" si="10"/>
        <v>56</v>
      </c>
      <c r="D68" s="7">
        <f t="shared" si="4"/>
        <v>0.05</v>
      </c>
      <c r="E68" s="8" t="str">
        <f t="shared" si="5"/>
        <v/>
      </c>
      <c r="F68" s="7" t="str">
        <f t="shared" si="6"/>
        <v/>
      </c>
      <c r="G68" s="7" t="str">
        <f t="shared" si="7"/>
        <v/>
      </c>
      <c r="I68" s="1">
        <v>570</v>
      </c>
      <c r="J68" s="1">
        <f t="shared" si="12"/>
        <v>15790</v>
      </c>
      <c r="L68" s="1" t="str">
        <f t="shared" si="11"/>
        <v/>
      </c>
      <c r="M68" s="2"/>
      <c r="O68" s="1" t="str">
        <f t="shared" ref="O68:O99" si="14">IF(L68&amp;M68="","",J68*5)</f>
        <v/>
      </c>
      <c r="S68"/>
    </row>
    <row r="69" spans="2:19">
      <c r="B69" s="1">
        <f t="shared" si="13"/>
        <v>67</v>
      </c>
      <c r="C69" s="1">
        <f t="shared" si="10"/>
        <v>56</v>
      </c>
      <c r="D69" s="7" t="str">
        <f t="shared" si="4"/>
        <v/>
      </c>
      <c r="E69" s="8">
        <f t="shared" si="5"/>
        <v>0.005</v>
      </c>
      <c r="F69" s="7" t="str">
        <f t="shared" si="6"/>
        <v/>
      </c>
      <c r="G69" s="7" t="str">
        <f t="shared" si="7"/>
        <v/>
      </c>
      <c r="I69" s="1">
        <v>580</v>
      </c>
      <c r="J69" s="1">
        <f t="shared" si="12"/>
        <v>16075</v>
      </c>
      <c r="L69" s="1" t="str">
        <f t="shared" si="11"/>
        <v/>
      </c>
      <c r="M69" s="2"/>
      <c r="O69" s="1" t="str">
        <f t="shared" si="14"/>
        <v/>
      </c>
      <c r="S69"/>
    </row>
    <row r="70" spans="2:19">
      <c r="B70" s="1">
        <f t="shared" si="13"/>
        <v>68</v>
      </c>
      <c r="C70" s="1">
        <f t="shared" si="10"/>
        <v>56</v>
      </c>
      <c r="D70" s="7" t="str">
        <f t="shared" si="4"/>
        <v/>
      </c>
      <c r="E70" s="8" t="str">
        <f t="shared" si="5"/>
        <v/>
      </c>
      <c r="F70" s="7">
        <f t="shared" si="6"/>
        <v>0.02</v>
      </c>
      <c r="G70" s="7" t="str">
        <f t="shared" si="7"/>
        <v/>
      </c>
      <c r="I70" s="1">
        <v>590</v>
      </c>
      <c r="J70" s="1">
        <f t="shared" si="12"/>
        <v>16360</v>
      </c>
      <c r="L70" s="1" t="str">
        <f t="shared" si="11"/>
        <v/>
      </c>
      <c r="M70" s="2"/>
      <c r="O70" s="1" t="str">
        <f t="shared" si="14"/>
        <v/>
      </c>
      <c r="S70"/>
    </row>
    <row r="71" spans="2:19">
      <c r="B71" s="1">
        <f t="shared" si="13"/>
        <v>69</v>
      </c>
      <c r="C71" s="1">
        <f t="shared" si="10"/>
        <v>56</v>
      </c>
      <c r="D71" s="7" t="str">
        <f t="shared" si="4"/>
        <v/>
      </c>
      <c r="E71" s="8" t="str">
        <f t="shared" si="5"/>
        <v/>
      </c>
      <c r="F71" s="7" t="str">
        <f t="shared" si="6"/>
        <v/>
      </c>
      <c r="G71" s="7">
        <f t="shared" si="7"/>
        <v>0.01</v>
      </c>
      <c r="I71" s="1">
        <v>600</v>
      </c>
      <c r="J71" s="1">
        <f t="shared" si="12"/>
        <v>16645</v>
      </c>
      <c r="L71" s="1" t="str">
        <f t="shared" si="11"/>
        <v/>
      </c>
      <c r="M71" s="2"/>
      <c r="O71" s="1" t="str">
        <f t="shared" si="14"/>
        <v/>
      </c>
      <c r="S71"/>
    </row>
    <row r="72" spans="2:19">
      <c r="B72" s="1">
        <f t="shared" si="13"/>
        <v>70</v>
      </c>
      <c r="C72" s="1">
        <f t="shared" si="10"/>
        <v>56</v>
      </c>
      <c r="D72" s="7">
        <f t="shared" si="4"/>
        <v>0.05</v>
      </c>
      <c r="E72" s="8" t="str">
        <f t="shared" si="5"/>
        <v/>
      </c>
      <c r="F72" s="7" t="str">
        <f t="shared" si="6"/>
        <v/>
      </c>
      <c r="G72" s="7" t="str">
        <f t="shared" si="7"/>
        <v/>
      </c>
      <c r="I72" s="1">
        <v>610</v>
      </c>
      <c r="J72" s="1">
        <f t="shared" si="12"/>
        <v>16930</v>
      </c>
      <c r="L72" s="1">
        <v>60</v>
      </c>
      <c r="M72" s="2"/>
      <c r="O72" s="1">
        <f t="shared" si="14"/>
        <v>84650</v>
      </c>
      <c r="S72"/>
    </row>
    <row r="73" spans="2:19">
      <c r="B73" s="1">
        <f t="shared" si="13"/>
        <v>71</v>
      </c>
      <c r="C73" s="1">
        <f t="shared" si="10"/>
        <v>60</v>
      </c>
      <c r="D73" s="7" t="str">
        <f t="shared" si="4"/>
        <v/>
      </c>
      <c r="E73" s="8">
        <f t="shared" si="5"/>
        <v>0.005</v>
      </c>
      <c r="F73" s="7" t="str">
        <f t="shared" si="6"/>
        <v/>
      </c>
      <c r="G73" s="7" t="str">
        <f t="shared" si="7"/>
        <v/>
      </c>
      <c r="I73" s="1">
        <v>620</v>
      </c>
      <c r="J73" s="1">
        <f t="shared" si="12"/>
        <v>17215</v>
      </c>
      <c r="M73" s="2"/>
      <c r="O73" s="1" t="str">
        <f t="shared" si="14"/>
        <v/>
      </c>
      <c r="S73"/>
    </row>
    <row r="74" spans="2:19">
      <c r="B74" s="1">
        <f t="shared" si="13"/>
        <v>72</v>
      </c>
      <c r="C74" s="1">
        <f t="shared" si="10"/>
        <v>60</v>
      </c>
      <c r="D74" s="7" t="str">
        <f t="shared" si="4"/>
        <v/>
      </c>
      <c r="E74" s="8" t="str">
        <f t="shared" si="5"/>
        <v/>
      </c>
      <c r="F74" s="7">
        <f t="shared" si="6"/>
        <v>0.02</v>
      </c>
      <c r="G74" s="7" t="str">
        <f t="shared" si="7"/>
        <v/>
      </c>
      <c r="I74" s="1">
        <v>630</v>
      </c>
      <c r="J74" s="1">
        <f t="shared" si="12"/>
        <v>17500</v>
      </c>
      <c r="M74" s="2"/>
      <c r="O74" s="1" t="str">
        <f t="shared" si="14"/>
        <v/>
      </c>
      <c r="S74"/>
    </row>
    <row r="75" spans="2:19">
      <c r="B75" s="1">
        <f t="shared" si="13"/>
        <v>73</v>
      </c>
      <c r="C75" s="1">
        <f t="shared" si="10"/>
        <v>60</v>
      </c>
      <c r="D75" s="7" t="str">
        <f t="shared" si="4"/>
        <v/>
      </c>
      <c r="E75" s="8" t="str">
        <f t="shared" si="5"/>
        <v/>
      </c>
      <c r="F75" s="7" t="str">
        <f t="shared" si="6"/>
        <v/>
      </c>
      <c r="G75" s="7">
        <f t="shared" si="7"/>
        <v>0.01</v>
      </c>
      <c r="I75" s="1">
        <v>640</v>
      </c>
      <c r="J75" s="1">
        <f t="shared" si="12"/>
        <v>17785</v>
      </c>
      <c r="M75" s="2"/>
      <c r="O75" s="1" t="str">
        <f t="shared" si="14"/>
        <v/>
      </c>
      <c r="S75"/>
    </row>
    <row r="76" spans="2:19">
      <c r="B76" s="1">
        <f t="shared" si="13"/>
        <v>74</v>
      </c>
      <c r="C76" s="1">
        <f t="shared" si="10"/>
        <v>60</v>
      </c>
      <c r="D76" s="7">
        <f t="shared" si="4"/>
        <v>0.05</v>
      </c>
      <c r="E76" s="8" t="str">
        <f t="shared" si="5"/>
        <v/>
      </c>
      <c r="F76" s="7" t="str">
        <f t="shared" si="6"/>
        <v/>
      </c>
      <c r="G76" s="7" t="str">
        <f t="shared" si="7"/>
        <v/>
      </c>
      <c r="I76" s="1">
        <v>650</v>
      </c>
      <c r="J76" s="1">
        <f t="shared" si="12"/>
        <v>18070</v>
      </c>
      <c r="M76" s="2"/>
      <c r="O76" s="1" t="str">
        <f t="shared" si="14"/>
        <v/>
      </c>
      <c r="S76"/>
    </row>
    <row r="77" spans="2:19">
      <c r="B77" s="1">
        <f t="shared" si="13"/>
        <v>75</v>
      </c>
      <c r="C77" s="1">
        <f t="shared" si="10"/>
        <v>60</v>
      </c>
      <c r="D77" s="7" t="str">
        <f t="shared" si="4"/>
        <v/>
      </c>
      <c r="E77" s="8">
        <f t="shared" si="5"/>
        <v>0.005</v>
      </c>
      <c r="F77" s="7" t="str">
        <f t="shared" si="6"/>
        <v/>
      </c>
      <c r="G77" s="7" t="str">
        <f t="shared" si="7"/>
        <v/>
      </c>
      <c r="I77" s="1">
        <v>660</v>
      </c>
      <c r="J77" s="1">
        <f t="shared" si="12"/>
        <v>18355</v>
      </c>
      <c r="M77" s="2" t="s">
        <v>400</v>
      </c>
      <c r="N77" s="1">
        <v>9</v>
      </c>
      <c r="O77" s="1">
        <f t="shared" si="14"/>
        <v>91775</v>
      </c>
      <c r="S77"/>
    </row>
    <row r="78" spans="2:19">
      <c r="B78" s="1">
        <f t="shared" si="13"/>
        <v>76</v>
      </c>
      <c r="C78" s="1">
        <f t="shared" si="10"/>
        <v>64</v>
      </c>
      <c r="D78" s="7" t="str">
        <f t="shared" si="4"/>
        <v/>
      </c>
      <c r="E78" s="8" t="str">
        <f t="shared" si="5"/>
        <v/>
      </c>
      <c r="F78" s="7">
        <f t="shared" si="6"/>
        <v>0.02</v>
      </c>
      <c r="G78" s="7" t="str">
        <f t="shared" si="7"/>
        <v/>
      </c>
      <c r="I78" s="1">
        <v>670</v>
      </c>
      <c r="J78" s="1">
        <f t="shared" si="12"/>
        <v>18640</v>
      </c>
      <c r="M78" s="2"/>
      <c r="O78" s="1" t="str">
        <f t="shared" si="14"/>
        <v/>
      </c>
      <c r="S78"/>
    </row>
    <row r="79" spans="2:19">
      <c r="B79" s="1">
        <f t="shared" si="13"/>
        <v>77</v>
      </c>
      <c r="C79" s="1">
        <f t="shared" ref="C79:C142" si="15">C74+4</f>
        <v>64</v>
      </c>
      <c r="D79" s="7" t="str">
        <f t="shared" si="4"/>
        <v/>
      </c>
      <c r="E79" s="8" t="str">
        <f t="shared" si="5"/>
        <v/>
      </c>
      <c r="F79" s="7" t="str">
        <f t="shared" si="6"/>
        <v/>
      </c>
      <c r="G79" s="7">
        <f t="shared" si="7"/>
        <v>0.01</v>
      </c>
      <c r="I79" s="1">
        <v>680</v>
      </c>
      <c r="J79" s="1">
        <f t="shared" si="12"/>
        <v>18925</v>
      </c>
      <c r="M79" s="2"/>
      <c r="O79" s="1" t="str">
        <f t="shared" si="14"/>
        <v/>
      </c>
      <c r="S79"/>
    </row>
    <row r="80" spans="2:19">
      <c r="B80" s="1">
        <f t="shared" si="13"/>
        <v>78</v>
      </c>
      <c r="C80" s="1">
        <f t="shared" si="15"/>
        <v>64</v>
      </c>
      <c r="D80" s="7">
        <f t="shared" si="4"/>
        <v>0.05</v>
      </c>
      <c r="E80" s="8" t="str">
        <f t="shared" si="5"/>
        <v/>
      </c>
      <c r="F80" s="7" t="str">
        <f t="shared" si="6"/>
        <v/>
      </c>
      <c r="G80" s="7" t="str">
        <f t="shared" si="7"/>
        <v/>
      </c>
      <c r="I80" s="1">
        <v>690</v>
      </c>
      <c r="J80" s="1">
        <f t="shared" si="12"/>
        <v>19210</v>
      </c>
      <c r="M80" s="2"/>
      <c r="O80" s="1" t="str">
        <f t="shared" si="14"/>
        <v/>
      </c>
      <c r="S80"/>
    </row>
    <row r="81" spans="2:19">
      <c r="B81" s="1">
        <f t="shared" si="13"/>
        <v>79</v>
      </c>
      <c r="C81" s="1">
        <f t="shared" si="15"/>
        <v>64</v>
      </c>
      <c r="D81" s="7" t="str">
        <f t="shared" si="4"/>
        <v/>
      </c>
      <c r="E81" s="8">
        <f t="shared" si="5"/>
        <v>0.005</v>
      </c>
      <c r="F81" s="7" t="str">
        <f t="shared" si="6"/>
        <v/>
      </c>
      <c r="G81" s="7" t="str">
        <f t="shared" si="7"/>
        <v/>
      </c>
      <c r="I81" s="1">
        <v>700</v>
      </c>
      <c r="J81" s="1">
        <f t="shared" si="12"/>
        <v>19495</v>
      </c>
      <c r="M81" s="2"/>
      <c r="O81" s="1" t="str">
        <f t="shared" si="14"/>
        <v/>
      </c>
      <c r="S81"/>
    </row>
    <row r="82" spans="2:19">
      <c r="B82" s="1">
        <f t="shared" si="13"/>
        <v>80</v>
      </c>
      <c r="C82" s="1">
        <f t="shared" si="15"/>
        <v>64</v>
      </c>
      <c r="D82" s="7" t="str">
        <f t="shared" si="4"/>
        <v/>
      </c>
      <c r="E82" s="8" t="str">
        <f t="shared" si="5"/>
        <v/>
      </c>
      <c r="F82" s="7">
        <f t="shared" si="6"/>
        <v>0.02</v>
      </c>
      <c r="G82" s="7" t="str">
        <f t="shared" si="7"/>
        <v/>
      </c>
      <c r="I82" s="1">
        <v>710</v>
      </c>
      <c r="J82" s="1">
        <f t="shared" si="12"/>
        <v>19780</v>
      </c>
      <c r="M82" s="2"/>
      <c r="O82" s="1" t="str">
        <f t="shared" si="14"/>
        <v/>
      </c>
      <c r="S82"/>
    </row>
    <row r="83" spans="2:19">
      <c r="B83" s="1">
        <f t="shared" si="13"/>
        <v>81</v>
      </c>
      <c r="C83" s="1">
        <f t="shared" si="15"/>
        <v>68</v>
      </c>
      <c r="D83" s="7" t="str">
        <f t="shared" si="4"/>
        <v/>
      </c>
      <c r="E83" s="8" t="str">
        <f t="shared" si="5"/>
        <v/>
      </c>
      <c r="F83" s="7" t="str">
        <f t="shared" si="6"/>
        <v/>
      </c>
      <c r="G83" s="7">
        <f t="shared" si="7"/>
        <v>0.01</v>
      </c>
      <c r="I83" s="1">
        <v>720</v>
      </c>
      <c r="J83" s="1">
        <f t="shared" si="12"/>
        <v>20065</v>
      </c>
      <c r="M83" s="2"/>
      <c r="O83" s="1" t="str">
        <f t="shared" si="14"/>
        <v/>
      </c>
      <c r="S83"/>
    </row>
    <row r="84" spans="2:19">
      <c r="B84" s="1">
        <f t="shared" si="13"/>
        <v>82</v>
      </c>
      <c r="C84" s="1">
        <f t="shared" si="15"/>
        <v>68</v>
      </c>
      <c r="D84" s="7">
        <f t="shared" si="4"/>
        <v>0.05</v>
      </c>
      <c r="E84" s="8" t="str">
        <f t="shared" si="5"/>
        <v/>
      </c>
      <c r="F84" s="7" t="str">
        <f t="shared" si="6"/>
        <v/>
      </c>
      <c r="G84" s="7" t="str">
        <f t="shared" si="7"/>
        <v/>
      </c>
      <c r="I84" s="1">
        <v>730</v>
      </c>
      <c r="J84" s="1">
        <f t="shared" si="12"/>
        <v>20350</v>
      </c>
      <c r="M84" s="2"/>
      <c r="O84" s="1" t="str">
        <f t="shared" si="14"/>
        <v/>
      </c>
      <c r="S84"/>
    </row>
    <row r="85" spans="2:19">
      <c r="B85" s="1">
        <f t="shared" si="13"/>
        <v>83</v>
      </c>
      <c r="C85" s="1">
        <f t="shared" si="15"/>
        <v>68</v>
      </c>
      <c r="D85" s="7" t="str">
        <f t="shared" si="4"/>
        <v/>
      </c>
      <c r="E85" s="8">
        <f t="shared" si="5"/>
        <v>0.005</v>
      </c>
      <c r="F85" s="7" t="str">
        <f t="shared" si="6"/>
        <v/>
      </c>
      <c r="G85" s="7" t="str">
        <f t="shared" si="7"/>
        <v/>
      </c>
      <c r="I85" s="1">
        <v>740</v>
      </c>
      <c r="J85" s="1">
        <f t="shared" ref="J85:J116" si="16">J84+285</f>
        <v>20635</v>
      </c>
      <c r="M85" s="2"/>
      <c r="O85" s="1" t="str">
        <f t="shared" si="14"/>
        <v/>
      </c>
      <c r="S85"/>
    </row>
    <row r="86" spans="2:19">
      <c r="B86" s="1">
        <f t="shared" si="13"/>
        <v>84</v>
      </c>
      <c r="C86" s="1">
        <f t="shared" si="15"/>
        <v>68</v>
      </c>
      <c r="D86" s="7" t="str">
        <f t="shared" si="4"/>
        <v/>
      </c>
      <c r="E86" s="8" t="str">
        <f t="shared" si="5"/>
        <v/>
      </c>
      <c r="F86" s="7">
        <f t="shared" si="6"/>
        <v>0.02</v>
      </c>
      <c r="G86" s="7" t="str">
        <f t="shared" si="7"/>
        <v/>
      </c>
      <c r="I86" s="1">
        <v>750</v>
      </c>
      <c r="J86" s="1">
        <f t="shared" si="16"/>
        <v>20920</v>
      </c>
      <c r="M86" s="2"/>
      <c r="O86" s="1" t="str">
        <f t="shared" si="14"/>
        <v/>
      </c>
      <c r="S86"/>
    </row>
    <row r="87" spans="2:19">
      <c r="B87" s="1">
        <f t="shared" si="13"/>
        <v>85</v>
      </c>
      <c r="C87" s="1">
        <f t="shared" si="15"/>
        <v>68</v>
      </c>
      <c r="D87" s="7" t="str">
        <f t="shared" si="4"/>
        <v/>
      </c>
      <c r="E87" s="8" t="str">
        <f t="shared" si="5"/>
        <v/>
      </c>
      <c r="F87" s="7" t="str">
        <f t="shared" si="6"/>
        <v/>
      </c>
      <c r="G87" s="7">
        <f t="shared" si="7"/>
        <v>0.01</v>
      </c>
      <c r="I87" s="1">
        <v>760</v>
      </c>
      <c r="J87" s="1">
        <f t="shared" si="16"/>
        <v>21205</v>
      </c>
      <c r="L87" s="1">
        <f>IF(L62="","",L62+10)</f>
        <v>70</v>
      </c>
      <c r="M87" s="2"/>
      <c r="N87" s="1">
        <v>9</v>
      </c>
      <c r="O87" s="1">
        <f t="shared" si="14"/>
        <v>106025</v>
      </c>
      <c r="S87"/>
    </row>
    <row r="88" spans="2:19">
      <c r="B88" s="1">
        <f t="shared" si="13"/>
        <v>86</v>
      </c>
      <c r="C88" s="1">
        <f t="shared" si="15"/>
        <v>72</v>
      </c>
      <c r="D88" s="7">
        <f t="shared" ref="D88:D102" si="17">IF(D84="","",D84)</f>
        <v>0.05</v>
      </c>
      <c r="E88" s="8" t="str">
        <f t="shared" ref="E88:E102" si="18">IF(E84="","",E84)</f>
        <v/>
      </c>
      <c r="F88" s="7" t="str">
        <f t="shared" ref="F88:F102" si="19">IF(F84="","",F84)</f>
        <v/>
      </c>
      <c r="G88" s="7" t="str">
        <f t="shared" ref="G88:G102" si="20">IF(G84="","",G84)</f>
        <v/>
      </c>
      <c r="I88" s="1">
        <v>770</v>
      </c>
      <c r="J88" s="1">
        <f t="shared" si="16"/>
        <v>21490</v>
      </c>
      <c r="M88" s="2"/>
      <c r="O88" s="1" t="str">
        <f t="shared" si="14"/>
        <v/>
      </c>
      <c r="S88"/>
    </row>
    <row r="89" spans="2:19">
      <c r="B89" s="1">
        <f t="shared" si="13"/>
        <v>87</v>
      </c>
      <c r="C89" s="1">
        <f t="shared" si="15"/>
        <v>72</v>
      </c>
      <c r="D89" s="7" t="str">
        <f t="shared" si="17"/>
        <v/>
      </c>
      <c r="E89" s="8">
        <f t="shared" si="18"/>
        <v>0.005</v>
      </c>
      <c r="F89" s="7" t="str">
        <f t="shared" si="19"/>
        <v/>
      </c>
      <c r="G89" s="7" t="str">
        <f t="shared" si="20"/>
        <v/>
      </c>
      <c r="I89" s="1">
        <v>780</v>
      </c>
      <c r="J89" s="1">
        <f t="shared" si="16"/>
        <v>21775</v>
      </c>
      <c r="M89" s="2"/>
      <c r="O89" s="1" t="str">
        <f t="shared" si="14"/>
        <v/>
      </c>
      <c r="S89"/>
    </row>
    <row r="90" spans="2:19">
      <c r="B90" s="1">
        <f t="shared" si="13"/>
        <v>88</v>
      </c>
      <c r="C90" s="1">
        <f t="shared" si="15"/>
        <v>72</v>
      </c>
      <c r="D90" s="7" t="str">
        <f t="shared" si="17"/>
        <v/>
      </c>
      <c r="E90" s="8" t="str">
        <f t="shared" si="18"/>
        <v/>
      </c>
      <c r="F90" s="7">
        <f t="shared" si="19"/>
        <v>0.02</v>
      </c>
      <c r="G90" s="7" t="str">
        <f t="shared" si="20"/>
        <v/>
      </c>
      <c r="I90" s="1">
        <v>790</v>
      </c>
      <c r="J90" s="1">
        <f t="shared" si="16"/>
        <v>22060</v>
      </c>
      <c r="M90" s="2"/>
      <c r="O90" s="1" t="str">
        <f t="shared" si="14"/>
        <v/>
      </c>
      <c r="S90"/>
    </row>
    <row r="91" spans="2:19">
      <c r="B91" s="1">
        <f t="shared" si="13"/>
        <v>89</v>
      </c>
      <c r="C91" s="1">
        <f t="shared" si="15"/>
        <v>72</v>
      </c>
      <c r="D91" s="7" t="str">
        <f t="shared" si="17"/>
        <v/>
      </c>
      <c r="E91" s="8" t="str">
        <f t="shared" si="18"/>
        <v/>
      </c>
      <c r="F91" s="7" t="str">
        <f t="shared" si="19"/>
        <v/>
      </c>
      <c r="G91" s="7">
        <f t="shared" si="20"/>
        <v>0.01</v>
      </c>
      <c r="I91" s="1">
        <v>800</v>
      </c>
      <c r="J91" s="1">
        <f t="shared" si="16"/>
        <v>22345</v>
      </c>
      <c r="M91" s="2"/>
      <c r="O91" s="1" t="str">
        <f t="shared" si="14"/>
        <v/>
      </c>
      <c r="S91"/>
    </row>
    <row r="92" spans="2:19">
      <c r="B92" s="1">
        <f t="shared" si="13"/>
        <v>90</v>
      </c>
      <c r="C92" s="1">
        <f t="shared" si="15"/>
        <v>72</v>
      </c>
      <c r="D92" s="7">
        <f t="shared" si="17"/>
        <v>0.05</v>
      </c>
      <c r="E92" s="8" t="str">
        <f t="shared" si="18"/>
        <v/>
      </c>
      <c r="F92" s="7" t="str">
        <f t="shared" si="19"/>
        <v/>
      </c>
      <c r="G92" s="7" t="str">
        <f t="shared" si="20"/>
        <v/>
      </c>
      <c r="I92" s="1">
        <v>810</v>
      </c>
      <c r="J92" s="1">
        <f t="shared" si="16"/>
        <v>22630</v>
      </c>
      <c r="M92" s="2"/>
      <c r="O92" s="1" t="str">
        <f t="shared" si="14"/>
        <v/>
      </c>
      <c r="S92"/>
    </row>
    <row r="93" spans="2:19">
      <c r="B93" s="1">
        <f t="shared" si="13"/>
        <v>91</v>
      </c>
      <c r="C93" s="1">
        <f t="shared" si="15"/>
        <v>76</v>
      </c>
      <c r="D93" s="7" t="str">
        <f t="shared" si="17"/>
        <v/>
      </c>
      <c r="E93" s="8">
        <f t="shared" si="18"/>
        <v>0.005</v>
      </c>
      <c r="F93" s="7" t="str">
        <f t="shared" si="19"/>
        <v/>
      </c>
      <c r="G93" s="7" t="str">
        <f t="shared" si="20"/>
        <v/>
      </c>
      <c r="I93" s="1">
        <v>820</v>
      </c>
      <c r="J93" s="1">
        <f t="shared" si="16"/>
        <v>22915</v>
      </c>
      <c r="M93" s="2"/>
      <c r="O93" s="1" t="str">
        <f t="shared" si="14"/>
        <v/>
      </c>
      <c r="S93"/>
    </row>
    <row r="94" spans="2:19">
      <c r="B94" s="1">
        <f t="shared" si="13"/>
        <v>92</v>
      </c>
      <c r="C94" s="1">
        <f t="shared" si="15"/>
        <v>76</v>
      </c>
      <c r="D94" s="7" t="str">
        <f t="shared" si="17"/>
        <v/>
      </c>
      <c r="E94" s="8" t="str">
        <f t="shared" si="18"/>
        <v/>
      </c>
      <c r="F94" s="7">
        <f t="shared" si="19"/>
        <v>0.02</v>
      </c>
      <c r="G94" s="7" t="str">
        <f t="shared" si="20"/>
        <v/>
      </c>
      <c r="I94" s="1">
        <v>830</v>
      </c>
      <c r="J94" s="1">
        <f t="shared" si="16"/>
        <v>23200</v>
      </c>
      <c r="M94" s="2"/>
      <c r="O94" s="1" t="str">
        <f t="shared" si="14"/>
        <v/>
      </c>
      <c r="S94"/>
    </row>
    <row r="95" spans="2:19">
      <c r="B95" s="1">
        <f t="shared" si="13"/>
        <v>93</v>
      </c>
      <c r="C95" s="1">
        <f t="shared" si="15"/>
        <v>76</v>
      </c>
      <c r="D95" s="7" t="str">
        <f t="shared" si="17"/>
        <v/>
      </c>
      <c r="E95" s="8" t="str">
        <f t="shared" si="18"/>
        <v/>
      </c>
      <c r="F95" s="7" t="str">
        <f t="shared" si="19"/>
        <v/>
      </c>
      <c r="G95" s="7">
        <f t="shared" si="20"/>
        <v>0.01</v>
      </c>
      <c r="I95" s="1">
        <v>840</v>
      </c>
      <c r="J95" s="1">
        <f t="shared" si="16"/>
        <v>23485</v>
      </c>
      <c r="M95" s="2"/>
      <c r="O95" s="1" t="str">
        <f t="shared" si="14"/>
        <v/>
      </c>
      <c r="S95"/>
    </row>
    <row r="96" spans="2:19">
      <c r="B96" s="1">
        <f t="shared" si="13"/>
        <v>94</v>
      </c>
      <c r="C96" s="1">
        <f t="shared" si="15"/>
        <v>76</v>
      </c>
      <c r="D96" s="7">
        <f t="shared" si="17"/>
        <v>0.05</v>
      </c>
      <c r="E96" s="8" t="str">
        <f t="shared" si="18"/>
        <v/>
      </c>
      <c r="F96" s="7" t="str">
        <f t="shared" si="19"/>
        <v/>
      </c>
      <c r="G96" s="7" t="str">
        <f t="shared" si="20"/>
        <v/>
      </c>
      <c r="I96" s="1">
        <v>850</v>
      </c>
      <c r="J96" s="1">
        <f t="shared" si="16"/>
        <v>23770</v>
      </c>
      <c r="M96" s="2"/>
      <c r="O96" s="1" t="str">
        <f t="shared" si="14"/>
        <v/>
      </c>
      <c r="S96"/>
    </row>
    <row r="97" spans="2:19">
      <c r="B97" s="1">
        <f t="shared" si="13"/>
        <v>95</v>
      </c>
      <c r="C97" s="1">
        <f t="shared" si="15"/>
        <v>76</v>
      </c>
      <c r="D97" s="7" t="str">
        <f t="shared" si="17"/>
        <v/>
      </c>
      <c r="E97" s="8">
        <f t="shared" si="18"/>
        <v>0.005</v>
      </c>
      <c r="F97" s="7" t="str">
        <f t="shared" si="19"/>
        <v/>
      </c>
      <c r="G97" s="7" t="str">
        <f t="shared" si="20"/>
        <v/>
      </c>
      <c r="I97" s="1">
        <v>860</v>
      </c>
      <c r="J97" s="1">
        <f t="shared" si="16"/>
        <v>24055</v>
      </c>
      <c r="M97" s="2" t="s">
        <v>401</v>
      </c>
      <c r="N97" s="1">
        <v>9</v>
      </c>
      <c r="O97" s="1">
        <f t="shared" si="14"/>
        <v>120275</v>
      </c>
      <c r="S97"/>
    </row>
    <row r="98" spans="2:19">
      <c r="B98" s="1">
        <f t="shared" si="13"/>
        <v>96</v>
      </c>
      <c r="C98" s="1">
        <f t="shared" si="15"/>
        <v>80</v>
      </c>
      <c r="D98" s="7" t="str">
        <f t="shared" si="17"/>
        <v/>
      </c>
      <c r="E98" s="8" t="str">
        <f t="shared" si="18"/>
        <v/>
      </c>
      <c r="F98" s="7">
        <f t="shared" si="19"/>
        <v>0.02</v>
      </c>
      <c r="G98" s="7" t="str">
        <f t="shared" si="20"/>
        <v/>
      </c>
      <c r="I98" s="1">
        <v>870</v>
      </c>
      <c r="J98" s="1">
        <f t="shared" si="16"/>
        <v>24340</v>
      </c>
      <c r="M98" s="2"/>
      <c r="O98" s="1" t="str">
        <f t="shared" si="14"/>
        <v/>
      </c>
      <c r="S98"/>
    </row>
    <row r="99" spans="2:19">
      <c r="B99" s="1">
        <f t="shared" si="13"/>
        <v>97</v>
      </c>
      <c r="C99" s="1">
        <f t="shared" si="15"/>
        <v>80</v>
      </c>
      <c r="D99" s="7" t="str">
        <f t="shared" si="17"/>
        <v/>
      </c>
      <c r="E99" s="8" t="str">
        <f t="shared" si="18"/>
        <v/>
      </c>
      <c r="F99" s="7" t="str">
        <f t="shared" si="19"/>
        <v/>
      </c>
      <c r="G99" s="7">
        <f t="shared" si="20"/>
        <v>0.01</v>
      </c>
      <c r="I99" s="1">
        <v>880</v>
      </c>
      <c r="J99" s="1">
        <f t="shared" si="16"/>
        <v>24625</v>
      </c>
      <c r="M99" s="2"/>
      <c r="O99" s="1" t="str">
        <f t="shared" si="14"/>
        <v/>
      </c>
      <c r="S99"/>
    </row>
    <row r="100" spans="2:19">
      <c r="B100" s="1">
        <f t="shared" si="13"/>
        <v>98</v>
      </c>
      <c r="C100" s="1">
        <f t="shared" si="15"/>
        <v>80</v>
      </c>
      <c r="D100" s="7">
        <f t="shared" si="17"/>
        <v>0.05</v>
      </c>
      <c r="E100" s="8" t="str">
        <f t="shared" si="18"/>
        <v/>
      </c>
      <c r="F100" s="7" t="str">
        <f t="shared" si="19"/>
        <v/>
      </c>
      <c r="G100" s="7" t="str">
        <f t="shared" si="20"/>
        <v/>
      </c>
      <c r="I100" s="1">
        <v>890</v>
      </c>
      <c r="J100" s="1">
        <f t="shared" si="16"/>
        <v>24910</v>
      </c>
      <c r="M100" s="2"/>
      <c r="O100" s="1" t="str">
        <f t="shared" ref="O100:O131" si="21">IF(L100&amp;M100="","",J100*5)</f>
        <v/>
      </c>
      <c r="S100"/>
    </row>
    <row r="101" spans="2:19">
      <c r="B101" s="1">
        <f t="shared" si="13"/>
        <v>99</v>
      </c>
      <c r="C101" s="1">
        <f t="shared" si="15"/>
        <v>80</v>
      </c>
      <c r="D101" s="7" t="str">
        <f t="shared" si="17"/>
        <v/>
      </c>
      <c r="E101" s="8">
        <f t="shared" si="18"/>
        <v>0.005</v>
      </c>
      <c r="F101" s="7" t="str">
        <f t="shared" si="19"/>
        <v/>
      </c>
      <c r="G101" s="7" t="str">
        <f t="shared" si="20"/>
        <v/>
      </c>
      <c r="I101" s="1">
        <v>900</v>
      </c>
      <c r="J101" s="1">
        <f t="shared" si="16"/>
        <v>25195</v>
      </c>
      <c r="M101" s="2"/>
      <c r="O101" s="1" t="str">
        <f t="shared" si="21"/>
        <v/>
      </c>
      <c r="S101"/>
    </row>
    <row r="102" spans="2:19">
      <c r="B102" s="1">
        <f t="shared" si="13"/>
        <v>100</v>
      </c>
      <c r="C102" s="1">
        <f t="shared" si="15"/>
        <v>80</v>
      </c>
      <c r="D102" s="7" t="str">
        <f t="shared" si="17"/>
        <v/>
      </c>
      <c r="E102" s="8" t="str">
        <f t="shared" si="18"/>
        <v/>
      </c>
      <c r="F102" s="7">
        <f t="shared" si="19"/>
        <v>0.02</v>
      </c>
      <c r="G102" s="7" t="str">
        <f t="shared" si="20"/>
        <v/>
      </c>
      <c r="I102" s="1">
        <v>910</v>
      </c>
      <c r="J102" s="1">
        <f t="shared" si="16"/>
        <v>25480</v>
      </c>
      <c r="M102" s="2"/>
      <c r="O102" s="1" t="str">
        <f t="shared" si="21"/>
        <v/>
      </c>
      <c r="S102"/>
    </row>
    <row r="103" spans="2:19">
      <c r="B103" s="1">
        <f t="shared" ref="B103:B166" si="22">B102+1</f>
        <v>101</v>
      </c>
      <c r="C103" s="1">
        <f t="shared" si="15"/>
        <v>84</v>
      </c>
      <c r="D103" s="7" t="str">
        <f t="shared" ref="D103:D166" si="23">IF(D99="","",D99)</f>
        <v/>
      </c>
      <c r="E103" s="8" t="str">
        <f t="shared" ref="E103:E166" si="24">IF(E99="","",E99)</f>
        <v/>
      </c>
      <c r="F103" s="7" t="str">
        <f t="shared" ref="F103:F166" si="25">IF(F99="","",F99)</f>
        <v/>
      </c>
      <c r="G103" s="7">
        <f t="shared" ref="G103:G166" si="26">IF(G99="","",G99)</f>
        <v>0.01</v>
      </c>
      <c r="I103" s="1">
        <v>920</v>
      </c>
      <c r="J103" s="1">
        <f t="shared" si="16"/>
        <v>25765</v>
      </c>
      <c r="M103" s="2"/>
      <c r="O103" s="1" t="str">
        <f t="shared" si="21"/>
        <v/>
      </c>
      <c r="S103"/>
    </row>
    <row r="104" spans="2:19">
      <c r="B104" s="1">
        <f t="shared" si="22"/>
        <v>102</v>
      </c>
      <c r="C104" s="1">
        <f t="shared" si="15"/>
        <v>84</v>
      </c>
      <c r="D104" s="7">
        <f t="shared" si="23"/>
        <v>0.05</v>
      </c>
      <c r="E104" s="8" t="str">
        <f t="shared" si="24"/>
        <v/>
      </c>
      <c r="F104" s="7" t="str">
        <f t="shared" si="25"/>
        <v/>
      </c>
      <c r="G104" s="7" t="str">
        <f t="shared" si="26"/>
        <v/>
      </c>
      <c r="I104" s="1">
        <v>930</v>
      </c>
      <c r="J104" s="1">
        <f t="shared" si="16"/>
        <v>26050</v>
      </c>
      <c r="M104" s="2"/>
      <c r="O104" s="1" t="str">
        <f t="shared" si="21"/>
        <v/>
      </c>
      <c r="S104"/>
    </row>
    <row r="105" spans="2:19">
      <c r="B105" s="1">
        <f t="shared" si="22"/>
        <v>103</v>
      </c>
      <c r="C105" s="1">
        <f t="shared" si="15"/>
        <v>84</v>
      </c>
      <c r="D105" s="7" t="str">
        <f t="shared" si="23"/>
        <v/>
      </c>
      <c r="E105" s="8">
        <f t="shared" si="24"/>
        <v>0.005</v>
      </c>
      <c r="F105" s="7" t="str">
        <f t="shared" si="25"/>
        <v/>
      </c>
      <c r="G105" s="7" t="str">
        <f t="shared" si="26"/>
        <v/>
      </c>
      <c r="I105" s="1">
        <v>940</v>
      </c>
      <c r="J105" s="1">
        <f t="shared" si="16"/>
        <v>26335</v>
      </c>
      <c r="M105" s="2"/>
      <c r="O105" s="1" t="str">
        <f t="shared" si="21"/>
        <v/>
      </c>
      <c r="S105"/>
    </row>
    <row r="106" spans="2:19">
      <c r="B106" s="1">
        <f t="shared" si="22"/>
        <v>104</v>
      </c>
      <c r="C106" s="1">
        <f t="shared" si="15"/>
        <v>84</v>
      </c>
      <c r="D106" s="7" t="str">
        <f t="shared" si="23"/>
        <v/>
      </c>
      <c r="E106" s="8" t="str">
        <f t="shared" si="24"/>
        <v/>
      </c>
      <c r="F106" s="7">
        <f t="shared" si="25"/>
        <v>0.02</v>
      </c>
      <c r="G106" s="7" t="str">
        <f t="shared" si="26"/>
        <v/>
      </c>
      <c r="I106" s="1">
        <v>950</v>
      </c>
      <c r="J106" s="1">
        <f t="shared" si="16"/>
        <v>26620</v>
      </c>
      <c r="M106" s="2"/>
      <c r="O106" s="1" t="str">
        <f t="shared" si="21"/>
        <v/>
      </c>
      <c r="S106"/>
    </row>
    <row r="107" spans="2:19">
      <c r="B107" s="1">
        <f t="shared" si="22"/>
        <v>105</v>
      </c>
      <c r="C107" s="1">
        <f t="shared" si="15"/>
        <v>84</v>
      </c>
      <c r="D107" s="7" t="str">
        <f t="shared" si="23"/>
        <v/>
      </c>
      <c r="E107" s="8" t="str">
        <f t="shared" si="24"/>
        <v/>
      </c>
      <c r="F107" s="7" t="str">
        <f t="shared" si="25"/>
        <v/>
      </c>
      <c r="G107" s="7">
        <f t="shared" si="26"/>
        <v>0.01</v>
      </c>
      <c r="I107" s="1">
        <v>960</v>
      </c>
      <c r="J107" s="1">
        <f t="shared" si="16"/>
        <v>26905</v>
      </c>
      <c r="L107" s="1">
        <f t="shared" ref="L107:L126" si="27">IF(L87="","",L87+10)</f>
        <v>80</v>
      </c>
      <c r="M107" s="2"/>
      <c r="N107" s="1">
        <v>9</v>
      </c>
      <c r="O107" s="1">
        <f t="shared" si="21"/>
        <v>134525</v>
      </c>
      <c r="S107"/>
    </row>
    <row r="108" spans="2:19">
      <c r="B108" s="1">
        <f t="shared" si="22"/>
        <v>106</v>
      </c>
      <c r="C108" s="1">
        <f t="shared" si="15"/>
        <v>88</v>
      </c>
      <c r="D108" s="7">
        <f t="shared" si="23"/>
        <v>0.05</v>
      </c>
      <c r="E108" s="8" t="str">
        <f t="shared" si="24"/>
        <v/>
      </c>
      <c r="F108" s="7" t="str">
        <f t="shared" si="25"/>
        <v/>
      </c>
      <c r="G108" s="7" t="str">
        <f t="shared" si="26"/>
        <v/>
      </c>
      <c r="I108" s="1">
        <v>970</v>
      </c>
      <c r="J108" s="1">
        <f t="shared" si="16"/>
        <v>27190</v>
      </c>
      <c r="L108" s="1" t="str">
        <f t="shared" si="27"/>
        <v/>
      </c>
      <c r="M108" s="2"/>
      <c r="O108" s="1" t="str">
        <f t="shared" si="21"/>
        <v/>
      </c>
      <c r="S108"/>
    </row>
    <row r="109" spans="2:19">
      <c r="B109" s="1">
        <f t="shared" si="22"/>
        <v>107</v>
      </c>
      <c r="C109" s="1">
        <f t="shared" si="15"/>
        <v>88</v>
      </c>
      <c r="D109" s="7" t="str">
        <f t="shared" si="23"/>
        <v/>
      </c>
      <c r="E109" s="8">
        <f t="shared" si="24"/>
        <v>0.005</v>
      </c>
      <c r="F109" s="7" t="str">
        <f t="shared" si="25"/>
        <v/>
      </c>
      <c r="G109" s="7" t="str">
        <f t="shared" si="26"/>
        <v/>
      </c>
      <c r="I109" s="1">
        <v>980</v>
      </c>
      <c r="J109" s="1">
        <f t="shared" si="16"/>
        <v>27475</v>
      </c>
      <c r="L109" s="1" t="str">
        <f t="shared" si="27"/>
        <v/>
      </c>
      <c r="M109" s="2"/>
      <c r="O109" s="1" t="str">
        <f t="shared" si="21"/>
        <v/>
      </c>
      <c r="S109"/>
    </row>
    <row r="110" spans="2:19">
      <c r="B110" s="1">
        <f t="shared" si="22"/>
        <v>108</v>
      </c>
      <c r="C110" s="1">
        <f t="shared" si="15"/>
        <v>88</v>
      </c>
      <c r="D110" s="7" t="str">
        <f t="shared" si="23"/>
        <v/>
      </c>
      <c r="E110" s="8" t="str">
        <f t="shared" si="24"/>
        <v/>
      </c>
      <c r="F110" s="7">
        <f t="shared" si="25"/>
        <v>0.02</v>
      </c>
      <c r="G110" s="7" t="str">
        <f t="shared" si="26"/>
        <v/>
      </c>
      <c r="I110" s="1">
        <v>990</v>
      </c>
      <c r="J110" s="1">
        <f t="shared" si="16"/>
        <v>27760</v>
      </c>
      <c r="L110" s="1" t="str">
        <f t="shared" si="27"/>
        <v/>
      </c>
      <c r="M110" s="2"/>
      <c r="O110" s="1" t="str">
        <f t="shared" si="21"/>
        <v/>
      </c>
      <c r="S110"/>
    </row>
    <row r="111" spans="2:19">
      <c r="B111" s="1">
        <f t="shared" si="22"/>
        <v>109</v>
      </c>
      <c r="C111" s="1">
        <f t="shared" si="15"/>
        <v>88</v>
      </c>
      <c r="D111" s="7" t="str">
        <f t="shared" si="23"/>
        <v/>
      </c>
      <c r="E111" s="8" t="str">
        <f t="shared" si="24"/>
        <v/>
      </c>
      <c r="F111" s="7" t="str">
        <f t="shared" si="25"/>
        <v/>
      </c>
      <c r="G111" s="7">
        <f t="shared" si="26"/>
        <v>0.01</v>
      </c>
      <c r="I111" s="1">
        <v>1000</v>
      </c>
      <c r="J111" s="1">
        <f t="shared" si="16"/>
        <v>28045</v>
      </c>
      <c r="L111" s="1" t="str">
        <f t="shared" si="27"/>
        <v/>
      </c>
      <c r="M111" s="2"/>
      <c r="O111" s="1" t="str">
        <f t="shared" si="21"/>
        <v/>
      </c>
      <c r="S111"/>
    </row>
    <row r="112" spans="2:19">
      <c r="B112" s="1">
        <f t="shared" si="22"/>
        <v>110</v>
      </c>
      <c r="C112" s="1">
        <f t="shared" si="15"/>
        <v>88</v>
      </c>
      <c r="D112" s="7">
        <f t="shared" si="23"/>
        <v>0.05</v>
      </c>
      <c r="E112" s="8" t="str">
        <f t="shared" si="24"/>
        <v/>
      </c>
      <c r="F112" s="7" t="str">
        <f t="shared" si="25"/>
        <v/>
      </c>
      <c r="G112" s="7" t="str">
        <f t="shared" si="26"/>
        <v/>
      </c>
      <c r="I112" s="1">
        <v>1010</v>
      </c>
      <c r="J112" s="1">
        <f t="shared" si="16"/>
        <v>28330</v>
      </c>
      <c r="L112" s="1" t="str">
        <f t="shared" si="27"/>
        <v/>
      </c>
      <c r="M112" s="2"/>
      <c r="O112" s="1" t="str">
        <f t="shared" si="21"/>
        <v/>
      </c>
      <c r="S112"/>
    </row>
    <row r="113" spans="2:19">
      <c r="B113" s="1">
        <f t="shared" si="22"/>
        <v>111</v>
      </c>
      <c r="C113" s="1">
        <f t="shared" si="15"/>
        <v>92</v>
      </c>
      <c r="D113" s="7" t="str">
        <f t="shared" si="23"/>
        <v/>
      </c>
      <c r="E113" s="8">
        <f t="shared" si="24"/>
        <v>0.005</v>
      </c>
      <c r="F113" s="7" t="str">
        <f t="shared" si="25"/>
        <v/>
      </c>
      <c r="G113" s="7" t="str">
        <f t="shared" si="26"/>
        <v/>
      </c>
      <c r="I113" s="1">
        <v>1020</v>
      </c>
      <c r="J113" s="1">
        <f t="shared" si="16"/>
        <v>28615</v>
      </c>
      <c r="L113" s="1" t="str">
        <f t="shared" si="27"/>
        <v/>
      </c>
      <c r="M113" s="2"/>
      <c r="O113" s="1" t="str">
        <f t="shared" si="21"/>
        <v/>
      </c>
      <c r="S113"/>
    </row>
    <row r="114" spans="2:19">
      <c r="B114" s="1">
        <f t="shared" si="22"/>
        <v>112</v>
      </c>
      <c r="C114" s="1">
        <f t="shared" si="15"/>
        <v>92</v>
      </c>
      <c r="D114" s="7" t="str">
        <f t="shared" si="23"/>
        <v/>
      </c>
      <c r="E114" s="8" t="str">
        <f t="shared" si="24"/>
        <v/>
      </c>
      <c r="F114" s="7">
        <f t="shared" si="25"/>
        <v>0.02</v>
      </c>
      <c r="G114" s="7" t="str">
        <f t="shared" si="26"/>
        <v/>
      </c>
      <c r="I114" s="1">
        <v>1030</v>
      </c>
      <c r="J114" s="1">
        <f t="shared" si="16"/>
        <v>28900</v>
      </c>
      <c r="L114" s="1" t="str">
        <f t="shared" si="27"/>
        <v/>
      </c>
      <c r="M114" s="2"/>
      <c r="O114" s="1" t="str">
        <f t="shared" si="21"/>
        <v/>
      </c>
      <c r="S114"/>
    </row>
    <row r="115" spans="2:19">
      <c r="B115" s="1">
        <f t="shared" si="22"/>
        <v>113</v>
      </c>
      <c r="C115" s="1">
        <f t="shared" si="15"/>
        <v>92</v>
      </c>
      <c r="D115" s="7" t="str">
        <f t="shared" si="23"/>
        <v/>
      </c>
      <c r="E115" s="8" t="str">
        <f t="shared" si="24"/>
        <v/>
      </c>
      <c r="F115" s="7" t="str">
        <f t="shared" si="25"/>
        <v/>
      </c>
      <c r="G115" s="7">
        <f t="shared" si="26"/>
        <v>0.01</v>
      </c>
      <c r="I115" s="1">
        <v>1040</v>
      </c>
      <c r="J115" s="1">
        <f t="shared" si="16"/>
        <v>29185</v>
      </c>
      <c r="L115" s="1" t="str">
        <f t="shared" si="27"/>
        <v/>
      </c>
      <c r="M115" s="2"/>
      <c r="O115" s="1" t="str">
        <f t="shared" si="21"/>
        <v/>
      </c>
      <c r="S115"/>
    </row>
    <row r="116" spans="2:19">
      <c r="B116" s="1">
        <f t="shared" si="22"/>
        <v>114</v>
      </c>
      <c r="C116" s="1">
        <f t="shared" si="15"/>
        <v>92</v>
      </c>
      <c r="D116" s="7">
        <f t="shared" si="23"/>
        <v>0.05</v>
      </c>
      <c r="E116" s="8" t="str">
        <f t="shared" si="24"/>
        <v/>
      </c>
      <c r="F116" s="7" t="str">
        <f t="shared" si="25"/>
        <v/>
      </c>
      <c r="G116" s="7" t="str">
        <f t="shared" si="26"/>
        <v/>
      </c>
      <c r="I116" s="1">
        <v>1050</v>
      </c>
      <c r="J116" s="1">
        <f t="shared" si="16"/>
        <v>29470</v>
      </c>
      <c r="L116" s="1" t="str">
        <f t="shared" si="27"/>
        <v/>
      </c>
      <c r="M116" s="2"/>
      <c r="O116" s="1" t="str">
        <f t="shared" si="21"/>
        <v/>
      </c>
      <c r="S116"/>
    </row>
    <row r="117" spans="2:19">
      <c r="B117" s="1">
        <f t="shared" si="22"/>
        <v>115</v>
      </c>
      <c r="C117" s="1">
        <f t="shared" si="15"/>
        <v>92</v>
      </c>
      <c r="D117" s="7" t="str">
        <f t="shared" si="23"/>
        <v/>
      </c>
      <c r="E117" s="8">
        <f t="shared" si="24"/>
        <v>0.005</v>
      </c>
      <c r="F117" s="7" t="str">
        <f t="shared" si="25"/>
        <v/>
      </c>
      <c r="G117" s="7" t="str">
        <f t="shared" si="26"/>
        <v/>
      </c>
      <c r="I117" s="1">
        <v>1060</v>
      </c>
      <c r="J117" s="1">
        <f t="shared" ref="J117:J148" si="28">J116+285</f>
        <v>29755</v>
      </c>
      <c r="L117" s="1" t="str">
        <f t="shared" si="27"/>
        <v/>
      </c>
      <c r="M117" s="2" t="s">
        <v>402</v>
      </c>
      <c r="N117" s="1">
        <v>9</v>
      </c>
      <c r="O117" s="1">
        <f t="shared" si="21"/>
        <v>148775</v>
      </c>
      <c r="S117"/>
    </row>
    <row r="118" spans="2:19">
      <c r="B118" s="1">
        <f t="shared" si="22"/>
        <v>116</v>
      </c>
      <c r="C118" s="1">
        <f t="shared" si="15"/>
        <v>96</v>
      </c>
      <c r="D118" s="7" t="str">
        <f t="shared" si="23"/>
        <v/>
      </c>
      <c r="E118" s="8" t="str">
        <f t="shared" si="24"/>
        <v/>
      </c>
      <c r="F118" s="7">
        <f t="shared" si="25"/>
        <v>0.02</v>
      </c>
      <c r="G118" s="7" t="str">
        <f t="shared" si="26"/>
        <v/>
      </c>
      <c r="I118" s="1">
        <v>1070</v>
      </c>
      <c r="J118" s="1">
        <f t="shared" si="28"/>
        <v>30040</v>
      </c>
      <c r="L118" s="1" t="str">
        <f t="shared" si="27"/>
        <v/>
      </c>
      <c r="M118" s="2" t="s">
        <v>168</v>
      </c>
      <c r="O118" s="1" t="str">
        <f t="shared" si="21"/>
        <v/>
      </c>
      <c r="S118"/>
    </row>
    <row r="119" spans="2:19">
      <c r="B119" s="1">
        <f t="shared" si="22"/>
        <v>117</v>
      </c>
      <c r="C119" s="1">
        <f t="shared" si="15"/>
        <v>96</v>
      </c>
      <c r="D119" s="7" t="str">
        <f t="shared" si="23"/>
        <v/>
      </c>
      <c r="E119" s="8" t="str">
        <f t="shared" si="24"/>
        <v/>
      </c>
      <c r="F119" s="7" t="str">
        <f t="shared" si="25"/>
        <v/>
      </c>
      <c r="G119" s="7">
        <f t="shared" si="26"/>
        <v>0.01</v>
      </c>
      <c r="I119" s="1">
        <v>1080</v>
      </c>
      <c r="J119" s="1">
        <f t="shared" si="28"/>
        <v>30325</v>
      </c>
      <c r="L119" s="1" t="str">
        <f t="shared" si="27"/>
        <v/>
      </c>
      <c r="M119" s="2" t="s">
        <v>168</v>
      </c>
      <c r="O119" s="1" t="str">
        <f t="shared" si="21"/>
        <v/>
      </c>
      <c r="S119"/>
    </row>
    <row r="120" spans="2:19">
      <c r="B120" s="1">
        <f t="shared" si="22"/>
        <v>118</v>
      </c>
      <c r="C120" s="1">
        <f t="shared" si="15"/>
        <v>96</v>
      </c>
      <c r="D120" s="7">
        <f t="shared" si="23"/>
        <v>0.05</v>
      </c>
      <c r="E120" s="8" t="str">
        <f t="shared" si="24"/>
        <v/>
      </c>
      <c r="F120" s="7" t="str">
        <f t="shared" si="25"/>
        <v/>
      </c>
      <c r="G120" s="7" t="str">
        <f t="shared" si="26"/>
        <v/>
      </c>
      <c r="I120" s="1">
        <v>1090</v>
      </c>
      <c r="J120" s="1">
        <f t="shared" si="28"/>
        <v>30610</v>
      </c>
      <c r="L120" s="1" t="str">
        <f t="shared" si="27"/>
        <v/>
      </c>
      <c r="M120" s="2" t="s">
        <v>168</v>
      </c>
      <c r="O120" s="1" t="str">
        <f t="shared" si="21"/>
        <v/>
      </c>
      <c r="S120"/>
    </row>
    <row r="121" spans="2:19">
      <c r="B121" s="1">
        <f t="shared" si="22"/>
        <v>119</v>
      </c>
      <c r="C121" s="1">
        <f t="shared" si="15"/>
        <v>96</v>
      </c>
      <c r="D121" s="7" t="str">
        <f t="shared" si="23"/>
        <v/>
      </c>
      <c r="E121" s="8">
        <f t="shared" si="24"/>
        <v>0.005</v>
      </c>
      <c r="F121" s="7" t="str">
        <f t="shared" si="25"/>
        <v/>
      </c>
      <c r="G121" s="7" t="str">
        <f t="shared" si="26"/>
        <v/>
      </c>
      <c r="I121" s="1">
        <v>1100</v>
      </c>
      <c r="J121" s="1">
        <f t="shared" si="28"/>
        <v>30895</v>
      </c>
      <c r="L121" s="1" t="str">
        <f t="shared" si="27"/>
        <v/>
      </c>
      <c r="M121" s="2" t="s">
        <v>168</v>
      </c>
      <c r="O121" s="1" t="str">
        <f t="shared" si="21"/>
        <v/>
      </c>
      <c r="S121"/>
    </row>
    <row r="122" spans="2:19">
      <c r="B122" s="1">
        <f t="shared" si="22"/>
        <v>120</v>
      </c>
      <c r="C122" s="1">
        <f t="shared" si="15"/>
        <v>96</v>
      </c>
      <c r="D122" s="7" t="str">
        <f t="shared" si="23"/>
        <v/>
      </c>
      <c r="E122" s="8" t="str">
        <f t="shared" si="24"/>
        <v/>
      </c>
      <c r="F122" s="7">
        <f t="shared" si="25"/>
        <v>0.02</v>
      </c>
      <c r="G122" s="7" t="str">
        <f t="shared" si="26"/>
        <v/>
      </c>
      <c r="I122" s="1">
        <v>1110</v>
      </c>
      <c r="J122" s="1">
        <f t="shared" si="28"/>
        <v>31180</v>
      </c>
      <c r="L122" s="1" t="str">
        <f t="shared" si="27"/>
        <v/>
      </c>
      <c r="M122" s="2" t="s">
        <v>168</v>
      </c>
      <c r="O122" s="1" t="str">
        <f t="shared" si="21"/>
        <v/>
      </c>
      <c r="S122"/>
    </row>
    <row r="123" spans="2:19">
      <c r="B123" s="1">
        <f t="shared" si="22"/>
        <v>121</v>
      </c>
      <c r="C123" s="1">
        <f t="shared" si="15"/>
        <v>100</v>
      </c>
      <c r="D123" s="7" t="str">
        <f t="shared" si="23"/>
        <v/>
      </c>
      <c r="E123" s="8" t="str">
        <f t="shared" si="24"/>
        <v/>
      </c>
      <c r="F123" s="7" t="str">
        <f t="shared" si="25"/>
        <v/>
      </c>
      <c r="G123" s="7">
        <f t="shared" si="26"/>
        <v>0.01</v>
      </c>
      <c r="I123" s="1">
        <v>1120</v>
      </c>
      <c r="J123" s="1">
        <f t="shared" si="28"/>
        <v>31465</v>
      </c>
      <c r="L123" s="1" t="str">
        <f t="shared" si="27"/>
        <v/>
      </c>
      <c r="M123" s="2" t="s">
        <v>168</v>
      </c>
      <c r="O123" s="1" t="str">
        <f t="shared" si="21"/>
        <v/>
      </c>
      <c r="S123"/>
    </row>
    <row r="124" spans="2:19">
      <c r="B124" s="1">
        <f t="shared" si="22"/>
        <v>122</v>
      </c>
      <c r="C124" s="1">
        <f t="shared" si="15"/>
        <v>100</v>
      </c>
      <c r="D124" s="7">
        <f t="shared" si="23"/>
        <v>0.05</v>
      </c>
      <c r="E124" s="8" t="str">
        <f t="shared" si="24"/>
        <v/>
      </c>
      <c r="F124" s="7" t="str">
        <f t="shared" si="25"/>
        <v/>
      </c>
      <c r="G124" s="7" t="str">
        <f t="shared" si="26"/>
        <v/>
      </c>
      <c r="I124" s="1">
        <v>1130</v>
      </c>
      <c r="J124" s="1">
        <f t="shared" si="28"/>
        <v>31750</v>
      </c>
      <c r="L124" s="1" t="str">
        <f t="shared" si="27"/>
        <v/>
      </c>
      <c r="M124" s="2" t="s">
        <v>168</v>
      </c>
      <c r="O124" s="1" t="str">
        <f t="shared" si="21"/>
        <v/>
      </c>
      <c r="S124"/>
    </row>
    <row r="125" spans="2:19">
      <c r="B125" s="1">
        <f t="shared" si="22"/>
        <v>123</v>
      </c>
      <c r="C125" s="1">
        <f t="shared" si="15"/>
        <v>100</v>
      </c>
      <c r="D125" s="7" t="str">
        <f t="shared" si="23"/>
        <v/>
      </c>
      <c r="E125" s="8">
        <f t="shared" si="24"/>
        <v>0.005</v>
      </c>
      <c r="F125" s="7" t="str">
        <f t="shared" si="25"/>
        <v/>
      </c>
      <c r="G125" s="7" t="str">
        <f t="shared" si="26"/>
        <v/>
      </c>
      <c r="I125" s="1">
        <v>1140</v>
      </c>
      <c r="J125" s="1">
        <f t="shared" si="28"/>
        <v>32035</v>
      </c>
      <c r="L125" s="1" t="str">
        <f t="shared" si="27"/>
        <v/>
      </c>
      <c r="M125" s="2" t="s">
        <v>168</v>
      </c>
      <c r="O125" s="1" t="str">
        <f t="shared" si="21"/>
        <v/>
      </c>
      <c r="S125"/>
    </row>
    <row r="126" spans="2:19">
      <c r="B126" s="1">
        <f t="shared" si="22"/>
        <v>124</v>
      </c>
      <c r="C126" s="1">
        <f t="shared" si="15"/>
        <v>100</v>
      </c>
      <c r="D126" s="7" t="str">
        <f t="shared" si="23"/>
        <v/>
      </c>
      <c r="E126" s="8" t="str">
        <f t="shared" si="24"/>
        <v/>
      </c>
      <c r="F126" s="7">
        <f t="shared" si="25"/>
        <v>0.02</v>
      </c>
      <c r="G126" s="7" t="str">
        <f t="shared" si="26"/>
        <v/>
      </c>
      <c r="I126" s="1">
        <v>1150</v>
      </c>
      <c r="J126" s="1">
        <f t="shared" si="28"/>
        <v>32320</v>
      </c>
      <c r="L126" s="1" t="str">
        <f t="shared" si="27"/>
        <v/>
      </c>
      <c r="M126" s="2" t="s">
        <v>168</v>
      </c>
      <c r="O126" s="1" t="str">
        <f t="shared" si="21"/>
        <v/>
      </c>
      <c r="S126"/>
    </row>
    <row r="127" spans="2:19">
      <c r="B127" s="1">
        <f t="shared" si="22"/>
        <v>125</v>
      </c>
      <c r="C127" s="1">
        <f t="shared" si="15"/>
        <v>100</v>
      </c>
      <c r="D127" s="7" t="str">
        <f t="shared" si="23"/>
        <v/>
      </c>
      <c r="E127" s="8" t="str">
        <f t="shared" si="24"/>
        <v/>
      </c>
      <c r="F127" s="7" t="str">
        <f t="shared" si="25"/>
        <v/>
      </c>
      <c r="G127" s="7">
        <f t="shared" si="26"/>
        <v>0.01</v>
      </c>
      <c r="I127" s="1">
        <v>1160</v>
      </c>
      <c r="J127" s="1">
        <f t="shared" si="28"/>
        <v>32605</v>
      </c>
      <c r="L127" s="1">
        <f>IF(L87="","",L87+10)</f>
        <v>80</v>
      </c>
      <c r="M127" s="2" t="s">
        <v>168</v>
      </c>
      <c r="N127" s="1">
        <v>9</v>
      </c>
      <c r="O127" s="1">
        <f t="shared" si="21"/>
        <v>163025</v>
      </c>
      <c r="S127"/>
    </row>
    <row r="128" spans="2:19">
      <c r="B128" s="1">
        <f t="shared" si="22"/>
        <v>126</v>
      </c>
      <c r="C128" s="1">
        <f t="shared" si="15"/>
        <v>104</v>
      </c>
      <c r="D128" s="7">
        <f t="shared" si="23"/>
        <v>0.05</v>
      </c>
      <c r="E128" s="8" t="str">
        <f t="shared" si="24"/>
        <v/>
      </c>
      <c r="F128" s="7" t="str">
        <f t="shared" si="25"/>
        <v/>
      </c>
      <c r="G128" s="7" t="str">
        <f t="shared" si="26"/>
        <v/>
      </c>
      <c r="I128" s="1">
        <v>1170</v>
      </c>
      <c r="J128" s="1">
        <f t="shared" si="28"/>
        <v>32890</v>
      </c>
      <c r="L128" s="1" t="str">
        <f t="shared" ref="L128:L159" si="29">IF(L88="","",L88+10)</f>
        <v/>
      </c>
      <c r="M128" s="2" t="s">
        <v>168</v>
      </c>
      <c r="O128" s="1" t="str">
        <f t="shared" si="21"/>
        <v/>
      </c>
      <c r="S128"/>
    </row>
    <row r="129" spans="2:19">
      <c r="B129" s="1">
        <f t="shared" si="22"/>
        <v>127</v>
      </c>
      <c r="C129" s="1">
        <f t="shared" si="15"/>
        <v>104</v>
      </c>
      <c r="D129" s="7" t="str">
        <f t="shared" si="23"/>
        <v/>
      </c>
      <c r="E129" s="8">
        <f t="shared" si="24"/>
        <v>0.005</v>
      </c>
      <c r="F129" s="7" t="str">
        <f t="shared" si="25"/>
        <v/>
      </c>
      <c r="G129" s="7" t="str">
        <f t="shared" si="26"/>
        <v/>
      </c>
      <c r="I129" s="1">
        <v>1180</v>
      </c>
      <c r="J129" s="1">
        <f t="shared" si="28"/>
        <v>33175</v>
      </c>
      <c r="L129" s="1" t="str">
        <f t="shared" si="29"/>
        <v/>
      </c>
      <c r="M129" s="2" t="s">
        <v>168</v>
      </c>
      <c r="O129" s="1" t="str">
        <f t="shared" si="21"/>
        <v/>
      </c>
      <c r="S129"/>
    </row>
    <row r="130" spans="2:19">
      <c r="B130" s="1">
        <f t="shared" si="22"/>
        <v>128</v>
      </c>
      <c r="C130" s="1">
        <f t="shared" si="15"/>
        <v>104</v>
      </c>
      <c r="D130" s="7" t="str">
        <f t="shared" si="23"/>
        <v/>
      </c>
      <c r="E130" s="8" t="str">
        <f t="shared" si="24"/>
        <v/>
      </c>
      <c r="F130" s="7">
        <f t="shared" si="25"/>
        <v>0.02</v>
      </c>
      <c r="G130" s="7" t="str">
        <f t="shared" si="26"/>
        <v/>
      </c>
      <c r="I130" s="1">
        <v>1190</v>
      </c>
      <c r="J130" s="1">
        <f t="shared" si="28"/>
        <v>33460</v>
      </c>
      <c r="L130" s="1" t="str">
        <f t="shared" si="29"/>
        <v/>
      </c>
      <c r="M130" s="2" t="s">
        <v>168</v>
      </c>
      <c r="O130" s="1" t="str">
        <f t="shared" si="21"/>
        <v/>
      </c>
      <c r="S130"/>
    </row>
    <row r="131" spans="2:19">
      <c r="B131" s="1">
        <f t="shared" si="22"/>
        <v>129</v>
      </c>
      <c r="C131" s="1">
        <f t="shared" si="15"/>
        <v>104</v>
      </c>
      <c r="D131" s="7" t="str">
        <f t="shared" si="23"/>
        <v/>
      </c>
      <c r="E131" s="8" t="str">
        <f t="shared" si="24"/>
        <v/>
      </c>
      <c r="F131" s="7" t="str">
        <f t="shared" si="25"/>
        <v/>
      </c>
      <c r="G131" s="7">
        <f t="shared" si="26"/>
        <v>0.01</v>
      </c>
      <c r="I131" s="1">
        <v>1200</v>
      </c>
      <c r="J131" s="1">
        <f t="shared" si="28"/>
        <v>33745</v>
      </c>
      <c r="L131" s="1" t="str">
        <f t="shared" si="29"/>
        <v/>
      </c>
      <c r="M131" s="2" t="s">
        <v>168</v>
      </c>
      <c r="O131" s="1" t="str">
        <f t="shared" si="21"/>
        <v/>
      </c>
      <c r="S131"/>
    </row>
    <row r="132" spans="2:19">
      <c r="B132" s="1">
        <f t="shared" si="22"/>
        <v>130</v>
      </c>
      <c r="C132" s="1">
        <f t="shared" si="15"/>
        <v>104</v>
      </c>
      <c r="D132" s="7">
        <f t="shared" si="23"/>
        <v>0.05</v>
      </c>
      <c r="E132" s="8" t="str">
        <f t="shared" si="24"/>
        <v/>
      </c>
      <c r="F132" s="7" t="str">
        <f t="shared" si="25"/>
        <v/>
      </c>
      <c r="G132" s="7" t="str">
        <f t="shared" si="26"/>
        <v/>
      </c>
      <c r="I132" s="1">
        <v>1210</v>
      </c>
      <c r="J132" s="1">
        <f t="shared" si="28"/>
        <v>34030</v>
      </c>
      <c r="L132" s="1" t="str">
        <f t="shared" si="29"/>
        <v/>
      </c>
      <c r="M132" s="2" t="s">
        <v>168</v>
      </c>
      <c r="O132" s="1" t="str">
        <f t="shared" ref="O132:O163" si="30">IF(L132&amp;M132="","",J132*5)</f>
        <v/>
      </c>
      <c r="S132"/>
    </row>
    <row r="133" spans="2:19">
      <c r="B133" s="1">
        <f t="shared" si="22"/>
        <v>131</v>
      </c>
      <c r="C133" s="1">
        <f t="shared" si="15"/>
        <v>108</v>
      </c>
      <c r="D133" s="7" t="str">
        <f t="shared" si="23"/>
        <v/>
      </c>
      <c r="E133" s="8">
        <f t="shared" si="24"/>
        <v>0.005</v>
      </c>
      <c r="F133" s="7" t="str">
        <f t="shared" si="25"/>
        <v/>
      </c>
      <c r="G133" s="7" t="str">
        <f t="shared" si="26"/>
        <v/>
      </c>
      <c r="I133" s="1">
        <v>1220</v>
      </c>
      <c r="J133" s="1">
        <f t="shared" si="28"/>
        <v>34315</v>
      </c>
      <c r="L133" s="1" t="str">
        <f t="shared" si="29"/>
        <v/>
      </c>
      <c r="M133" s="2" t="s">
        <v>168</v>
      </c>
      <c r="O133" s="1" t="str">
        <f t="shared" si="30"/>
        <v/>
      </c>
      <c r="S133"/>
    </row>
    <row r="134" spans="2:19">
      <c r="B134" s="1">
        <f t="shared" si="22"/>
        <v>132</v>
      </c>
      <c r="C134" s="1">
        <f t="shared" si="15"/>
        <v>108</v>
      </c>
      <c r="D134" s="7" t="str">
        <f t="shared" si="23"/>
        <v/>
      </c>
      <c r="E134" s="8" t="str">
        <f t="shared" si="24"/>
        <v/>
      </c>
      <c r="F134" s="7">
        <f t="shared" si="25"/>
        <v>0.02</v>
      </c>
      <c r="G134" s="7" t="str">
        <f t="shared" si="26"/>
        <v/>
      </c>
      <c r="I134" s="1">
        <v>1230</v>
      </c>
      <c r="J134" s="1">
        <f t="shared" si="28"/>
        <v>34600</v>
      </c>
      <c r="L134" s="1" t="str">
        <f t="shared" si="29"/>
        <v/>
      </c>
      <c r="M134" s="2" t="s">
        <v>168</v>
      </c>
      <c r="O134" s="1" t="str">
        <f t="shared" si="30"/>
        <v/>
      </c>
      <c r="S134"/>
    </row>
    <row r="135" spans="2:19">
      <c r="B135" s="1">
        <f t="shared" si="22"/>
        <v>133</v>
      </c>
      <c r="C135" s="1">
        <f t="shared" si="15"/>
        <v>108</v>
      </c>
      <c r="D135" s="7" t="str">
        <f t="shared" si="23"/>
        <v/>
      </c>
      <c r="E135" s="8" t="str">
        <f t="shared" si="24"/>
        <v/>
      </c>
      <c r="F135" s="7" t="str">
        <f t="shared" si="25"/>
        <v/>
      </c>
      <c r="G135" s="7">
        <f t="shared" si="26"/>
        <v>0.01</v>
      </c>
      <c r="I135" s="1">
        <v>1240</v>
      </c>
      <c r="J135" s="1">
        <f t="shared" si="28"/>
        <v>34885</v>
      </c>
      <c r="L135" s="1" t="str">
        <f t="shared" si="29"/>
        <v/>
      </c>
      <c r="M135" s="2" t="s">
        <v>168</v>
      </c>
      <c r="O135" s="1" t="str">
        <f t="shared" si="30"/>
        <v/>
      </c>
      <c r="S135"/>
    </row>
    <row r="136" spans="2:19">
      <c r="B136" s="1">
        <f t="shared" si="22"/>
        <v>134</v>
      </c>
      <c r="C136" s="1">
        <f t="shared" si="15"/>
        <v>108</v>
      </c>
      <c r="D136" s="7">
        <f t="shared" si="23"/>
        <v>0.05</v>
      </c>
      <c r="E136" s="8" t="str">
        <f t="shared" si="24"/>
        <v/>
      </c>
      <c r="F136" s="7" t="str">
        <f t="shared" si="25"/>
        <v/>
      </c>
      <c r="G136" s="7" t="str">
        <f t="shared" si="26"/>
        <v/>
      </c>
      <c r="I136" s="1">
        <v>1250</v>
      </c>
      <c r="J136" s="1">
        <f t="shared" si="28"/>
        <v>35170</v>
      </c>
      <c r="L136" s="1" t="str">
        <f t="shared" si="29"/>
        <v/>
      </c>
      <c r="M136" s="2" t="s">
        <v>168</v>
      </c>
      <c r="O136" s="1" t="str">
        <f t="shared" si="30"/>
        <v/>
      </c>
      <c r="S136"/>
    </row>
    <row r="137" spans="2:19">
      <c r="B137" s="1">
        <f t="shared" si="22"/>
        <v>135</v>
      </c>
      <c r="C137" s="1">
        <f t="shared" si="15"/>
        <v>108</v>
      </c>
      <c r="D137" s="7" t="str">
        <f t="shared" si="23"/>
        <v/>
      </c>
      <c r="E137" s="8">
        <f t="shared" si="24"/>
        <v>0.005</v>
      </c>
      <c r="F137" s="7" t="str">
        <f t="shared" si="25"/>
        <v/>
      </c>
      <c r="G137" s="7" t="str">
        <f t="shared" si="26"/>
        <v/>
      </c>
      <c r="I137" s="1">
        <v>1260</v>
      </c>
      <c r="J137" s="1">
        <f t="shared" si="28"/>
        <v>35455</v>
      </c>
      <c r="L137" s="1" t="str">
        <f t="shared" si="29"/>
        <v/>
      </c>
      <c r="M137" s="2" t="s">
        <v>395</v>
      </c>
      <c r="N137" s="1">
        <v>9</v>
      </c>
      <c r="O137" s="1">
        <f t="shared" si="30"/>
        <v>177275</v>
      </c>
      <c r="S137"/>
    </row>
    <row r="138" spans="2:19">
      <c r="B138" s="1">
        <f t="shared" si="22"/>
        <v>136</v>
      </c>
      <c r="C138" s="1">
        <f t="shared" si="15"/>
        <v>112</v>
      </c>
      <c r="D138" s="7" t="str">
        <f t="shared" si="23"/>
        <v/>
      </c>
      <c r="E138" s="8" t="str">
        <f t="shared" si="24"/>
        <v/>
      </c>
      <c r="F138" s="7">
        <f t="shared" si="25"/>
        <v>0.02</v>
      </c>
      <c r="G138" s="7" t="str">
        <f t="shared" si="26"/>
        <v/>
      </c>
      <c r="I138" s="1">
        <v>1270</v>
      </c>
      <c r="J138" s="1">
        <f t="shared" si="28"/>
        <v>35740</v>
      </c>
      <c r="L138" s="1" t="str">
        <f t="shared" si="29"/>
        <v/>
      </c>
      <c r="M138" s="2" t="s">
        <v>168</v>
      </c>
      <c r="O138" s="1" t="str">
        <f t="shared" si="30"/>
        <v/>
      </c>
      <c r="S138"/>
    </row>
    <row r="139" spans="2:19">
      <c r="B139" s="1">
        <f t="shared" si="22"/>
        <v>137</v>
      </c>
      <c r="C139" s="1">
        <f t="shared" si="15"/>
        <v>112</v>
      </c>
      <c r="D139" s="7" t="str">
        <f t="shared" si="23"/>
        <v/>
      </c>
      <c r="E139" s="8" t="str">
        <f t="shared" si="24"/>
        <v/>
      </c>
      <c r="F139" s="7" t="str">
        <f t="shared" si="25"/>
        <v/>
      </c>
      <c r="G139" s="7">
        <f t="shared" si="26"/>
        <v>0.01</v>
      </c>
      <c r="I139" s="1">
        <v>1280</v>
      </c>
      <c r="J139" s="1">
        <f t="shared" si="28"/>
        <v>36025</v>
      </c>
      <c r="L139" s="1" t="str">
        <f t="shared" si="29"/>
        <v/>
      </c>
      <c r="M139" s="2" t="s">
        <v>168</v>
      </c>
      <c r="O139" s="1" t="str">
        <f t="shared" si="30"/>
        <v/>
      </c>
      <c r="S139"/>
    </row>
    <row r="140" spans="2:19">
      <c r="B140" s="1">
        <f t="shared" si="22"/>
        <v>138</v>
      </c>
      <c r="C140" s="1">
        <f t="shared" si="15"/>
        <v>112</v>
      </c>
      <c r="D140" s="7">
        <f t="shared" si="23"/>
        <v>0.05</v>
      </c>
      <c r="E140" s="8" t="str">
        <f t="shared" si="24"/>
        <v/>
      </c>
      <c r="F140" s="7" t="str">
        <f t="shared" si="25"/>
        <v/>
      </c>
      <c r="G140" s="7" t="str">
        <f t="shared" si="26"/>
        <v/>
      </c>
      <c r="I140" s="1">
        <v>1290</v>
      </c>
      <c r="J140" s="1">
        <f t="shared" si="28"/>
        <v>36310</v>
      </c>
      <c r="L140" s="1" t="str">
        <f t="shared" si="29"/>
        <v/>
      </c>
      <c r="M140" s="2" t="s">
        <v>168</v>
      </c>
      <c r="O140" s="1" t="str">
        <f t="shared" si="30"/>
        <v/>
      </c>
      <c r="S140"/>
    </row>
    <row r="141" spans="2:19">
      <c r="B141" s="1">
        <f t="shared" si="22"/>
        <v>139</v>
      </c>
      <c r="C141" s="1">
        <f t="shared" si="15"/>
        <v>112</v>
      </c>
      <c r="D141" s="7" t="str">
        <f t="shared" si="23"/>
        <v/>
      </c>
      <c r="E141" s="8">
        <f t="shared" si="24"/>
        <v>0.005</v>
      </c>
      <c r="F141" s="7" t="str">
        <f t="shared" si="25"/>
        <v/>
      </c>
      <c r="G141" s="7" t="str">
        <f t="shared" si="26"/>
        <v/>
      </c>
      <c r="I141" s="1">
        <v>1300</v>
      </c>
      <c r="J141" s="1">
        <f t="shared" si="28"/>
        <v>36595</v>
      </c>
      <c r="L141" s="1" t="str">
        <f t="shared" si="29"/>
        <v/>
      </c>
      <c r="M141" s="2" t="s">
        <v>168</v>
      </c>
      <c r="O141" s="1" t="str">
        <f t="shared" si="30"/>
        <v/>
      </c>
      <c r="S141"/>
    </row>
    <row r="142" spans="2:19">
      <c r="B142" s="1">
        <f t="shared" si="22"/>
        <v>140</v>
      </c>
      <c r="C142" s="1">
        <f t="shared" si="15"/>
        <v>112</v>
      </c>
      <c r="D142" s="7" t="str">
        <f t="shared" si="23"/>
        <v/>
      </c>
      <c r="E142" s="8" t="str">
        <f t="shared" si="24"/>
        <v/>
      </c>
      <c r="F142" s="7">
        <f t="shared" si="25"/>
        <v>0.02</v>
      </c>
      <c r="G142" s="7" t="str">
        <f t="shared" si="26"/>
        <v/>
      </c>
      <c r="I142" s="1">
        <v>1310</v>
      </c>
      <c r="J142" s="1">
        <f t="shared" si="28"/>
        <v>36880</v>
      </c>
      <c r="L142" s="1" t="str">
        <f t="shared" si="29"/>
        <v/>
      </c>
      <c r="M142" s="2" t="s">
        <v>168</v>
      </c>
      <c r="O142" s="1" t="str">
        <f t="shared" si="30"/>
        <v/>
      </c>
      <c r="S142"/>
    </row>
    <row r="143" spans="2:19">
      <c r="B143" s="1">
        <f t="shared" si="22"/>
        <v>141</v>
      </c>
      <c r="C143" s="1">
        <f t="shared" ref="C143:C202" si="31">C138+4</f>
        <v>116</v>
      </c>
      <c r="D143" s="7" t="str">
        <f t="shared" si="23"/>
        <v/>
      </c>
      <c r="E143" s="8" t="str">
        <f t="shared" si="24"/>
        <v/>
      </c>
      <c r="F143" s="7" t="str">
        <f t="shared" si="25"/>
        <v/>
      </c>
      <c r="G143" s="7">
        <f t="shared" si="26"/>
        <v>0.01</v>
      </c>
      <c r="I143" s="1">
        <v>1320</v>
      </c>
      <c r="J143" s="1">
        <f t="shared" si="28"/>
        <v>37165</v>
      </c>
      <c r="L143" s="1" t="str">
        <f t="shared" si="29"/>
        <v/>
      </c>
      <c r="M143" s="2" t="s">
        <v>168</v>
      </c>
      <c r="O143" s="1" t="str">
        <f t="shared" si="30"/>
        <v/>
      </c>
      <c r="S143"/>
    </row>
    <row r="144" spans="2:19">
      <c r="B144" s="1">
        <f t="shared" si="22"/>
        <v>142</v>
      </c>
      <c r="C144" s="1">
        <f t="shared" si="31"/>
        <v>116</v>
      </c>
      <c r="D144" s="7">
        <f t="shared" si="23"/>
        <v>0.05</v>
      </c>
      <c r="E144" s="8" t="str">
        <f t="shared" si="24"/>
        <v/>
      </c>
      <c r="F144" s="7" t="str">
        <f t="shared" si="25"/>
        <v/>
      </c>
      <c r="G144" s="7" t="str">
        <f t="shared" si="26"/>
        <v/>
      </c>
      <c r="I144" s="1">
        <v>1330</v>
      </c>
      <c r="J144" s="1">
        <f t="shared" si="28"/>
        <v>37450</v>
      </c>
      <c r="L144" s="1" t="str">
        <f t="shared" si="29"/>
        <v/>
      </c>
      <c r="M144" s="2" t="s">
        <v>168</v>
      </c>
      <c r="O144" s="1" t="str">
        <f t="shared" si="30"/>
        <v/>
      </c>
      <c r="S144"/>
    </row>
    <row r="145" spans="2:19">
      <c r="B145" s="1">
        <f t="shared" si="22"/>
        <v>143</v>
      </c>
      <c r="C145" s="1">
        <f t="shared" si="31"/>
        <v>116</v>
      </c>
      <c r="D145" s="7" t="str">
        <f t="shared" si="23"/>
        <v/>
      </c>
      <c r="E145" s="8">
        <f t="shared" si="24"/>
        <v>0.005</v>
      </c>
      <c r="F145" s="7" t="str">
        <f t="shared" si="25"/>
        <v/>
      </c>
      <c r="G145" s="7" t="str">
        <f t="shared" si="26"/>
        <v/>
      </c>
      <c r="I145" s="1">
        <v>1340</v>
      </c>
      <c r="J145" s="1">
        <f t="shared" si="28"/>
        <v>37735</v>
      </c>
      <c r="L145" s="1" t="str">
        <f t="shared" si="29"/>
        <v/>
      </c>
      <c r="M145" s="2" t="s">
        <v>168</v>
      </c>
      <c r="O145" s="1" t="str">
        <f t="shared" si="30"/>
        <v/>
      </c>
      <c r="S145"/>
    </row>
    <row r="146" spans="2:19">
      <c r="B146" s="1">
        <f t="shared" si="22"/>
        <v>144</v>
      </c>
      <c r="C146" s="1">
        <f t="shared" si="31"/>
        <v>116</v>
      </c>
      <c r="D146" s="7" t="str">
        <f t="shared" si="23"/>
        <v/>
      </c>
      <c r="E146" s="8" t="str">
        <f t="shared" si="24"/>
        <v/>
      </c>
      <c r="F146" s="7">
        <f t="shared" si="25"/>
        <v>0.02</v>
      </c>
      <c r="G146" s="7" t="str">
        <f t="shared" si="26"/>
        <v/>
      </c>
      <c r="I146" s="1">
        <v>1350</v>
      </c>
      <c r="J146" s="1">
        <f t="shared" si="28"/>
        <v>38020</v>
      </c>
      <c r="L146" s="1" t="str">
        <f t="shared" si="29"/>
        <v/>
      </c>
      <c r="M146" s="2" t="s">
        <v>168</v>
      </c>
      <c r="O146" s="1" t="str">
        <f t="shared" si="30"/>
        <v/>
      </c>
      <c r="S146"/>
    </row>
    <row r="147" spans="2:19">
      <c r="B147" s="1">
        <f t="shared" si="22"/>
        <v>145</v>
      </c>
      <c r="C147" s="1">
        <f t="shared" si="31"/>
        <v>116</v>
      </c>
      <c r="D147" s="7" t="str">
        <f t="shared" si="23"/>
        <v/>
      </c>
      <c r="E147" s="8" t="str">
        <f t="shared" si="24"/>
        <v/>
      </c>
      <c r="F147" s="7" t="str">
        <f t="shared" si="25"/>
        <v/>
      </c>
      <c r="G147" s="7">
        <f t="shared" si="26"/>
        <v>0.01</v>
      </c>
      <c r="I147" s="1">
        <v>1360</v>
      </c>
      <c r="J147" s="1">
        <f t="shared" si="28"/>
        <v>38305</v>
      </c>
      <c r="L147" s="1">
        <f t="shared" si="29"/>
        <v>90</v>
      </c>
      <c r="M147" s="2" t="s">
        <v>168</v>
      </c>
      <c r="N147" s="1">
        <v>9</v>
      </c>
      <c r="O147" s="1">
        <f t="shared" si="30"/>
        <v>191525</v>
      </c>
      <c r="S147"/>
    </row>
    <row r="148" spans="2:19">
      <c r="B148" s="1">
        <f t="shared" si="22"/>
        <v>146</v>
      </c>
      <c r="C148" s="1">
        <f t="shared" si="31"/>
        <v>120</v>
      </c>
      <c r="D148" s="7">
        <f t="shared" si="23"/>
        <v>0.05</v>
      </c>
      <c r="E148" s="8" t="str">
        <f t="shared" si="24"/>
        <v/>
      </c>
      <c r="F148" s="7" t="str">
        <f t="shared" si="25"/>
        <v/>
      </c>
      <c r="G148" s="7" t="str">
        <f t="shared" si="26"/>
        <v/>
      </c>
      <c r="I148" s="1">
        <v>1370</v>
      </c>
      <c r="J148" s="1">
        <f t="shared" si="28"/>
        <v>38590</v>
      </c>
      <c r="L148" s="1" t="str">
        <f t="shared" si="29"/>
        <v/>
      </c>
      <c r="M148" s="2" t="s">
        <v>168</v>
      </c>
      <c r="O148" s="1" t="str">
        <f t="shared" si="30"/>
        <v/>
      </c>
      <c r="S148"/>
    </row>
    <row r="149" spans="2:19">
      <c r="B149" s="1">
        <f t="shared" si="22"/>
        <v>147</v>
      </c>
      <c r="C149" s="1">
        <f t="shared" si="31"/>
        <v>120</v>
      </c>
      <c r="D149" s="7" t="str">
        <f t="shared" si="23"/>
        <v/>
      </c>
      <c r="E149" s="8">
        <f t="shared" si="24"/>
        <v>0.005</v>
      </c>
      <c r="F149" s="7" t="str">
        <f t="shared" si="25"/>
        <v/>
      </c>
      <c r="G149" s="7" t="str">
        <f t="shared" si="26"/>
        <v/>
      </c>
      <c r="I149" s="1">
        <v>1380</v>
      </c>
      <c r="J149" s="1">
        <f t="shared" ref="J149:J180" si="32">J148+285</f>
        <v>38875</v>
      </c>
      <c r="L149" s="1" t="str">
        <f t="shared" si="29"/>
        <v/>
      </c>
      <c r="M149" s="2" t="s">
        <v>168</v>
      </c>
      <c r="O149" s="1" t="str">
        <f t="shared" si="30"/>
        <v/>
      </c>
      <c r="S149"/>
    </row>
    <row r="150" spans="2:19">
      <c r="B150" s="1">
        <f t="shared" si="22"/>
        <v>148</v>
      </c>
      <c r="C150" s="1">
        <f t="shared" si="31"/>
        <v>120</v>
      </c>
      <c r="D150" s="7" t="str">
        <f t="shared" si="23"/>
        <v/>
      </c>
      <c r="E150" s="8" t="str">
        <f t="shared" si="24"/>
        <v/>
      </c>
      <c r="F150" s="7">
        <f t="shared" si="25"/>
        <v>0.02</v>
      </c>
      <c r="G150" s="7" t="str">
        <f t="shared" si="26"/>
        <v/>
      </c>
      <c r="I150" s="1">
        <v>1390</v>
      </c>
      <c r="J150" s="1">
        <f t="shared" si="32"/>
        <v>39160</v>
      </c>
      <c r="L150" s="1" t="str">
        <f t="shared" si="29"/>
        <v/>
      </c>
      <c r="M150" s="2" t="s">
        <v>168</v>
      </c>
      <c r="O150" s="1" t="str">
        <f t="shared" si="30"/>
        <v/>
      </c>
      <c r="S150"/>
    </row>
    <row r="151" spans="2:19">
      <c r="B151" s="1">
        <f t="shared" si="22"/>
        <v>149</v>
      </c>
      <c r="C151" s="1">
        <f t="shared" si="31"/>
        <v>120</v>
      </c>
      <c r="D151" s="7" t="str">
        <f t="shared" si="23"/>
        <v/>
      </c>
      <c r="E151" s="8" t="str">
        <f t="shared" si="24"/>
        <v/>
      </c>
      <c r="F151" s="7" t="str">
        <f t="shared" si="25"/>
        <v/>
      </c>
      <c r="G151" s="7">
        <f t="shared" si="26"/>
        <v>0.01</v>
      </c>
      <c r="I151" s="1">
        <v>1400</v>
      </c>
      <c r="J151" s="1">
        <f t="shared" si="32"/>
        <v>39445</v>
      </c>
      <c r="L151" s="1" t="str">
        <f t="shared" si="29"/>
        <v/>
      </c>
      <c r="M151" s="2" t="s">
        <v>168</v>
      </c>
      <c r="O151" s="1" t="str">
        <f t="shared" si="30"/>
        <v/>
      </c>
      <c r="S151"/>
    </row>
    <row r="152" spans="2:19">
      <c r="B152" s="1">
        <f t="shared" si="22"/>
        <v>150</v>
      </c>
      <c r="C152" s="1">
        <f t="shared" si="31"/>
        <v>120</v>
      </c>
      <c r="D152" s="7">
        <f t="shared" si="23"/>
        <v>0.05</v>
      </c>
      <c r="E152" s="8" t="str">
        <f t="shared" si="24"/>
        <v/>
      </c>
      <c r="F152" s="7" t="str">
        <f t="shared" si="25"/>
        <v/>
      </c>
      <c r="G152" s="7" t="str">
        <f t="shared" si="26"/>
        <v/>
      </c>
      <c r="I152" s="1">
        <v>1410</v>
      </c>
      <c r="J152" s="1">
        <f t="shared" si="32"/>
        <v>39730</v>
      </c>
      <c r="L152" s="1" t="str">
        <f t="shared" si="29"/>
        <v/>
      </c>
      <c r="M152" s="2" t="s">
        <v>168</v>
      </c>
      <c r="O152" s="1" t="str">
        <f t="shared" si="30"/>
        <v/>
      </c>
      <c r="S152"/>
    </row>
    <row r="153" spans="2:19">
      <c r="B153" s="1">
        <f t="shared" si="22"/>
        <v>151</v>
      </c>
      <c r="C153" s="1">
        <f t="shared" si="31"/>
        <v>124</v>
      </c>
      <c r="D153" s="7" t="str">
        <f t="shared" si="23"/>
        <v/>
      </c>
      <c r="E153" s="8">
        <f t="shared" si="24"/>
        <v>0.005</v>
      </c>
      <c r="F153" s="7" t="str">
        <f t="shared" si="25"/>
        <v/>
      </c>
      <c r="G153" s="7" t="str">
        <f t="shared" si="26"/>
        <v/>
      </c>
      <c r="I153" s="1">
        <v>1420</v>
      </c>
      <c r="J153" s="1">
        <f t="shared" si="32"/>
        <v>40015</v>
      </c>
      <c r="L153" s="1" t="str">
        <f t="shared" si="29"/>
        <v/>
      </c>
      <c r="M153" s="2" t="s">
        <v>168</v>
      </c>
      <c r="O153" s="1" t="str">
        <f t="shared" si="30"/>
        <v/>
      </c>
      <c r="S153"/>
    </row>
    <row r="154" spans="2:19">
      <c r="B154" s="1">
        <f t="shared" si="22"/>
        <v>152</v>
      </c>
      <c r="C154" s="1">
        <f t="shared" si="31"/>
        <v>124</v>
      </c>
      <c r="D154" s="7" t="str">
        <f t="shared" si="23"/>
        <v/>
      </c>
      <c r="E154" s="8" t="str">
        <f t="shared" si="24"/>
        <v/>
      </c>
      <c r="F154" s="7">
        <f t="shared" si="25"/>
        <v>0.02</v>
      </c>
      <c r="G154" s="7" t="str">
        <f t="shared" si="26"/>
        <v/>
      </c>
      <c r="I154" s="1">
        <v>1430</v>
      </c>
      <c r="J154" s="1">
        <f t="shared" si="32"/>
        <v>40300</v>
      </c>
      <c r="L154" s="1" t="str">
        <f t="shared" si="29"/>
        <v/>
      </c>
      <c r="M154" s="2" t="s">
        <v>168</v>
      </c>
      <c r="O154" s="1" t="str">
        <f t="shared" si="30"/>
        <v/>
      </c>
      <c r="S154"/>
    </row>
    <row r="155" spans="2:19">
      <c r="B155" s="1">
        <f t="shared" si="22"/>
        <v>153</v>
      </c>
      <c r="C155" s="1">
        <f t="shared" si="31"/>
        <v>124</v>
      </c>
      <c r="D155" s="7" t="str">
        <f t="shared" si="23"/>
        <v/>
      </c>
      <c r="E155" s="8" t="str">
        <f t="shared" si="24"/>
        <v/>
      </c>
      <c r="F155" s="7" t="str">
        <f t="shared" si="25"/>
        <v/>
      </c>
      <c r="G155" s="7">
        <f t="shared" si="26"/>
        <v>0.01</v>
      </c>
      <c r="I155" s="1">
        <v>1440</v>
      </c>
      <c r="J155" s="1">
        <f t="shared" si="32"/>
        <v>40585</v>
      </c>
      <c r="L155" s="1" t="str">
        <f t="shared" si="29"/>
        <v/>
      </c>
      <c r="M155" s="2" t="s">
        <v>168</v>
      </c>
      <c r="O155" s="1" t="str">
        <f t="shared" si="30"/>
        <v/>
      </c>
      <c r="S155"/>
    </row>
    <row r="156" spans="2:19">
      <c r="B156" s="1">
        <f t="shared" si="22"/>
        <v>154</v>
      </c>
      <c r="C156" s="1">
        <f t="shared" si="31"/>
        <v>124</v>
      </c>
      <c r="D156" s="7">
        <f t="shared" si="23"/>
        <v>0.05</v>
      </c>
      <c r="E156" s="8" t="str">
        <f t="shared" si="24"/>
        <v/>
      </c>
      <c r="F156" s="7" t="str">
        <f t="shared" si="25"/>
        <v/>
      </c>
      <c r="G156" s="7" t="str">
        <f t="shared" si="26"/>
        <v/>
      </c>
      <c r="I156" s="1">
        <v>1450</v>
      </c>
      <c r="J156" s="1">
        <f t="shared" si="32"/>
        <v>40870</v>
      </c>
      <c r="L156" s="1" t="str">
        <f t="shared" si="29"/>
        <v/>
      </c>
      <c r="M156" s="2" t="s">
        <v>168</v>
      </c>
      <c r="O156" s="1" t="str">
        <f t="shared" si="30"/>
        <v/>
      </c>
      <c r="S156"/>
    </row>
    <row r="157" spans="2:19">
      <c r="B157" s="1">
        <f t="shared" si="22"/>
        <v>155</v>
      </c>
      <c r="C157" s="1">
        <f t="shared" si="31"/>
        <v>124</v>
      </c>
      <c r="D157" s="7" t="str">
        <f t="shared" si="23"/>
        <v/>
      </c>
      <c r="E157" s="8">
        <f t="shared" si="24"/>
        <v>0.005</v>
      </c>
      <c r="F157" s="7" t="str">
        <f t="shared" si="25"/>
        <v/>
      </c>
      <c r="G157" s="7" t="str">
        <f t="shared" si="26"/>
        <v/>
      </c>
      <c r="I157" s="1">
        <v>1460</v>
      </c>
      <c r="J157" s="1">
        <f t="shared" si="32"/>
        <v>41155</v>
      </c>
      <c r="L157" s="1" t="str">
        <f t="shared" si="29"/>
        <v/>
      </c>
      <c r="M157" s="2" t="s">
        <v>403</v>
      </c>
      <c r="N157" s="1">
        <v>9</v>
      </c>
      <c r="O157" s="1">
        <f t="shared" si="30"/>
        <v>205775</v>
      </c>
      <c r="S157"/>
    </row>
    <row r="158" spans="2:19">
      <c r="B158" s="1">
        <f t="shared" si="22"/>
        <v>156</v>
      </c>
      <c r="C158" s="1">
        <f t="shared" si="31"/>
        <v>128</v>
      </c>
      <c r="D158" s="7" t="str">
        <f t="shared" si="23"/>
        <v/>
      </c>
      <c r="E158" s="8" t="str">
        <f t="shared" si="24"/>
        <v/>
      </c>
      <c r="F158" s="7">
        <f t="shared" si="25"/>
        <v>0.02</v>
      </c>
      <c r="G158" s="7" t="str">
        <f t="shared" si="26"/>
        <v/>
      </c>
      <c r="I158" s="1">
        <v>1470</v>
      </c>
      <c r="J158" s="1">
        <f t="shared" si="32"/>
        <v>41440</v>
      </c>
      <c r="L158" s="1" t="str">
        <f t="shared" si="29"/>
        <v/>
      </c>
      <c r="M158" s="2" t="s">
        <v>168</v>
      </c>
      <c r="O158" s="1" t="str">
        <f t="shared" si="30"/>
        <v/>
      </c>
      <c r="S158"/>
    </row>
    <row r="159" spans="2:19">
      <c r="B159" s="1">
        <f t="shared" si="22"/>
        <v>157</v>
      </c>
      <c r="C159" s="1">
        <f t="shared" si="31"/>
        <v>128</v>
      </c>
      <c r="D159" s="7" t="str">
        <f t="shared" si="23"/>
        <v/>
      </c>
      <c r="E159" s="8" t="str">
        <f t="shared" si="24"/>
        <v/>
      </c>
      <c r="F159" s="7" t="str">
        <f t="shared" si="25"/>
        <v/>
      </c>
      <c r="G159" s="7">
        <f t="shared" si="26"/>
        <v>0.01</v>
      </c>
      <c r="I159" s="1">
        <v>1480</v>
      </c>
      <c r="J159" s="1">
        <f t="shared" si="32"/>
        <v>41725</v>
      </c>
      <c r="L159" s="1" t="str">
        <f t="shared" si="29"/>
        <v/>
      </c>
      <c r="M159" s="2" t="s">
        <v>168</v>
      </c>
      <c r="O159" s="1" t="str">
        <f t="shared" si="30"/>
        <v/>
      </c>
      <c r="S159"/>
    </row>
    <row r="160" spans="2:19">
      <c r="B160" s="1">
        <f t="shared" si="22"/>
        <v>158</v>
      </c>
      <c r="C160" s="1">
        <f t="shared" si="31"/>
        <v>128</v>
      </c>
      <c r="D160" s="7">
        <f t="shared" si="23"/>
        <v>0.05</v>
      </c>
      <c r="E160" s="8" t="str">
        <f t="shared" si="24"/>
        <v/>
      </c>
      <c r="F160" s="7" t="str">
        <f t="shared" si="25"/>
        <v/>
      </c>
      <c r="G160" s="7" t="str">
        <f t="shared" si="26"/>
        <v/>
      </c>
      <c r="I160" s="1">
        <v>1490</v>
      </c>
      <c r="J160" s="1">
        <f t="shared" si="32"/>
        <v>42010</v>
      </c>
      <c r="L160" s="1" t="str">
        <f t="shared" ref="L160:L202" si="33">IF(L120="","",L120+10)</f>
        <v/>
      </c>
      <c r="M160" s="2" t="s">
        <v>168</v>
      </c>
      <c r="O160" s="1" t="str">
        <f t="shared" si="30"/>
        <v/>
      </c>
      <c r="S160"/>
    </row>
    <row r="161" spans="2:19">
      <c r="B161" s="1">
        <f t="shared" si="22"/>
        <v>159</v>
      </c>
      <c r="C161" s="1">
        <f t="shared" si="31"/>
        <v>128</v>
      </c>
      <c r="D161" s="7" t="str">
        <f t="shared" si="23"/>
        <v/>
      </c>
      <c r="E161" s="8">
        <f t="shared" si="24"/>
        <v>0.005</v>
      </c>
      <c r="F161" s="7" t="str">
        <f t="shared" si="25"/>
        <v/>
      </c>
      <c r="G161" s="7" t="str">
        <f t="shared" si="26"/>
        <v/>
      </c>
      <c r="I161" s="1">
        <v>1500</v>
      </c>
      <c r="J161" s="1">
        <f t="shared" si="32"/>
        <v>42295</v>
      </c>
      <c r="L161" s="1" t="str">
        <f t="shared" si="33"/>
        <v/>
      </c>
      <c r="M161" s="2" t="s">
        <v>168</v>
      </c>
      <c r="O161" s="1" t="str">
        <f t="shared" si="30"/>
        <v/>
      </c>
      <c r="S161"/>
    </row>
    <row r="162" spans="2:19">
      <c r="B162" s="1">
        <f t="shared" si="22"/>
        <v>160</v>
      </c>
      <c r="C162" s="1">
        <f t="shared" si="31"/>
        <v>128</v>
      </c>
      <c r="D162" s="7" t="str">
        <f t="shared" si="23"/>
        <v/>
      </c>
      <c r="E162" s="8" t="str">
        <f t="shared" si="24"/>
        <v/>
      </c>
      <c r="F162" s="7">
        <f t="shared" si="25"/>
        <v>0.02</v>
      </c>
      <c r="G162" s="7" t="str">
        <f t="shared" si="26"/>
        <v/>
      </c>
      <c r="I162" s="1">
        <v>1510</v>
      </c>
      <c r="J162" s="1">
        <f t="shared" si="32"/>
        <v>42580</v>
      </c>
      <c r="L162" s="1" t="str">
        <f t="shared" si="33"/>
        <v/>
      </c>
      <c r="M162" s="2" t="s">
        <v>168</v>
      </c>
      <c r="O162" s="1" t="str">
        <f t="shared" si="30"/>
        <v/>
      </c>
      <c r="S162"/>
    </row>
    <row r="163" spans="2:19">
      <c r="B163" s="1">
        <f t="shared" si="22"/>
        <v>161</v>
      </c>
      <c r="C163" s="1">
        <f t="shared" si="31"/>
        <v>132</v>
      </c>
      <c r="D163" s="7" t="str">
        <f t="shared" si="23"/>
        <v/>
      </c>
      <c r="E163" s="8" t="str">
        <f t="shared" si="24"/>
        <v/>
      </c>
      <c r="F163" s="7" t="str">
        <f t="shared" si="25"/>
        <v/>
      </c>
      <c r="G163" s="7">
        <f t="shared" si="26"/>
        <v>0.01</v>
      </c>
      <c r="I163" s="1">
        <v>1520</v>
      </c>
      <c r="J163" s="1">
        <f t="shared" si="32"/>
        <v>42865</v>
      </c>
      <c r="L163" s="1" t="str">
        <f t="shared" si="33"/>
        <v/>
      </c>
      <c r="M163" s="2" t="s">
        <v>168</v>
      </c>
      <c r="O163" s="1" t="str">
        <f t="shared" si="30"/>
        <v/>
      </c>
      <c r="S163"/>
    </row>
    <row r="164" spans="2:19">
      <c r="B164" s="1">
        <f t="shared" si="22"/>
        <v>162</v>
      </c>
      <c r="C164" s="1">
        <f t="shared" si="31"/>
        <v>132</v>
      </c>
      <c r="D164" s="7">
        <f t="shared" si="23"/>
        <v>0.05</v>
      </c>
      <c r="E164" s="8" t="str">
        <f t="shared" si="24"/>
        <v/>
      </c>
      <c r="F164" s="7" t="str">
        <f t="shared" si="25"/>
        <v/>
      </c>
      <c r="G164" s="7" t="str">
        <f t="shared" si="26"/>
        <v/>
      </c>
      <c r="I164" s="1">
        <v>1530</v>
      </c>
      <c r="J164" s="1">
        <f t="shared" si="32"/>
        <v>43150</v>
      </c>
      <c r="L164" s="1" t="str">
        <f t="shared" si="33"/>
        <v/>
      </c>
      <c r="M164" s="2" t="s">
        <v>168</v>
      </c>
      <c r="O164" s="1" t="str">
        <f t="shared" ref="O164:O202" si="34">IF(L164&amp;M164="","",J164*5)</f>
        <v/>
      </c>
      <c r="S164"/>
    </row>
    <row r="165" spans="2:19">
      <c r="B165" s="1">
        <f t="shared" si="22"/>
        <v>163</v>
      </c>
      <c r="C165" s="1">
        <f t="shared" si="31"/>
        <v>132</v>
      </c>
      <c r="D165" s="7" t="str">
        <f t="shared" si="23"/>
        <v/>
      </c>
      <c r="E165" s="8">
        <f t="shared" si="24"/>
        <v>0.005</v>
      </c>
      <c r="F165" s="7" t="str">
        <f t="shared" si="25"/>
        <v/>
      </c>
      <c r="G165" s="7" t="str">
        <f t="shared" si="26"/>
        <v/>
      </c>
      <c r="I165" s="1">
        <v>1540</v>
      </c>
      <c r="J165" s="1">
        <f t="shared" si="32"/>
        <v>43435</v>
      </c>
      <c r="L165" s="1" t="str">
        <f t="shared" si="33"/>
        <v/>
      </c>
      <c r="M165" s="2" t="s">
        <v>168</v>
      </c>
      <c r="O165" s="1" t="str">
        <f t="shared" si="34"/>
        <v/>
      </c>
      <c r="S165"/>
    </row>
    <row r="166" spans="2:19">
      <c r="B166" s="1">
        <f t="shared" si="22"/>
        <v>164</v>
      </c>
      <c r="C166" s="1">
        <f t="shared" si="31"/>
        <v>132</v>
      </c>
      <c r="D166" s="7" t="str">
        <f t="shared" si="23"/>
        <v/>
      </c>
      <c r="E166" s="8" t="str">
        <f t="shared" si="24"/>
        <v/>
      </c>
      <c r="F166" s="7">
        <f t="shared" si="25"/>
        <v>0.02</v>
      </c>
      <c r="G166" s="7" t="str">
        <f t="shared" si="26"/>
        <v/>
      </c>
      <c r="I166" s="1">
        <v>1550</v>
      </c>
      <c r="J166" s="1">
        <f t="shared" si="32"/>
        <v>43720</v>
      </c>
      <c r="L166" s="1" t="str">
        <f t="shared" si="33"/>
        <v/>
      </c>
      <c r="M166" s="2" t="s">
        <v>168</v>
      </c>
      <c r="O166" s="1" t="str">
        <f t="shared" si="34"/>
        <v/>
      </c>
      <c r="S166"/>
    </row>
    <row r="167" spans="2:19">
      <c r="B167" s="1">
        <f t="shared" ref="B167:B202" si="35">B166+1</f>
        <v>165</v>
      </c>
      <c r="C167" s="1">
        <f t="shared" si="31"/>
        <v>132</v>
      </c>
      <c r="D167" s="7" t="str">
        <f t="shared" ref="D167:D202" si="36">IF(D163="","",D163)</f>
        <v/>
      </c>
      <c r="E167" s="8" t="str">
        <f t="shared" ref="E167:E202" si="37">IF(E163="","",E163)</f>
        <v/>
      </c>
      <c r="F167" s="7" t="str">
        <f t="shared" ref="F167:F202" si="38">IF(F163="","",F163)</f>
        <v/>
      </c>
      <c r="G167" s="7">
        <f t="shared" ref="G167:G202" si="39">IF(G163="","",G163)</f>
        <v>0.01</v>
      </c>
      <c r="I167" s="1">
        <v>1560</v>
      </c>
      <c r="J167" s="1">
        <f t="shared" si="32"/>
        <v>44005</v>
      </c>
      <c r="L167" s="1">
        <f t="shared" si="33"/>
        <v>90</v>
      </c>
      <c r="M167" s="2" t="s">
        <v>168</v>
      </c>
      <c r="N167" s="1">
        <v>9</v>
      </c>
      <c r="O167" s="1">
        <f t="shared" si="34"/>
        <v>220025</v>
      </c>
      <c r="S167"/>
    </row>
    <row r="168" spans="2:19">
      <c r="B168" s="1">
        <f t="shared" si="35"/>
        <v>166</v>
      </c>
      <c r="C168" s="1">
        <f t="shared" si="31"/>
        <v>136</v>
      </c>
      <c r="D168" s="7">
        <f t="shared" si="36"/>
        <v>0.05</v>
      </c>
      <c r="E168" s="8" t="str">
        <f t="shared" si="37"/>
        <v/>
      </c>
      <c r="F168" s="7" t="str">
        <f t="shared" si="38"/>
        <v/>
      </c>
      <c r="G168" s="7" t="str">
        <f t="shared" si="39"/>
        <v/>
      </c>
      <c r="I168" s="1">
        <v>1570</v>
      </c>
      <c r="J168" s="1">
        <f t="shared" si="32"/>
        <v>44290</v>
      </c>
      <c r="L168" s="1" t="str">
        <f t="shared" si="33"/>
        <v/>
      </c>
      <c r="M168" s="2" t="s">
        <v>168</v>
      </c>
      <c r="O168" s="1" t="str">
        <f t="shared" si="34"/>
        <v/>
      </c>
      <c r="S168"/>
    </row>
    <row r="169" spans="2:19">
      <c r="B169" s="1">
        <f t="shared" si="35"/>
        <v>167</v>
      </c>
      <c r="C169" s="1">
        <f t="shared" si="31"/>
        <v>136</v>
      </c>
      <c r="D169" s="7" t="str">
        <f t="shared" si="36"/>
        <v/>
      </c>
      <c r="E169" s="8">
        <f t="shared" si="37"/>
        <v>0.005</v>
      </c>
      <c r="F169" s="7" t="str">
        <f t="shared" si="38"/>
        <v/>
      </c>
      <c r="G169" s="7" t="str">
        <f t="shared" si="39"/>
        <v/>
      </c>
      <c r="I169" s="1">
        <v>1580</v>
      </c>
      <c r="J169" s="1">
        <f t="shared" si="32"/>
        <v>44575</v>
      </c>
      <c r="L169" s="1" t="str">
        <f t="shared" si="33"/>
        <v/>
      </c>
      <c r="M169" s="2" t="s">
        <v>168</v>
      </c>
      <c r="O169" s="1" t="str">
        <f t="shared" si="34"/>
        <v/>
      </c>
      <c r="S169"/>
    </row>
    <row r="170" spans="2:19">
      <c r="B170" s="1">
        <f t="shared" si="35"/>
        <v>168</v>
      </c>
      <c r="C170" s="1">
        <f t="shared" si="31"/>
        <v>136</v>
      </c>
      <c r="D170" s="7" t="str">
        <f t="shared" si="36"/>
        <v/>
      </c>
      <c r="E170" s="8" t="str">
        <f t="shared" si="37"/>
        <v/>
      </c>
      <c r="F170" s="7">
        <f t="shared" si="38"/>
        <v>0.02</v>
      </c>
      <c r="G170" s="7" t="str">
        <f t="shared" si="39"/>
        <v/>
      </c>
      <c r="I170" s="1">
        <v>1590</v>
      </c>
      <c r="J170" s="1">
        <f t="shared" si="32"/>
        <v>44860</v>
      </c>
      <c r="L170" s="1" t="str">
        <f t="shared" si="33"/>
        <v/>
      </c>
      <c r="M170" s="2" t="s">
        <v>168</v>
      </c>
      <c r="O170" s="1" t="str">
        <f t="shared" si="34"/>
        <v/>
      </c>
      <c r="S170"/>
    </row>
    <row r="171" spans="2:19">
      <c r="B171" s="1">
        <f t="shared" si="35"/>
        <v>169</v>
      </c>
      <c r="C171" s="1">
        <f t="shared" si="31"/>
        <v>136</v>
      </c>
      <c r="D171" s="7" t="str">
        <f t="shared" si="36"/>
        <v/>
      </c>
      <c r="E171" s="8" t="str">
        <f t="shared" si="37"/>
        <v/>
      </c>
      <c r="F171" s="7" t="str">
        <f t="shared" si="38"/>
        <v/>
      </c>
      <c r="G171" s="7">
        <f t="shared" si="39"/>
        <v>0.01</v>
      </c>
      <c r="I171" s="1">
        <v>1600</v>
      </c>
      <c r="J171" s="1">
        <f t="shared" si="32"/>
        <v>45145</v>
      </c>
      <c r="L171" s="1" t="str">
        <f t="shared" si="33"/>
        <v/>
      </c>
      <c r="M171" s="2" t="s">
        <v>168</v>
      </c>
      <c r="O171" s="1" t="str">
        <f t="shared" si="34"/>
        <v/>
      </c>
      <c r="S171"/>
    </row>
    <row r="172" spans="2:19">
      <c r="B172" s="1">
        <f t="shared" si="35"/>
        <v>170</v>
      </c>
      <c r="C172" s="1">
        <f t="shared" si="31"/>
        <v>136</v>
      </c>
      <c r="D172" s="7">
        <f t="shared" si="36"/>
        <v>0.05</v>
      </c>
      <c r="E172" s="8" t="str">
        <f t="shared" si="37"/>
        <v/>
      </c>
      <c r="F172" s="7" t="str">
        <f t="shared" si="38"/>
        <v/>
      </c>
      <c r="G172" s="7" t="str">
        <f t="shared" si="39"/>
        <v/>
      </c>
      <c r="I172" s="1">
        <v>1610</v>
      </c>
      <c r="J172" s="1">
        <f t="shared" si="32"/>
        <v>45430</v>
      </c>
      <c r="L172" s="1" t="str">
        <f t="shared" si="33"/>
        <v/>
      </c>
      <c r="M172" s="2" t="s">
        <v>168</v>
      </c>
      <c r="O172" s="1" t="str">
        <f t="shared" si="34"/>
        <v/>
      </c>
      <c r="S172"/>
    </row>
    <row r="173" spans="2:19">
      <c r="B173" s="1">
        <f t="shared" si="35"/>
        <v>171</v>
      </c>
      <c r="C173" s="1">
        <f t="shared" si="31"/>
        <v>140</v>
      </c>
      <c r="D173" s="7" t="str">
        <f t="shared" si="36"/>
        <v/>
      </c>
      <c r="E173" s="8">
        <f t="shared" si="37"/>
        <v>0.005</v>
      </c>
      <c r="F173" s="7" t="str">
        <f t="shared" si="38"/>
        <v/>
      </c>
      <c r="G173" s="7" t="str">
        <f t="shared" si="39"/>
        <v/>
      </c>
      <c r="I173" s="1">
        <v>1620</v>
      </c>
      <c r="J173" s="1">
        <f t="shared" si="32"/>
        <v>45715</v>
      </c>
      <c r="L173" s="1" t="str">
        <f t="shared" si="33"/>
        <v/>
      </c>
      <c r="M173" s="2" t="s">
        <v>168</v>
      </c>
      <c r="O173" s="1" t="str">
        <f t="shared" si="34"/>
        <v/>
      </c>
      <c r="S173"/>
    </row>
    <row r="174" spans="2:19">
      <c r="B174" s="1">
        <f t="shared" si="35"/>
        <v>172</v>
      </c>
      <c r="C174" s="1">
        <f t="shared" si="31"/>
        <v>140</v>
      </c>
      <c r="D174" s="7" t="str">
        <f t="shared" si="36"/>
        <v/>
      </c>
      <c r="E174" s="8" t="str">
        <f t="shared" si="37"/>
        <v/>
      </c>
      <c r="F174" s="7">
        <f t="shared" si="38"/>
        <v>0.02</v>
      </c>
      <c r="G174" s="7" t="str">
        <f t="shared" si="39"/>
        <v/>
      </c>
      <c r="I174" s="1">
        <v>1630</v>
      </c>
      <c r="J174" s="1">
        <f t="shared" si="32"/>
        <v>46000</v>
      </c>
      <c r="L174" s="1" t="str">
        <f t="shared" si="33"/>
        <v/>
      </c>
      <c r="M174" s="2" t="s">
        <v>168</v>
      </c>
      <c r="O174" s="1" t="str">
        <f t="shared" si="34"/>
        <v/>
      </c>
      <c r="S174"/>
    </row>
    <row r="175" spans="2:19">
      <c r="B175" s="1">
        <f t="shared" si="35"/>
        <v>173</v>
      </c>
      <c r="C175" s="1">
        <f t="shared" si="31"/>
        <v>140</v>
      </c>
      <c r="D175" s="7" t="str">
        <f t="shared" si="36"/>
        <v/>
      </c>
      <c r="E175" s="8" t="str">
        <f t="shared" si="37"/>
        <v/>
      </c>
      <c r="F175" s="7" t="str">
        <f t="shared" si="38"/>
        <v/>
      </c>
      <c r="G175" s="7">
        <f t="shared" si="39"/>
        <v>0.01</v>
      </c>
      <c r="I175" s="1">
        <v>1640</v>
      </c>
      <c r="J175" s="1">
        <f t="shared" si="32"/>
        <v>46285</v>
      </c>
      <c r="L175" s="1" t="str">
        <f t="shared" si="33"/>
        <v/>
      </c>
      <c r="M175" s="2" t="s">
        <v>168</v>
      </c>
      <c r="O175" s="1" t="str">
        <f t="shared" si="34"/>
        <v/>
      </c>
      <c r="S175"/>
    </row>
    <row r="176" spans="2:19">
      <c r="B176" s="1">
        <f t="shared" si="35"/>
        <v>174</v>
      </c>
      <c r="C176" s="1">
        <f t="shared" si="31"/>
        <v>140</v>
      </c>
      <c r="D176" s="7">
        <f t="shared" si="36"/>
        <v>0.05</v>
      </c>
      <c r="E176" s="8" t="str">
        <f t="shared" si="37"/>
        <v/>
      </c>
      <c r="F176" s="7" t="str">
        <f t="shared" si="38"/>
        <v/>
      </c>
      <c r="G176" s="7" t="str">
        <f t="shared" si="39"/>
        <v/>
      </c>
      <c r="I176" s="1">
        <v>1650</v>
      </c>
      <c r="J176" s="1">
        <f t="shared" si="32"/>
        <v>46570</v>
      </c>
      <c r="L176" s="1" t="str">
        <f t="shared" si="33"/>
        <v/>
      </c>
      <c r="M176" s="2" t="s">
        <v>168</v>
      </c>
      <c r="O176" s="1" t="str">
        <f t="shared" si="34"/>
        <v/>
      </c>
      <c r="S176"/>
    </row>
    <row r="177" spans="2:19">
      <c r="B177" s="1">
        <f t="shared" si="35"/>
        <v>175</v>
      </c>
      <c r="C177" s="1">
        <f t="shared" si="31"/>
        <v>140</v>
      </c>
      <c r="D177" s="7" t="str">
        <f t="shared" si="36"/>
        <v/>
      </c>
      <c r="E177" s="8">
        <f t="shared" si="37"/>
        <v>0.005</v>
      </c>
      <c r="F177" s="7" t="str">
        <f t="shared" si="38"/>
        <v/>
      </c>
      <c r="G177" s="7" t="str">
        <f t="shared" si="39"/>
        <v/>
      </c>
      <c r="I177" s="1">
        <v>1660</v>
      </c>
      <c r="J177" s="1">
        <f t="shared" si="32"/>
        <v>46855</v>
      </c>
      <c r="L177" s="1" t="str">
        <f t="shared" si="33"/>
        <v/>
      </c>
      <c r="M177" s="2" t="s">
        <v>404</v>
      </c>
      <c r="N177" s="1">
        <v>9</v>
      </c>
      <c r="O177" s="1">
        <f t="shared" si="34"/>
        <v>234275</v>
      </c>
      <c r="S177"/>
    </row>
    <row r="178" spans="2:19">
      <c r="B178" s="1">
        <f t="shared" si="35"/>
        <v>176</v>
      </c>
      <c r="C178" s="1">
        <f t="shared" si="31"/>
        <v>144</v>
      </c>
      <c r="D178" s="7" t="str">
        <f t="shared" si="36"/>
        <v/>
      </c>
      <c r="E178" s="8" t="str">
        <f t="shared" si="37"/>
        <v/>
      </c>
      <c r="F178" s="7">
        <f t="shared" si="38"/>
        <v>0.02</v>
      </c>
      <c r="G178" s="7" t="str">
        <f t="shared" si="39"/>
        <v/>
      </c>
      <c r="I178" s="1">
        <v>1670</v>
      </c>
      <c r="J178" s="1">
        <f t="shared" si="32"/>
        <v>47140</v>
      </c>
      <c r="L178" s="1" t="str">
        <f t="shared" si="33"/>
        <v/>
      </c>
      <c r="M178" s="2" t="s">
        <v>168</v>
      </c>
      <c r="O178" s="1" t="str">
        <f t="shared" si="34"/>
        <v/>
      </c>
      <c r="S178"/>
    </row>
    <row r="179" spans="2:19">
      <c r="B179" s="1">
        <f t="shared" si="35"/>
        <v>177</v>
      </c>
      <c r="C179" s="1">
        <f t="shared" si="31"/>
        <v>144</v>
      </c>
      <c r="D179" s="7" t="str">
        <f t="shared" si="36"/>
        <v/>
      </c>
      <c r="E179" s="8" t="str">
        <f t="shared" si="37"/>
        <v/>
      </c>
      <c r="F179" s="7" t="str">
        <f t="shared" si="38"/>
        <v/>
      </c>
      <c r="G179" s="7">
        <f t="shared" si="39"/>
        <v>0.01</v>
      </c>
      <c r="I179" s="1">
        <v>1680</v>
      </c>
      <c r="J179" s="1">
        <f t="shared" si="32"/>
        <v>47425</v>
      </c>
      <c r="L179" s="1" t="str">
        <f t="shared" si="33"/>
        <v/>
      </c>
      <c r="M179" s="2" t="s">
        <v>168</v>
      </c>
      <c r="O179" s="1" t="str">
        <f t="shared" si="34"/>
        <v/>
      </c>
      <c r="S179"/>
    </row>
    <row r="180" spans="2:19">
      <c r="B180" s="1">
        <f t="shared" si="35"/>
        <v>178</v>
      </c>
      <c r="C180" s="1">
        <f t="shared" si="31"/>
        <v>144</v>
      </c>
      <c r="D180" s="7">
        <f t="shared" si="36"/>
        <v>0.05</v>
      </c>
      <c r="E180" s="8" t="str">
        <f t="shared" si="37"/>
        <v/>
      </c>
      <c r="F180" s="7" t="str">
        <f t="shared" si="38"/>
        <v/>
      </c>
      <c r="G180" s="7" t="str">
        <f t="shared" si="39"/>
        <v/>
      </c>
      <c r="I180" s="1">
        <v>1690</v>
      </c>
      <c r="J180" s="1">
        <f t="shared" si="32"/>
        <v>47710</v>
      </c>
      <c r="L180" s="1" t="str">
        <f t="shared" si="33"/>
        <v/>
      </c>
      <c r="M180" s="2" t="s">
        <v>168</v>
      </c>
      <c r="O180" s="1" t="str">
        <f t="shared" si="34"/>
        <v/>
      </c>
      <c r="S180"/>
    </row>
    <row r="181" spans="2:19">
      <c r="B181" s="1">
        <f t="shared" si="35"/>
        <v>179</v>
      </c>
      <c r="C181" s="1">
        <f t="shared" si="31"/>
        <v>144</v>
      </c>
      <c r="D181" s="7" t="str">
        <f t="shared" si="36"/>
        <v/>
      </c>
      <c r="E181" s="8">
        <f t="shared" si="37"/>
        <v>0.005</v>
      </c>
      <c r="F181" s="7" t="str">
        <f t="shared" si="38"/>
        <v/>
      </c>
      <c r="G181" s="7" t="str">
        <f t="shared" si="39"/>
        <v/>
      </c>
      <c r="I181" s="1">
        <v>1700</v>
      </c>
      <c r="J181" s="1">
        <f t="shared" ref="J181:J202" si="40">J180+285</f>
        <v>47995</v>
      </c>
      <c r="L181" s="1" t="str">
        <f t="shared" si="33"/>
        <v/>
      </c>
      <c r="M181" s="2" t="s">
        <v>168</v>
      </c>
      <c r="O181" s="1" t="str">
        <f t="shared" si="34"/>
        <v/>
      </c>
      <c r="S181"/>
    </row>
    <row r="182" spans="2:19">
      <c r="B182" s="1">
        <f t="shared" si="35"/>
        <v>180</v>
      </c>
      <c r="C182" s="1">
        <f t="shared" si="31"/>
        <v>144</v>
      </c>
      <c r="D182" s="7" t="str">
        <f t="shared" si="36"/>
        <v/>
      </c>
      <c r="E182" s="8" t="str">
        <f t="shared" si="37"/>
        <v/>
      </c>
      <c r="F182" s="7">
        <f t="shared" si="38"/>
        <v>0.02</v>
      </c>
      <c r="G182" s="7" t="str">
        <f t="shared" si="39"/>
        <v/>
      </c>
      <c r="I182" s="1">
        <v>1710</v>
      </c>
      <c r="J182" s="1">
        <f t="shared" si="40"/>
        <v>48280</v>
      </c>
      <c r="L182" s="1" t="str">
        <f t="shared" si="33"/>
        <v/>
      </c>
      <c r="M182" s="2" t="s">
        <v>168</v>
      </c>
      <c r="O182" s="1" t="str">
        <f t="shared" si="34"/>
        <v/>
      </c>
      <c r="S182"/>
    </row>
    <row r="183" spans="2:19">
      <c r="B183" s="1">
        <f t="shared" si="35"/>
        <v>181</v>
      </c>
      <c r="C183" s="1">
        <f t="shared" si="31"/>
        <v>148</v>
      </c>
      <c r="D183" s="7" t="str">
        <f t="shared" si="36"/>
        <v/>
      </c>
      <c r="E183" s="8" t="str">
        <f t="shared" si="37"/>
        <v/>
      </c>
      <c r="F183" s="7" t="str">
        <f t="shared" si="38"/>
        <v/>
      </c>
      <c r="G183" s="7">
        <f t="shared" si="39"/>
        <v>0.01</v>
      </c>
      <c r="I183" s="1">
        <v>1720</v>
      </c>
      <c r="J183" s="1">
        <f t="shared" si="40"/>
        <v>48565</v>
      </c>
      <c r="L183" s="1" t="str">
        <f t="shared" si="33"/>
        <v/>
      </c>
      <c r="M183" s="2" t="s">
        <v>168</v>
      </c>
      <c r="O183" s="1" t="str">
        <f t="shared" si="34"/>
        <v/>
      </c>
      <c r="S183"/>
    </row>
    <row r="184" spans="2:19">
      <c r="B184" s="1">
        <f t="shared" si="35"/>
        <v>182</v>
      </c>
      <c r="C184" s="1">
        <f t="shared" si="31"/>
        <v>148</v>
      </c>
      <c r="D184" s="7">
        <f t="shared" si="36"/>
        <v>0.05</v>
      </c>
      <c r="E184" s="8" t="str">
        <f t="shared" si="37"/>
        <v/>
      </c>
      <c r="F184" s="7" t="str">
        <f t="shared" si="38"/>
        <v/>
      </c>
      <c r="G184" s="7" t="str">
        <f t="shared" si="39"/>
        <v/>
      </c>
      <c r="I184" s="1">
        <v>1730</v>
      </c>
      <c r="J184" s="1">
        <f t="shared" si="40"/>
        <v>48850</v>
      </c>
      <c r="L184" s="1" t="str">
        <f t="shared" si="33"/>
        <v/>
      </c>
      <c r="M184" s="2" t="s">
        <v>168</v>
      </c>
      <c r="O184" s="1" t="str">
        <f t="shared" si="34"/>
        <v/>
      </c>
      <c r="S184"/>
    </row>
    <row r="185" spans="2:19">
      <c r="B185" s="1">
        <f t="shared" si="35"/>
        <v>183</v>
      </c>
      <c r="C185" s="1">
        <f t="shared" si="31"/>
        <v>148</v>
      </c>
      <c r="D185" s="7" t="str">
        <f t="shared" si="36"/>
        <v/>
      </c>
      <c r="E185" s="8">
        <f t="shared" si="37"/>
        <v>0.005</v>
      </c>
      <c r="F185" s="7" t="str">
        <f t="shared" si="38"/>
        <v/>
      </c>
      <c r="G185" s="7" t="str">
        <f t="shared" si="39"/>
        <v/>
      </c>
      <c r="I185" s="1">
        <v>1740</v>
      </c>
      <c r="J185" s="1">
        <f t="shared" si="40"/>
        <v>49135</v>
      </c>
      <c r="L185" s="1" t="str">
        <f t="shared" si="33"/>
        <v/>
      </c>
      <c r="M185" s="2" t="s">
        <v>168</v>
      </c>
      <c r="O185" s="1" t="str">
        <f t="shared" si="34"/>
        <v/>
      </c>
      <c r="S185"/>
    </row>
    <row r="186" spans="2:19">
      <c r="B186" s="1">
        <f t="shared" si="35"/>
        <v>184</v>
      </c>
      <c r="C186" s="1">
        <f t="shared" si="31"/>
        <v>148</v>
      </c>
      <c r="D186" s="7" t="str">
        <f t="shared" si="36"/>
        <v/>
      </c>
      <c r="E186" s="8" t="str">
        <f t="shared" si="37"/>
        <v/>
      </c>
      <c r="F186" s="7">
        <f t="shared" si="38"/>
        <v>0.02</v>
      </c>
      <c r="G186" s="7" t="str">
        <f t="shared" si="39"/>
        <v/>
      </c>
      <c r="I186" s="1">
        <v>1750</v>
      </c>
      <c r="J186" s="1">
        <f t="shared" si="40"/>
        <v>49420</v>
      </c>
      <c r="L186" s="1" t="str">
        <f t="shared" si="33"/>
        <v/>
      </c>
      <c r="M186" s="2" t="s">
        <v>168</v>
      </c>
      <c r="O186" s="1" t="str">
        <f t="shared" si="34"/>
        <v/>
      </c>
      <c r="S186"/>
    </row>
    <row r="187" spans="2:19">
      <c r="B187" s="1">
        <f t="shared" si="35"/>
        <v>185</v>
      </c>
      <c r="C187" s="1">
        <f t="shared" si="31"/>
        <v>148</v>
      </c>
      <c r="D187" s="7" t="str">
        <f t="shared" si="36"/>
        <v/>
      </c>
      <c r="E187" s="8" t="str">
        <f t="shared" si="37"/>
        <v/>
      </c>
      <c r="F187" s="7" t="str">
        <f t="shared" si="38"/>
        <v/>
      </c>
      <c r="G187" s="7">
        <f t="shared" si="39"/>
        <v>0.01</v>
      </c>
      <c r="I187" s="1">
        <v>1760</v>
      </c>
      <c r="J187" s="1">
        <f t="shared" si="40"/>
        <v>49705</v>
      </c>
      <c r="L187" s="1">
        <f t="shared" si="33"/>
        <v>100</v>
      </c>
      <c r="M187" s="2" t="s">
        <v>168</v>
      </c>
      <c r="N187" s="1">
        <v>9</v>
      </c>
      <c r="O187" s="1">
        <f t="shared" si="34"/>
        <v>248525</v>
      </c>
      <c r="S187"/>
    </row>
    <row r="188" spans="2:19">
      <c r="B188" s="1">
        <f t="shared" si="35"/>
        <v>186</v>
      </c>
      <c r="C188" s="1">
        <f t="shared" si="31"/>
        <v>152</v>
      </c>
      <c r="D188" s="7">
        <f t="shared" si="36"/>
        <v>0.05</v>
      </c>
      <c r="E188" s="8" t="str">
        <f t="shared" si="37"/>
        <v/>
      </c>
      <c r="F188" s="7" t="str">
        <f t="shared" si="38"/>
        <v/>
      </c>
      <c r="G188" s="7" t="str">
        <f t="shared" si="39"/>
        <v/>
      </c>
      <c r="I188" s="1">
        <v>1770</v>
      </c>
      <c r="J188" s="1">
        <f t="shared" si="40"/>
        <v>49990</v>
      </c>
      <c r="L188" s="1" t="str">
        <f t="shared" si="33"/>
        <v/>
      </c>
      <c r="M188" s="2" t="s">
        <v>168</v>
      </c>
      <c r="O188" s="1" t="str">
        <f t="shared" si="34"/>
        <v/>
      </c>
      <c r="S188"/>
    </row>
    <row r="189" spans="2:19">
      <c r="B189" s="1">
        <f t="shared" si="35"/>
        <v>187</v>
      </c>
      <c r="C189" s="1">
        <f t="shared" si="31"/>
        <v>152</v>
      </c>
      <c r="D189" s="7" t="str">
        <f t="shared" si="36"/>
        <v/>
      </c>
      <c r="E189" s="8">
        <f t="shared" si="37"/>
        <v>0.005</v>
      </c>
      <c r="F189" s="7" t="str">
        <f t="shared" si="38"/>
        <v/>
      </c>
      <c r="G189" s="7" t="str">
        <f t="shared" si="39"/>
        <v/>
      </c>
      <c r="I189" s="1">
        <v>1780</v>
      </c>
      <c r="J189" s="1">
        <f t="shared" si="40"/>
        <v>50275</v>
      </c>
      <c r="L189" s="1" t="str">
        <f t="shared" si="33"/>
        <v/>
      </c>
      <c r="M189" s="2" t="s">
        <v>168</v>
      </c>
      <c r="O189" s="1" t="str">
        <f t="shared" si="34"/>
        <v/>
      </c>
      <c r="S189"/>
    </row>
    <row r="190" spans="2:19">
      <c r="B190" s="1">
        <f t="shared" si="35"/>
        <v>188</v>
      </c>
      <c r="C190" s="1">
        <f t="shared" si="31"/>
        <v>152</v>
      </c>
      <c r="D190" s="7" t="str">
        <f t="shared" si="36"/>
        <v/>
      </c>
      <c r="E190" s="8" t="str">
        <f t="shared" si="37"/>
        <v/>
      </c>
      <c r="F190" s="7">
        <f t="shared" si="38"/>
        <v>0.02</v>
      </c>
      <c r="G190" s="7" t="str">
        <f t="shared" si="39"/>
        <v/>
      </c>
      <c r="I190" s="1">
        <v>1790</v>
      </c>
      <c r="J190" s="1">
        <f t="shared" si="40"/>
        <v>50560</v>
      </c>
      <c r="L190" s="1" t="str">
        <f t="shared" si="33"/>
        <v/>
      </c>
      <c r="M190" s="2" t="s">
        <v>168</v>
      </c>
      <c r="O190" s="1" t="str">
        <f t="shared" si="34"/>
        <v/>
      </c>
      <c r="S190"/>
    </row>
    <row r="191" spans="2:19">
      <c r="B191" s="1">
        <f t="shared" si="35"/>
        <v>189</v>
      </c>
      <c r="C191" s="1">
        <f t="shared" si="31"/>
        <v>152</v>
      </c>
      <c r="D191" s="7" t="str">
        <f t="shared" si="36"/>
        <v/>
      </c>
      <c r="E191" s="8" t="str">
        <f t="shared" si="37"/>
        <v/>
      </c>
      <c r="F191" s="7" t="str">
        <f t="shared" si="38"/>
        <v/>
      </c>
      <c r="G191" s="7">
        <f t="shared" si="39"/>
        <v>0.01</v>
      </c>
      <c r="I191" s="1">
        <v>1800</v>
      </c>
      <c r="J191" s="1">
        <f t="shared" si="40"/>
        <v>50845</v>
      </c>
      <c r="L191" s="1" t="str">
        <f t="shared" si="33"/>
        <v/>
      </c>
      <c r="M191" s="2" t="s">
        <v>168</v>
      </c>
      <c r="O191" s="1" t="str">
        <f t="shared" si="34"/>
        <v/>
      </c>
      <c r="S191"/>
    </row>
    <row r="192" spans="2:19">
      <c r="B192" s="1">
        <f t="shared" si="35"/>
        <v>190</v>
      </c>
      <c r="C192" s="1">
        <f t="shared" si="31"/>
        <v>152</v>
      </c>
      <c r="D192" s="7">
        <f t="shared" si="36"/>
        <v>0.05</v>
      </c>
      <c r="E192" s="8" t="str">
        <f t="shared" si="37"/>
        <v/>
      </c>
      <c r="F192" s="7" t="str">
        <f t="shared" si="38"/>
        <v/>
      </c>
      <c r="G192" s="7" t="str">
        <f t="shared" si="39"/>
        <v/>
      </c>
      <c r="I192" s="1">
        <v>1810</v>
      </c>
      <c r="J192" s="1">
        <f t="shared" si="40"/>
        <v>51130</v>
      </c>
      <c r="L192" s="1" t="str">
        <f t="shared" si="33"/>
        <v/>
      </c>
      <c r="M192" s="2" t="s">
        <v>168</v>
      </c>
      <c r="O192" s="1" t="str">
        <f t="shared" si="34"/>
        <v/>
      </c>
      <c r="S192"/>
    </row>
    <row r="193" spans="2:19">
      <c r="B193" s="1">
        <f t="shared" si="35"/>
        <v>191</v>
      </c>
      <c r="C193" s="1">
        <f t="shared" si="31"/>
        <v>156</v>
      </c>
      <c r="D193" s="7" t="str">
        <f t="shared" si="36"/>
        <v/>
      </c>
      <c r="E193" s="8">
        <f t="shared" si="37"/>
        <v>0.005</v>
      </c>
      <c r="F193" s="7" t="str">
        <f t="shared" si="38"/>
        <v/>
      </c>
      <c r="G193" s="7" t="str">
        <f t="shared" si="39"/>
        <v/>
      </c>
      <c r="I193" s="1">
        <v>1820</v>
      </c>
      <c r="J193" s="1">
        <f t="shared" si="40"/>
        <v>51415</v>
      </c>
      <c r="L193" s="1" t="str">
        <f t="shared" si="33"/>
        <v/>
      </c>
      <c r="M193" s="2" t="s">
        <v>168</v>
      </c>
      <c r="O193" s="1" t="str">
        <f t="shared" si="34"/>
        <v/>
      </c>
      <c r="S193"/>
    </row>
    <row r="194" spans="2:19">
      <c r="B194" s="1">
        <f t="shared" si="35"/>
        <v>192</v>
      </c>
      <c r="C194" s="1">
        <f t="shared" si="31"/>
        <v>156</v>
      </c>
      <c r="D194" s="7" t="str">
        <f t="shared" si="36"/>
        <v/>
      </c>
      <c r="E194" s="8" t="str">
        <f t="shared" si="37"/>
        <v/>
      </c>
      <c r="F194" s="7">
        <f t="shared" si="38"/>
        <v>0.02</v>
      </c>
      <c r="G194" s="7" t="str">
        <f t="shared" si="39"/>
        <v/>
      </c>
      <c r="I194" s="1">
        <v>1830</v>
      </c>
      <c r="J194" s="1">
        <f t="shared" si="40"/>
        <v>51700</v>
      </c>
      <c r="L194" s="1" t="str">
        <f t="shared" si="33"/>
        <v/>
      </c>
      <c r="M194" s="2" t="s">
        <v>168</v>
      </c>
      <c r="O194" s="1" t="str">
        <f t="shared" si="34"/>
        <v/>
      </c>
      <c r="S194"/>
    </row>
    <row r="195" spans="2:19">
      <c r="B195" s="1">
        <f t="shared" si="35"/>
        <v>193</v>
      </c>
      <c r="C195" s="1">
        <f t="shared" si="31"/>
        <v>156</v>
      </c>
      <c r="D195" s="7" t="str">
        <f t="shared" si="36"/>
        <v/>
      </c>
      <c r="E195" s="8" t="str">
        <f t="shared" si="37"/>
        <v/>
      </c>
      <c r="F195" s="7" t="str">
        <f t="shared" si="38"/>
        <v/>
      </c>
      <c r="G195" s="7">
        <f t="shared" si="39"/>
        <v>0.01</v>
      </c>
      <c r="I195" s="1">
        <v>1840</v>
      </c>
      <c r="J195" s="1">
        <f t="shared" si="40"/>
        <v>51985</v>
      </c>
      <c r="L195" s="1" t="str">
        <f t="shared" si="33"/>
        <v/>
      </c>
      <c r="M195" s="2" t="s">
        <v>168</v>
      </c>
      <c r="O195" s="1" t="str">
        <f t="shared" si="34"/>
        <v/>
      </c>
      <c r="S195"/>
    </row>
    <row r="196" spans="2:19">
      <c r="B196" s="1">
        <f t="shared" si="35"/>
        <v>194</v>
      </c>
      <c r="C196" s="1">
        <f t="shared" si="31"/>
        <v>156</v>
      </c>
      <c r="D196" s="7">
        <f t="shared" si="36"/>
        <v>0.05</v>
      </c>
      <c r="E196" s="8" t="str">
        <f t="shared" si="37"/>
        <v/>
      </c>
      <c r="F196" s="7" t="str">
        <f t="shared" si="38"/>
        <v/>
      </c>
      <c r="G196" s="7" t="str">
        <f t="shared" si="39"/>
        <v/>
      </c>
      <c r="I196" s="1">
        <v>1850</v>
      </c>
      <c r="J196" s="1">
        <f t="shared" si="40"/>
        <v>52270</v>
      </c>
      <c r="L196" s="1" t="str">
        <f t="shared" si="33"/>
        <v/>
      </c>
      <c r="M196" s="2" t="s">
        <v>168</v>
      </c>
      <c r="O196" s="1" t="str">
        <f t="shared" si="34"/>
        <v/>
      </c>
      <c r="S196"/>
    </row>
    <row r="197" spans="2:19">
      <c r="B197" s="1">
        <f t="shared" si="35"/>
        <v>195</v>
      </c>
      <c r="C197" s="1">
        <f t="shared" si="31"/>
        <v>156</v>
      </c>
      <c r="D197" s="7" t="str">
        <f t="shared" si="36"/>
        <v/>
      </c>
      <c r="E197" s="8">
        <f t="shared" si="37"/>
        <v>0.005</v>
      </c>
      <c r="F197" s="7" t="str">
        <f t="shared" si="38"/>
        <v/>
      </c>
      <c r="G197" s="7" t="str">
        <f t="shared" si="39"/>
        <v/>
      </c>
      <c r="I197" s="1">
        <v>1860</v>
      </c>
      <c r="J197" s="1">
        <f t="shared" si="40"/>
        <v>52555</v>
      </c>
      <c r="L197" s="1" t="str">
        <f t="shared" si="33"/>
        <v/>
      </c>
      <c r="M197" s="2" t="s">
        <v>405</v>
      </c>
      <c r="N197" s="1">
        <v>9</v>
      </c>
      <c r="O197" s="1">
        <f t="shared" si="34"/>
        <v>262775</v>
      </c>
      <c r="S197"/>
    </row>
    <row r="198" spans="2:19">
      <c r="B198" s="1">
        <f t="shared" si="35"/>
        <v>196</v>
      </c>
      <c r="C198" s="1">
        <f t="shared" si="31"/>
        <v>160</v>
      </c>
      <c r="D198" s="7" t="str">
        <f t="shared" si="36"/>
        <v/>
      </c>
      <c r="E198" s="8" t="str">
        <f t="shared" si="37"/>
        <v/>
      </c>
      <c r="F198" s="7">
        <f t="shared" si="38"/>
        <v>0.02</v>
      </c>
      <c r="G198" s="7" t="str">
        <f t="shared" si="39"/>
        <v/>
      </c>
      <c r="I198" s="1">
        <v>1870</v>
      </c>
      <c r="J198" s="1">
        <f t="shared" si="40"/>
        <v>52840</v>
      </c>
      <c r="L198" s="1" t="str">
        <f t="shared" si="33"/>
        <v/>
      </c>
      <c r="M198" s="2" t="s">
        <v>168</v>
      </c>
      <c r="O198" s="1" t="str">
        <f t="shared" si="34"/>
        <v/>
      </c>
      <c r="S198"/>
    </row>
    <row r="199" spans="2:19">
      <c r="B199" s="1">
        <f t="shared" si="35"/>
        <v>197</v>
      </c>
      <c r="C199" s="1">
        <f t="shared" si="31"/>
        <v>160</v>
      </c>
      <c r="D199" s="7" t="str">
        <f t="shared" si="36"/>
        <v/>
      </c>
      <c r="E199" s="8" t="str">
        <f t="shared" si="37"/>
        <v/>
      </c>
      <c r="F199" s="7" t="str">
        <f t="shared" si="38"/>
        <v/>
      </c>
      <c r="G199" s="7">
        <f t="shared" si="39"/>
        <v>0.01</v>
      </c>
      <c r="I199" s="1">
        <v>1880</v>
      </c>
      <c r="J199" s="1">
        <f t="shared" si="40"/>
        <v>53125</v>
      </c>
      <c r="L199" s="1" t="str">
        <f t="shared" si="33"/>
        <v/>
      </c>
      <c r="M199" s="2" t="s">
        <v>168</v>
      </c>
      <c r="O199" s="1" t="str">
        <f t="shared" si="34"/>
        <v/>
      </c>
      <c r="S199"/>
    </row>
    <row r="200" spans="2:19">
      <c r="B200" s="1">
        <f t="shared" si="35"/>
        <v>198</v>
      </c>
      <c r="C200" s="1">
        <f t="shared" si="31"/>
        <v>160</v>
      </c>
      <c r="D200" s="7">
        <f t="shared" si="36"/>
        <v>0.05</v>
      </c>
      <c r="E200" s="8" t="str">
        <f t="shared" si="37"/>
        <v/>
      </c>
      <c r="F200" s="7" t="str">
        <f t="shared" si="38"/>
        <v/>
      </c>
      <c r="G200" s="7" t="str">
        <f t="shared" si="39"/>
        <v/>
      </c>
      <c r="I200" s="1">
        <v>1890</v>
      </c>
      <c r="J200" s="1">
        <f t="shared" si="40"/>
        <v>53410</v>
      </c>
      <c r="L200" s="1" t="str">
        <f t="shared" si="33"/>
        <v/>
      </c>
      <c r="M200" s="2" t="s">
        <v>168</v>
      </c>
      <c r="O200" s="1" t="str">
        <f t="shared" si="34"/>
        <v/>
      </c>
      <c r="S200"/>
    </row>
    <row r="201" spans="2:19">
      <c r="B201" s="1">
        <f t="shared" si="35"/>
        <v>199</v>
      </c>
      <c r="C201" s="1">
        <f t="shared" si="31"/>
        <v>160</v>
      </c>
      <c r="D201" s="7" t="str">
        <f t="shared" si="36"/>
        <v/>
      </c>
      <c r="E201" s="8">
        <f t="shared" si="37"/>
        <v>0.005</v>
      </c>
      <c r="F201" s="7" t="str">
        <f t="shared" si="38"/>
        <v/>
      </c>
      <c r="G201" s="7" t="str">
        <f t="shared" si="39"/>
        <v/>
      </c>
      <c r="I201" s="1">
        <v>1900</v>
      </c>
      <c r="J201" s="1">
        <f t="shared" si="40"/>
        <v>53695</v>
      </c>
      <c r="L201" s="1" t="str">
        <f t="shared" si="33"/>
        <v/>
      </c>
      <c r="M201" s="2" t="s">
        <v>168</v>
      </c>
      <c r="O201" s="1" t="str">
        <f t="shared" si="34"/>
        <v/>
      </c>
    </row>
    <row r="202" spans="2:19">
      <c r="B202" s="1">
        <f t="shared" si="35"/>
        <v>200</v>
      </c>
      <c r="C202" s="1">
        <f t="shared" si="31"/>
        <v>160</v>
      </c>
      <c r="D202" s="7" t="str">
        <f t="shared" si="36"/>
        <v/>
      </c>
      <c r="E202" s="8" t="str">
        <f t="shared" si="37"/>
        <v/>
      </c>
      <c r="F202" s="7">
        <f t="shared" si="38"/>
        <v>0.02</v>
      </c>
      <c r="G202" s="7" t="str">
        <f t="shared" si="39"/>
        <v/>
      </c>
      <c r="I202" s="1">
        <v>1910</v>
      </c>
      <c r="J202" s="1">
        <f t="shared" si="40"/>
        <v>53980</v>
      </c>
      <c r="L202" s="1" t="str">
        <f t="shared" si="33"/>
        <v/>
      </c>
      <c r="M202" s="2" t="s">
        <v>168</v>
      </c>
      <c r="O202" s="1" t="str">
        <f t="shared" si="34"/>
        <v/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M362"/>
  <sheetViews>
    <sheetView topLeftCell="A51" workbookViewId="0">
      <selection activeCell="N137" sqref="N137"/>
    </sheetView>
  </sheetViews>
  <sheetFormatPr defaultColWidth="9.14285714285714" defaultRowHeight="12.75"/>
  <cols>
    <col min="1" max="1" width="20.7142857142857" customWidth="1"/>
    <col min="8" max="8" width="12.8571428571429"/>
  </cols>
  <sheetData>
    <row r="2" spans="1:13">
      <c r="M2" t="s">
        <v>406</v>
      </c>
    </row>
    <row r="3" spans="1:13">
      <c r="A3" t="str">
        <f>基因升级!$J$140&amp;"+"&amp;基因升级!J141</f>
        <v>队长攻击力+6</v>
      </c>
      <c r="B3" t="str">
        <f>IF(基因升级!K141="","",基因升级!K$140&amp;"+"&amp;基因升级!K141*100&amp;"%")</f>
        <v>队长伤害+5%</v>
      </c>
      <c r="C3" t="str">
        <f>IF(基因升级!L141="","",基因升级!L$140&amp;"+"&amp;基因升级!L141*100&amp;"%")</f>
        <v/>
      </c>
      <c r="D3" t="str">
        <f>IF(基因升级!M141="","",基因升级!M$140&amp;"+"&amp;基因升级!M141*100&amp;"%")</f>
        <v/>
      </c>
      <c r="E3" t="str">
        <f>IF(基因升级!N141="","",基因升级!N$140&amp;"+"&amp;基因升级!N141*100&amp;"%")</f>
        <v/>
      </c>
      <c r="F3" t="str">
        <f>_xlfn.TEXTJOIN("\n",1,A3:E3)</f>
        <v>队长攻击力+6\n队长伤害+5%</v>
      </c>
      <c r="M3" t="s">
        <v>407</v>
      </c>
    </row>
    <row r="4" spans="1:13">
      <c r="A4" t="str">
        <f>基因升级!$J$140&amp;"+"&amp;基因升级!J142</f>
        <v>队长攻击力+6</v>
      </c>
      <c r="B4" t="str">
        <f>IF(基因升级!K142="","",基因升级!K$140&amp;"+"&amp;基因升级!K142*100&amp;"%")</f>
        <v/>
      </c>
      <c r="C4" t="str">
        <f>IF(基因升级!L142="","",基因升级!L$140&amp;"+"&amp;基因升级!L142*100&amp;"%")</f>
        <v/>
      </c>
      <c r="D4" t="str">
        <f>IF(基因升级!M142="","",基因升级!M$140&amp;"+"&amp;基因升级!M142*100&amp;"%")</f>
        <v/>
      </c>
      <c r="E4" t="str">
        <f>IF(基因升级!N142="","",基因升级!N$140&amp;"+"&amp;基因升级!N142*100&amp;"%")</f>
        <v>队长技能冷却+0.75%</v>
      </c>
      <c r="F4" t="str">
        <f t="shared" ref="F4:F67" si="0">_xlfn.TEXTJOIN("\n",1,A4:E4)</f>
        <v>队长攻击力+6\n队长技能冷却+0.75%</v>
      </c>
      <c r="M4" t="s">
        <v>408</v>
      </c>
    </row>
    <row r="5" spans="1:13">
      <c r="A5" t="str">
        <f>基因升级!$J$140&amp;"+"&amp;基因升级!J143</f>
        <v>队长攻击力+6</v>
      </c>
      <c r="B5" t="str">
        <f>IF(基因升级!K143="","",基因升级!K$140&amp;"+"&amp;基因升级!K143*100&amp;"%")</f>
        <v/>
      </c>
      <c r="C5" t="str">
        <f>IF(基因升级!L143="","",基因升级!L$140&amp;"+"&amp;基因升级!L143*100&amp;"%")</f>
        <v/>
      </c>
      <c r="D5" t="str">
        <f>IF(基因升级!M143="","",基因升级!M$140&amp;"+"&amp;基因升级!M143*100&amp;"%")</f>
        <v>队长暴击++0.2%</v>
      </c>
      <c r="E5" t="str">
        <f>IF(基因升级!N143="","",基因升级!N$140&amp;"+"&amp;基因升级!N143*100&amp;"%")</f>
        <v/>
      </c>
      <c r="F5" t="str">
        <f t="shared" si="0"/>
        <v>队长攻击力+6\n队长暴击++0.2%</v>
      </c>
      <c r="M5" t="s">
        <v>409</v>
      </c>
    </row>
    <row r="6" spans="1:13">
      <c r="A6" t="str">
        <f>基因升级!$J$140&amp;"+"&amp;基因升级!J144</f>
        <v>队长攻击力+6</v>
      </c>
      <c r="B6" t="str">
        <f>IF(基因升级!K144="","",基因升级!K$140&amp;"+"&amp;基因升级!K144*100&amp;"%")</f>
        <v/>
      </c>
      <c r="C6" t="str">
        <f>IF(基因升级!L144="","",基因升级!L$140&amp;"+"&amp;基因升级!L144*100&amp;"%")</f>
        <v>队长暴击伤害+3%</v>
      </c>
      <c r="D6" t="str">
        <f>IF(基因升级!M144="","",基因升级!M$140&amp;"+"&amp;基因升级!M144*100&amp;"%")</f>
        <v/>
      </c>
      <c r="E6" t="str">
        <f>IF(基因升级!N144="","",基因升级!N$140&amp;"+"&amp;基因升级!N144*100&amp;"%")</f>
        <v/>
      </c>
      <c r="F6" t="str">
        <f t="shared" si="0"/>
        <v>队长攻击力+6\n队长暴击伤害+3%</v>
      </c>
      <c r="M6" t="s">
        <v>410</v>
      </c>
    </row>
    <row r="7" spans="1:13">
      <c r="A7" t="str">
        <f>基因升级!$J$140&amp;"+"&amp;基因升级!J145</f>
        <v>队长攻击力+6</v>
      </c>
      <c r="B7" t="str">
        <f>IF(基因升级!K145="","",基因升级!K$140&amp;"+"&amp;基因升级!K145*100&amp;"%")</f>
        <v>队长伤害+5%</v>
      </c>
      <c r="C7" t="str">
        <f>IF(基因升级!L145="","",基因升级!L$140&amp;"+"&amp;基因升级!L145*100&amp;"%")</f>
        <v/>
      </c>
      <c r="D7" t="str">
        <f>IF(基因升级!M145="","",基因升级!M$140&amp;"+"&amp;基因升级!M145*100&amp;"%")</f>
        <v/>
      </c>
      <c r="E7" t="str">
        <f>IF(基因升级!N145="","",基因升级!N$140&amp;"+"&amp;基因升级!N145*100&amp;"%")</f>
        <v/>
      </c>
      <c r="F7" t="str">
        <f t="shared" si="0"/>
        <v>队长攻击力+6\n队长伤害+5%</v>
      </c>
      <c r="M7" t="s">
        <v>411</v>
      </c>
    </row>
    <row r="8" spans="1:13">
      <c r="A8" t="str">
        <f>基因升级!$J$140&amp;"+"&amp;基因升级!J146</f>
        <v>队长攻击力+6</v>
      </c>
      <c r="B8" t="str">
        <f>IF(基因升级!K146="","",基因升级!K$140&amp;"+"&amp;基因升级!K146*100&amp;"%")</f>
        <v/>
      </c>
      <c r="C8" t="str">
        <f>IF(基因升级!L146="","",基因升级!L$140&amp;"+"&amp;基因升级!L146*100&amp;"%")</f>
        <v/>
      </c>
      <c r="D8" t="str">
        <f>IF(基因升级!M146="","",基因升级!M$140&amp;"+"&amp;基因升级!M146*100&amp;"%")</f>
        <v/>
      </c>
      <c r="E8" t="str">
        <f>IF(基因升级!N146="","",基因升级!N$140&amp;"+"&amp;基因升级!N146*100&amp;"%")</f>
        <v>队长技能冷却+0.75%</v>
      </c>
      <c r="F8" t="str">
        <f t="shared" si="0"/>
        <v>队长攻击力+6\n队长技能冷却+0.75%</v>
      </c>
      <c r="M8" t="s">
        <v>412</v>
      </c>
    </row>
    <row r="9" spans="1:13">
      <c r="A9" t="str">
        <f>基因升级!$J$140&amp;"+"&amp;基因升级!J147</f>
        <v>队长攻击力+6</v>
      </c>
      <c r="B9" t="str">
        <f>IF(基因升级!K147="","",基因升级!K$140&amp;"+"&amp;基因升级!K147*100&amp;"%")</f>
        <v/>
      </c>
      <c r="C9" t="str">
        <f>IF(基因升级!L147="","",基因升级!L$140&amp;"+"&amp;基因升级!L147*100&amp;"%")</f>
        <v/>
      </c>
      <c r="D9" t="str">
        <f>IF(基因升级!M147="","",基因升级!M$140&amp;"+"&amp;基因升级!M147*100&amp;"%")</f>
        <v>队长暴击++0.2%</v>
      </c>
      <c r="E9" t="str">
        <f>IF(基因升级!N147="","",基因升级!N$140&amp;"+"&amp;基因升级!N147*100&amp;"%")</f>
        <v/>
      </c>
      <c r="F9" t="str">
        <f t="shared" si="0"/>
        <v>队长攻击力+6\n队长暴击++0.2%</v>
      </c>
      <c r="M9" t="s">
        <v>413</v>
      </c>
    </row>
    <row r="10" spans="1:13">
      <c r="A10" t="str">
        <f>基因升级!$J$140&amp;"+"&amp;基因升级!J148</f>
        <v>队长攻击力+6</v>
      </c>
      <c r="B10" t="str">
        <f>IF(基因升级!K148="","",基因升级!K$140&amp;"+"&amp;基因升级!K148*100&amp;"%")</f>
        <v/>
      </c>
      <c r="C10" t="str">
        <f>IF(基因升级!L148="","",基因升级!L$140&amp;"+"&amp;基因升级!L148*100&amp;"%")</f>
        <v>队长暴击伤害+3%</v>
      </c>
      <c r="D10" t="str">
        <f>IF(基因升级!M148="","",基因升级!M$140&amp;"+"&amp;基因升级!M148*100&amp;"%")</f>
        <v/>
      </c>
      <c r="E10" t="str">
        <f>IF(基因升级!N148="","",基因升级!N$140&amp;"+"&amp;基因升级!N148*100&amp;"%")</f>
        <v/>
      </c>
      <c r="F10" t="str">
        <f t="shared" si="0"/>
        <v>队长攻击力+6\n队长暴击伤害+3%</v>
      </c>
      <c r="M10" t="s">
        <v>414</v>
      </c>
    </row>
    <row r="11" spans="1:13">
      <c r="A11" t="str">
        <f>基因升级!$J$140&amp;"+"&amp;基因升级!J149</f>
        <v>队长攻击力+12</v>
      </c>
      <c r="B11" t="str">
        <f>IF(基因升级!K149="","",基因升级!K$140&amp;"+"&amp;基因升级!K149*100&amp;"%")</f>
        <v>队长伤害+5%</v>
      </c>
      <c r="C11" t="str">
        <f>IF(基因升级!L149="","",基因升级!L$140&amp;"+"&amp;基因升级!L149*100&amp;"%")</f>
        <v/>
      </c>
      <c r="D11" t="str">
        <f>IF(基因升级!M149="","",基因升级!M$140&amp;"+"&amp;基因升级!M149*100&amp;"%")</f>
        <v/>
      </c>
      <c r="E11" t="str">
        <f>IF(基因升级!N149="","",基因升级!N$140&amp;"+"&amp;基因升级!N149*100&amp;"%")</f>
        <v/>
      </c>
      <c r="F11" t="str">
        <f t="shared" si="0"/>
        <v>队长攻击力+12\n队长伤害+5%</v>
      </c>
      <c r="M11" t="s">
        <v>415</v>
      </c>
    </row>
    <row r="12" spans="1:13">
      <c r="A12" t="str">
        <f>基因升级!$J$140&amp;"+"&amp;基因升级!J150</f>
        <v>队长攻击力+12</v>
      </c>
      <c r="B12" t="str">
        <f>IF(基因升级!K150="","",基因升级!K$140&amp;"+"&amp;基因升级!K150*100&amp;"%")</f>
        <v/>
      </c>
      <c r="C12" t="str">
        <f>IF(基因升级!L150="","",基因升级!L$140&amp;"+"&amp;基因升级!L150*100&amp;"%")</f>
        <v/>
      </c>
      <c r="D12" t="str">
        <f>IF(基因升级!M150="","",基因升级!M$140&amp;"+"&amp;基因升级!M150*100&amp;"%")</f>
        <v/>
      </c>
      <c r="E12" t="str">
        <f>IF(基因升级!N150="","",基因升级!N$140&amp;"+"&amp;基因升级!N150*100&amp;"%")</f>
        <v>队长技能冷却+0.75%</v>
      </c>
      <c r="F12" t="str">
        <f t="shared" si="0"/>
        <v>队长攻击力+12\n队长技能冷却+0.75%</v>
      </c>
      <c r="M12" t="s">
        <v>416</v>
      </c>
    </row>
    <row r="13" spans="1:13">
      <c r="A13" t="str">
        <f>基因升级!$J$140&amp;"+"&amp;基因升级!J151</f>
        <v>队长攻击力+12</v>
      </c>
      <c r="B13" t="str">
        <f>IF(基因升级!K151="","",基因升级!K$140&amp;"+"&amp;基因升级!K151*100&amp;"%")</f>
        <v/>
      </c>
      <c r="C13" t="str">
        <f>IF(基因升级!L151="","",基因升级!L$140&amp;"+"&amp;基因升级!L151*100&amp;"%")</f>
        <v/>
      </c>
      <c r="D13" t="str">
        <f>IF(基因升级!M151="","",基因升级!M$140&amp;"+"&amp;基因升级!M151*100&amp;"%")</f>
        <v>队长暴击++0.2%</v>
      </c>
      <c r="E13" t="str">
        <f>IF(基因升级!N151="","",基因升级!N$140&amp;"+"&amp;基因升级!N151*100&amp;"%")</f>
        <v/>
      </c>
      <c r="F13" t="str">
        <f t="shared" si="0"/>
        <v>队长攻击力+12\n队长暴击++0.2%</v>
      </c>
      <c r="M13" t="s">
        <v>417</v>
      </c>
    </row>
    <row r="14" spans="1:13">
      <c r="A14" t="str">
        <f>基因升级!$J$140&amp;"+"&amp;基因升级!J152</f>
        <v>队长攻击力+12</v>
      </c>
      <c r="B14" t="str">
        <f>IF(基因升级!K152="","",基因升级!K$140&amp;"+"&amp;基因升级!K152*100&amp;"%")</f>
        <v/>
      </c>
      <c r="C14" t="str">
        <f>IF(基因升级!L152="","",基因升级!L$140&amp;"+"&amp;基因升级!L152*100&amp;"%")</f>
        <v>队长暴击伤害+3%</v>
      </c>
      <c r="D14" t="str">
        <f>IF(基因升级!M152="","",基因升级!M$140&amp;"+"&amp;基因升级!M152*100&amp;"%")</f>
        <v/>
      </c>
      <c r="E14" t="str">
        <f>IF(基因升级!N152="","",基因升级!N$140&amp;"+"&amp;基因升级!N152*100&amp;"%")</f>
        <v/>
      </c>
      <c r="F14" t="str">
        <f t="shared" si="0"/>
        <v>队长攻击力+12\n队长暴击伤害+3%</v>
      </c>
      <c r="M14" t="s">
        <v>418</v>
      </c>
    </row>
    <row r="15" spans="1:13">
      <c r="A15" t="str">
        <f>基因升级!$J$140&amp;"+"&amp;基因升级!J153</f>
        <v>队长攻击力+12</v>
      </c>
      <c r="B15" t="str">
        <f>IF(基因升级!K153="","",基因升级!K$140&amp;"+"&amp;基因升级!K153*100&amp;"%")</f>
        <v>队长伤害+5%</v>
      </c>
      <c r="C15" t="str">
        <f>IF(基因升级!L153="","",基因升级!L$140&amp;"+"&amp;基因升级!L153*100&amp;"%")</f>
        <v/>
      </c>
      <c r="D15" t="str">
        <f>IF(基因升级!M153="","",基因升级!M$140&amp;"+"&amp;基因升级!M153*100&amp;"%")</f>
        <v/>
      </c>
      <c r="E15" t="str">
        <f>IF(基因升级!N153="","",基因升级!N$140&amp;"+"&amp;基因升级!N153*100&amp;"%")</f>
        <v/>
      </c>
      <c r="F15" t="str">
        <f t="shared" si="0"/>
        <v>队长攻击力+12\n队长伤害+5%</v>
      </c>
      <c r="M15" t="s">
        <v>419</v>
      </c>
    </row>
    <row r="16" spans="1:13">
      <c r="A16" t="str">
        <f>基因升级!$J$140&amp;"+"&amp;基因升级!J154</f>
        <v>队长攻击力+12</v>
      </c>
      <c r="B16" t="str">
        <f>IF(基因升级!K154="","",基因升级!K$140&amp;"+"&amp;基因升级!K154*100&amp;"%")</f>
        <v/>
      </c>
      <c r="C16" t="str">
        <f>IF(基因升级!L154="","",基因升级!L$140&amp;"+"&amp;基因升级!L154*100&amp;"%")</f>
        <v/>
      </c>
      <c r="D16" t="str">
        <f>IF(基因升级!M154="","",基因升级!M$140&amp;"+"&amp;基因升级!M154*100&amp;"%")</f>
        <v/>
      </c>
      <c r="E16" t="str">
        <f>IF(基因升级!N154="","",基因升级!N$140&amp;"+"&amp;基因升级!N154*100&amp;"%")</f>
        <v>队长技能冷却+0.75%</v>
      </c>
      <c r="F16" t="str">
        <f t="shared" si="0"/>
        <v>队长攻击力+12\n队长技能冷却+0.75%</v>
      </c>
      <c r="M16" t="s">
        <v>420</v>
      </c>
    </row>
    <row r="17" spans="1:13">
      <c r="A17" t="str">
        <f>基因升级!$J$140&amp;"+"&amp;基因升级!J155</f>
        <v>队长攻击力+12</v>
      </c>
      <c r="B17" t="str">
        <f>IF(基因升级!K155="","",基因升级!K$140&amp;"+"&amp;基因升级!K155*100&amp;"%")</f>
        <v/>
      </c>
      <c r="C17" t="str">
        <f>IF(基因升级!L155="","",基因升级!L$140&amp;"+"&amp;基因升级!L155*100&amp;"%")</f>
        <v/>
      </c>
      <c r="D17" t="str">
        <f>IF(基因升级!M155="","",基因升级!M$140&amp;"+"&amp;基因升级!M155*100&amp;"%")</f>
        <v>队长暴击++0.2%</v>
      </c>
      <c r="E17" t="str">
        <f>IF(基因升级!N155="","",基因升级!N$140&amp;"+"&amp;基因升级!N155*100&amp;"%")</f>
        <v/>
      </c>
      <c r="F17" t="str">
        <f t="shared" si="0"/>
        <v>队长攻击力+12\n队长暴击++0.2%</v>
      </c>
      <c r="M17" t="s">
        <v>421</v>
      </c>
    </row>
    <row r="18" spans="1:13">
      <c r="A18" t="str">
        <f>基因升级!$J$140&amp;"+"&amp;基因升级!J156</f>
        <v>队长攻击力+12</v>
      </c>
      <c r="B18" t="str">
        <f>IF(基因升级!K156="","",基因升级!K$140&amp;"+"&amp;基因升级!K156*100&amp;"%")</f>
        <v/>
      </c>
      <c r="C18" t="str">
        <f>IF(基因升级!L156="","",基因升级!L$140&amp;"+"&amp;基因升级!L156*100&amp;"%")</f>
        <v>队长暴击伤害+3%</v>
      </c>
      <c r="D18" t="str">
        <f>IF(基因升级!M156="","",基因升级!M$140&amp;"+"&amp;基因升级!M156*100&amp;"%")</f>
        <v/>
      </c>
      <c r="E18" t="str">
        <f>IF(基因升级!N156="","",基因升级!N$140&amp;"+"&amp;基因升级!N156*100&amp;"%")</f>
        <v/>
      </c>
      <c r="F18" t="str">
        <f t="shared" si="0"/>
        <v>队长攻击力+12\n队长暴击伤害+3%</v>
      </c>
      <c r="M18" t="s">
        <v>422</v>
      </c>
    </row>
    <row r="19" spans="1:13">
      <c r="A19" t="str">
        <f>基因升级!$J$140&amp;"+"&amp;基因升级!J157</f>
        <v>队长攻击力+18</v>
      </c>
      <c r="B19" t="str">
        <f>IF(基因升级!K157="","",基因升级!K$140&amp;"+"&amp;基因升级!K157*100&amp;"%")</f>
        <v>队长伤害+5%</v>
      </c>
      <c r="C19" t="str">
        <f>IF(基因升级!L157="","",基因升级!L$140&amp;"+"&amp;基因升级!L157*100&amp;"%")</f>
        <v/>
      </c>
      <c r="D19" t="str">
        <f>IF(基因升级!M157="","",基因升级!M$140&amp;"+"&amp;基因升级!M157*100&amp;"%")</f>
        <v/>
      </c>
      <c r="E19" t="str">
        <f>IF(基因升级!N157="","",基因升级!N$140&amp;"+"&amp;基因升级!N157*100&amp;"%")</f>
        <v/>
      </c>
      <c r="F19" t="str">
        <f t="shared" si="0"/>
        <v>队长攻击力+18\n队长伤害+5%</v>
      </c>
      <c r="M19" t="s">
        <v>423</v>
      </c>
    </row>
    <row r="20" spans="1:13">
      <c r="A20" t="str">
        <f>基因升级!$J$140&amp;"+"&amp;基因升级!J158</f>
        <v>队长攻击力+18</v>
      </c>
      <c r="B20" t="str">
        <f>IF(基因升级!K158="","",基因升级!K$140&amp;"+"&amp;基因升级!K158*100&amp;"%")</f>
        <v/>
      </c>
      <c r="C20" t="str">
        <f>IF(基因升级!L158="","",基因升级!L$140&amp;"+"&amp;基因升级!L158*100&amp;"%")</f>
        <v/>
      </c>
      <c r="D20" t="str">
        <f>IF(基因升级!M158="","",基因升级!M$140&amp;"+"&amp;基因升级!M158*100&amp;"%")</f>
        <v/>
      </c>
      <c r="E20" t="str">
        <f>IF(基因升级!N158="","",基因升级!N$140&amp;"+"&amp;基因升级!N158*100&amp;"%")</f>
        <v>队长技能冷却+0.75%</v>
      </c>
      <c r="F20" t="str">
        <f t="shared" si="0"/>
        <v>队长攻击力+18\n队长技能冷却+0.75%</v>
      </c>
      <c r="M20" t="s">
        <v>424</v>
      </c>
    </row>
    <row r="21" spans="1:13">
      <c r="A21" t="str">
        <f>基因升级!$J$140&amp;"+"&amp;基因升级!J159</f>
        <v>队长攻击力+18</v>
      </c>
      <c r="B21" t="str">
        <f>IF(基因升级!K159="","",基因升级!K$140&amp;"+"&amp;基因升级!K159*100&amp;"%")</f>
        <v/>
      </c>
      <c r="C21" t="str">
        <f>IF(基因升级!L159="","",基因升级!L$140&amp;"+"&amp;基因升级!L159*100&amp;"%")</f>
        <v/>
      </c>
      <c r="D21" t="str">
        <f>IF(基因升级!M159="","",基因升级!M$140&amp;"+"&amp;基因升级!M159*100&amp;"%")</f>
        <v>队长暴击++0.2%</v>
      </c>
      <c r="E21" t="str">
        <f>IF(基因升级!N159="","",基因升级!N$140&amp;"+"&amp;基因升级!N159*100&amp;"%")</f>
        <v/>
      </c>
      <c r="F21" t="str">
        <f t="shared" si="0"/>
        <v>队长攻击力+18\n队长暴击++0.2%</v>
      </c>
      <c r="M21" t="s">
        <v>425</v>
      </c>
    </row>
    <row r="22" spans="1:13">
      <c r="A22" t="str">
        <f>基因升级!$J$140&amp;"+"&amp;基因升级!J160</f>
        <v>队长攻击力+18</v>
      </c>
      <c r="B22" t="str">
        <f>IF(基因升级!K160="","",基因升级!K$140&amp;"+"&amp;基因升级!K160*100&amp;"%")</f>
        <v/>
      </c>
      <c r="C22" t="str">
        <f>IF(基因升级!L160="","",基因升级!L$140&amp;"+"&amp;基因升级!L160*100&amp;"%")</f>
        <v>队长暴击伤害+3%</v>
      </c>
      <c r="D22" t="str">
        <f>IF(基因升级!M160="","",基因升级!M$140&amp;"+"&amp;基因升级!M160*100&amp;"%")</f>
        <v/>
      </c>
      <c r="E22" t="str">
        <f>IF(基因升级!N160="","",基因升级!N$140&amp;"+"&amp;基因升级!N160*100&amp;"%")</f>
        <v/>
      </c>
      <c r="F22" t="str">
        <f t="shared" si="0"/>
        <v>队长攻击力+18\n队长暴击伤害+3%</v>
      </c>
      <c r="M22" t="s">
        <v>426</v>
      </c>
    </row>
    <row r="23" spans="1:13">
      <c r="A23" t="str">
        <f>基因升级!$J$140&amp;"+"&amp;基因升级!J161</f>
        <v>队长攻击力+18</v>
      </c>
      <c r="B23" t="str">
        <f>IF(基因升级!K161="","",基因升级!K$140&amp;"+"&amp;基因升级!K161*100&amp;"%")</f>
        <v>队长伤害+5%</v>
      </c>
      <c r="C23" t="str">
        <f>IF(基因升级!L161="","",基因升级!L$140&amp;"+"&amp;基因升级!L161*100&amp;"%")</f>
        <v/>
      </c>
      <c r="D23" t="str">
        <f>IF(基因升级!M161="","",基因升级!M$140&amp;"+"&amp;基因升级!M161*100&amp;"%")</f>
        <v/>
      </c>
      <c r="E23" t="str">
        <f>IF(基因升级!N161="","",基因升级!N$140&amp;"+"&amp;基因升级!N161*100&amp;"%")</f>
        <v/>
      </c>
      <c r="F23" t="str">
        <f t="shared" si="0"/>
        <v>队长攻击力+18\n队长伤害+5%</v>
      </c>
      <c r="M23" t="s">
        <v>427</v>
      </c>
    </row>
    <row r="24" spans="1:13">
      <c r="A24" t="str">
        <f>基因升级!$J$140&amp;"+"&amp;基因升级!J162</f>
        <v>队长攻击力+18</v>
      </c>
      <c r="B24" t="str">
        <f>IF(基因升级!K162="","",基因升级!K$140&amp;"+"&amp;基因升级!K162*100&amp;"%")</f>
        <v/>
      </c>
      <c r="C24" t="str">
        <f>IF(基因升级!L162="","",基因升级!L$140&amp;"+"&amp;基因升级!L162*100&amp;"%")</f>
        <v/>
      </c>
      <c r="D24" t="str">
        <f>IF(基因升级!M162="","",基因升级!M$140&amp;"+"&amp;基因升级!M162*100&amp;"%")</f>
        <v/>
      </c>
      <c r="E24" t="str">
        <f>IF(基因升级!N162="","",基因升级!N$140&amp;"+"&amp;基因升级!N162*100&amp;"%")</f>
        <v>队长技能冷却+0.75%</v>
      </c>
      <c r="F24" t="str">
        <f t="shared" si="0"/>
        <v>队长攻击力+18\n队长技能冷却+0.75%</v>
      </c>
      <c r="M24" t="s">
        <v>428</v>
      </c>
    </row>
    <row r="25" spans="1:13">
      <c r="A25" t="str">
        <f>基因升级!$J$140&amp;"+"&amp;基因升级!J163</f>
        <v>队长攻击力+18</v>
      </c>
      <c r="B25" t="str">
        <f>IF(基因升级!K163="","",基因升级!K$140&amp;"+"&amp;基因升级!K163*100&amp;"%")</f>
        <v/>
      </c>
      <c r="C25" t="str">
        <f>IF(基因升级!L163="","",基因升级!L$140&amp;"+"&amp;基因升级!L163*100&amp;"%")</f>
        <v/>
      </c>
      <c r="D25" t="str">
        <f>IF(基因升级!M163="","",基因升级!M$140&amp;"+"&amp;基因升级!M163*100&amp;"%")</f>
        <v>队长暴击++0.2%</v>
      </c>
      <c r="E25" t="str">
        <f>IF(基因升级!N163="","",基因升级!N$140&amp;"+"&amp;基因升级!N163*100&amp;"%")</f>
        <v/>
      </c>
      <c r="F25" t="str">
        <f t="shared" si="0"/>
        <v>队长攻击力+18\n队长暴击++0.2%</v>
      </c>
      <c r="M25" t="s">
        <v>429</v>
      </c>
    </row>
    <row r="26" spans="1:13">
      <c r="A26" t="str">
        <f>基因升级!$J$140&amp;"+"&amp;基因升级!J164</f>
        <v>队长攻击力+18</v>
      </c>
      <c r="B26" t="str">
        <f>IF(基因升级!K164="","",基因升级!K$140&amp;"+"&amp;基因升级!K164*100&amp;"%")</f>
        <v/>
      </c>
      <c r="C26" t="str">
        <f>IF(基因升级!L164="","",基因升级!L$140&amp;"+"&amp;基因升级!L164*100&amp;"%")</f>
        <v>队长暴击伤害+3%</v>
      </c>
      <c r="D26" t="str">
        <f>IF(基因升级!M164="","",基因升级!M$140&amp;"+"&amp;基因升级!M164*100&amp;"%")</f>
        <v/>
      </c>
      <c r="E26" t="str">
        <f>IF(基因升级!N164="","",基因升级!N$140&amp;"+"&amp;基因升级!N164*100&amp;"%")</f>
        <v/>
      </c>
      <c r="F26" t="str">
        <f t="shared" si="0"/>
        <v>队长攻击力+18\n队长暴击伤害+3%</v>
      </c>
      <c r="M26" t="s">
        <v>430</v>
      </c>
    </row>
    <row r="27" spans="1:13">
      <c r="A27" t="str">
        <f>基因升级!$J$140&amp;"+"&amp;基因升级!J165</f>
        <v>队长攻击力+24</v>
      </c>
      <c r="B27" t="str">
        <f>IF(基因升级!K165="","",基因升级!K$140&amp;"+"&amp;基因升级!K165*100&amp;"%")</f>
        <v>队长伤害+5%</v>
      </c>
      <c r="C27" t="str">
        <f>IF(基因升级!L165="","",基因升级!L$140&amp;"+"&amp;基因升级!L165*100&amp;"%")</f>
        <v/>
      </c>
      <c r="D27" t="str">
        <f>IF(基因升级!M165="","",基因升级!M$140&amp;"+"&amp;基因升级!M165*100&amp;"%")</f>
        <v/>
      </c>
      <c r="E27" t="str">
        <f>IF(基因升级!N165="","",基因升级!N$140&amp;"+"&amp;基因升级!N165*100&amp;"%")</f>
        <v/>
      </c>
      <c r="F27" t="str">
        <f t="shared" si="0"/>
        <v>队长攻击力+24\n队长伤害+5%</v>
      </c>
      <c r="M27" t="s">
        <v>431</v>
      </c>
    </row>
    <row r="28" spans="1:13">
      <c r="A28" t="str">
        <f>基因升级!$J$140&amp;"+"&amp;基因升级!J166</f>
        <v>队长攻击力+24</v>
      </c>
      <c r="B28" t="str">
        <f>IF(基因升级!K166="","",基因升级!K$140&amp;"+"&amp;基因升级!K166*100&amp;"%")</f>
        <v/>
      </c>
      <c r="C28" t="str">
        <f>IF(基因升级!L166="","",基因升级!L$140&amp;"+"&amp;基因升级!L166*100&amp;"%")</f>
        <v/>
      </c>
      <c r="D28" t="str">
        <f>IF(基因升级!M166="","",基因升级!M$140&amp;"+"&amp;基因升级!M166*100&amp;"%")</f>
        <v/>
      </c>
      <c r="E28" t="str">
        <f>IF(基因升级!N166="","",基因升级!N$140&amp;"+"&amp;基因升级!N166*100&amp;"%")</f>
        <v>队长技能冷却+0.75%</v>
      </c>
      <c r="F28" t="str">
        <f t="shared" si="0"/>
        <v>队长攻击力+24\n队长技能冷却+0.75%</v>
      </c>
      <c r="M28" t="s">
        <v>432</v>
      </c>
    </row>
    <row r="29" spans="1:13">
      <c r="A29" t="str">
        <f>基因升级!$J$140&amp;"+"&amp;基因升级!J167</f>
        <v>队长攻击力+24</v>
      </c>
      <c r="B29" t="str">
        <f>IF(基因升级!K167="","",基因升级!K$140&amp;"+"&amp;基因升级!K167*100&amp;"%")</f>
        <v/>
      </c>
      <c r="C29" t="str">
        <f>IF(基因升级!L167="","",基因升级!L$140&amp;"+"&amp;基因升级!L167*100&amp;"%")</f>
        <v/>
      </c>
      <c r="D29" t="str">
        <f>IF(基因升级!M167="","",基因升级!M$140&amp;"+"&amp;基因升级!M167*100&amp;"%")</f>
        <v>队长暴击++0.2%</v>
      </c>
      <c r="E29" t="str">
        <f>IF(基因升级!N167="","",基因升级!N$140&amp;"+"&amp;基因升级!N167*100&amp;"%")</f>
        <v/>
      </c>
      <c r="F29" t="str">
        <f t="shared" si="0"/>
        <v>队长攻击力+24\n队长暴击++0.2%</v>
      </c>
      <c r="M29" t="s">
        <v>433</v>
      </c>
    </row>
    <row r="30" spans="1:13">
      <c r="A30" t="str">
        <f>基因升级!$J$140&amp;"+"&amp;基因升级!J168</f>
        <v>队长攻击力+24</v>
      </c>
      <c r="B30" t="str">
        <f>IF(基因升级!K168="","",基因升级!K$140&amp;"+"&amp;基因升级!K168*100&amp;"%")</f>
        <v/>
      </c>
      <c r="C30" t="str">
        <f>IF(基因升级!L168="","",基因升级!L$140&amp;"+"&amp;基因升级!L168*100&amp;"%")</f>
        <v>队长暴击伤害+3%</v>
      </c>
      <c r="D30" t="str">
        <f>IF(基因升级!M168="","",基因升级!M$140&amp;"+"&amp;基因升级!M168*100&amp;"%")</f>
        <v/>
      </c>
      <c r="E30" t="str">
        <f>IF(基因升级!N168="","",基因升级!N$140&amp;"+"&amp;基因升级!N168*100&amp;"%")</f>
        <v/>
      </c>
      <c r="F30" t="str">
        <f t="shared" si="0"/>
        <v>队长攻击力+24\n队长暴击伤害+3%</v>
      </c>
      <c r="M30" t="s">
        <v>434</v>
      </c>
    </row>
    <row r="31" spans="1:13">
      <c r="A31" t="str">
        <f>基因升级!$J$140&amp;"+"&amp;基因升级!J169</f>
        <v>队长攻击力+24</v>
      </c>
      <c r="B31" t="str">
        <f>IF(基因升级!K169="","",基因升级!K$140&amp;"+"&amp;基因升级!K169*100&amp;"%")</f>
        <v>队长伤害+5%</v>
      </c>
      <c r="C31" t="str">
        <f>IF(基因升级!L169="","",基因升级!L$140&amp;"+"&amp;基因升级!L169*100&amp;"%")</f>
        <v/>
      </c>
      <c r="D31" t="str">
        <f>IF(基因升级!M169="","",基因升级!M$140&amp;"+"&amp;基因升级!M169*100&amp;"%")</f>
        <v/>
      </c>
      <c r="E31" t="str">
        <f>IF(基因升级!N169="","",基因升级!N$140&amp;"+"&amp;基因升级!N169*100&amp;"%")</f>
        <v/>
      </c>
      <c r="F31" t="str">
        <f t="shared" si="0"/>
        <v>队长攻击力+24\n队长伤害+5%</v>
      </c>
      <c r="M31" t="s">
        <v>435</v>
      </c>
    </row>
    <row r="32" spans="1:13">
      <c r="A32" t="str">
        <f>基因升级!$J$140&amp;"+"&amp;基因升级!J170</f>
        <v>队长攻击力+24</v>
      </c>
      <c r="B32" t="str">
        <f>IF(基因升级!K170="","",基因升级!K$140&amp;"+"&amp;基因升级!K170*100&amp;"%")</f>
        <v/>
      </c>
      <c r="C32" t="str">
        <f>IF(基因升级!L170="","",基因升级!L$140&amp;"+"&amp;基因升级!L170*100&amp;"%")</f>
        <v/>
      </c>
      <c r="D32" t="str">
        <f>IF(基因升级!M170="","",基因升级!M$140&amp;"+"&amp;基因升级!M170*100&amp;"%")</f>
        <v/>
      </c>
      <c r="E32" t="str">
        <f>IF(基因升级!N170="","",基因升级!N$140&amp;"+"&amp;基因升级!N170*100&amp;"%")</f>
        <v>队长技能冷却+0.75%</v>
      </c>
      <c r="F32" t="str">
        <f t="shared" si="0"/>
        <v>队长攻击力+24\n队长技能冷却+0.75%</v>
      </c>
      <c r="M32" t="s">
        <v>436</v>
      </c>
    </row>
    <row r="33" spans="1:13">
      <c r="A33" t="str">
        <f>基因升级!$J$140&amp;"+"&amp;基因升级!J171</f>
        <v>队长攻击力+24</v>
      </c>
      <c r="B33" t="str">
        <f>IF(基因升级!K171="","",基因升级!K$140&amp;"+"&amp;基因升级!K171*100&amp;"%")</f>
        <v/>
      </c>
      <c r="C33" t="str">
        <f>IF(基因升级!L171="","",基因升级!L$140&amp;"+"&amp;基因升级!L171*100&amp;"%")</f>
        <v/>
      </c>
      <c r="D33" t="str">
        <f>IF(基因升级!M171="","",基因升级!M$140&amp;"+"&amp;基因升级!M171*100&amp;"%")</f>
        <v>队长暴击++0.2%</v>
      </c>
      <c r="E33" t="str">
        <f>IF(基因升级!N171="","",基因升级!N$140&amp;"+"&amp;基因升级!N171*100&amp;"%")</f>
        <v/>
      </c>
      <c r="F33" t="str">
        <f t="shared" si="0"/>
        <v>队长攻击力+24\n队长暴击++0.2%</v>
      </c>
      <c r="M33" t="s">
        <v>437</v>
      </c>
    </row>
    <row r="34" spans="1:13">
      <c r="A34" t="str">
        <f>基因升级!$J$140&amp;"+"&amp;基因升级!J172</f>
        <v>队长攻击力+24</v>
      </c>
      <c r="B34" t="str">
        <f>IF(基因升级!K172="","",基因升级!K$140&amp;"+"&amp;基因升级!K172*100&amp;"%")</f>
        <v/>
      </c>
      <c r="C34" t="str">
        <f>IF(基因升级!L172="","",基因升级!L$140&amp;"+"&amp;基因升级!L172*100&amp;"%")</f>
        <v>队长暴击伤害+3%</v>
      </c>
      <c r="D34" t="str">
        <f>IF(基因升级!M172="","",基因升级!M$140&amp;"+"&amp;基因升级!M172*100&amp;"%")</f>
        <v/>
      </c>
      <c r="E34" t="str">
        <f>IF(基因升级!N172="","",基因升级!N$140&amp;"+"&amp;基因升级!N172*100&amp;"%")</f>
        <v/>
      </c>
      <c r="F34" t="str">
        <f t="shared" si="0"/>
        <v>队长攻击力+24\n队长暴击伤害+3%</v>
      </c>
      <c r="M34" t="s">
        <v>438</v>
      </c>
    </row>
    <row r="35" spans="1:13">
      <c r="A35" t="str">
        <f>基因升级!$J$140&amp;"+"&amp;基因升级!J173</f>
        <v>队长攻击力+30</v>
      </c>
      <c r="B35" t="str">
        <f>IF(基因升级!K173="","",基因升级!K$140&amp;"+"&amp;基因升级!K173*100&amp;"%")</f>
        <v>队长伤害+5%</v>
      </c>
      <c r="C35" t="str">
        <f>IF(基因升级!L173="","",基因升级!L$140&amp;"+"&amp;基因升级!L173*100&amp;"%")</f>
        <v/>
      </c>
      <c r="D35" t="str">
        <f>IF(基因升级!M173="","",基因升级!M$140&amp;"+"&amp;基因升级!M173*100&amp;"%")</f>
        <v/>
      </c>
      <c r="E35" t="str">
        <f>IF(基因升级!N173="","",基因升级!N$140&amp;"+"&amp;基因升级!N173*100&amp;"%")</f>
        <v/>
      </c>
      <c r="F35" t="str">
        <f t="shared" si="0"/>
        <v>队长攻击力+30\n队长伤害+5%</v>
      </c>
      <c r="M35" t="s">
        <v>439</v>
      </c>
    </row>
    <row r="36" spans="1:13">
      <c r="A36" t="str">
        <f>基因升级!$J$140&amp;"+"&amp;基因升级!J174</f>
        <v>队长攻击力+30</v>
      </c>
      <c r="B36" t="str">
        <f>IF(基因升级!K174="","",基因升级!K$140&amp;"+"&amp;基因升级!K174*100&amp;"%")</f>
        <v/>
      </c>
      <c r="C36" t="str">
        <f>IF(基因升级!L174="","",基因升级!L$140&amp;"+"&amp;基因升级!L174*100&amp;"%")</f>
        <v/>
      </c>
      <c r="D36" t="str">
        <f>IF(基因升级!M174="","",基因升级!M$140&amp;"+"&amp;基因升级!M174*100&amp;"%")</f>
        <v/>
      </c>
      <c r="E36" t="str">
        <f>IF(基因升级!N174="","",基因升级!N$140&amp;"+"&amp;基因升级!N174*100&amp;"%")</f>
        <v>队长技能冷却+0.75%</v>
      </c>
      <c r="F36" t="str">
        <f t="shared" si="0"/>
        <v>队长攻击力+30\n队长技能冷却+0.75%</v>
      </c>
      <c r="M36" t="s">
        <v>440</v>
      </c>
    </row>
    <row r="37" spans="1:13">
      <c r="A37" t="str">
        <f>基因升级!$J$140&amp;"+"&amp;基因升级!J175</f>
        <v>队长攻击力+30</v>
      </c>
      <c r="B37" t="str">
        <f>IF(基因升级!K175="","",基因升级!K$140&amp;"+"&amp;基因升级!K175*100&amp;"%")</f>
        <v/>
      </c>
      <c r="C37" t="str">
        <f>IF(基因升级!L175="","",基因升级!L$140&amp;"+"&amp;基因升级!L175*100&amp;"%")</f>
        <v/>
      </c>
      <c r="D37" t="str">
        <f>IF(基因升级!M175="","",基因升级!M$140&amp;"+"&amp;基因升级!M175*100&amp;"%")</f>
        <v>队长暴击++0.2%</v>
      </c>
      <c r="E37" t="str">
        <f>IF(基因升级!N175="","",基因升级!N$140&amp;"+"&amp;基因升级!N175*100&amp;"%")</f>
        <v/>
      </c>
      <c r="F37" t="str">
        <f t="shared" si="0"/>
        <v>队长攻击力+30\n队长暴击++0.2%</v>
      </c>
      <c r="M37" t="s">
        <v>441</v>
      </c>
    </row>
    <row r="38" spans="1:13">
      <c r="A38" t="str">
        <f>基因升级!$J$140&amp;"+"&amp;基因升级!J176</f>
        <v>队长攻击力+30</v>
      </c>
      <c r="B38" t="str">
        <f>IF(基因升级!K176="","",基因升级!K$140&amp;"+"&amp;基因升级!K176*100&amp;"%")</f>
        <v/>
      </c>
      <c r="C38" t="str">
        <f>IF(基因升级!L176="","",基因升级!L$140&amp;"+"&amp;基因升级!L176*100&amp;"%")</f>
        <v>队长暴击伤害+3%</v>
      </c>
      <c r="D38" t="str">
        <f>IF(基因升级!M176="","",基因升级!M$140&amp;"+"&amp;基因升级!M176*100&amp;"%")</f>
        <v/>
      </c>
      <c r="E38" t="str">
        <f>IF(基因升级!N176="","",基因升级!N$140&amp;"+"&amp;基因升级!N176*100&amp;"%")</f>
        <v/>
      </c>
      <c r="F38" t="str">
        <f t="shared" si="0"/>
        <v>队长攻击力+30\n队长暴击伤害+3%</v>
      </c>
      <c r="M38" t="s">
        <v>442</v>
      </c>
    </row>
    <row r="39" spans="1:13">
      <c r="A39" t="str">
        <f>基因升级!$J$140&amp;"+"&amp;基因升级!J177</f>
        <v>队长攻击力+30</v>
      </c>
      <c r="B39" t="str">
        <f>IF(基因升级!K177="","",基因升级!K$140&amp;"+"&amp;基因升级!K177*100&amp;"%")</f>
        <v>队长伤害+5%</v>
      </c>
      <c r="C39" t="str">
        <f>IF(基因升级!L177="","",基因升级!L$140&amp;"+"&amp;基因升级!L177*100&amp;"%")</f>
        <v/>
      </c>
      <c r="D39" t="str">
        <f>IF(基因升级!M177="","",基因升级!M$140&amp;"+"&amp;基因升级!M177*100&amp;"%")</f>
        <v/>
      </c>
      <c r="E39" t="str">
        <f>IF(基因升级!N177="","",基因升级!N$140&amp;"+"&amp;基因升级!N177*100&amp;"%")</f>
        <v/>
      </c>
      <c r="F39" t="str">
        <f t="shared" si="0"/>
        <v>队长攻击力+30\n队长伤害+5%</v>
      </c>
      <c r="M39" t="s">
        <v>443</v>
      </c>
    </row>
    <row r="40" spans="1:13">
      <c r="A40" t="str">
        <f>基因升级!$J$140&amp;"+"&amp;基因升级!J178</f>
        <v>队长攻击力+30</v>
      </c>
      <c r="B40" t="str">
        <f>IF(基因升级!K178="","",基因升级!K$140&amp;"+"&amp;基因升级!K178*100&amp;"%")</f>
        <v/>
      </c>
      <c r="C40" t="str">
        <f>IF(基因升级!L178="","",基因升级!L$140&amp;"+"&amp;基因升级!L178*100&amp;"%")</f>
        <v/>
      </c>
      <c r="D40" t="str">
        <f>IF(基因升级!M178="","",基因升级!M$140&amp;"+"&amp;基因升级!M178*100&amp;"%")</f>
        <v/>
      </c>
      <c r="E40" t="str">
        <f>IF(基因升级!N178="","",基因升级!N$140&amp;"+"&amp;基因升级!N178*100&amp;"%")</f>
        <v>队长技能冷却+0.75%</v>
      </c>
      <c r="F40" t="str">
        <f t="shared" si="0"/>
        <v>队长攻击力+30\n队长技能冷却+0.75%</v>
      </c>
      <c r="M40" t="s">
        <v>444</v>
      </c>
    </row>
    <row r="41" spans="1:13">
      <c r="A41" t="str">
        <f>基因升级!$J$140&amp;"+"&amp;基因升级!J179</f>
        <v>队长攻击力+30</v>
      </c>
      <c r="B41" t="str">
        <f>IF(基因升级!K179="","",基因升级!K$140&amp;"+"&amp;基因升级!K179*100&amp;"%")</f>
        <v/>
      </c>
      <c r="C41" t="str">
        <f>IF(基因升级!L179="","",基因升级!L$140&amp;"+"&amp;基因升级!L179*100&amp;"%")</f>
        <v/>
      </c>
      <c r="D41" t="str">
        <f>IF(基因升级!M179="","",基因升级!M$140&amp;"+"&amp;基因升级!M179*100&amp;"%")</f>
        <v>队长暴击++0.2%</v>
      </c>
      <c r="E41" t="str">
        <f>IF(基因升级!N179="","",基因升级!N$140&amp;"+"&amp;基因升级!N179*100&amp;"%")</f>
        <v/>
      </c>
      <c r="F41" t="str">
        <f t="shared" si="0"/>
        <v>队长攻击力+30\n队长暴击++0.2%</v>
      </c>
      <c r="M41" t="s">
        <v>445</v>
      </c>
    </row>
    <row r="42" spans="1:13">
      <c r="A42" t="str">
        <f>基因升级!$J$140&amp;"+"&amp;基因升级!J180</f>
        <v>队长攻击力+30</v>
      </c>
      <c r="B42" t="str">
        <f>IF(基因升级!K180="","",基因升级!K$140&amp;"+"&amp;基因升级!K180*100&amp;"%")</f>
        <v/>
      </c>
      <c r="C42" t="str">
        <f>IF(基因升级!L180="","",基因升级!L$140&amp;"+"&amp;基因升级!L180*100&amp;"%")</f>
        <v>队长暴击伤害+3%</v>
      </c>
      <c r="D42" t="str">
        <f>IF(基因升级!M180="","",基因升级!M$140&amp;"+"&amp;基因升级!M180*100&amp;"%")</f>
        <v/>
      </c>
      <c r="E42" t="str">
        <f>IF(基因升级!N180="","",基因升级!N$140&amp;"+"&amp;基因升级!N180*100&amp;"%")</f>
        <v/>
      </c>
      <c r="F42" t="str">
        <f t="shared" si="0"/>
        <v>队长攻击力+30\n队长暴击伤害+3%</v>
      </c>
      <c r="M42" t="s">
        <v>446</v>
      </c>
    </row>
    <row r="43" spans="1:13">
      <c r="A43" t="str">
        <f>基因升级!$J$140&amp;"+"&amp;基因升级!J181</f>
        <v>队长攻击力+36</v>
      </c>
      <c r="B43" t="str">
        <f>IF(基因升级!K181="","",基因升级!K$140&amp;"+"&amp;基因升级!K181*100&amp;"%")</f>
        <v>队长伤害+5%</v>
      </c>
      <c r="C43" t="str">
        <f>IF(基因升级!L181="","",基因升级!L$140&amp;"+"&amp;基因升级!L181*100&amp;"%")</f>
        <v/>
      </c>
      <c r="D43" t="str">
        <f>IF(基因升级!M181="","",基因升级!M$140&amp;"+"&amp;基因升级!M181*100&amp;"%")</f>
        <v/>
      </c>
      <c r="E43" t="str">
        <f>IF(基因升级!N181="","",基因升级!N$140&amp;"+"&amp;基因升级!N181*100&amp;"%")</f>
        <v/>
      </c>
      <c r="F43" t="str">
        <f t="shared" si="0"/>
        <v>队长攻击力+36\n队长伤害+5%</v>
      </c>
      <c r="M43" t="s">
        <v>447</v>
      </c>
    </row>
    <row r="44" spans="1:13">
      <c r="A44" t="str">
        <f>基因升级!$J$140&amp;"+"&amp;基因升级!J182</f>
        <v>队长攻击力+36</v>
      </c>
      <c r="B44" t="str">
        <f>IF(基因升级!K182="","",基因升级!K$140&amp;"+"&amp;基因升级!K182*100&amp;"%")</f>
        <v/>
      </c>
      <c r="C44" t="str">
        <f>IF(基因升级!L182="","",基因升级!L$140&amp;"+"&amp;基因升级!L182*100&amp;"%")</f>
        <v/>
      </c>
      <c r="D44" t="str">
        <f>IF(基因升级!M182="","",基因升级!M$140&amp;"+"&amp;基因升级!M182*100&amp;"%")</f>
        <v/>
      </c>
      <c r="E44" t="str">
        <f>IF(基因升级!N182="","",基因升级!N$140&amp;"+"&amp;基因升级!N182*100&amp;"%")</f>
        <v>队长技能冷却+0.75%</v>
      </c>
      <c r="F44" t="str">
        <f t="shared" si="0"/>
        <v>队长攻击力+36\n队长技能冷却+0.75%</v>
      </c>
      <c r="M44" t="s">
        <v>448</v>
      </c>
    </row>
    <row r="45" spans="1:13">
      <c r="A45" t="str">
        <f>基因升级!$J$140&amp;"+"&amp;基因升级!J183</f>
        <v>队长攻击力+36</v>
      </c>
      <c r="B45" t="str">
        <f>IF(基因升级!K183="","",基因升级!K$140&amp;"+"&amp;基因升级!K183*100&amp;"%")</f>
        <v/>
      </c>
      <c r="C45" t="str">
        <f>IF(基因升级!L183="","",基因升级!L$140&amp;"+"&amp;基因升级!L183*100&amp;"%")</f>
        <v/>
      </c>
      <c r="D45" t="str">
        <f>IF(基因升级!M183="","",基因升级!M$140&amp;"+"&amp;基因升级!M183*100&amp;"%")</f>
        <v>队长暴击++0.2%</v>
      </c>
      <c r="E45" t="str">
        <f>IF(基因升级!N183="","",基因升级!N$140&amp;"+"&amp;基因升级!N183*100&amp;"%")</f>
        <v/>
      </c>
      <c r="F45" t="str">
        <f t="shared" si="0"/>
        <v>队长攻击力+36\n队长暴击++0.2%</v>
      </c>
      <c r="M45" t="s">
        <v>449</v>
      </c>
    </row>
    <row r="46" spans="1:13">
      <c r="A46" t="str">
        <f>基因升级!$J$140&amp;"+"&amp;基因升级!J184</f>
        <v>队长攻击力+36</v>
      </c>
      <c r="B46" t="str">
        <f>IF(基因升级!K184="","",基因升级!K$140&amp;"+"&amp;基因升级!K184*100&amp;"%")</f>
        <v/>
      </c>
      <c r="C46" t="str">
        <f>IF(基因升级!L184="","",基因升级!L$140&amp;"+"&amp;基因升级!L184*100&amp;"%")</f>
        <v>队长暴击伤害+3%</v>
      </c>
      <c r="D46" t="str">
        <f>IF(基因升级!M184="","",基因升级!M$140&amp;"+"&amp;基因升级!M184*100&amp;"%")</f>
        <v/>
      </c>
      <c r="E46" t="str">
        <f>IF(基因升级!N184="","",基因升级!N$140&amp;"+"&amp;基因升级!N184*100&amp;"%")</f>
        <v/>
      </c>
      <c r="F46" t="str">
        <f t="shared" si="0"/>
        <v>队长攻击力+36\n队长暴击伤害+3%</v>
      </c>
      <c r="M46" t="s">
        <v>450</v>
      </c>
    </row>
    <row r="47" spans="1:13">
      <c r="A47" t="str">
        <f>基因升级!$J$140&amp;"+"&amp;基因升级!J185</f>
        <v>队长攻击力+36</v>
      </c>
      <c r="B47" t="str">
        <f>IF(基因升级!K185="","",基因升级!K$140&amp;"+"&amp;基因升级!K185*100&amp;"%")</f>
        <v>队长伤害+5%</v>
      </c>
      <c r="C47" t="str">
        <f>IF(基因升级!L185="","",基因升级!L$140&amp;"+"&amp;基因升级!L185*100&amp;"%")</f>
        <v/>
      </c>
      <c r="D47" t="str">
        <f>IF(基因升级!M185="","",基因升级!M$140&amp;"+"&amp;基因升级!M185*100&amp;"%")</f>
        <v/>
      </c>
      <c r="E47" t="str">
        <f>IF(基因升级!N185="","",基因升级!N$140&amp;"+"&amp;基因升级!N185*100&amp;"%")</f>
        <v/>
      </c>
      <c r="F47" t="str">
        <f t="shared" si="0"/>
        <v>队长攻击力+36\n队长伤害+5%</v>
      </c>
      <c r="M47" t="s">
        <v>451</v>
      </c>
    </row>
    <row r="48" spans="1:13">
      <c r="A48" t="str">
        <f>基因升级!$J$140&amp;"+"&amp;基因升级!J186</f>
        <v>队长攻击力+36</v>
      </c>
      <c r="B48" t="str">
        <f>IF(基因升级!K186="","",基因升级!K$140&amp;"+"&amp;基因升级!K186*100&amp;"%")</f>
        <v/>
      </c>
      <c r="C48" t="str">
        <f>IF(基因升级!L186="","",基因升级!L$140&amp;"+"&amp;基因升级!L186*100&amp;"%")</f>
        <v/>
      </c>
      <c r="D48" t="str">
        <f>IF(基因升级!M186="","",基因升级!M$140&amp;"+"&amp;基因升级!M186*100&amp;"%")</f>
        <v/>
      </c>
      <c r="E48" t="str">
        <f>IF(基因升级!N186="","",基因升级!N$140&amp;"+"&amp;基因升级!N186*100&amp;"%")</f>
        <v>队长技能冷却+0.75%</v>
      </c>
      <c r="F48" t="str">
        <f t="shared" si="0"/>
        <v>队长攻击力+36\n队长技能冷却+0.75%</v>
      </c>
      <c r="M48" t="s">
        <v>452</v>
      </c>
    </row>
    <row r="49" spans="1:13">
      <c r="A49" t="str">
        <f>基因升级!$J$140&amp;"+"&amp;基因升级!J187</f>
        <v>队长攻击力+36</v>
      </c>
      <c r="B49" t="str">
        <f>IF(基因升级!K187="","",基因升级!K$140&amp;"+"&amp;基因升级!K187*100&amp;"%")</f>
        <v/>
      </c>
      <c r="C49" t="str">
        <f>IF(基因升级!L187="","",基因升级!L$140&amp;"+"&amp;基因升级!L187*100&amp;"%")</f>
        <v/>
      </c>
      <c r="D49" t="str">
        <f>IF(基因升级!M187="","",基因升级!M$140&amp;"+"&amp;基因升级!M187*100&amp;"%")</f>
        <v>队长暴击++0.2%</v>
      </c>
      <c r="E49" t="str">
        <f>IF(基因升级!N187="","",基因升级!N$140&amp;"+"&amp;基因升级!N187*100&amp;"%")</f>
        <v/>
      </c>
      <c r="F49" t="str">
        <f t="shared" si="0"/>
        <v>队长攻击力+36\n队长暴击++0.2%</v>
      </c>
      <c r="M49" t="s">
        <v>453</v>
      </c>
    </row>
    <row r="50" spans="1:13">
      <c r="A50" t="str">
        <f>基因升级!$J$140&amp;"+"&amp;基因升级!J188</f>
        <v>队长攻击力+36</v>
      </c>
      <c r="B50" t="str">
        <f>IF(基因升级!K188="","",基因升级!K$140&amp;"+"&amp;基因升级!K188*100&amp;"%")</f>
        <v/>
      </c>
      <c r="C50" t="str">
        <f>IF(基因升级!L188="","",基因升级!L$140&amp;"+"&amp;基因升级!L188*100&amp;"%")</f>
        <v>队长暴击伤害+3%</v>
      </c>
      <c r="D50" t="str">
        <f>IF(基因升级!M188="","",基因升级!M$140&amp;"+"&amp;基因升级!M188*100&amp;"%")</f>
        <v/>
      </c>
      <c r="E50" t="str">
        <f>IF(基因升级!N188="","",基因升级!N$140&amp;"+"&amp;基因升级!N188*100&amp;"%")</f>
        <v/>
      </c>
      <c r="F50" t="str">
        <f t="shared" si="0"/>
        <v>队长攻击力+36\n队长暴击伤害+3%</v>
      </c>
      <c r="M50" t="s">
        <v>454</v>
      </c>
    </row>
    <row r="51" spans="1:13">
      <c r="A51" t="str">
        <f>基因升级!$J$140&amp;"+"&amp;基因升级!J189</f>
        <v>队长攻击力+42</v>
      </c>
      <c r="B51" t="str">
        <f>IF(基因升级!K189="","",基因升级!K$140&amp;"+"&amp;基因升级!K189*100&amp;"%")</f>
        <v>队长伤害+5%</v>
      </c>
      <c r="C51" t="str">
        <f>IF(基因升级!L189="","",基因升级!L$140&amp;"+"&amp;基因升级!L189*100&amp;"%")</f>
        <v/>
      </c>
      <c r="D51" t="str">
        <f>IF(基因升级!M189="","",基因升级!M$140&amp;"+"&amp;基因升级!M189*100&amp;"%")</f>
        <v/>
      </c>
      <c r="E51" t="str">
        <f>IF(基因升级!N189="","",基因升级!N$140&amp;"+"&amp;基因升级!N189*100&amp;"%")</f>
        <v/>
      </c>
      <c r="F51" t="str">
        <f t="shared" si="0"/>
        <v>队长攻击力+42\n队长伤害+5%</v>
      </c>
      <c r="M51" t="s">
        <v>455</v>
      </c>
    </row>
    <row r="52" spans="1:13">
      <c r="A52" t="str">
        <f>基因升级!$J$140&amp;"+"&amp;基因升级!J190</f>
        <v>队长攻击力+42</v>
      </c>
      <c r="B52" t="str">
        <f>IF(基因升级!K190="","",基因升级!K$140&amp;"+"&amp;基因升级!K190*100&amp;"%")</f>
        <v/>
      </c>
      <c r="C52" t="str">
        <f>IF(基因升级!L190="","",基因升级!L$140&amp;"+"&amp;基因升级!L190*100&amp;"%")</f>
        <v/>
      </c>
      <c r="D52" t="str">
        <f>IF(基因升级!M190="","",基因升级!M$140&amp;"+"&amp;基因升级!M190*100&amp;"%")</f>
        <v/>
      </c>
      <c r="E52" t="str">
        <f>IF(基因升级!N190="","",基因升级!N$140&amp;"+"&amp;基因升级!N190*100&amp;"%")</f>
        <v>队长技能冷却+0.75%</v>
      </c>
      <c r="F52" t="str">
        <f t="shared" si="0"/>
        <v>队长攻击力+42\n队长技能冷却+0.75%</v>
      </c>
      <c r="M52" t="s">
        <v>456</v>
      </c>
    </row>
    <row r="53" spans="1:13">
      <c r="A53" t="str">
        <f>基因升级!$J$140&amp;"+"&amp;基因升级!J191</f>
        <v>队长攻击力+42</v>
      </c>
      <c r="B53" t="str">
        <f>IF(基因升级!K191="","",基因升级!K$140&amp;"+"&amp;基因升级!K191*100&amp;"%")</f>
        <v/>
      </c>
      <c r="C53" t="str">
        <f>IF(基因升级!L191="","",基因升级!L$140&amp;"+"&amp;基因升级!L191*100&amp;"%")</f>
        <v/>
      </c>
      <c r="D53" t="str">
        <f>IF(基因升级!M191="","",基因升级!M$140&amp;"+"&amp;基因升级!M191*100&amp;"%")</f>
        <v>队长暴击++0.2%</v>
      </c>
      <c r="E53" t="str">
        <f>IF(基因升级!N191="","",基因升级!N$140&amp;"+"&amp;基因升级!N191*100&amp;"%")</f>
        <v/>
      </c>
      <c r="F53" t="str">
        <f t="shared" si="0"/>
        <v>队长攻击力+42\n队长暴击++0.2%</v>
      </c>
      <c r="M53" t="s">
        <v>457</v>
      </c>
    </row>
    <row r="54" spans="1:13">
      <c r="A54" t="str">
        <f>基因升级!$J$140&amp;"+"&amp;基因升级!J192</f>
        <v>队长攻击力+42</v>
      </c>
      <c r="B54" t="str">
        <f>IF(基因升级!K192="","",基因升级!K$140&amp;"+"&amp;基因升级!K192*100&amp;"%")</f>
        <v/>
      </c>
      <c r="C54" t="str">
        <f>IF(基因升级!L192="","",基因升级!L$140&amp;"+"&amp;基因升级!L192*100&amp;"%")</f>
        <v>队长暴击伤害+3%</v>
      </c>
      <c r="D54" t="str">
        <f>IF(基因升级!M192="","",基因升级!M$140&amp;"+"&amp;基因升级!M192*100&amp;"%")</f>
        <v/>
      </c>
      <c r="E54" t="str">
        <f>IF(基因升级!N192="","",基因升级!N$140&amp;"+"&amp;基因升级!N192*100&amp;"%")</f>
        <v/>
      </c>
      <c r="F54" t="str">
        <f t="shared" si="0"/>
        <v>队长攻击力+42\n队长暴击伤害+3%</v>
      </c>
      <c r="M54" t="s">
        <v>458</v>
      </c>
    </row>
    <row r="55" spans="1:13">
      <c r="A55" t="str">
        <f>基因升级!$J$140&amp;"+"&amp;基因升级!J193</f>
        <v>队长攻击力+42</v>
      </c>
      <c r="B55" t="str">
        <f>IF(基因升级!K193="","",基因升级!K$140&amp;"+"&amp;基因升级!K193*100&amp;"%")</f>
        <v>队长伤害+5%</v>
      </c>
      <c r="C55" t="str">
        <f>IF(基因升级!L193="","",基因升级!L$140&amp;"+"&amp;基因升级!L193*100&amp;"%")</f>
        <v/>
      </c>
      <c r="D55" t="str">
        <f>IF(基因升级!M193="","",基因升级!M$140&amp;"+"&amp;基因升级!M193*100&amp;"%")</f>
        <v/>
      </c>
      <c r="E55" t="str">
        <f>IF(基因升级!N193="","",基因升级!N$140&amp;"+"&amp;基因升级!N193*100&amp;"%")</f>
        <v/>
      </c>
      <c r="F55" t="str">
        <f t="shared" si="0"/>
        <v>队长攻击力+42\n队长伤害+5%</v>
      </c>
      <c r="M55" t="s">
        <v>459</v>
      </c>
    </row>
    <row r="56" spans="1:13">
      <c r="A56" t="str">
        <f>基因升级!$J$140&amp;"+"&amp;基因升级!J194</f>
        <v>队长攻击力+42</v>
      </c>
      <c r="B56" t="str">
        <f>IF(基因升级!K194="","",基因升级!K$140&amp;"+"&amp;基因升级!K194*100&amp;"%")</f>
        <v/>
      </c>
      <c r="C56" t="str">
        <f>IF(基因升级!L194="","",基因升级!L$140&amp;"+"&amp;基因升级!L194*100&amp;"%")</f>
        <v/>
      </c>
      <c r="D56" t="str">
        <f>IF(基因升级!M194="","",基因升级!M$140&amp;"+"&amp;基因升级!M194*100&amp;"%")</f>
        <v/>
      </c>
      <c r="E56" t="str">
        <f>IF(基因升级!N194="","",基因升级!N$140&amp;"+"&amp;基因升级!N194*100&amp;"%")</f>
        <v>队长技能冷却+0.75%</v>
      </c>
      <c r="F56" t="str">
        <f t="shared" si="0"/>
        <v>队长攻击力+42\n队长技能冷却+0.75%</v>
      </c>
      <c r="M56" t="s">
        <v>460</v>
      </c>
    </row>
    <row r="57" spans="1:13">
      <c r="A57" t="str">
        <f>基因升级!$J$140&amp;"+"&amp;基因升级!J195</f>
        <v>队长攻击力+42</v>
      </c>
      <c r="B57" t="str">
        <f>IF(基因升级!K195="","",基因升级!K$140&amp;"+"&amp;基因升级!K195*100&amp;"%")</f>
        <v/>
      </c>
      <c r="C57" t="str">
        <f>IF(基因升级!L195="","",基因升级!L$140&amp;"+"&amp;基因升级!L195*100&amp;"%")</f>
        <v/>
      </c>
      <c r="D57" t="str">
        <f>IF(基因升级!M195="","",基因升级!M$140&amp;"+"&amp;基因升级!M195*100&amp;"%")</f>
        <v>队长暴击++0.2%</v>
      </c>
      <c r="E57" t="str">
        <f>IF(基因升级!N195="","",基因升级!N$140&amp;"+"&amp;基因升级!N195*100&amp;"%")</f>
        <v/>
      </c>
      <c r="F57" t="str">
        <f t="shared" si="0"/>
        <v>队长攻击力+42\n队长暴击++0.2%</v>
      </c>
      <c r="M57" t="s">
        <v>461</v>
      </c>
    </row>
    <row r="58" spans="1:13">
      <c r="A58" t="str">
        <f>基因升级!$J$140&amp;"+"&amp;基因升级!J196</f>
        <v>队长攻击力+42</v>
      </c>
      <c r="B58" t="str">
        <f>IF(基因升级!K196="","",基因升级!K$140&amp;"+"&amp;基因升级!K196*100&amp;"%")</f>
        <v/>
      </c>
      <c r="C58" t="str">
        <f>IF(基因升级!L196="","",基因升级!L$140&amp;"+"&amp;基因升级!L196*100&amp;"%")</f>
        <v>队长暴击伤害+3%</v>
      </c>
      <c r="D58" t="str">
        <f>IF(基因升级!M196="","",基因升级!M$140&amp;"+"&amp;基因升级!M196*100&amp;"%")</f>
        <v/>
      </c>
      <c r="E58" t="str">
        <f>IF(基因升级!N196="","",基因升级!N$140&amp;"+"&amp;基因升级!N196*100&amp;"%")</f>
        <v/>
      </c>
      <c r="F58" t="str">
        <f t="shared" si="0"/>
        <v>队长攻击力+42\n队长暴击伤害+3%</v>
      </c>
      <c r="M58" t="s">
        <v>462</v>
      </c>
    </row>
    <row r="59" spans="1:13">
      <c r="A59" t="str">
        <f>基因升级!$J$140&amp;"+"&amp;基因升级!J197</f>
        <v>队长攻击力+48</v>
      </c>
      <c r="B59" t="str">
        <f>IF(基因升级!K197="","",基因升级!K$140&amp;"+"&amp;基因升级!K197*100&amp;"%")</f>
        <v>队长伤害+5%</v>
      </c>
      <c r="C59" t="str">
        <f>IF(基因升级!L197="","",基因升级!L$140&amp;"+"&amp;基因升级!L197*100&amp;"%")</f>
        <v/>
      </c>
      <c r="D59" t="str">
        <f>IF(基因升级!M197="","",基因升级!M$140&amp;"+"&amp;基因升级!M197*100&amp;"%")</f>
        <v/>
      </c>
      <c r="E59" t="str">
        <f>IF(基因升级!N197="","",基因升级!N$140&amp;"+"&amp;基因升级!N197*100&amp;"%")</f>
        <v/>
      </c>
      <c r="F59" t="str">
        <f t="shared" si="0"/>
        <v>队长攻击力+48\n队长伤害+5%</v>
      </c>
      <c r="M59" t="s">
        <v>463</v>
      </c>
    </row>
    <row r="60" spans="1:13">
      <c r="A60" t="str">
        <f>基因升级!$J$140&amp;"+"&amp;基因升级!J198</f>
        <v>队长攻击力+48</v>
      </c>
      <c r="B60" t="str">
        <f>IF(基因升级!K198="","",基因升级!K$140&amp;"+"&amp;基因升级!K198*100&amp;"%")</f>
        <v/>
      </c>
      <c r="C60" t="str">
        <f>IF(基因升级!L198="","",基因升级!L$140&amp;"+"&amp;基因升级!L198*100&amp;"%")</f>
        <v/>
      </c>
      <c r="D60" t="str">
        <f>IF(基因升级!M198="","",基因升级!M$140&amp;"+"&amp;基因升级!M198*100&amp;"%")</f>
        <v/>
      </c>
      <c r="E60" t="str">
        <f>IF(基因升级!N198="","",基因升级!N$140&amp;"+"&amp;基因升级!N198*100&amp;"%")</f>
        <v>队长技能冷却+0.75%</v>
      </c>
      <c r="F60" t="str">
        <f t="shared" si="0"/>
        <v>队长攻击力+48\n队长技能冷却+0.75%</v>
      </c>
      <c r="M60" t="s">
        <v>464</v>
      </c>
    </row>
    <row r="61" spans="1:13">
      <c r="A61" t="str">
        <f>基因升级!$J$140&amp;"+"&amp;基因升级!J199</f>
        <v>队长攻击力+48</v>
      </c>
      <c r="B61" t="str">
        <f>IF(基因升级!K199="","",基因升级!K$140&amp;"+"&amp;基因升级!K199*100&amp;"%")</f>
        <v/>
      </c>
      <c r="C61" t="str">
        <f>IF(基因升级!L199="","",基因升级!L$140&amp;"+"&amp;基因升级!L199*100&amp;"%")</f>
        <v/>
      </c>
      <c r="D61" t="str">
        <f>IF(基因升级!M199="","",基因升级!M$140&amp;"+"&amp;基因升级!M199*100&amp;"%")</f>
        <v>队长暴击++0.2%</v>
      </c>
      <c r="E61" t="str">
        <f>IF(基因升级!N199="","",基因升级!N$140&amp;"+"&amp;基因升级!N199*100&amp;"%")</f>
        <v/>
      </c>
      <c r="F61" t="str">
        <f t="shared" si="0"/>
        <v>队长攻击力+48\n队长暴击++0.2%</v>
      </c>
      <c r="M61" t="s">
        <v>465</v>
      </c>
    </row>
    <row r="62" spans="1:13">
      <c r="A62" t="str">
        <f>基因升级!$J$140&amp;"+"&amp;基因升级!J200</f>
        <v>队长攻击力+48</v>
      </c>
      <c r="B62" t="str">
        <f>IF(基因升级!K200="","",基因升级!K$140&amp;"+"&amp;基因升级!K200*100&amp;"%")</f>
        <v/>
      </c>
      <c r="C62" t="str">
        <f>IF(基因升级!L200="","",基因升级!L$140&amp;"+"&amp;基因升级!L200*100&amp;"%")</f>
        <v>队长暴击伤害+3%</v>
      </c>
      <c r="D62" t="str">
        <f>IF(基因升级!M200="","",基因升级!M$140&amp;"+"&amp;基因升级!M200*100&amp;"%")</f>
        <v/>
      </c>
      <c r="E62" t="str">
        <f>IF(基因升级!N200="","",基因升级!N$140&amp;"+"&amp;基因升级!N200*100&amp;"%")</f>
        <v/>
      </c>
      <c r="F62" t="str">
        <f t="shared" si="0"/>
        <v>队长攻击力+48\n队长暴击伤害+3%</v>
      </c>
      <c r="M62" t="s">
        <v>466</v>
      </c>
    </row>
    <row r="63" spans="1:13">
      <c r="A63" t="str">
        <f>基因升级!$J$140&amp;"+"&amp;基因升级!J201</f>
        <v>队长攻击力+48</v>
      </c>
      <c r="B63" t="str">
        <f>IF(基因升级!K201="","",基因升级!K$140&amp;"+"&amp;基因升级!K201*100&amp;"%")</f>
        <v>队长伤害+5%</v>
      </c>
      <c r="C63" t="str">
        <f>IF(基因升级!L201="","",基因升级!L$140&amp;"+"&amp;基因升级!L201*100&amp;"%")</f>
        <v/>
      </c>
      <c r="D63" t="str">
        <f>IF(基因升级!M201="","",基因升级!M$140&amp;"+"&amp;基因升级!M201*100&amp;"%")</f>
        <v/>
      </c>
      <c r="E63" t="str">
        <f>IF(基因升级!N201="","",基因升级!N$140&amp;"+"&amp;基因升级!N201*100&amp;"%")</f>
        <v/>
      </c>
      <c r="F63" t="str">
        <f t="shared" si="0"/>
        <v>队长攻击力+48\n队长伤害+5%</v>
      </c>
    </row>
    <row r="64" spans="1:13">
      <c r="A64" t="str">
        <f>基因升级!$J$140&amp;"+"&amp;基因升级!J202</f>
        <v>队长攻击力+48</v>
      </c>
      <c r="B64" t="str">
        <f>IF(基因升级!K202="","",基因升级!K$140&amp;"+"&amp;基因升级!K202*100&amp;"%")</f>
        <v/>
      </c>
      <c r="C64" t="str">
        <f>IF(基因升级!L202="","",基因升级!L$140&amp;"+"&amp;基因升级!L202*100&amp;"%")</f>
        <v/>
      </c>
      <c r="D64" t="str">
        <f>IF(基因升级!M202="","",基因升级!M$140&amp;"+"&amp;基因升级!M202*100&amp;"%")</f>
        <v/>
      </c>
      <c r="E64" t="str">
        <f>IF(基因升级!N202="","",基因升级!N$140&amp;"+"&amp;基因升级!N202*100&amp;"%")</f>
        <v>队长技能冷却+0.75%</v>
      </c>
      <c r="F64" t="str">
        <f t="shared" si="0"/>
        <v>队长攻击力+48\n队长技能冷却+0.75%</v>
      </c>
    </row>
    <row r="65" spans="1:6">
      <c r="A65" t="str">
        <f>基因升级!$J$140&amp;"+"&amp;基因升级!J203</f>
        <v>队长攻击力+48</v>
      </c>
      <c r="B65" t="str">
        <f>IF(基因升级!K203="","",基因升级!K$140&amp;"+"&amp;基因升级!K203*100&amp;"%")</f>
        <v/>
      </c>
      <c r="C65" t="str">
        <f>IF(基因升级!L203="","",基因升级!L$140&amp;"+"&amp;基因升级!L203*100&amp;"%")</f>
        <v/>
      </c>
      <c r="D65" t="str">
        <f>IF(基因升级!M203="","",基因升级!M$140&amp;"+"&amp;基因升级!M203*100&amp;"%")</f>
        <v>队长暴击++0.2%</v>
      </c>
      <c r="E65" t="str">
        <f>IF(基因升级!N203="","",基因升级!N$140&amp;"+"&amp;基因升级!N203*100&amp;"%")</f>
        <v/>
      </c>
      <c r="F65" t="str">
        <f t="shared" si="0"/>
        <v>队长攻击力+48\n队长暴击++0.2%</v>
      </c>
    </row>
    <row r="66" spans="1:6">
      <c r="A66" t="str">
        <f>基因升级!$J$140&amp;"+"&amp;基因升级!J204</f>
        <v>队长攻击力+48</v>
      </c>
      <c r="B66" t="str">
        <f>IF(基因升级!K204="","",基因升级!K$140&amp;"+"&amp;基因升级!K204*100&amp;"%")</f>
        <v/>
      </c>
      <c r="C66" t="str">
        <f>IF(基因升级!L204="","",基因升级!L$140&amp;"+"&amp;基因升级!L204*100&amp;"%")</f>
        <v>队长暴击伤害+3%</v>
      </c>
      <c r="D66" t="str">
        <f>IF(基因升级!M204="","",基因升级!M$140&amp;"+"&amp;基因升级!M204*100&amp;"%")</f>
        <v/>
      </c>
      <c r="E66" t="str">
        <f>IF(基因升级!N204="","",基因升级!N$140&amp;"+"&amp;基因升级!N204*100&amp;"%")</f>
        <v/>
      </c>
      <c r="F66" t="str">
        <f t="shared" si="0"/>
        <v>队长攻击力+48\n队长暴击伤害+3%</v>
      </c>
    </row>
    <row r="67" spans="1:6">
      <c r="A67" t="str">
        <f>基因升级!$J$140&amp;"+"&amp;基因升级!J205</f>
        <v>队长攻击力+54</v>
      </c>
      <c r="B67" t="str">
        <f>IF(基因升级!K205="","",基因升级!K$140&amp;"+"&amp;基因升级!K205*100&amp;"%")</f>
        <v>队长伤害+5%</v>
      </c>
      <c r="C67" t="str">
        <f>IF(基因升级!L205="","",基因升级!L$140&amp;"+"&amp;基因升级!L205*100&amp;"%")</f>
        <v/>
      </c>
      <c r="D67" t="str">
        <f>IF(基因升级!M205="","",基因升级!M$140&amp;"+"&amp;基因升级!M205*100&amp;"%")</f>
        <v/>
      </c>
      <c r="E67" t="str">
        <f>IF(基因升级!N205="","",基因升级!N$140&amp;"+"&amp;基因升级!N205*100&amp;"%")</f>
        <v/>
      </c>
      <c r="F67" t="str">
        <f t="shared" si="0"/>
        <v>队长攻击力+54\n队长伤害+5%</v>
      </c>
    </row>
    <row r="68" spans="1:6">
      <c r="A68" t="str">
        <f>基因升级!$J$140&amp;"+"&amp;基因升级!J206</f>
        <v>队长攻击力+54</v>
      </c>
      <c r="B68" t="str">
        <f>IF(基因升级!K206="","",基因升级!K$140&amp;"+"&amp;基因升级!K206*100&amp;"%")</f>
        <v/>
      </c>
      <c r="C68" t="str">
        <f>IF(基因升级!L206="","",基因升级!L$140&amp;"+"&amp;基因升级!L206*100&amp;"%")</f>
        <v/>
      </c>
      <c r="D68" t="str">
        <f>IF(基因升级!M206="","",基因升级!M$140&amp;"+"&amp;基因升级!M206*100&amp;"%")</f>
        <v/>
      </c>
      <c r="E68" t="str">
        <f>IF(基因升级!N206="","",基因升级!N$140&amp;"+"&amp;基因升级!N206*100&amp;"%")</f>
        <v>队长技能冷却+0.75%</v>
      </c>
      <c r="F68" t="str">
        <f t="shared" ref="F68:F131" si="1">_xlfn.TEXTJOIN("\n",1,A68:E68)</f>
        <v>队长攻击力+54\n队长技能冷却+0.75%</v>
      </c>
    </row>
    <row r="69" spans="1:6">
      <c r="A69" t="str">
        <f>基因升级!$J$140&amp;"+"&amp;基因升级!J207</f>
        <v>队长攻击力+54</v>
      </c>
      <c r="B69" t="str">
        <f>IF(基因升级!K207="","",基因升级!K$140&amp;"+"&amp;基因升级!K207*100&amp;"%")</f>
        <v/>
      </c>
      <c r="C69" t="str">
        <f>IF(基因升级!L207="","",基因升级!L$140&amp;"+"&amp;基因升级!L207*100&amp;"%")</f>
        <v/>
      </c>
      <c r="D69" t="str">
        <f>IF(基因升级!M207="","",基因升级!M$140&amp;"+"&amp;基因升级!M207*100&amp;"%")</f>
        <v>队长暴击++0.2%</v>
      </c>
      <c r="E69" t="str">
        <f>IF(基因升级!N207="","",基因升级!N$140&amp;"+"&amp;基因升级!N207*100&amp;"%")</f>
        <v/>
      </c>
      <c r="F69" t="str">
        <f t="shared" si="1"/>
        <v>队长攻击力+54\n队长暴击++0.2%</v>
      </c>
    </row>
    <row r="70" spans="1:6">
      <c r="A70" t="str">
        <f>基因升级!$J$140&amp;"+"&amp;基因升级!J208</f>
        <v>队长攻击力+54</v>
      </c>
      <c r="B70" t="str">
        <f>IF(基因升级!K208="","",基因升级!K$140&amp;"+"&amp;基因升级!K208*100&amp;"%")</f>
        <v/>
      </c>
      <c r="C70" t="str">
        <f>IF(基因升级!L208="","",基因升级!L$140&amp;"+"&amp;基因升级!L208*100&amp;"%")</f>
        <v>队长暴击伤害+3%</v>
      </c>
      <c r="D70" t="str">
        <f>IF(基因升级!M208="","",基因升级!M$140&amp;"+"&amp;基因升级!M208*100&amp;"%")</f>
        <v/>
      </c>
      <c r="E70" t="str">
        <f>IF(基因升级!N208="","",基因升级!N$140&amp;"+"&amp;基因升级!N208*100&amp;"%")</f>
        <v/>
      </c>
      <c r="F70" t="str">
        <f t="shared" si="1"/>
        <v>队长攻击力+54\n队长暴击伤害+3%</v>
      </c>
    </row>
    <row r="71" spans="1:6">
      <c r="A71" t="str">
        <f>基因升级!$J$140&amp;"+"&amp;基因升级!J209</f>
        <v>队长攻击力+54</v>
      </c>
      <c r="B71" t="str">
        <f>IF(基因升级!K209="","",基因升级!K$140&amp;"+"&amp;基因升级!K209*100&amp;"%")</f>
        <v>队长伤害+5%</v>
      </c>
      <c r="C71" t="str">
        <f>IF(基因升级!L209="","",基因升级!L$140&amp;"+"&amp;基因升级!L209*100&amp;"%")</f>
        <v/>
      </c>
      <c r="D71" t="str">
        <f>IF(基因升级!M209="","",基因升级!M$140&amp;"+"&amp;基因升级!M209*100&amp;"%")</f>
        <v/>
      </c>
      <c r="E71" t="str">
        <f>IF(基因升级!N209="","",基因升级!N$140&amp;"+"&amp;基因升级!N209*100&amp;"%")</f>
        <v/>
      </c>
      <c r="F71" t="str">
        <f t="shared" si="1"/>
        <v>队长攻击力+54\n队长伤害+5%</v>
      </c>
    </row>
    <row r="72" spans="1:6">
      <c r="A72" t="str">
        <f>基因升级!$J$140&amp;"+"&amp;基因升级!J210</f>
        <v>队长攻击力+54</v>
      </c>
      <c r="B72" t="str">
        <f>IF(基因升级!K210="","",基因升级!K$140&amp;"+"&amp;基因升级!K210*100&amp;"%")</f>
        <v/>
      </c>
      <c r="C72" t="str">
        <f>IF(基因升级!L210="","",基因升级!L$140&amp;"+"&amp;基因升级!L210*100&amp;"%")</f>
        <v/>
      </c>
      <c r="D72" t="str">
        <f>IF(基因升级!M210="","",基因升级!M$140&amp;"+"&amp;基因升级!M210*100&amp;"%")</f>
        <v/>
      </c>
      <c r="E72" t="str">
        <f>IF(基因升级!N210="","",基因升级!N$140&amp;"+"&amp;基因升级!N210*100&amp;"%")</f>
        <v>队长技能冷却+0.75%</v>
      </c>
      <c r="F72" t="str">
        <f t="shared" si="1"/>
        <v>队长攻击力+54\n队长技能冷却+0.75%</v>
      </c>
    </row>
    <row r="73" spans="1:6">
      <c r="A73" t="str">
        <f>基因升级!$J$140&amp;"+"&amp;基因升级!J211</f>
        <v>队长攻击力+54</v>
      </c>
      <c r="B73" t="str">
        <f>IF(基因升级!K211="","",基因升级!K$140&amp;"+"&amp;基因升级!K211*100&amp;"%")</f>
        <v/>
      </c>
      <c r="C73" t="str">
        <f>IF(基因升级!L211="","",基因升级!L$140&amp;"+"&amp;基因升级!L211*100&amp;"%")</f>
        <v/>
      </c>
      <c r="D73" t="str">
        <f>IF(基因升级!M211="","",基因升级!M$140&amp;"+"&amp;基因升级!M211*100&amp;"%")</f>
        <v>队长暴击++0.2%</v>
      </c>
      <c r="E73" t="str">
        <f>IF(基因升级!N211="","",基因升级!N$140&amp;"+"&amp;基因升级!N211*100&amp;"%")</f>
        <v/>
      </c>
      <c r="F73" t="str">
        <f t="shared" si="1"/>
        <v>队长攻击力+54\n队长暴击++0.2%</v>
      </c>
    </row>
    <row r="74" spans="1:6">
      <c r="A74" t="str">
        <f>基因升级!$J$140&amp;"+"&amp;基因升级!J212</f>
        <v>队长攻击力+54</v>
      </c>
      <c r="B74" t="str">
        <f>IF(基因升级!K212="","",基因升级!K$140&amp;"+"&amp;基因升级!K212*100&amp;"%")</f>
        <v/>
      </c>
      <c r="C74" t="str">
        <f>IF(基因升级!L212="","",基因升级!L$140&amp;"+"&amp;基因升级!L212*100&amp;"%")</f>
        <v>队长暴击伤害+3%</v>
      </c>
      <c r="D74" t="str">
        <f>IF(基因升级!M212="","",基因升级!M$140&amp;"+"&amp;基因升级!M212*100&amp;"%")</f>
        <v/>
      </c>
      <c r="E74" t="str">
        <f>IF(基因升级!N212="","",基因升级!N$140&amp;"+"&amp;基因升级!N212*100&amp;"%")</f>
        <v/>
      </c>
      <c r="F74" t="str">
        <f t="shared" si="1"/>
        <v>队长攻击力+54\n队长暴击伤害+3%</v>
      </c>
    </row>
    <row r="75" spans="1:6">
      <c r="A75" t="str">
        <f>基因升级!$J$140&amp;"+"&amp;基因升级!J213</f>
        <v>队长攻击力+58</v>
      </c>
      <c r="B75" t="str">
        <f>IF(基因升级!K213="","",基因升级!K$140&amp;"+"&amp;基因升级!K213*100&amp;"%")</f>
        <v>队长伤害+5%</v>
      </c>
      <c r="C75" t="str">
        <f>IF(基因升级!L213="","",基因升级!L$140&amp;"+"&amp;基因升级!L213*100&amp;"%")</f>
        <v/>
      </c>
      <c r="D75" t="str">
        <f>IF(基因升级!M213="","",基因升级!M$140&amp;"+"&amp;基因升级!M213*100&amp;"%")</f>
        <v/>
      </c>
      <c r="E75" t="str">
        <f>IF(基因升级!N213="","",基因升级!N$140&amp;"+"&amp;基因升级!N213*100&amp;"%")</f>
        <v/>
      </c>
      <c r="F75" t="str">
        <f t="shared" si="1"/>
        <v>队长攻击力+58\n队长伤害+5%</v>
      </c>
    </row>
    <row r="76" spans="1:6">
      <c r="A76" t="str">
        <f>基因升级!$J$140&amp;"+"&amp;基因升级!J214</f>
        <v>队长攻击力+58</v>
      </c>
      <c r="B76" t="str">
        <f>IF(基因升级!K214="","",基因升级!K$140&amp;"+"&amp;基因升级!K214*100&amp;"%")</f>
        <v/>
      </c>
      <c r="C76" t="str">
        <f>IF(基因升级!L214="","",基因升级!L$140&amp;"+"&amp;基因升级!L214*100&amp;"%")</f>
        <v/>
      </c>
      <c r="D76" t="str">
        <f>IF(基因升级!M214="","",基因升级!M$140&amp;"+"&amp;基因升级!M214*100&amp;"%")</f>
        <v/>
      </c>
      <c r="E76" t="str">
        <f>IF(基因升级!N214="","",基因升级!N$140&amp;"+"&amp;基因升级!N214*100&amp;"%")</f>
        <v>队长技能冷却+0.75%</v>
      </c>
      <c r="F76" t="str">
        <f t="shared" si="1"/>
        <v>队长攻击力+58\n队长技能冷却+0.75%</v>
      </c>
    </row>
    <row r="77" spans="1:6">
      <c r="A77" t="str">
        <f>基因升级!$J$140&amp;"+"&amp;基因升级!J215</f>
        <v>队长攻击力+58</v>
      </c>
      <c r="B77" t="str">
        <f>IF(基因升级!K215="","",基因升级!K$140&amp;"+"&amp;基因升级!K215*100&amp;"%")</f>
        <v/>
      </c>
      <c r="C77" t="str">
        <f>IF(基因升级!L215="","",基因升级!L$140&amp;"+"&amp;基因升级!L215*100&amp;"%")</f>
        <v/>
      </c>
      <c r="D77" t="str">
        <f>IF(基因升级!M215="","",基因升级!M$140&amp;"+"&amp;基因升级!M215*100&amp;"%")</f>
        <v>队长暴击++0.2%</v>
      </c>
      <c r="E77" t="str">
        <f>IF(基因升级!N215="","",基因升级!N$140&amp;"+"&amp;基因升级!N215*100&amp;"%")</f>
        <v/>
      </c>
      <c r="F77" t="str">
        <f t="shared" si="1"/>
        <v>队长攻击力+58\n队长暴击++0.2%</v>
      </c>
    </row>
    <row r="78" spans="1:6">
      <c r="A78" t="str">
        <f>基因升级!$J$140&amp;"+"&amp;基因升级!J216</f>
        <v>队长攻击力+58</v>
      </c>
      <c r="B78" t="str">
        <f>IF(基因升级!K216="","",基因升级!K$140&amp;"+"&amp;基因升级!K216*100&amp;"%")</f>
        <v/>
      </c>
      <c r="C78" t="str">
        <f>IF(基因升级!L216="","",基因升级!L$140&amp;"+"&amp;基因升级!L216*100&amp;"%")</f>
        <v>队长暴击伤害+3%</v>
      </c>
      <c r="D78" t="str">
        <f>IF(基因升级!M216="","",基因升级!M$140&amp;"+"&amp;基因升级!M216*100&amp;"%")</f>
        <v/>
      </c>
      <c r="E78" t="str">
        <f>IF(基因升级!N216="","",基因升级!N$140&amp;"+"&amp;基因升级!N216*100&amp;"%")</f>
        <v/>
      </c>
      <c r="F78" t="str">
        <f t="shared" si="1"/>
        <v>队长攻击力+58\n队长暴击伤害+3%</v>
      </c>
    </row>
    <row r="79" spans="1:6">
      <c r="A79" t="str">
        <f>基因升级!$J$140&amp;"+"&amp;基因升级!J217</f>
        <v>队长攻击力+58</v>
      </c>
      <c r="B79" t="str">
        <f>IF(基因升级!K217="","",基因升级!K$140&amp;"+"&amp;基因升级!K217*100&amp;"%")</f>
        <v>队长伤害+5%</v>
      </c>
      <c r="C79" t="str">
        <f>IF(基因升级!L217="","",基因升级!L$140&amp;"+"&amp;基因升级!L217*100&amp;"%")</f>
        <v/>
      </c>
      <c r="D79" t="str">
        <f>IF(基因升级!M217="","",基因升级!M$140&amp;"+"&amp;基因升级!M217*100&amp;"%")</f>
        <v/>
      </c>
      <c r="E79" t="str">
        <f>IF(基因升级!N217="","",基因升级!N$140&amp;"+"&amp;基因升级!N217*100&amp;"%")</f>
        <v/>
      </c>
      <c r="F79" t="str">
        <f t="shared" si="1"/>
        <v>队长攻击力+58\n队长伤害+5%</v>
      </c>
    </row>
    <row r="80" spans="1:6">
      <c r="A80" t="str">
        <f>基因升级!$J$140&amp;"+"&amp;基因升级!J218</f>
        <v>队长攻击力+58</v>
      </c>
      <c r="B80" t="str">
        <f>IF(基因升级!K218="","",基因升级!K$140&amp;"+"&amp;基因升级!K218*100&amp;"%")</f>
        <v/>
      </c>
      <c r="C80" t="str">
        <f>IF(基因升级!L218="","",基因升级!L$140&amp;"+"&amp;基因升级!L218*100&amp;"%")</f>
        <v/>
      </c>
      <c r="D80" t="str">
        <f>IF(基因升级!M218="","",基因升级!M$140&amp;"+"&amp;基因升级!M218*100&amp;"%")</f>
        <v/>
      </c>
      <c r="E80" t="str">
        <f>IF(基因升级!N218="","",基因升级!N$140&amp;"+"&amp;基因升级!N218*100&amp;"%")</f>
        <v>队长技能冷却+0.75%</v>
      </c>
      <c r="F80" t="str">
        <f t="shared" si="1"/>
        <v>队长攻击力+58\n队长技能冷却+0.75%</v>
      </c>
    </row>
    <row r="81" spans="1:6">
      <c r="A81" t="str">
        <f>基因升级!$J$140&amp;"+"&amp;基因升级!J219</f>
        <v>队长攻击力+58</v>
      </c>
      <c r="B81" t="str">
        <f>IF(基因升级!K219="","",基因升级!K$140&amp;"+"&amp;基因升级!K219*100&amp;"%")</f>
        <v/>
      </c>
      <c r="C81" t="str">
        <f>IF(基因升级!L219="","",基因升级!L$140&amp;"+"&amp;基因升级!L219*100&amp;"%")</f>
        <v/>
      </c>
      <c r="D81" t="str">
        <f>IF(基因升级!M219="","",基因升级!M$140&amp;"+"&amp;基因升级!M219*100&amp;"%")</f>
        <v>队长暴击++0.2%</v>
      </c>
      <c r="E81" t="str">
        <f>IF(基因升级!N219="","",基因升级!N$140&amp;"+"&amp;基因升级!N219*100&amp;"%")</f>
        <v/>
      </c>
      <c r="F81" t="str">
        <f t="shared" si="1"/>
        <v>队长攻击力+58\n队长暴击++0.2%</v>
      </c>
    </row>
    <row r="82" spans="1:6">
      <c r="A82" t="str">
        <f>基因升级!$J$140&amp;"+"&amp;基因升级!J220</f>
        <v>队长攻击力+58</v>
      </c>
      <c r="B82" t="str">
        <f>IF(基因升级!K220="","",基因升级!K$140&amp;"+"&amp;基因升级!K220*100&amp;"%")</f>
        <v/>
      </c>
      <c r="C82" t="str">
        <f>IF(基因升级!L220="","",基因升级!L$140&amp;"+"&amp;基因升级!L220*100&amp;"%")</f>
        <v>队长暴击伤害+3%</v>
      </c>
      <c r="D82" t="str">
        <f>IF(基因升级!M220="","",基因升级!M$140&amp;"+"&amp;基因升级!M220*100&amp;"%")</f>
        <v/>
      </c>
      <c r="E82" t="str">
        <f>IF(基因升级!N220="","",基因升级!N$140&amp;"+"&amp;基因升级!N220*100&amp;"%")</f>
        <v/>
      </c>
      <c r="F82" t="str">
        <f t="shared" si="1"/>
        <v>队长攻击力+58\n队长暴击伤害+3%</v>
      </c>
    </row>
    <row r="83" spans="1:6">
      <c r="A83" t="str">
        <f>基因升级!$J$140&amp;"+"&amp;基因升级!J221</f>
        <v>队长攻击力+64</v>
      </c>
      <c r="B83" t="str">
        <f>IF(基因升级!K221="","",基因升级!K$140&amp;"+"&amp;基因升级!K221*100&amp;"%")</f>
        <v>队长伤害+5%</v>
      </c>
      <c r="C83" t="str">
        <f>IF(基因升级!L221="","",基因升级!L$140&amp;"+"&amp;基因升级!L221*100&amp;"%")</f>
        <v/>
      </c>
      <c r="D83" t="str">
        <f>IF(基因升级!M221="","",基因升级!M$140&amp;"+"&amp;基因升级!M221*100&amp;"%")</f>
        <v/>
      </c>
      <c r="E83" t="str">
        <f>IF(基因升级!N221="","",基因升级!N$140&amp;"+"&amp;基因升级!N221*100&amp;"%")</f>
        <v/>
      </c>
      <c r="F83" t="str">
        <f t="shared" si="1"/>
        <v>队长攻击力+64\n队长伤害+5%</v>
      </c>
    </row>
    <row r="84" spans="1:6">
      <c r="A84" t="str">
        <f>基因升级!$J$140&amp;"+"&amp;基因升级!J222</f>
        <v>队长攻击力+64</v>
      </c>
      <c r="B84" t="str">
        <f>IF(基因升级!K222="","",基因升级!K$140&amp;"+"&amp;基因升级!K222*100&amp;"%")</f>
        <v/>
      </c>
      <c r="C84" t="str">
        <f>IF(基因升级!L222="","",基因升级!L$140&amp;"+"&amp;基因升级!L222*100&amp;"%")</f>
        <v/>
      </c>
      <c r="D84" t="str">
        <f>IF(基因升级!M222="","",基因升级!M$140&amp;"+"&amp;基因升级!M222*100&amp;"%")</f>
        <v/>
      </c>
      <c r="E84" t="str">
        <f>IF(基因升级!N222="","",基因升级!N$140&amp;"+"&amp;基因升级!N222*100&amp;"%")</f>
        <v>队长技能冷却+0.75%</v>
      </c>
      <c r="F84" t="str">
        <f t="shared" si="1"/>
        <v>队长攻击力+64\n队长技能冷却+0.75%</v>
      </c>
    </row>
    <row r="85" spans="1:6">
      <c r="A85" t="str">
        <f>基因升级!$J$140&amp;"+"&amp;基因升级!J223</f>
        <v>队长攻击力+64</v>
      </c>
      <c r="B85" t="str">
        <f>IF(基因升级!K223="","",基因升级!K$140&amp;"+"&amp;基因升级!K223*100&amp;"%")</f>
        <v/>
      </c>
      <c r="C85" t="str">
        <f>IF(基因升级!L223="","",基因升级!L$140&amp;"+"&amp;基因升级!L223*100&amp;"%")</f>
        <v/>
      </c>
      <c r="D85" t="str">
        <f>IF(基因升级!M223="","",基因升级!M$140&amp;"+"&amp;基因升级!M223*100&amp;"%")</f>
        <v>队长暴击++0.2%</v>
      </c>
      <c r="E85" t="str">
        <f>IF(基因升级!N223="","",基因升级!N$140&amp;"+"&amp;基因升级!N223*100&amp;"%")</f>
        <v/>
      </c>
      <c r="F85" t="str">
        <f t="shared" si="1"/>
        <v>队长攻击力+64\n队长暴击++0.2%</v>
      </c>
    </row>
    <row r="86" spans="1:6">
      <c r="A86" t="str">
        <f>基因升级!$J$140&amp;"+"&amp;基因升级!J224</f>
        <v>队长攻击力+64</v>
      </c>
      <c r="B86" t="str">
        <f>IF(基因升级!K224="","",基因升级!K$140&amp;"+"&amp;基因升级!K224*100&amp;"%")</f>
        <v/>
      </c>
      <c r="C86" t="str">
        <f>IF(基因升级!L224="","",基因升级!L$140&amp;"+"&amp;基因升级!L224*100&amp;"%")</f>
        <v>队长暴击伤害+3%</v>
      </c>
      <c r="D86" t="str">
        <f>IF(基因升级!M224="","",基因升级!M$140&amp;"+"&amp;基因升级!M224*100&amp;"%")</f>
        <v/>
      </c>
      <c r="E86" t="str">
        <f>IF(基因升级!N224="","",基因升级!N$140&amp;"+"&amp;基因升级!N224*100&amp;"%")</f>
        <v/>
      </c>
      <c r="F86" t="str">
        <f t="shared" si="1"/>
        <v>队长攻击力+64\n队长暴击伤害+3%</v>
      </c>
    </row>
    <row r="87" spans="1:6">
      <c r="A87" t="str">
        <f>基因升级!$J$140&amp;"+"&amp;基因升级!J225</f>
        <v>队长攻击力+64</v>
      </c>
      <c r="B87" t="str">
        <f>IF(基因升级!K225="","",基因升级!K$140&amp;"+"&amp;基因升级!K225*100&amp;"%")</f>
        <v>队长伤害+5%</v>
      </c>
      <c r="C87" t="str">
        <f>IF(基因升级!L225="","",基因升级!L$140&amp;"+"&amp;基因升级!L225*100&amp;"%")</f>
        <v/>
      </c>
      <c r="D87" t="str">
        <f>IF(基因升级!M225="","",基因升级!M$140&amp;"+"&amp;基因升级!M225*100&amp;"%")</f>
        <v/>
      </c>
      <c r="E87" t="str">
        <f>IF(基因升级!N225="","",基因升级!N$140&amp;"+"&amp;基因升级!N225*100&amp;"%")</f>
        <v/>
      </c>
      <c r="F87" t="str">
        <f t="shared" si="1"/>
        <v>队长攻击力+64\n队长伤害+5%</v>
      </c>
    </row>
    <row r="88" spans="1:6">
      <c r="A88" t="str">
        <f>基因升级!$J$140&amp;"+"&amp;基因升级!J226</f>
        <v>队长攻击力+64</v>
      </c>
      <c r="B88" t="str">
        <f>IF(基因升级!K226="","",基因升级!K$140&amp;"+"&amp;基因升级!K226*100&amp;"%")</f>
        <v/>
      </c>
      <c r="C88" t="str">
        <f>IF(基因升级!L226="","",基因升级!L$140&amp;"+"&amp;基因升级!L226*100&amp;"%")</f>
        <v/>
      </c>
      <c r="D88" t="str">
        <f>IF(基因升级!M226="","",基因升级!M$140&amp;"+"&amp;基因升级!M226*100&amp;"%")</f>
        <v/>
      </c>
      <c r="E88" t="str">
        <f>IF(基因升级!N226="","",基因升级!N$140&amp;"+"&amp;基因升级!N226*100&amp;"%")</f>
        <v>队长技能冷却+0.75%</v>
      </c>
      <c r="F88" t="str">
        <f t="shared" si="1"/>
        <v>队长攻击力+64\n队长技能冷却+0.75%</v>
      </c>
    </row>
    <row r="89" spans="1:6">
      <c r="A89" t="str">
        <f>基因升级!$J$140&amp;"+"&amp;基因升级!J227</f>
        <v>队长攻击力+64</v>
      </c>
      <c r="B89" t="str">
        <f>IF(基因升级!K227="","",基因升级!K$140&amp;"+"&amp;基因升级!K227*100&amp;"%")</f>
        <v/>
      </c>
      <c r="C89" t="str">
        <f>IF(基因升级!L227="","",基因升级!L$140&amp;"+"&amp;基因升级!L227*100&amp;"%")</f>
        <v/>
      </c>
      <c r="D89" t="str">
        <f>IF(基因升级!M227="","",基因升级!M$140&amp;"+"&amp;基因升级!M227*100&amp;"%")</f>
        <v>队长暴击++0.2%</v>
      </c>
      <c r="E89" t="str">
        <f>IF(基因升级!N227="","",基因升级!N$140&amp;"+"&amp;基因升级!N227*100&amp;"%")</f>
        <v/>
      </c>
      <c r="F89" t="str">
        <f t="shared" si="1"/>
        <v>队长攻击力+64\n队长暴击++0.2%</v>
      </c>
    </row>
    <row r="90" spans="1:6">
      <c r="A90" t="str">
        <f>基因升级!$J$140&amp;"+"&amp;基因升级!J228</f>
        <v>队长攻击力+64</v>
      </c>
      <c r="B90" t="str">
        <f>IF(基因升级!K228="","",基因升级!K$140&amp;"+"&amp;基因升级!K228*100&amp;"%")</f>
        <v/>
      </c>
      <c r="C90" t="str">
        <f>IF(基因升级!L228="","",基因升级!L$140&amp;"+"&amp;基因升级!L228*100&amp;"%")</f>
        <v>队长暴击伤害+3%</v>
      </c>
      <c r="D90" t="str">
        <f>IF(基因升级!M228="","",基因升级!M$140&amp;"+"&amp;基因升级!M228*100&amp;"%")</f>
        <v/>
      </c>
      <c r="E90" t="str">
        <f>IF(基因升级!N228="","",基因升级!N$140&amp;"+"&amp;基因升级!N228*100&amp;"%")</f>
        <v/>
      </c>
      <c r="F90" t="str">
        <f t="shared" si="1"/>
        <v>队长攻击力+64\n队长暴击伤害+3%</v>
      </c>
    </row>
    <row r="91" spans="1:6">
      <c r="A91" t="str">
        <f>基因升级!$J$140&amp;"+"&amp;基因升级!J229</f>
        <v>队长攻击力+70</v>
      </c>
      <c r="B91" t="str">
        <f>IF(基因升级!K229="","",基因升级!K$140&amp;"+"&amp;基因升级!K229*100&amp;"%")</f>
        <v>队长伤害+5%</v>
      </c>
      <c r="C91" t="str">
        <f>IF(基因升级!L229="","",基因升级!L$140&amp;"+"&amp;基因升级!L229*100&amp;"%")</f>
        <v/>
      </c>
      <c r="D91" t="str">
        <f>IF(基因升级!M229="","",基因升级!M$140&amp;"+"&amp;基因升级!M229*100&amp;"%")</f>
        <v/>
      </c>
      <c r="E91" t="str">
        <f>IF(基因升级!N229="","",基因升级!N$140&amp;"+"&amp;基因升级!N229*100&amp;"%")</f>
        <v/>
      </c>
      <c r="F91" t="str">
        <f t="shared" si="1"/>
        <v>队长攻击力+70\n队长伤害+5%</v>
      </c>
    </row>
    <row r="92" spans="1:6">
      <c r="A92" t="str">
        <f>基因升级!$J$140&amp;"+"&amp;基因升级!J230</f>
        <v>队长攻击力+70</v>
      </c>
      <c r="B92" t="str">
        <f>IF(基因升级!K230="","",基因升级!K$140&amp;"+"&amp;基因升级!K230*100&amp;"%")</f>
        <v/>
      </c>
      <c r="C92" t="str">
        <f>IF(基因升级!L230="","",基因升级!L$140&amp;"+"&amp;基因升级!L230*100&amp;"%")</f>
        <v/>
      </c>
      <c r="D92" t="str">
        <f>IF(基因升级!M230="","",基因升级!M$140&amp;"+"&amp;基因升级!M230*100&amp;"%")</f>
        <v/>
      </c>
      <c r="E92" t="str">
        <f>IF(基因升级!N230="","",基因升级!N$140&amp;"+"&amp;基因升级!N230*100&amp;"%")</f>
        <v>队长技能冷却+0.75%</v>
      </c>
      <c r="F92" t="str">
        <f t="shared" si="1"/>
        <v>队长攻击力+70\n队长技能冷却+0.75%</v>
      </c>
    </row>
    <row r="93" spans="1:6">
      <c r="A93" t="str">
        <f>基因升级!$J$140&amp;"+"&amp;基因升级!J231</f>
        <v>队长攻击力+70</v>
      </c>
      <c r="B93" t="str">
        <f>IF(基因升级!K231="","",基因升级!K$140&amp;"+"&amp;基因升级!K231*100&amp;"%")</f>
        <v/>
      </c>
      <c r="C93" t="str">
        <f>IF(基因升级!L231="","",基因升级!L$140&amp;"+"&amp;基因升级!L231*100&amp;"%")</f>
        <v/>
      </c>
      <c r="D93" t="str">
        <f>IF(基因升级!M231="","",基因升级!M$140&amp;"+"&amp;基因升级!M231*100&amp;"%")</f>
        <v>队长暴击++0.2%</v>
      </c>
      <c r="E93" t="str">
        <f>IF(基因升级!N231="","",基因升级!N$140&amp;"+"&amp;基因升级!N231*100&amp;"%")</f>
        <v/>
      </c>
      <c r="F93" t="str">
        <f t="shared" si="1"/>
        <v>队长攻击力+70\n队长暴击++0.2%</v>
      </c>
    </row>
    <row r="94" spans="1:6">
      <c r="A94" t="str">
        <f>基因升级!$J$140&amp;"+"&amp;基因升级!J232</f>
        <v>队长攻击力+70</v>
      </c>
      <c r="B94" t="str">
        <f>IF(基因升级!K232="","",基因升级!K$140&amp;"+"&amp;基因升级!K232*100&amp;"%")</f>
        <v/>
      </c>
      <c r="C94" t="str">
        <f>IF(基因升级!L232="","",基因升级!L$140&amp;"+"&amp;基因升级!L232*100&amp;"%")</f>
        <v>队长暴击伤害+3%</v>
      </c>
      <c r="D94" t="str">
        <f>IF(基因升级!M232="","",基因升级!M$140&amp;"+"&amp;基因升级!M232*100&amp;"%")</f>
        <v/>
      </c>
      <c r="E94" t="str">
        <f>IF(基因升级!N232="","",基因升级!N$140&amp;"+"&amp;基因升级!N232*100&amp;"%")</f>
        <v/>
      </c>
      <c r="F94" t="str">
        <f t="shared" si="1"/>
        <v>队长攻击力+70\n队长暴击伤害+3%</v>
      </c>
    </row>
    <row r="95" spans="1:6">
      <c r="A95" t="str">
        <f>基因升级!$J$140&amp;"+"&amp;基因升级!J233</f>
        <v>队长攻击力+70</v>
      </c>
      <c r="B95" t="str">
        <f>IF(基因升级!K233="","",基因升级!K$140&amp;"+"&amp;基因升级!K233*100&amp;"%")</f>
        <v>队长伤害+5%</v>
      </c>
      <c r="C95" t="str">
        <f>IF(基因升级!L233="","",基因升级!L$140&amp;"+"&amp;基因升级!L233*100&amp;"%")</f>
        <v/>
      </c>
      <c r="D95" t="str">
        <f>IF(基因升级!M233="","",基因升级!M$140&amp;"+"&amp;基因升级!M233*100&amp;"%")</f>
        <v/>
      </c>
      <c r="E95" t="str">
        <f>IF(基因升级!N233="","",基因升级!N$140&amp;"+"&amp;基因升级!N233*100&amp;"%")</f>
        <v/>
      </c>
      <c r="F95" t="str">
        <f t="shared" si="1"/>
        <v>队长攻击力+70\n队长伤害+5%</v>
      </c>
    </row>
    <row r="96" spans="1:6">
      <c r="A96" t="str">
        <f>基因升级!$J$140&amp;"+"&amp;基因升级!J234</f>
        <v>队长攻击力+70</v>
      </c>
      <c r="B96" t="str">
        <f>IF(基因升级!K234="","",基因升级!K$140&amp;"+"&amp;基因升级!K234*100&amp;"%")</f>
        <v/>
      </c>
      <c r="C96" t="str">
        <f>IF(基因升级!L234="","",基因升级!L$140&amp;"+"&amp;基因升级!L234*100&amp;"%")</f>
        <v/>
      </c>
      <c r="D96" t="str">
        <f>IF(基因升级!M234="","",基因升级!M$140&amp;"+"&amp;基因升级!M234*100&amp;"%")</f>
        <v/>
      </c>
      <c r="E96" t="str">
        <f>IF(基因升级!N234="","",基因升级!N$140&amp;"+"&amp;基因升级!N234*100&amp;"%")</f>
        <v>队长技能冷却+0.75%</v>
      </c>
      <c r="F96" t="str">
        <f t="shared" si="1"/>
        <v>队长攻击力+70\n队长技能冷却+0.75%</v>
      </c>
    </row>
    <row r="97" spans="1:6">
      <c r="A97" t="str">
        <f>基因升级!$J$140&amp;"+"&amp;基因升级!J235</f>
        <v>队长攻击力+70</v>
      </c>
      <c r="B97" t="str">
        <f>IF(基因升级!K235="","",基因升级!K$140&amp;"+"&amp;基因升级!K235*100&amp;"%")</f>
        <v/>
      </c>
      <c r="C97" t="str">
        <f>IF(基因升级!L235="","",基因升级!L$140&amp;"+"&amp;基因升级!L235*100&amp;"%")</f>
        <v/>
      </c>
      <c r="D97" t="str">
        <f>IF(基因升级!M235="","",基因升级!M$140&amp;"+"&amp;基因升级!M235*100&amp;"%")</f>
        <v>队长暴击++0.2%</v>
      </c>
      <c r="E97" t="str">
        <f>IF(基因升级!N235="","",基因升级!N$140&amp;"+"&amp;基因升级!N235*100&amp;"%")</f>
        <v/>
      </c>
      <c r="F97" t="str">
        <f t="shared" si="1"/>
        <v>队长攻击力+70\n队长暴击++0.2%</v>
      </c>
    </row>
    <row r="98" spans="1:6">
      <c r="A98" t="str">
        <f>基因升级!$J$140&amp;"+"&amp;基因升级!J236</f>
        <v>队长攻击力+70</v>
      </c>
      <c r="B98" t="str">
        <f>IF(基因升级!K236="","",基因升级!K$140&amp;"+"&amp;基因升级!K236*100&amp;"%")</f>
        <v/>
      </c>
      <c r="C98" t="str">
        <f>IF(基因升级!L236="","",基因升级!L$140&amp;"+"&amp;基因升级!L236*100&amp;"%")</f>
        <v>队长暴击伤害+3%</v>
      </c>
      <c r="D98" t="str">
        <f>IF(基因升级!M236="","",基因升级!M$140&amp;"+"&amp;基因升级!M236*100&amp;"%")</f>
        <v/>
      </c>
      <c r="E98" t="str">
        <f>IF(基因升级!N236="","",基因升级!N$140&amp;"+"&amp;基因升级!N236*100&amp;"%")</f>
        <v/>
      </c>
      <c r="F98" t="str">
        <f t="shared" si="1"/>
        <v>队长攻击力+70\n队长暴击伤害+3%</v>
      </c>
    </row>
    <row r="99" spans="1:6">
      <c r="A99" t="str">
        <f>基因升级!$J$140&amp;"+"&amp;基因升级!J237</f>
        <v>队长攻击力+76</v>
      </c>
      <c r="B99" t="str">
        <f>IF(基因升级!K237="","",基因升级!K$140&amp;"+"&amp;基因升级!K237*100&amp;"%")</f>
        <v>队长伤害+5%</v>
      </c>
      <c r="C99" t="str">
        <f>IF(基因升级!L237="","",基因升级!L$140&amp;"+"&amp;基因升级!L237*100&amp;"%")</f>
        <v/>
      </c>
      <c r="D99" t="str">
        <f>IF(基因升级!M237="","",基因升级!M$140&amp;"+"&amp;基因升级!M237*100&amp;"%")</f>
        <v/>
      </c>
      <c r="E99" t="str">
        <f>IF(基因升级!N237="","",基因升级!N$140&amp;"+"&amp;基因升级!N237*100&amp;"%")</f>
        <v/>
      </c>
      <c r="F99" t="str">
        <f t="shared" si="1"/>
        <v>队长攻击力+76\n队长伤害+5%</v>
      </c>
    </row>
    <row r="100" spans="1:6">
      <c r="A100" t="str">
        <f>基因升级!$J$140&amp;"+"&amp;基因升级!J238</f>
        <v>队长攻击力+76</v>
      </c>
      <c r="B100" t="str">
        <f>IF(基因升级!K238="","",基因升级!K$140&amp;"+"&amp;基因升级!K238*100&amp;"%")</f>
        <v/>
      </c>
      <c r="C100" t="str">
        <f>IF(基因升级!L238="","",基因升级!L$140&amp;"+"&amp;基因升级!L238*100&amp;"%")</f>
        <v/>
      </c>
      <c r="D100" t="str">
        <f>IF(基因升级!M238="","",基因升级!M$140&amp;"+"&amp;基因升级!M238*100&amp;"%")</f>
        <v/>
      </c>
      <c r="E100" t="str">
        <f>IF(基因升级!N238="","",基因升级!N$140&amp;"+"&amp;基因升级!N238*100&amp;"%")</f>
        <v>队长技能冷却+0.75%</v>
      </c>
      <c r="F100" t="str">
        <f t="shared" si="1"/>
        <v>队长攻击力+76\n队长技能冷却+0.75%</v>
      </c>
    </row>
    <row r="101" spans="1:6">
      <c r="A101" t="str">
        <f>基因升级!$J$140&amp;"+"&amp;基因升级!J239</f>
        <v>队长攻击力+76</v>
      </c>
      <c r="B101" t="str">
        <f>IF(基因升级!K239="","",基因升级!K$140&amp;"+"&amp;基因升级!K239*100&amp;"%")</f>
        <v/>
      </c>
      <c r="C101" t="str">
        <f>IF(基因升级!L239="","",基因升级!L$140&amp;"+"&amp;基因升级!L239*100&amp;"%")</f>
        <v/>
      </c>
      <c r="D101" t="str">
        <f>IF(基因升级!M239="","",基因升级!M$140&amp;"+"&amp;基因升级!M239*100&amp;"%")</f>
        <v>队长暴击++0.2%</v>
      </c>
      <c r="E101" t="str">
        <f>IF(基因升级!N239="","",基因升级!N$140&amp;"+"&amp;基因升级!N239*100&amp;"%")</f>
        <v/>
      </c>
      <c r="F101" t="str">
        <f t="shared" si="1"/>
        <v>队长攻击力+76\n队长暴击++0.2%</v>
      </c>
    </row>
    <row r="102" spans="1:6">
      <c r="A102" t="str">
        <f>基因升级!$J$140&amp;"+"&amp;基因升级!J240</f>
        <v>队长攻击力+76</v>
      </c>
      <c r="B102" t="str">
        <f>IF(基因升级!K240="","",基因升级!K$140&amp;"+"&amp;基因升级!K240*100&amp;"%")</f>
        <v/>
      </c>
      <c r="C102" t="str">
        <f>IF(基因升级!L240="","",基因升级!L$140&amp;"+"&amp;基因升级!L240*100&amp;"%")</f>
        <v>队长暴击伤害+3%</v>
      </c>
      <c r="D102" t="str">
        <f>IF(基因升级!M240="","",基因升级!M$140&amp;"+"&amp;基因升级!M240*100&amp;"%")</f>
        <v/>
      </c>
      <c r="E102" t="str">
        <f>IF(基因升级!N240="","",基因升级!N$140&amp;"+"&amp;基因升级!N240*100&amp;"%")</f>
        <v/>
      </c>
      <c r="F102" t="str">
        <f t="shared" si="1"/>
        <v>队长攻击力+76\n队长暴击伤害+3%</v>
      </c>
    </row>
    <row r="103" spans="1:6">
      <c r="A103" t="str">
        <f>基因升级!$J$140&amp;"+"&amp;基因升级!J241</f>
        <v>队长攻击力+76</v>
      </c>
      <c r="B103" t="str">
        <f>IF(基因升级!K241="","",基因升级!K$140&amp;"+"&amp;基因升级!K241*100&amp;"%")</f>
        <v>队长伤害+5%</v>
      </c>
      <c r="C103" t="str">
        <f>IF(基因升级!L241="","",基因升级!L$140&amp;"+"&amp;基因升级!L241*100&amp;"%")</f>
        <v/>
      </c>
      <c r="D103" t="str">
        <f>IF(基因升级!M241="","",基因升级!M$140&amp;"+"&amp;基因升级!M241*100&amp;"%")</f>
        <v/>
      </c>
      <c r="E103" t="str">
        <f>IF(基因升级!N241="","",基因升级!N$140&amp;"+"&amp;基因升级!N241*100&amp;"%")</f>
        <v/>
      </c>
      <c r="F103" t="str">
        <f t="shared" si="1"/>
        <v>队长攻击力+76\n队长伤害+5%</v>
      </c>
    </row>
    <row r="104" spans="1:6">
      <c r="A104" t="str">
        <f>基因升级!$J$140&amp;"+"&amp;基因升级!J242</f>
        <v>队长攻击力+76</v>
      </c>
      <c r="B104" t="str">
        <f>IF(基因升级!K242="","",基因升级!K$140&amp;"+"&amp;基因升级!K242*100&amp;"%")</f>
        <v/>
      </c>
      <c r="C104" t="str">
        <f>IF(基因升级!L242="","",基因升级!L$140&amp;"+"&amp;基因升级!L242*100&amp;"%")</f>
        <v/>
      </c>
      <c r="D104" t="str">
        <f>IF(基因升级!M242="","",基因升级!M$140&amp;"+"&amp;基因升级!M242*100&amp;"%")</f>
        <v/>
      </c>
      <c r="E104" t="str">
        <f>IF(基因升级!N242="","",基因升级!N$140&amp;"+"&amp;基因升级!N242*100&amp;"%")</f>
        <v>队长技能冷却+0.75%</v>
      </c>
      <c r="F104" t="str">
        <f t="shared" si="1"/>
        <v>队长攻击力+76\n队长技能冷却+0.75%</v>
      </c>
    </row>
    <row r="105" spans="1:6">
      <c r="A105" t="str">
        <f>基因升级!$J$140&amp;"+"&amp;基因升级!J243</f>
        <v>队长攻击力+76</v>
      </c>
      <c r="B105" t="str">
        <f>IF(基因升级!K243="","",基因升级!K$140&amp;"+"&amp;基因升级!K243*100&amp;"%")</f>
        <v/>
      </c>
      <c r="C105" t="str">
        <f>IF(基因升级!L243="","",基因升级!L$140&amp;"+"&amp;基因升级!L243*100&amp;"%")</f>
        <v/>
      </c>
      <c r="D105" t="str">
        <f>IF(基因升级!M243="","",基因升级!M$140&amp;"+"&amp;基因升级!M243*100&amp;"%")</f>
        <v>队长暴击++0.2%</v>
      </c>
      <c r="E105" t="str">
        <f>IF(基因升级!N243="","",基因升级!N$140&amp;"+"&amp;基因升级!N243*100&amp;"%")</f>
        <v/>
      </c>
      <c r="F105" t="str">
        <f t="shared" si="1"/>
        <v>队长攻击力+76\n队长暴击++0.2%</v>
      </c>
    </row>
    <row r="106" spans="1:6">
      <c r="A106" t="str">
        <f>基因升级!$J$140&amp;"+"&amp;基因升级!J244</f>
        <v>队长攻击力+76</v>
      </c>
      <c r="B106" t="str">
        <f>IF(基因升级!K244="","",基因升级!K$140&amp;"+"&amp;基因升级!K244*100&amp;"%")</f>
        <v/>
      </c>
      <c r="C106" t="str">
        <f>IF(基因升级!L244="","",基因升级!L$140&amp;"+"&amp;基因升级!L244*100&amp;"%")</f>
        <v>队长暴击伤害+3%</v>
      </c>
      <c r="D106" t="str">
        <f>IF(基因升级!M244="","",基因升级!M$140&amp;"+"&amp;基因升级!M244*100&amp;"%")</f>
        <v/>
      </c>
      <c r="E106" t="str">
        <f>IF(基因升级!N244="","",基因升级!N$140&amp;"+"&amp;基因升级!N244*100&amp;"%")</f>
        <v/>
      </c>
      <c r="F106" t="str">
        <f t="shared" si="1"/>
        <v>队长攻击力+76\n队长暴击伤害+3%</v>
      </c>
    </row>
    <row r="107" spans="1:6">
      <c r="A107" t="str">
        <f>基因升级!$J$140&amp;"+"&amp;基因升级!J245</f>
        <v>队长攻击力+82</v>
      </c>
      <c r="B107" t="str">
        <f>IF(基因升级!K245="","",基因升级!K$140&amp;"+"&amp;基因升级!K245*100&amp;"%")</f>
        <v>队长伤害+5%</v>
      </c>
      <c r="C107" t="str">
        <f>IF(基因升级!L245="","",基因升级!L$140&amp;"+"&amp;基因升级!L245*100&amp;"%")</f>
        <v/>
      </c>
      <c r="D107" t="str">
        <f>IF(基因升级!M245="","",基因升级!M$140&amp;"+"&amp;基因升级!M245*100&amp;"%")</f>
        <v/>
      </c>
      <c r="E107" t="str">
        <f>IF(基因升级!N245="","",基因升级!N$140&amp;"+"&amp;基因升级!N245*100&amp;"%")</f>
        <v/>
      </c>
      <c r="F107" t="str">
        <f t="shared" si="1"/>
        <v>队长攻击力+82\n队长伤害+5%</v>
      </c>
    </row>
    <row r="108" spans="1:6">
      <c r="A108" t="str">
        <f>基因升级!$J$140&amp;"+"&amp;基因升级!J246</f>
        <v>队长攻击力+82</v>
      </c>
      <c r="B108" t="str">
        <f>IF(基因升级!K246="","",基因升级!K$140&amp;"+"&amp;基因升级!K246*100&amp;"%")</f>
        <v/>
      </c>
      <c r="C108" t="str">
        <f>IF(基因升级!L246="","",基因升级!L$140&amp;"+"&amp;基因升级!L246*100&amp;"%")</f>
        <v/>
      </c>
      <c r="D108" t="str">
        <f>IF(基因升级!M246="","",基因升级!M$140&amp;"+"&amp;基因升级!M246*100&amp;"%")</f>
        <v/>
      </c>
      <c r="E108" t="str">
        <f>IF(基因升级!N246="","",基因升级!N$140&amp;"+"&amp;基因升级!N246*100&amp;"%")</f>
        <v>队长技能冷却+0.75%</v>
      </c>
      <c r="F108" t="str">
        <f t="shared" si="1"/>
        <v>队长攻击力+82\n队长技能冷却+0.75%</v>
      </c>
    </row>
    <row r="109" spans="1:6">
      <c r="A109" t="str">
        <f>基因升级!$J$140&amp;"+"&amp;基因升级!J247</f>
        <v>队长攻击力+82</v>
      </c>
      <c r="B109" t="str">
        <f>IF(基因升级!K247="","",基因升级!K$140&amp;"+"&amp;基因升级!K247*100&amp;"%")</f>
        <v/>
      </c>
      <c r="C109" t="str">
        <f>IF(基因升级!L247="","",基因升级!L$140&amp;"+"&amp;基因升级!L247*100&amp;"%")</f>
        <v/>
      </c>
      <c r="D109" t="str">
        <f>IF(基因升级!M247="","",基因升级!M$140&amp;"+"&amp;基因升级!M247*100&amp;"%")</f>
        <v>队长暴击++0.2%</v>
      </c>
      <c r="E109" t="str">
        <f>IF(基因升级!N247="","",基因升级!N$140&amp;"+"&amp;基因升级!N247*100&amp;"%")</f>
        <v/>
      </c>
      <c r="F109" t="str">
        <f t="shared" si="1"/>
        <v>队长攻击力+82\n队长暴击++0.2%</v>
      </c>
    </row>
    <row r="110" spans="1:6">
      <c r="A110" t="str">
        <f>基因升级!$J$140&amp;"+"&amp;基因升级!J248</f>
        <v>队长攻击力+82</v>
      </c>
      <c r="B110" t="str">
        <f>IF(基因升级!K248="","",基因升级!K$140&amp;"+"&amp;基因升级!K248*100&amp;"%")</f>
        <v/>
      </c>
      <c r="C110" t="str">
        <f>IF(基因升级!L248="","",基因升级!L$140&amp;"+"&amp;基因升级!L248*100&amp;"%")</f>
        <v>队长暴击伤害+3%</v>
      </c>
      <c r="D110" t="str">
        <f>IF(基因升级!M248="","",基因升级!M$140&amp;"+"&amp;基因升级!M248*100&amp;"%")</f>
        <v/>
      </c>
      <c r="E110" t="str">
        <f>IF(基因升级!N248="","",基因升级!N$140&amp;"+"&amp;基因升级!N248*100&amp;"%")</f>
        <v/>
      </c>
      <c r="F110" t="str">
        <f t="shared" si="1"/>
        <v>队长攻击力+82\n队长暴击伤害+3%</v>
      </c>
    </row>
    <row r="111" spans="1:6">
      <c r="A111" t="str">
        <f>基因升级!$J$140&amp;"+"&amp;基因升级!J249</f>
        <v>队长攻击力+82</v>
      </c>
      <c r="B111" t="str">
        <f>IF(基因升级!K249="","",基因升级!K$140&amp;"+"&amp;基因升级!K249*100&amp;"%")</f>
        <v>队长伤害+5%</v>
      </c>
      <c r="C111" t="str">
        <f>IF(基因升级!L249="","",基因升级!L$140&amp;"+"&amp;基因升级!L249*100&amp;"%")</f>
        <v/>
      </c>
      <c r="D111" t="str">
        <f>IF(基因升级!M249="","",基因升级!M$140&amp;"+"&amp;基因升级!M249*100&amp;"%")</f>
        <v/>
      </c>
      <c r="E111" t="str">
        <f>IF(基因升级!N249="","",基因升级!N$140&amp;"+"&amp;基因升级!N249*100&amp;"%")</f>
        <v/>
      </c>
      <c r="F111" t="str">
        <f t="shared" si="1"/>
        <v>队长攻击力+82\n队长伤害+5%</v>
      </c>
    </row>
    <row r="112" spans="1:6">
      <c r="A112" t="str">
        <f>基因升级!$J$140&amp;"+"&amp;基因升级!J250</f>
        <v>队长攻击力+82</v>
      </c>
      <c r="B112" t="str">
        <f>IF(基因升级!K250="","",基因升级!K$140&amp;"+"&amp;基因升级!K250*100&amp;"%")</f>
        <v/>
      </c>
      <c r="C112" t="str">
        <f>IF(基因升级!L250="","",基因升级!L$140&amp;"+"&amp;基因升级!L250*100&amp;"%")</f>
        <v/>
      </c>
      <c r="D112" t="str">
        <f>IF(基因升级!M250="","",基因升级!M$140&amp;"+"&amp;基因升级!M250*100&amp;"%")</f>
        <v/>
      </c>
      <c r="E112" t="str">
        <f>IF(基因升级!N250="","",基因升级!N$140&amp;"+"&amp;基因升级!N250*100&amp;"%")</f>
        <v>队长技能冷却+0.75%</v>
      </c>
      <c r="F112" t="str">
        <f t="shared" si="1"/>
        <v>队长攻击力+82\n队长技能冷却+0.75%</v>
      </c>
    </row>
    <row r="113" spans="1:6">
      <c r="A113" t="str">
        <f>基因升级!$J$140&amp;"+"&amp;基因升级!J251</f>
        <v>队长攻击力+82</v>
      </c>
      <c r="B113" t="str">
        <f>IF(基因升级!K251="","",基因升级!K$140&amp;"+"&amp;基因升级!K251*100&amp;"%")</f>
        <v/>
      </c>
      <c r="C113" t="str">
        <f>IF(基因升级!L251="","",基因升级!L$140&amp;"+"&amp;基因升级!L251*100&amp;"%")</f>
        <v/>
      </c>
      <c r="D113" t="str">
        <f>IF(基因升级!M251="","",基因升级!M$140&amp;"+"&amp;基因升级!M251*100&amp;"%")</f>
        <v>队长暴击++0.2%</v>
      </c>
      <c r="E113" t="str">
        <f>IF(基因升级!N251="","",基因升级!N$140&amp;"+"&amp;基因升级!N251*100&amp;"%")</f>
        <v/>
      </c>
      <c r="F113" t="str">
        <f t="shared" si="1"/>
        <v>队长攻击力+82\n队长暴击++0.2%</v>
      </c>
    </row>
    <row r="114" spans="1:6">
      <c r="A114" t="str">
        <f>基因升级!$J$140&amp;"+"&amp;基因升级!J252</f>
        <v>队长攻击力+82</v>
      </c>
      <c r="B114" t="str">
        <f>IF(基因升级!K252="","",基因升级!K$140&amp;"+"&amp;基因升级!K252*100&amp;"%")</f>
        <v/>
      </c>
      <c r="C114" t="str">
        <f>IF(基因升级!L252="","",基因升级!L$140&amp;"+"&amp;基因升级!L252*100&amp;"%")</f>
        <v>队长暴击伤害+3%</v>
      </c>
      <c r="D114" t="str">
        <f>IF(基因升级!M252="","",基因升级!M$140&amp;"+"&amp;基因升级!M252*100&amp;"%")</f>
        <v/>
      </c>
      <c r="E114" t="str">
        <f>IF(基因升级!N252="","",基因升级!N$140&amp;"+"&amp;基因升级!N252*100&amp;"%")</f>
        <v/>
      </c>
      <c r="F114" t="str">
        <f t="shared" si="1"/>
        <v>队长攻击力+82\n队长暴击伤害+3%</v>
      </c>
    </row>
    <row r="115" spans="1:6">
      <c r="A115" t="str">
        <f>基因升级!$J$140&amp;"+"&amp;基因升级!J253</f>
        <v>队长攻击力+88</v>
      </c>
      <c r="B115" t="str">
        <f>IF(基因升级!K253="","",基因升级!K$140&amp;"+"&amp;基因升级!K253*100&amp;"%")</f>
        <v>队长伤害+5%</v>
      </c>
      <c r="C115" t="str">
        <f>IF(基因升级!L253="","",基因升级!L$140&amp;"+"&amp;基因升级!L253*100&amp;"%")</f>
        <v/>
      </c>
      <c r="D115" t="str">
        <f>IF(基因升级!M253="","",基因升级!M$140&amp;"+"&amp;基因升级!M253*100&amp;"%")</f>
        <v/>
      </c>
      <c r="E115" t="str">
        <f>IF(基因升级!N253="","",基因升级!N$140&amp;"+"&amp;基因升级!N253*100&amp;"%")</f>
        <v/>
      </c>
      <c r="F115" t="str">
        <f t="shared" si="1"/>
        <v>队长攻击力+88\n队长伤害+5%</v>
      </c>
    </row>
    <row r="116" spans="1:6">
      <c r="A116" t="str">
        <f>基因升级!$J$140&amp;"+"&amp;基因升级!J254</f>
        <v>队长攻击力+88</v>
      </c>
      <c r="B116" t="str">
        <f>IF(基因升级!K254="","",基因升级!K$140&amp;"+"&amp;基因升级!K254*100&amp;"%")</f>
        <v/>
      </c>
      <c r="C116" t="str">
        <f>IF(基因升级!L254="","",基因升级!L$140&amp;"+"&amp;基因升级!L254*100&amp;"%")</f>
        <v/>
      </c>
      <c r="D116" t="str">
        <f>IF(基因升级!M254="","",基因升级!M$140&amp;"+"&amp;基因升级!M254*100&amp;"%")</f>
        <v/>
      </c>
      <c r="E116" t="str">
        <f>IF(基因升级!N254="","",基因升级!N$140&amp;"+"&amp;基因升级!N254*100&amp;"%")</f>
        <v>队长技能冷却+0.75%</v>
      </c>
      <c r="F116" t="str">
        <f t="shared" si="1"/>
        <v>队长攻击力+88\n队长技能冷却+0.75%</v>
      </c>
    </row>
    <row r="117" spans="1:6">
      <c r="A117" t="str">
        <f>基因升级!$J$140&amp;"+"&amp;基因升级!J255</f>
        <v>队长攻击力+88</v>
      </c>
      <c r="B117" t="str">
        <f>IF(基因升级!K255="","",基因升级!K$140&amp;"+"&amp;基因升级!K255*100&amp;"%")</f>
        <v/>
      </c>
      <c r="C117" t="str">
        <f>IF(基因升级!L255="","",基因升级!L$140&amp;"+"&amp;基因升级!L255*100&amp;"%")</f>
        <v/>
      </c>
      <c r="D117" t="str">
        <f>IF(基因升级!M255="","",基因升级!M$140&amp;"+"&amp;基因升级!M255*100&amp;"%")</f>
        <v>队长暴击++0.2%</v>
      </c>
      <c r="E117" t="str">
        <f>IF(基因升级!N255="","",基因升级!N$140&amp;"+"&amp;基因升级!N255*100&amp;"%")</f>
        <v/>
      </c>
      <c r="F117" t="str">
        <f t="shared" si="1"/>
        <v>队长攻击力+88\n队长暴击++0.2%</v>
      </c>
    </row>
    <row r="118" spans="1:6">
      <c r="A118" t="str">
        <f>基因升级!$J$140&amp;"+"&amp;基因升级!J256</f>
        <v>队长攻击力+88</v>
      </c>
      <c r="B118" t="str">
        <f>IF(基因升级!K256="","",基因升级!K$140&amp;"+"&amp;基因升级!K256*100&amp;"%")</f>
        <v/>
      </c>
      <c r="C118" t="str">
        <f>IF(基因升级!L256="","",基因升级!L$140&amp;"+"&amp;基因升级!L256*100&amp;"%")</f>
        <v>队长暴击伤害+3%</v>
      </c>
      <c r="D118" t="str">
        <f>IF(基因升级!M256="","",基因升级!M$140&amp;"+"&amp;基因升级!M256*100&amp;"%")</f>
        <v/>
      </c>
      <c r="E118" t="str">
        <f>IF(基因升级!N256="","",基因升级!N$140&amp;"+"&amp;基因升级!N256*100&amp;"%")</f>
        <v/>
      </c>
      <c r="F118" t="str">
        <f t="shared" si="1"/>
        <v>队长攻击力+88\n队长暴击伤害+3%</v>
      </c>
    </row>
    <row r="119" spans="1:6">
      <c r="A119" t="str">
        <f>基因升级!$J$140&amp;"+"&amp;基因升级!J257</f>
        <v>队长攻击力+88</v>
      </c>
      <c r="B119" t="str">
        <f>IF(基因升级!K257="","",基因升级!K$140&amp;"+"&amp;基因升级!K257*100&amp;"%")</f>
        <v>队长伤害+5%</v>
      </c>
      <c r="C119" t="str">
        <f>IF(基因升级!L257="","",基因升级!L$140&amp;"+"&amp;基因升级!L257*100&amp;"%")</f>
        <v/>
      </c>
      <c r="D119" t="str">
        <f>IF(基因升级!M257="","",基因升级!M$140&amp;"+"&amp;基因升级!M257*100&amp;"%")</f>
        <v/>
      </c>
      <c r="E119" t="str">
        <f>IF(基因升级!N257="","",基因升级!N$140&amp;"+"&amp;基因升级!N257*100&amp;"%")</f>
        <v/>
      </c>
      <c r="F119" t="str">
        <f t="shared" si="1"/>
        <v>队长攻击力+88\n队长伤害+5%</v>
      </c>
    </row>
    <row r="120" spans="1:6">
      <c r="A120" t="str">
        <f>基因升级!$J$140&amp;"+"&amp;基因升级!J258</f>
        <v>队长攻击力+88</v>
      </c>
      <c r="B120" t="str">
        <f>IF(基因升级!K258="","",基因升级!K$140&amp;"+"&amp;基因升级!K258*100&amp;"%")</f>
        <v/>
      </c>
      <c r="C120" t="str">
        <f>IF(基因升级!L258="","",基因升级!L$140&amp;"+"&amp;基因升级!L258*100&amp;"%")</f>
        <v/>
      </c>
      <c r="D120" t="str">
        <f>IF(基因升级!M258="","",基因升级!M$140&amp;"+"&amp;基因升级!M258*100&amp;"%")</f>
        <v/>
      </c>
      <c r="E120" t="str">
        <f>IF(基因升级!N258="","",基因升级!N$140&amp;"+"&amp;基因升级!N258*100&amp;"%")</f>
        <v>队长技能冷却+0.75%</v>
      </c>
      <c r="F120" t="str">
        <f t="shared" si="1"/>
        <v>队长攻击力+88\n队长技能冷却+0.75%</v>
      </c>
    </row>
    <row r="121" spans="1:6">
      <c r="A121" t="str">
        <f>基因升级!$J$140&amp;"+"&amp;基因升级!J259</f>
        <v>队长攻击力+88</v>
      </c>
      <c r="B121" t="str">
        <f>IF(基因升级!K259="","",基因升级!K$140&amp;"+"&amp;基因升级!K259*100&amp;"%")</f>
        <v/>
      </c>
      <c r="C121" t="str">
        <f>IF(基因升级!L259="","",基因升级!L$140&amp;"+"&amp;基因升级!L259*100&amp;"%")</f>
        <v/>
      </c>
      <c r="D121" t="str">
        <f>IF(基因升级!M259="","",基因升级!M$140&amp;"+"&amp;基因升级!M259*100&amp;"%")</f>
        <v>队长暴击++0.2%</v>
      </c>
      <c r="E121" t="str">
        <f>IF(基因升级!N259="","",基因升级!N$140&amp;"+"&amp;基因升级!N259*100&amp;"%")</f>
        <v/>
      </c>
      <c r="F121" t="str">
        <f t="shared" si="1"/>
        <v>队长攻击力+88\n队长暴击++0.2%</v>
      </c>
    </row>
    <row r="122" spans="1:6">
      <c r="A122" t="str">
        <f>基因升级!$J$140&amp;"+"&amp;基因升级!J260</f>
        <v>队长攻击力+88</v>
      </c>
      <c r="B122" t="str">
        <f>IF(基因升级!K260="","",基因升级!K$140&amp;"+"&amp;基因升级!K260*100&amp;"%")</f>
        <v/>
      </c>
      <c r="C122" t="str">
        <f>IF(基因升级!L260="","",基因升级!L$140&amp;"+"&amp;基因升级!L260*100&amp;"%")</f>
        <v>队长暴击伤害+3%</v>
      </c>
      <c r="D122" t="str">
        <f>IF(基因升级!M260="","",基因升级!M$140&amp;"+"&amp;基因升级!M260*100&amp;"%")</f>
        <v/>
      </c>
      <c r="E122" t="str">
        <f>IF(基因升级!N260="","",基因升级!N$140&amp;"+"&amp;基因升级!N260*100&amp;"%")</f>
        <v/>
      </c>
      <c r="F122" t="str">
        <f t="shared" si="1"/>
        <v>队长攻击力+88\n队长暴击伤害+3%</v>
      </c>
    </row>
    <row r="123" spans="1:6">
      <c r="A123" t="str">
        <f>基因升级!$J$140&amp;"+"&amp;基因升级!J261</f>
        <v>队长攻击力+94</v>
      </c>
      <c r="B123" t="str">
        <f>IF(基因升级!K261="","",基因升级!K$140&amp;"+"&amp;基因升级!K261*100&amp;"%")</f>
        <v>队长伤害+5%</v>
      </c>
      <c r="C123" t="str">
        <f>IF(基因升级!L261="","",基因升级!L$140&amp;"+"&amp;基因升级!L261*100&amp;"%")</f>
        <v/>
      </c>
      <c r="D123" t="str">
        <f>IF(基因升级!M261="","",基因升级!M$140&amp;"+"&amp;基因升级!M261*100&amp;"%")</f>
        <v/>
      </c>
      <c r="E123" t="str">
        <f>IF(基因升级!N261="","",基因升级!N$140&amp;"+"&amp;基因升级!N261*100&amp;"%")</f>
        <v/>
      </c>
      <c r="F123" t="str">
        <f t="shared" si="1"/>
        <v>队长攻击力+94\n队长伤害+5%</v>
      </c>
    </row>
    <row r="124" spans="1:6">
      <c r="A124" t="str">
        <f>基因升级!$J$140&amp;"+"&amp;基因升级!J262</f>
        <v>队长攻击力+94</v>
      </c>
      <c r="B124" t="str">
        <f>IF(基因升级!K262="","",基因升级!K$140&amp;"+"&amp;基因升级!K262*100&amp;"%")</f>
        <v/>
      </c>
      <c r="C124" t="str">
        <f>IF(基因升级!L262="","",基因升级!L$140&amp;"+"&amp;基因升级!L262*100&amp;"%")</f>
        <v/>
      </c>
      <c r="D124" t="str">
        <f>IF(基因升级!M262="","",基因升级!M$140&amp;"+"&amp;基因升级!M262*100&amp;"%")</f>
        <v/>
      </c>
      <c r="E124" t="str">
        <f>IF(基因升级!N262="","",基因升级!N$140&amp;"+"&amp;基因升级!N262*100&amp;"%")</f>
        <v>队长技能冷却+0.75%</v>
      </c>
      <c r="F124" t="str">
        <f t="shared" si="1"/>
        <v>队长攻击力+94\n队长技能冷却+0.75%</v>
      </c>
    </row>
    <row r="125" spans="1:6">
      <c r="A125" t="str">
        <f>基因升级!$J$140&amp;"+"&amp;基因升级!J263</f>
        <v>队长攻击力+94</v>
      </c>
      <c r="B125" t="str">
        <f>IF(基因升级!K263="","",基因升级!K$140&amp;"+"&amp;基因升级!K263*100&amp;"%")</f>
        <v/>
      </c>
      <c r="C125" t="str">
        <f>IF(基因升级!L263="","",基因升级!L$140&amp;"+"&amp;基因升级!L263*100&amp;"%")</f>
        <v/>
      </c>
      <c r="D125" t="str">
        <f>IF(基因升级!M263="","",基因升级!M$140&amp;"+"&amp;基因升级!M263*100&amp;"%")</f>
        <v>队长暴击++0.2%</v>
      </c>
      <c r="E125" t="str">
        <f>IF(基因升级!N263="","",基因升级!N$140&amp;"+"&amp;基因升级!N263*100&amp;"%")</f>
        <v/>
      </c>
      <c r="F125" t="str">
        <f t="shared" si="1"/>
        <v>队长攻击力+94\n队长暴击++0.2%</v>
      </c>
    </row>
    <row r="126" spans="1:6">
      <c r="A126" t="str">
        <f>基因升级!$J$140&amp;"+"&amp;基因升级!J264</f>
        <v>队长攻击力+94</v>
      </c>
      <c r="B126" t="str">
        <f>IF(基因升级!K264="","",基因升级!K$140&amp;"+"&amp;基因升级!K264*100&amp;"%")</f>
        <v/>
      </c>
      <c r="C126" t="str">
        <f>IF(基因升级!L264="","",基因升级!L$140&amp;"+"&amp;基因升级!L264*100&amp;"%")</f>
        <v>队长暴击伤害+3%</v>
      </c>
      <c r="D126" t="str">
        <f>IF(基因升级!M264="","",基因升级!M$140&amp;"+"&amp;基因升级!M264*100&amp;"%")</f>
        <v/>
      </c>
      <c r="E126" t="str">
        <f>IF(基因升级!N264="","",基因升级!N$140&amp;"+"&amp;基因升级!N264*100&amp;"%")</f>
        <v/>
      </c>
      <c r="F126" t="str">
        <f t="shared" si="1"/>
        <v>队长攻击力+94\n队长暴击伤害+3%</v>
      </c>
    </row>
    <row r="127" spans="1:6">
      <c r="A127" t="str">
        <f>基因升级!$J$140&amp;"+"&amp;基因升级!J265</f>
        <v>队长攻击力+94</v>
      </c>
      <c r="B127" t="str">
        <f>IF(基因升级!K265="","",基因升级!K$140&amp;"+"&amp;基因升级!K265*100&amp;"%")</f>
        <v>队长伤害+5%</v>
      </c>
      <c r="C127" t="str">
        <f>IF(基因升级!L265="","",基因升级!L$140&amp;"+"&amp;基因升级!L265*100&amp;"%")</f>
        <v/>
      </c>
      <c r="D127" t="str">
        <f>IF(基因升级!M265="","",基因升级!M$140&amp;"+"&amp;基因升级!M265*100&amp;"%")</f>
        <v/>
      </c>
      <c r="E127" t="str">
        <f>IF(基因升级!N265="","",基因升级!N$140&amp;"+"&amp;基因升级!N265*100&amp;"%")</f>
        <v/>
      </c>
      <c r="F127" t="str">
        <f t="shared" si="1"/>
        <v>队长攻击力+94\n队长伤害+5%</v>
      </c>
    </row>
    <row r="128" spans="1:6">
      <c r="A128" t="str">
        <f>基因升级!$J$140&amp;"+"&amp;基因升级!J266</f>
        <v>队长攻击力+94</v>
      </c>
      <c r="B128" t="str">
        <f>IF(基因升级!K266="","",基因升级!K$140&amp;"+"&amp;基因升级!K266*100&amp;"%")</f>
        <v/>
      </c>
      <c r="C128" t="str">
        <f>IF(基因升级!L266="","",基因升级!L$140&amp;"+"&amp;基因升级!L266*100&amp;"%")</f>
        <v/>
      </c>
      <c r="D128" t="str">
        <f>IF(基因升级!M266="","",基因升级!M$140&amp;"+"&amp;基因升级!M266*100&amp;"%")</f>
        <v/>
      </c>
      <c r="E128" t="str">
        <f>IF(基因升级!N266="","",基因升级!N$140&amp;"+"&amp;基因升级!N266*100&amp;"%")</f>
        <v>队长技能冷却+0.75%</v>
      </c>
      <c r="F128" t="str">
        <f t="shared" si="1"/>
        <v>队长攻击力+94\n队长技能冷却+0.75%</v>
      </c>
    </row>
    <row r="129" spans="1:6">
      <c r="A129" t="str">
        <f>基因升级!$J$140&amp;"+"&amp;基因升级!J267</f>
        <v>队长攻击力+94</v>
      </c>
      <c r="B129" t="str">
        <f>IF(基因升级!K267="","",基因升级!K$140&amp;"+"&amp;基因升级!K267*100&amp;"%")</f>
        <v/>
      </c>
      <c r="C129" t="str">
        <f>IF(基因升级!L267="","",基因升级!L$140&amp;"+"&amp;基因升级!L267*100&amp;"%")</f>
        <v/>
      </c>
      <c r="D129" t="str">
        <f>IF(基因升级!M267="","",基因升级!M$140&amp;"+"&amp;基因升级!M267*100&amp;"%")</f>
        <v>队长暴击++0.2%</v>
      </c>
      <c r="E129" t="str">
        <f>IF(基因升级!N267="","",基因升级!N$140&amp;"+"&amp;基因升级!N267*100&amp;"%")</f>
        <v/>
      </c>
      <c r="F129" t="str">
        <f t="shared" si="1"/>
        <v>队长攻击力+94\n队长暴击++0.2%</v>
      </c>
    </row>
    <row r="130" spans="1:6">
      <c r="A130" t="str">
        <f>基因升级!$J$140&amp;"+"&amp;基因升级!J268</f>
        <v>队长攻击力+94</v>
      </c>
      <c r="B130" t="str">
        <f>IF(基因升级!K268="","",基因升级!K$140&amp;"+"&amp;基因升级!K268*100&amp;"%")</f>
        <v/>
      </c>
      <c r="C130" t="str">
        <f>IF(基因升级!L268="","",基因升级!L$140&amp;"+"&amp;基因升级!L268*100&amp;"%")</f>
        <v>队长暴击伤害+3%</v>
      </c>
      <c r="D130" t="str">
        <f>IF(基因升级!M268="","",基因升级!M$140&amp;"+"&amp;基因升级!M268*100&amp;"%")</f>
        <v/>
      </c>
      <c r="E130" t="str">
        <f>IF(基因升级!N268="","",基因升级!N$140&amp;"+"&amp;基因升级!N268*100&amp;"%")</f>
        <v/>
      </c>
      <c r="F130" t="str">
        <f t="shared" si="1"/>
        <v>队长攻击力+94\n队长暴击伤害+3%</v>
      </c>
    </row>
    <row r="131" spans="1:6">
      <c r="A131" t="str">
        <f>基因升级!$J$140&amp;"+"&amp;基因升级!J269</f>
        <v>队长攻击力+94</v>
      </c>
      <c r="B131" t="str">
        <f>IF(基因升级!K269="","",基因升级!K$140&amp;"+"&amp;基因升级!K269*100&amp;"%")</f>
        <v>队长伤害+5%</v>
      </c>
      <c r="C131" t="str">
        <f>IF(基因升级!L269="","",基因升级!L$140&amp;"+"&amp;基因升级!L269*100&amp;"%")</f>
        <v/>
      </c>
      <c r="D131" t="str">
        <f>IF(基因升级!M269="","",基因升级!M$140&amp;"+"&amp;基因升级!M269*100&amp;"%")</f>
        <v/>
      </c>
      <c r="E131" t="str">
        <f>IF(基因升级!N269="","",基因升级!N$140&amp;"+"&amp;基因升级!N269*100&amp;"%")</f>
        <v/>
      </c>
      <c r="F131" t="str">
        <f t="shared" si="1"/>
        <v>队长攻击力+94\n队长伤害+5%</v>
      </c>
    </row>
    <row r="132" spans="1:6">
      <c r="A132" t="str">
        <f>基因升级!$J$140&amp;"+"&amp;基因升级!J270</f>
        <v>队长攻击力+94</v>
      </c>
      <c r="B132" t="str">
        <f>IF(基因升级!K270="","",基因升级!K$140&amp;"+"&amp;基因升级!K270*100&amp;"%")</f>
        <v/>
      </c>
      <c r="C132" t="str">
        <f>IF(基因升级!L270="","",基因升级!L$140&amp;"+"&amp;基因升级!L270*100&amp;"%")</f>
        <v/>
      </c>
      <c r="D132" t="str">
        <f>IF(基因升级!M270="","",基因升级!M$140&amp;"+"&amp;基因升级!M270*100&amp;"%")</f>
        <v/>
      </c>
      <c r="E132" t="str">
        <f>IF(基因升级!N270="","",基因升级!N$140&amp;"+"&amp;基因升级!N270*100&amp;"%")</f>
        <v>队长技能冷却+0.75%</v>
      </c>
      <c r="F132" t="str">
        <f t="shared" ref="F132:F195" si="2">_xlfn.TEXTJOIN("\n",1,A132:E132)</f>
        <v>队长攻击力+94\n队长技能冷却+0.75%</v>
      </c>
    </row>
    <row r="133" spans="1:6">
      <c r="A133" t="str">
        <f>基因升级!$J$140&amp;"+"&amp;基因升级!J271</f>
        <v>队长攻击力+94</v>
      </c>
      <c r="B133" t="str">
        <f>IF(基因升级!K271="","",基因升级!K$140&amp;"+"&amp;基因升级!K271*100&amp;"%")</f>
        <v/>
      </c>
      <c r="C133" t="str">
        <f>IF(基因升级!L271="","",基因升级!L$140&amp;"+"&amp;基因升级!L271*100&amp;"%")</f>
        <v/>
      </c>
      <c r="D133" t="str">
        <f>IF(基因升级!M271="","",基因升级!M$140&amp;"+"&amp;基因升级!M271*100&amp;"%")</f>
        <v>队长暴击++0.2%</v>
      </c>
      <c r="E133" t="str">
        <f>IF(基因升级!N271="","",基因升级!N$140&amp;"+"&amp;基因升级!N271*100&amp;"%")</f>
        <v/>
      </c>
      <c r="F133" t="str">
        <f t="shared" si="2"/>
        <v>队长攻击力+94\n队长暴击++0.2%</v>
      </c>
    </row>
    <row r="134" spans="1:6">
      <c r="A134" t="str">
        <f>基因升级!$J$140&amp;"+"&amp;基因升级!J272</f>
        <v>队长攻击力+94</v>
      </c>
      <c r="B134" t="str">
        <f>IF(基因升级!K272="","",基因升级!K$140&amp;"+"&amp;基因升级!K272*100&amp;"%")</f>
        <v/>
      </c>
      <c r="C134" t="str">
        <f>IF(基因升级!L272="","",基因升级!L$140&amp;"+"&amp;基因升级!L272*100&amp;"%")</f>
        <v>队长暴击伤害+3%</v>
      </c>
      <c r="D134" t="str">
        <f>IF(基因升级!M272="","",基因升级!M$140&amp;"+"&amp;基因升级!M272*100&amp;"%")</f>
        <v/>
      </c>
      <c r="E134" t="str">
        <f>IF(基因升级!N272="","",基因升级!N$140&amp;"+"&amp;基因升级!N272*100&amp;"%")</f>
        <v/>
      </c>
      <c r="F134" t="str">
        <f t="shared" si="2"/>
        <v>队长攻击力+94\n队长暴击伤害+3%</v>
      </c>
    </row>
    <row r="135" spans="1:6">
      <c r="A135" t="str">
        <f>基因升级!$J$140&amp;"+"&amp;基因升级!J273</f>
        <v>队长攻击力+94</v>
      </c>
      <c r="B135" t="str">
        <f>IF(基因升级!K273="","",基因升级!K$140&amp;"+"&amp;基因升级!K273*100&amp;"%")</f>
        <v>队长伤害+5%</v>
      </c>
      <c r="C135" t="str">
        <f>IF(基因升级!L273="","",基因升级!L$140&amp;"+"&amp;基因升级!L273*100&amp;"%")</f>
        <v/>
      </c>
      <c r="D135" t="str">
        <f>IF(基因升级!M273="","",基因升级!M$140&amp;"+"&amp;基因升级!M273*100&amp;"%")</f>
        <v/>
      </c>
      <c r="E135" t="str">
        <f>IF(基因升级!N273="","",基因升级!N$140&amp;"+"&amp;基因升级!N273*100&amp;"%")</f>
        <v/>
      </c>
      <c r="F135" t="str">
        <f t="shared" si="2"/>
        <v>队长攻击力+94\n队长伤害+5%</v>
      </c>
    </row>
    <row r="136" spans="1:6">
      <c r="A136" t="str">
        <f>基因升级!$J$140&amp;"+"&amp;基因升级!J274</f>
        <v>队长攻击力+94</v>
      </c>
      <c r="B136" t="str">
        <f>IF(基因升级!K274="","",基因升级!K$140&amp;"+"&amp;基因升级!K274*100&amp;"%")</f>
        <v/>
      </c>
      <c r="C136" t="str">
        <f>IF(基因升级!L274="","",基因升级!L$140&amp;"+"&amp;基因升级!L274*100&amp;"%")</f>
        <v/>
      </c>
      <c r="D136" t="str">
        <f>IF(基因升级!M274="","",基因升级!M$140&amp;"+"&amp;基因升级!M274*100&amp;"%")</f>
        <v/>
      </c>
      <c r="E136" t="str">
        <f>IF(基因升级!N274="","",基因升级!N$140&amp;"+"&amp;基因升级!N274*100&amp;"%")</f>
        <v>队长技能冷却+0.75%</v>
      </c>
      <c r="F136" t="str">
        <f t="shared" si="2"/>
        <v>队长攻击力+94\n队长技能冷却+0.75%</v>
      </c>
    </row>
    <row r="137" spans="1:6">
      <c r="A137" t="str">
        <f>基因升级!$J$140&amp;"+"&amp;基因升级!J275</f>
        <v>队长攻击力+94</v>
      </c>
      <c r="B137" t="str">
        <f>IF(基因升级!K275="","",基因升级!K$140&amp;"+"&amp;基因升级!K275*100&amp;"%")</f>
        <v/>
      </c>
      <c r="C137" t="str">
        <f>IF(基因升级!L275="","",基因升级!L$140&amp;"+"&amp;基因升级!L275*100&amp;"%")</f>
        <v/>
      </c>
      <c r="D137" t="str">
        <f>IF(基因升级!M275="","",基因升级!M$140&amp;"+"&amp;基因升级!M275*100&amp;"%")</f>
        <v>队长暴击++0.2%</v>
      </c>
      <c r="E137" t="str">
        <f>IF(基因升级!N275="","",基因升级!N$140&amp;"+"&amp;基因升级!N275*100&amp;"%")</f>
        <v/>
      </c>
      <c r="F137" t="str">
        <f t="shared" si="2"/>
        <v>队长攻击力+94\n队长暴击++0.2%</v>
      </c>
    </row>
    <row r="138" spans="1:6">
      <c r="A138" t="str">
        <f>基因升级!$J$140&amp;"+"&amp;基因升级!J276</f>
        <v>队长攻击力+94</v>
      </c>
      <c r="B138" t="str">
        <f>IF(基因升级!K276="","",基因升级!K$140&amp;"+"&amp;基因升级!K276*100&amp;"%")</f>
        <v/>
      </c>
      <c r="C138" t="str">
        <f>IF(基因升级!L276="","",基因升级!L$140&amp;"+"&amp;基因升级!L276*100&amp;"%")</f>
        <v>队长暴击伤害+3%</v>
      </c>
      <c r="D138" t="str">
        <f>IF(基因升级!M276="","",基因升级!M$140&amp;"+"&amp;基因升级!M276*100&amp;"%")</f>
        <v/>
      </c>
      <c r="E138" t="str">
        <f>IF(基因升级!N276="","",基因升级!N$140&amp;"+"&amp;基因升级!N276*100&amp;"%")</f>
        <v/>
      </c>
      <c r="F138" t="str">
        <f t="shared" si="2"/>
        <v>队长攻击力+94\n队长暴击伤害+3%</v>
      </c>
    </row>
    <row r="139" spans="1:6">
      <c r="A139" t="str">
        <f>基因升级!$J$140&amp;"+"&amp;基因升级!J277</f>
        <v>队长攻击力+100</v>
      </c>
      <c r="B139" t="str">
        <f>IF(基因升级!K277="","",基因升级!K$140&amp;"+"&amp;基因升级!K277*100&amp;"%")</f>
        <v>队长伤害+5%</v>
      </c>
      <c r="C139" t="str">
        <f>IF(基因升级!L277="","",基因升级!L$140&amp;"+"&amp;基因升级!L277*100&amp;"%")</f>
        <v/>
      </c>
      <c r="D139" t="str">
        <f>IF(基因升级!M277="","",基因升级!M$140&amp;"+"&amp;基因升级!M277*100&amp;"%")</f>
        <v/>
      </c>
      <c r="E139" t="str">
        <f>IF(基因升级!N277="","",基因升级!N$140&amp;"+"&amp;基因升级!N277*100&amp;"%")</f>
        <v/>
      </c>
      <c r="F139" t="str">
        <f t="shared" si="2"/>
        <v>队长攻击力+100\n队长伤害+5%</v>
      </c>
    </row>
    <row r="140" spans="1:6">
      <c r="A140" t="str">
        <f>基因升级!$J$140&amp;"+"&amp;基因升级!J278</f>
        <v>队长攻击力+100</v>
      </c>
      <c r="B140" t="str">
        <f>IF(基因升级!K278="","",基因升级!K$140&amp;"+"&amp;基因升级!K278*100&amp;"%")</f>
        <v/>
      </c>
      <c r="C140" t="str">
        <f>IF(基因升级!L278="","",基因升级!L$140&amp;"+"&amp;基因升级!L278*100&amp;"%")</f>
        <v/>
      </c>
      <c r="D140" t="str">
        <f>IF(基因升级!M278="","",基因升级!M$140&amp;"+"&amp;基因升级!M278*100&amp;"%")</f>
        <v/>
      </c>
      <c r="E140" t="str">
        <f>IF(基因升级!N278="","",基因升级!N$140&amp;"+"&amp;基因升级!N278*100&amp;"%")</f>
        <v>队长技能冷却+0.75%</v>
      </c>
      <c r="F140" t="str">
        <f t="shared" si="2"/>
        <v>队长攻击力+100\n队长技能冷却+0.75%</v>
      </c>
    </row>
    <row r="141" spans="1:6">
      <c r="A141" t="str">
        <f>基因升级!$J$140&amp;"+"&amp;基因升级!J279</f>
        <v>队长攻击力+100</v>
      </c>
      <c r="B141" t="str">
        <f>IF(基因升级!K279="","",基因升级!K$140&amp;"+"&amp;基因升级!K279*100&amp;"%")</f>
        <v/>
      </c>
      <c r="C141" t="str">
        <f>IF(基因升级!L279="","",基因升级!L$140&amp;"+"&amp;基因升级!L279*100&amp;"%")</f>
        <v/>
      </c>
      <c r="D141" t="str">
        <f>IF(基因升级!M279="","",基因升级!M$140&amp;"+"&amp;基因升级!M279*100&amp;"%")</f>
        <v>队长暴击++0.2%</v>
      </c>
      <c r="E141" t="str">
        <f>IF(基因升级!N279="","",基因升级!N$140&amp;"+"&amp;基因升级!N279*100&amp;"%")</f>
        <v/>
      </c>
      <c r="F141" t="str">
        <f t="shared" si="2"/>
        <v>队长攻击力+100\n队长暴击++0.2%</v>
      </c>
    </row>
    <row r="142" spans="1:6">
      <c r="A142" t="str">
        <f>基因升级!$J$140&amp;"+"&amp;基因升级!J280</f>
        <v>队长攻击力+100</v>
      </c>
      <c r="B142" t="str">
        <f>IF(基因升级!K280="","",基因升级!K$140&amp;"+"&amp;基因升级!K280*100&amp;"%")</f>
        <v/>
      </c>
      <c r="C142" t="str">
        <f>IF(基因升级!L280="","",基因升级!L$140&amp;"+"&amp;基因升级!L280*100&amp;"%")</f>
        <v>队长暴击伤害+3%</v>
      </c>
      <c r="D142" t="str">
        <f>IF(基因升级!M280="","",基因升级!M$140&amp;"+"&amp;基因升级!M280*100&amp;"%")</f>
        <v/>
      </c>
      <c r="E142" t="str">
        <f>IF(基因升级!N280="","",基因升级!N$140&amp;"+"&amp;基因升级!N280*100&amp;"%")</f>
        <v/>
      </c>
      <c r="F142" t="str">
        <f t="shared" si="2"/>
        <v>队长攻击力+100\n队长暴击伤害+3%</v>
      </c>
    </row>
    <row r="143" spans="1:6">
      <c r="A143" t="str">
        <f>基因升级!$J$140&amp;"+"&amp;基因升级!J281</f>
        <v>队长攻击力+100</v>
      </c>
      <c r="B143" t="str">
        <f>IF(基因升级!K281="","",基因升级!K$140&amp;"+"&amp;基因升级!K281*100&amp;"%")</f>
        <v>队长伤害+5%</v>
      </c>
      <c r="C143" t="str">
        <f>IF(基因升级!L281="","",基因升级!L$140&amp;"+"&amp;基因升级!L281*100&amp;"%")</f>
        <v/>
      </c>
      <c r="D143" t="str">
        <f>IF(基因升级!M281="","",基因升级!M$140&amp;"+"&amp;基因升级!M281*100&amp;"%")</f>
        <v/>
      </c>
      <c r="E143" t="str">
        <f>IF(基因升级!N281="","",基因升级!N$140&amp;"+"&amp;基因升级!N281*100&amp;"%")</f>
        <v/>
      </c>
      <c r="F143" t="str">
        <f t="shared" si="2"/>
        <v>队长攻击力+100\n队长伤害+5%</v>
      </c>
    </row>
    <row r="144" spans="1:6">
      <c r="A144" t="str">
        <f>基因升级!$J$140&amp;"+"&amp;基因升级!J282</f>
        <v>队长攻击力+100</v>
      </c>
      <c r="B144" t="str">
        <f>IF(基因升级!K282="","",基因升级!K$140&amp;"+"&amp;基因升级!K282*100&amp;"%")</f>
        <v/>
      </c>
      <c r="C144" t="str">
        <f>IF(基因升级!L282="","",基因升级!L$140&amp;"+"&amp;基因升级!L282*100&amp;"%")</f>
        <v/>
      </c>
      <c r="D144" t="str">
        <f>IF(基因升级!M282="","",基因升级!M$140&amp;"+"&amp;基因升级!M282*100&amp;"%")</f>
        <v/>
      </c>
      <c r="E144" t="str">
        <f>IF(基因升级!N282="","",基因升级!N$140&amp;"+"&amp;基因升级!N282*100&amp;"%")</f>
        <v>队长技能冷却+0.75%</v>
      </c>
      <c r="F144" t="str">
        <f t="shared" si="2"/>
        <v>队长攻击力+100\n队长技能冷却+0.75%</v>
      </c>
    </row>
    <row r="145" spans="1:6">
      <c r="A145" t="str">
        <f>基因升级!$J$140&amp;"+"&amp;基因升级!J283</f>
        <v>队长攻击力+100</v>
      </c>
      <c r="B145" t="str">
        <f>IF(基因升级!K283="","",基因升级!K$140&amp;"+"&amp;基因升级!K283*100&amp;"%")</f>
        <v/>
      </c>
      <c r="C145" t="str">
        <f>IF(基因升级!L283="","",基因升级!L$140&amp;"+"&amp;基因升级!L283*100&amp;"%")</f>
        <v/>
      </c>
      <c r="D145" t="str">
        <f>IF(基因升级!M283="","",基因升级!M$140&amp;"+"&amp;基因升级!M283*100&amp;"%")</f>
        <v>队长暴击++0.2%</v>
      </c>
      <c r="E145" t="str">
        <f>IF(基因升级!N283="","",基因升级!N$140&amp;"+"&amp;基因升级!N283*100&amp;"%")</f>
        <v/>
      </c>
      <c r="F145" t="str">
        <f t="shared" si="2"/>
        <v>队长攻击力+100\n队长暴击++0.2%</v>
      </c>
    </row>
    <row r="146" spans="1:6">
      <c r="A146" t="str">
        <f>基因升级!$J$140&amp;"+"&amp;基因升级!J284</f>
        <v>队长攻击力+100</v>
      </c>
      <c r="B146" t="str">
        <f>IF(基因升级!K284="","",基因升级!K$140&amp;"+"&amp;基因升级!K284*100&amp;"%")</f>
        <v/>
      </c>
      <c r="C146" t="str">
        <f>IF(基因升级!L284="","",基因升级!L$140&amp;"+"&amp;基因升级!L284*100&amp;"%")</f>
        <v>队长暴击伤害+3%</v>
      </c>
      <c r="D146" t="str">
        <f>IF(基因升级!M284="","",基因升级!M$140&amp;"+"&amp;基因升级!M284*100&amp;"%")</f>
        <v/>
      </c>
      <c r="E146" t="str">
        <f>IF(基因升级!N284="","",基因升级!N$140&amp;"+"&amp;基因升级!N284*100&amp;"%")</f>
        <v/>
      </c>
      <c r="F146" t="str">
        <f t="shared" si="2"/>
        <v>队长攻击力+100\n队长暴击伤害+3%</v>
      </c>
    </row>
    <row r="147" spans="1:6">
      <c r="A147" t="str">
        <f>基因升级!$J$140&amp;"+"&amp;基因升级!J285</f>
        <v>队长攻击力+100</v>
      </c>
      <c r="B147" t="str">
        <f>IF(基因升级!K285="","",基因升级!K$140&amp;"+"&amp;基因升级!K285*100&amp;"%")</f>
        <v>队长伤害+5%</v>
      </c>
      <c r="C147" t="str">
        <f>IF(基因升级!L285="","",基因升级!L$140&amp;"+"&amp;基因升级!L285*100&amp;"%")</f>
        <v/>
      </c>
      <c r="D147" t="str">
        <f>IF(基因升级!M285="","",基因升级!M$140&amp;"+"&amp;基因升级!M285*100&amp;"%")</f>
        <v/>
      </c>
      <c r="E147" t="str">
        <f>IF(基因升级!N285="","",基因升级!N$140&amp;"+"&amp;基因升级!N285*100&amp;"%")</f>
        <v/>
      </c>
      <c r="F147" t="str">
        <f t="shared" si="2"/>
        <v>队长攻击力+100\n队长伤害+5%</v>
      </c>
    </row>
    <row r="148" spans="1:6">
      <c r="A148" t="str">
        <f>基因升级!$J$140&amp;"+"&amp;基因升级!J286</f>
        <v>队长攻击力+100</v>
      </c>
      <c r="B148" t="str">
        <f>IF(基因升级!K286="","",基因升级!K$140&amp;"+"&amp;基因升级!K286*100&amp;"%")</f>
        <v/>
      </c>
      <c r="C148" t="str">
        <f>IF(基因升级!L286="","",基因升级!L$140&amp;"+"&amp;基因升级!L286*100&amp;"%")</f>
        <v/>
      </c>
      <c r="D148" t="str">
        <f>IF(基因升级!M286="","",基因升级!M$140&amp;"+"&amp;基因升级!M286*100&amp;"%")</f>
        <v/>
      </c>
      <c r="E148" t="str">
        <f>IF(基因升级!N286="","",基因升级!N$140&amp;"+"&amp;基因升级!N286*100&amp;"%")</f>
        <v>队长技能冷却+0.75%</v>
      </c>
      <c r="F148" t="str">
        <f t="shared" si="2"/>
        <v>队长攻击力+100\n队长技能冷却+0.75%</v>
      </c>
    </row>
    <row r="149" spans="1:6">
      <c r="A149" t="str">
        <f>基因升级!$J$140&amp;"+"&amp;基因升级!J287</f>
        <v>队长攻击力+100</v>
      </c>
      <c r="B149" t="str">
        <f>IF(基因升级!K287="","",基因升级!K$140&amp;"+"&amp;基因升级!K287*100&amp;"%")</f>
        <v/>
      </c>
      <c r="C149" t="str">
        <f>IF(基因升级!L287="","",基因升级!L$140&amp;"+"&amp;基因升级!L287*100&amp;"%")</f>
        <v/>
      </c>
      <c r="D149" t="str">
        <f>IF(基因升级!M287="","",基因升级!M$140&amp;"+"&amp;基因升级!M287*100&amp;"%")</f>
        <v>队长暴击++0.2%</v>
      </c>
      <c r="E149" t="str">
        <f>IF(基因升级!N287="","",基因升级!N$140&amp;"+"&amp;基因升级!N287*100&amp;"%")</f>
        <v/>
      </c>
      <c r="F149" t="str">
        <f t="shared" si="2"/>
        <v>队长攻击力+100\n队长暴击++0.2%</v>
      </c>
    </row>
    <row r="150" spans="1:6">
      <c r="A150" t="str">
        <f>基因升级!$J$140&amp;"+"&amp;基因升级!J288</f>
        <v>队长攻击力+100</v>
      </c>
      <c r="B150" t="str">
        <f>IF(基因升级!K288="","",基因升级!K$140&amp;"+"&amp;基因升级!K288*100&amp;"%")</f>
        <v/>
      </c>
      <c r="C150" t="str">
        <f>IF(基因升级!L288="","",基因升级!L$140&amp;"+"&amp;基因升级!L288*100&amp;"%")</f>
        <v>队长暴击伤害+3%</v>
      </c>
      <c r="D150" t="str">
        <f>IF(基因升级!M288="","",基因升级!M$140&amp;"+"&amp;基因升级!M288*100&amp;"%")</f>
        <v/>
      </c>
      <c r="E150" t="str">
        <f>IF(基因升级!N288="","",基因升级!N$140&amp;"+"&amp;基因升级!N288*100&amp;"%")</f>
        <v/>
      </c>
      <c r="F150" t="str">
        <f t="shared" si="2"/>
        <v>队长攻击力+100\n队长暴击伤害+3%</v>
      </c>
    </row>
    <row r="151" spans="1:6">
      <c r="A151" t="str">
        <f>基因升级!$J$140&amp;"+"&amp;基因升级!J289</f>
        <v>队长攻击力+100</v>
      </c>
      <c r="B151" t="str">
        <f>IF(基因升级!K289="","",基因升级!K$140&amp;"+"&amp;基因升级!K289*100&amp;"%")</f>
        <v>队长伤害+5%</v>
      </c>
      <c r="C151" t="str">
        <f>IF(基因升级!L289="","",基因升级!L$140&amp;"+"&amp;基因升级!L289*100&amp;"%")</f>
        <v/>
      </c>
      <c r="D151" t="str">
        <f>IF(基因升级!M289="","",基因升级!M$140&amp;"+"&amp;基因升级!M289*100&amp;"%")</f>
        <v/>
      </c>
      <c r="E151" t="str">
        <f>IF(基因升级!N289="","",基因升级!N$140&amp;"+"&amp;基因升级!N289*100&amp;"%")</f>
        <v/>
      </c>
      <c r="F151" t="str">
        <f t="shared" si="2"/>
        <v>队长攻击力+100\n队长伤害+5%</v>
      </c>
    </row>
    <row r="152" spans="1:6">
      <c r="A152" t="str">
        <f>基因升级!$J$140&amp;"+"&amp;基因升级!J290</f>
        <v>队长攻击力+100</v>
      </c>
      <c r="B152" t="str">
        <f>IF(基因升级!K290="","",基因升级!K$140&amp;"+"&amp;基因升级!K290*100&amp;"%")</f>
        <v/>
      </c>
      <c r="C152" t="str">
        <f>IF(基因升级!L290="","",基因升级!L$140&amp;"+"&amp;基因升级!L290*100&amp;"%")</f>
        <v/>
      </c>
      <c r="D152" t="str">
        <f>IF(基因升级!M290="","",基因升级!M$140&amp;"+"&amp;基因升级!M290*100&amp;"%")</f>
        <v/>
      </c>
      <c r="E152" t="str">
        <f>IF(基因升级!N290="","",基因升级!N$140&amp;"+"&amp;基因升级!N290*100&amp;"%")</f>
        <v>队长技能冷却+0.75%</v>
      </c>
      <c r="F152" t="str">
        <f t="shared" si="2"/>
        <v>队长攻击力+100\n队长技能冷却+0.75%</v>
      </c>
    </row>
    <row r="153" spans="1:6">
      <c r="A153" t="str">
        <f>基因升级!$J$140&amp;"+"&amp;基因升级!J291</f>
        <v>队长攻击力+100</v>
      </c>
      <c r="B153" t="str">
        <f>IF(基因升级!K291="","",基因升级!K$140&amp;"+"&amp;基因升级!K291*100&amp;"%")</f>
        <v/>
      </c>
      <c r="C153" t="str">
        <f>IF(基因升级!L291="","",基因升级!L$140&amp;"+"&amp;基因升级!L291*100&amp;"%")</f>
        <v/>
      </c>
      <c r="D153" t="str">
        <f>IF(基因升级!M291="","",基因升级!M$140&amp;"+"&amp;基因升级!M291*100&amp;"%")</f>
        <v>队长暴击++0.2%</v>
      </c>
      <c r="E153" t="str">
        <f>IF(基因升级!N291="","",基因升级!N$140&amp;"+"&amp;基因升级!N291*100&amp;"%")</f>
        <v/>
      </c>
      <c r="F153" t="str">
        <f t="shared" si="2"/>
        <v>队长攻击力+100\n队长暴击++0.2%</v>
      </c>
    </row>
    <row r="154" spans="1:6">
      <c r="A154" t="str">
        <f>基因升级!$J$140&amp;"+"&amp;基因升级!J292</f>
        <v>队长攻击力+100</v>
      </c>
      <c r="B154" t="str">
        <f>IF(基因升级!K292="","",基因升级!K$140&amp;"+"&amp;基因升级!K292*100&amp;"%")</f>
        <v/>
      </c>
      <c r="C154" t="str">
        <f>IF(基因升级!L292="","",基因升级!L$140&amp;"+"&amp;基因升级!L292*100&amp;"%")</f>
        <v>队长暴击伤害+3%</v>
      </c>
      <c r="D154" t="str">
        <f>IF(基因升级!M292="","",基因升级!M$140&amp;"+"&amp;基因升级!M292*100&amp;"%")</f>
        <v/>
      </c>
      <c r="E154" t="str">
        <f>IF(基因升级!N292="","",基因升级!N$140&amp;"+"&amp;基因升级!N292*100&amp;"%")</f>
        <v/>
      </c>
      <c r="F154" t="str">
        <f t="shared" si="2"/>
        <v>队长攻击力+100\n队长暴击伤害+3%</v>
      </c>
    </row>
    <row r="155" spans="1:6">
      <c r="A155" t="str">
        <f>基因升级!$J$140&amp;"+"&amp;基因升级!J293</f>
        <v>队长攻击力+106</v>
      </c>
      <c r="B155" t="str">
        <f>IF(基因升级!K293="","",基因升级!K$140&amp;"+"&amp;基因升级!K293*100&amp;"%")</f>
        <v>队长伤害+5%</v>
      </c>
      <c r="C155" t="str">
        <f>IF(基因升级!L293="","",基因升级!L$140&amp;"+"&amp;基因升级!L293*100&amp;"%")</f>
        <v/>
      </c>
      <c r="D155" t="str">
        <f>IF(基因升级!M293="","",基因升级!M$140&amp;"+"&amp;基因升级!M293*100&amp;"%")</f>
        <v/>
      </c>
      <c r="E155" t="str">
        <f>IF(基因升级!N293="","",基因升级!N$140&amp;"+"&amp;基因升级!N293*100&amp;"%")</f>
        <v/>
      </c>
      <c r="F155" t="str">
        <f t="shared" si="2"/>
        <v>队长攻击力+106\n队长伤害+5%</v>
      </c>
    </row>
    <row r="156" spans="1:6">
      <c r="A156" t="str">
        <f>基因升级!$J$140&amp;"+"&amp;基因升级!J294</f>
        <v>队长攻击力+106</v>
      </c>
      <c r="B156" t="str">
        <f>IF(基因升级!K294="","",基因升级!K$140&amp;"+"&amp;基因升级!K294*100&amp;"%")</f>
        <v/>
      </c>
      <c r="C156" t="str">
        <f>IF(基因升级!L294="","",基因升级!L$140&amp;"+"&amp;基因升级!L294*100&amp;"%")</f>
        <v/>
      </c>
      <c r="D156" t="str">
        <f>IF(基因升级!M294="","",基因升级!M$140&amp;"+"&amp;基因升级!M294*100&amp;"%")</f>
        <v/>
      </c>
      <c r="E156" t="str">
        <f>IF(基因升级!N294="","",基因升级!N$140&amp;"+"&amp;基因升级!N294*100&amp;"%")</f>
        <v>队长技能冷却+0.75%</v>
      </c>
      <c r="F156" t="str">
        <f t="shared" si="2"/>
        <v>队长攻击力+106\n队长技能冷却+0.75%</v>
      </c>
    </row>
    <row r="157" spans="1:6">
      <c r="A157" t="str">
        <f>基因升级!$J$140&amp;"+"&amp;基因升级!J295</f>
        <v>队长攻击力+106</v>
      </c>
      <c r="B157" t="str">
        <f>IF(基因升级!K295="","",基因升级!K$140&amp;"+"&amp;基因升级!K295*100&amp;"%")</f>
        <v/>
      </c>
      <c r="C157" t="str">
        <f>IF(基因升级!L295="","",基因升级!L$140&amp;"+"&amp;基因升级!L295*100&amp;"%")</f>
        <v/>
      </c>
      <c r="D157" t="str">
        <f>IF(基因升级!M295="","",基因升级!M$140&amp;"+"&amp;基因升级!M295*100&amp;"%")</f>
        <v>队长暴击++0.2%</v>
      </c>
      <c r="E157" t="str">
        <f>IF(基因升级!N295="","",基因升级!N$140&amp;"+"&amp;基因升级!N295*100&amp;"%")</f>
        <v/>
      </c>
      <c r="F157" t="str">
        <f t="shared" si="2"/>
        <v>队长攻击力+106\n队长暴击++0.2%</v>
      </c>
    </row>
    <row r="158" spans="1:6">
      <c r="A158" t="str">
        <f>基因升级!$J$140&amp;"+"&amp;基因升级!J296</f>
        <v>队长攻击力+106</v>
      </c>
      <c r="B158" t="str">
        <f>IF(基因升级!K296="","",基因升级!K$140&amp;"+"&amp;基因升级!K296*100&amp;"%")</f>
        <v/>
      </c>
      <c r="C158" t="str">
        <f>IF(基因升级!L296="","",基因升级!L$140&amp;"+"&amp;基因升级!L296*100&amp;"%")</f>
        <v>队长暴击伤害+3%</v>
      </c>
      <c r="D158" t="str">
        <f>IF(基因升级!M296="","",基因升级!M$140&amp;"+"&amp;基因升级!M296*100&amp;"%")</f>
        <v/>
      </c>
      <c r="E158" t="str">
        <f>IF(基因升级!N296="","",基因升级!N$140&amp;"+"&amp;基因升级!N296*100&amp;"%")</f>
        <v/>
      </c>
      <c r="F158" t="str">
        <f t="shared" si="2"/>
        <v>队长攻击力+106\n队长暴击伤害+3%</v>
      </c>
    </row>
    <row r="159" spans="1:6">
      <c r="A159" t="str">
        <f>基因升级!$J$140&amp;"+"&amp;基因升级!J297</f>
        <v>队长攻击力+106</v>
      </c>
      <c r="B159" t="str">
        <f>IF(基因升级!K297="","",基因升级!K$140&amp;"+"&amp;基因升级!K297*100&amp;"%")</f>
        <v>队长伤害+5%</v>
      </c>
      <c r="C159" t="str">
        <f>IF(基因升级!L297="","",基因升级!L$140&amp;"+"&amp;基因升级!L297*100&amp;"%")</f>
        <v/>
      </c>
      <c r="D159" t="str">
        <f>IF(基因升级!M297="","",基因升级!M$140&amp;"+"&amp;基因升级!M297*100&amp;"%")</f>
        <v/>
      </c>
      <c r="E159" t="str">
        <f>IF(基因升级!N297="","",基因升级!N$140&amp;"+"&amp;基因升级!N297*100&amp;"%")</f>
        <v/>
      </c>
      <c r="F159" t="str">
        <f t="shared" si="2"/>
        <v>队长攻击力+106\n队长伤害+5%</v>
      </c>
    </row>
    <row r="160" spans="1:6">
      <c r="A160" t="str">
        <f>基因升级!$J$140&amp;"+"&amp;基因升级!J298</f>
        <v>队长攻击力+106</v>
      </c>
      <c r="B160" t="str">
        <f>IF(基因升级!K298="","",基因升级!K$140&amp;"+"&amp;基因升级!K298*100&amp;"%")</f>
        <v/>
      </c>
      <c r="C160" t="str">
        <f>IF(基因升级!L298="","",基因升级!L$140&amp;"+"&amp;基因升级!L298*100&amp;"%")</f>
        <v/>
      </c>
      <c r="D160" t="str">
        <f>IF(基因升级!M298="","",基因升级!M$140&amp;"+"&amp;基因升级!M298*100&amp;"%")</f>
        <v/>
      </c>
      <c r="E160" t="str">
        <f>IF(基因升级!N298="","",基因升级!N$140&amp;"+"&amp;基因升级!N298*100&amp;"%")</f>
        <v>队长技能冷却+0.75%</v>
      </c>
      <c r="F160" t="str">
        <f t="shared" si="2"/>
        <v>队长攻击力+106\n队长技能冷却+0.75%</v>
      </c>
    </row>
    <row r="161" spans="1:6">
      <c r="A161" t="str">
        <f>基因升级!$J$140&amp;"+"&amp;基因升级!J299</f>
        <v>队长攻击力+106</v>
      </c>
      <c r="B161" t="str">
        <f>IF(基因升级!K299="","",基因升级!K$140&amp;"+"&amp;基因升级!K299*100&amp;"%")</f>
        <v/>
      </c>
      <c r="C161" t="str">
        <f>IF(基因升级!L299="","",基因升级!L$140&amp;"+"&amp;基因升级!L299*100&amp;"%")</f>
        <v/>
      </c>
      <c r="D161" t="str">
        <f>IF(基因升级!M299="","",基因升级!M$140&amp;"+"&amp;基因升级!M299*100&amp;"%")</f>
        <v>队长暴击++0.2%</v>
      </c>
      <c r="E161" t="str">
        <f>IF(基因升级!N299="","",基因升级!N$140&amp;"+"&amp;基因升级!N299*100&amp;"%")</f>
        <v/>
      </c>
      <c r="F161" t="str">
        <f t="shared" si="2"/>
        <v>队长攻击力+106\n队长暴击++0.2%</v>
      </c>
    </row>
    <row r="162" spans="1:6">
      <c r="A162" t="str">
        <f>基因升级!$J$140&amp;"+"&amp;基因升级!J300</f>
        <v>队长攻击力+106</v>
      </c>
      <c r="B162" t="str">
        <f>IF(基因升级!K300="","",基因升级!K$140&amp;"+"&amp;基因升级!K300*100&amp;"%")</f>
        <v/>
      </c>
      <c r="C162" t="str">
        <f>IF(基因升级!L300="","",基因升级!L$140&amp;"+"&amp;基因升级!L300*100&amp;"%")</f>
        <v>队长暴击伤害+3%</v>
      </c>
      <c r="D162" t="str">
        <f>IF(基因升级!M300="","",基因升级!M$140&amp;"+"&amp;基因升级!M300*100&amp;"%")</f>
        <v/>
      </c>
      <c r="E162" t="str">
        <f>IF(基因升级!N300="","",基因升级!N$140&amp;"+"&amp;基因升级!N300*100&amp;"%")</f>
        <v/>
      </c>
      <c r="F162" t="str">
        <f t="shared" si="2"/>
        <v>队长攻击力+106\n队长暴击伤害+3%</v>
      </c>
    </row>
    <row r="163" spans="1:6">
      <c r="A163" t="str">
        <f>基因升级!$J$140&amp;"+"&amp;基因升级!J301</f>
        <v>队长攻击力+106</v>
      </c>
      <c r="B163" t="str">
        <f>IF(基因升级!K301="","",基因升级!K$140&amp;"+"&amp;基因升级!K301*100&amp;"%")</f>
        <v>队长伤害+5%</v>
      </c>
      <c r="C163" t="str">
        <f>IF(基因升级!L301="","",基因升级!L$140&amp;"+"&amp;基因升级!L301*100&amp;"%")</f>
        <v/>
      </c>
      <c r="D163" t="str">
        <f>IF(基因升级!M301="","",基因升级!M$140&amp;"+"&amp;基因升级!M301*100&amp;"%")</f>
        <v/>
      </c>
      <c r="E163" t="str">
        <f>IF(基因升级!N301="","",基因升级!N$140&amp;"+"&amp;基因升级!N301*100&amp;"%")</f>
        <v/>
      </c>
      <c r="F163" t="str">
        <f t="shared" si="2"/>
        <v>队长攻击力+106\n队长伤害+5%</v>
      </c>
    </row>
    <row r="164" spans="1:6">
      <c r="A164" t="str">
        <f>基因升级!$J$140&amp;"+"&amp;基因升级!J302</f>
        <v>队长攻击力+106</v>
      </c>
      <c r="B164" t="str">
        <f>IF(基因升级!K302="","",基因升级!K$140&amp;"+"&amp;基因升级!K302*100&amp;"%")</f>
        <v/>
      </c>
      <c r="C164" t="str">
        <f>IF(基因升级!L302="","",基因升级!L$140&amp;"+"&amp;基因升级!L302*100&amp;"%")</f>
        <v/>
      </c>
      <c r="D164" t="str">
        <f>IF(基因升级!M302="","",基因升级!M$140&amp;"+"&amp;基因升级!M302*100&amp;"%")</f>
        <v/>
      </c>
      <c r="E164" t="str">
        <f>IF(基因升级!N302="","",基因升级!N$140&amp;"+"&amp;基因升级!N302*100&amp;"%")</f>
        <v>队长技能冷却+0.75%</v>
      </c>
      <c r="F164" t="str">
        <f t="shared" si="2"/>
        <v>队长攻击力+106\n队长技能冷却+0.75%</v>
      </c>
    </row>
    <row r="165" spans="1:6">
      <c r="A165" t="str">
        <f>基因升级!$J$140&amp;"+"&amp;基因升级!J303</f>
        <v>队长攻击力+106</v>
      </c>
      <c r="B165" t="str">
        <f>IF(基因升级!K303="","",基因升级!K$140&amp;"+"&amp;基因升级!K303*100&amp;"%")</f>
        <v/>
      </c>
      <c r="C165" t="str">
        <f>IF(基因升级!L303="","",基因升级!L$140&amp;"+"&amp;基因升级!L303*100&amp;"%")</f>
        <v/>
      </c>
      <c r="D165" t="str">
        <f>IF(基因升级!M303="","",基因升级!M$140&amp;"+"&amp;基因升级!M303*100&amp;"%")</f>
        <v>队长暴击++0.2%</v>
      </c>
      <c r="E165" t="str">
        <f>IF(基因升级!N303="","",基因升级!N$140&amp;"+"&amp;基因升级!N303*100&amp;"%")</f>
        <v/>
      </c>
      <c r="F165" t="str">
        <f t="shared" si="2"/>
        <v>队长攻击力+106\n队长暴击++0.2%</v>
      </c>
    </row>
    <row r="166" spans="1:6">
      <c r="A166" t="str">
        <f>基因升级!$J$140&amp;"+"&amp;基因升级!J304</f>
        <v>队长攻击力+106</v>
      </c>
      <c r="B166" t="str">
        <f>IF(基因升级!K304="","",基因升级!K$140&amp;"+"&amp;基因升级!K304*100&amp;"%")</f>
        <v/>
      </c>
      <c r="C166" t="str">
        <f>IF(基因升级!L304="","",基因升级!L$140&amp;"+"&amp;基因升级!L304*100&amp;"%")</f>
        <v>队长暴击伤害+3%</v>
      </c>
      <c r="D166" t="str">
        <f>IF(基因升级!M304="","",基因升级!M$140&amp;"+"&amp;基因升级!M304*100&amp;"%")</f>
        <v/>
      </c>
      <c r="E166" t="str">
        <f>IF(基因升级!N304="","",基因升级!N$140&amp;"+"&amp;基因升级!N304*100&amp;"%")</f>
        <v/>
      </c>
      <c r="F166" t="str">
        <f t="shared" si="2"/>
        <v>队长攻击力+106\n队长暴击伤害+3%</v>
      </c>
    </row>
    <row r="167" spans="1:6">
      <c r="A167" t="str">
        <f>基因升级!$J$140&amp;"+"&amp;基因升级!J305</f>
        <v>队长攻击力+106</v>
      </c>
      <c r="B167" t="str">
        <f>IF(基因升级!K305="","",基因升级!K$140&amp;"+"&amp;基因升级!K305*100&amp;"%")</f>
        <v>队长伤害+5%</v>
      </c>
      <c r="C167" t="str">
        <f>IF(基因升级!L305="","",基因升级!L$140&amp;"+"&amp;基因升级!L305*100&amp;"%")</f>
        <v/>
      </c>
      <c r="D167" t="str">
        <f>IF(基因升级!M305="","",基因升级!M$140&amp;"+"&amp;基因升级!M305*100&amp;"%")</f>
        <v/>
      </c>
      <c r="E167" t="str">
        <f>IF(基因升级!N305="","",基因升级!N$140&amp;"+"&amp;基因升级!N305*100&amp;"%")</f>
        <v/>
      </c>
      <c r="F167" t="str">
        <f t="shared" si="2"/>
        <v>队长攻击力+106\n队长伤害+5%</v>
      </c>
    </row>
    <row r="168" spans="1:6">
      <c r="A168" t="str">
        <f>基因升级!$J$140&amp;"+"&amp;基因升级!J306</f>
        <v>队长攻击力+106</v>
      </c>
      <c r="B168" t="str">
        <f>IF(基因升级!K306="","",基因升级!K$140&amp;"+"&amp;基因升级!K306*100&amp;"%")</f>
        <v/>
      </c>
      <c r="C168" t="str">
        <f>IF(基因升级!L306="","",基因升级!L$140&amp;"+"&amp;基因升级!L306*100&amp;"%")</f>
        <v/>
      </c>
      <c r="D168" t="str">
        <f>IF(基因升级!M306="","",基因升级!M$140&amp;"+"&amp;基因升级!M306*100&amp;"%")</f>
        <v/>
      </c>
      <c r="E168" t="str">
        <f>IF(基因升级!N306="","",基因升级!N$140&amp;"+"&amp;基因升级!N306*100&amp;"%")</f>
        <v>队长技能冷却+0.75%</v>
      </c>
      <c r="F168" t="str">
        <f t="shared" si="2"/>
        <v>队长攻击力+106\n队长技能冷却+0.75%</v>
      </c>
    </row>
    <row r="169" spans="1:6">
      <c r="A169" t="str">
        <f>基因升级!$J$140&amp;"+"&amp;基因升级!J307</f>
        <v>队长攻击力+106</v>
      </c>
      <c r="B169" t="str">
        <f>IF(基因升级!K307="","",基因升级!K$140&amp;"+"&amp;基因升级!K307*100&amp;"%")</f>
        <v/>
      </c>
      <c r="C169" t="str">
        <f>IF(基因升级!L307="","",基因升级!L$140&amp;"+"&amp;基因升级!L307*100&amp;"%")</f>
        <v/>
      </c>
      <c r="D169" t="str">
        <f>IF(基因升级!M307="","",基因升级!M$140&amp;"+"&amp;基因升级!M307*100&amp;"%")</f>
        <v>队长暴击++0.2%</v>
      </c>
      <c r="E169" t="str">
        <f>IF(基因升级!N307="","",基因升级!N$140&amp;"+"&amp;基因升级!N307*100&amp;"%")</f>
        <v/>
      </c>
      <c r="F169" t="str">
        <f t="shared" si="2"/>
        <v>队长攻击力+106\n队长暴击++0.2%</v>
      </c>
    </row>
    <row r="170" spans="1:6">
      <c r="A170" t="str">
        <f>基因升级!$J$140&amp;"+"&amp;基因升级!J308</f>
        <v>队长攻击力+106</v>
      </c>
      <c r="B170" t="str">
        <f>IF(基因升级!K308="","",基因升级!K$140&amp;"+"&amp;基因升级!K308*100&amp;"%")</f>
        <v/>
      </c>
      <c r="C170" t="str">
        <f>IF(基因升级!L308="","",基因升级!L$140&amp;"+"&amp;基因升级!L308*100&amp;"%")</f>
        <v>队长暴击伤害+3%</v>
      </c>
      <c r="D170" t="str">
        <f>IF(基因升级!M308="","",基因升级!M$140&amp;"+"&amp;基因升级!M308*100&amp;"%")</f>
        <v/>
      </c>
      <c r="E170" t="str">
        <f>IF(基因升级!N308="","",基因升级!N$140&amp;"+"&amp;基因升级!N308*100&amp;"%")</f>
        <v/>
      </c>
      <c r="F170" t="str">
        <f t="shared" si="2"/>
        <v>队长攻击力+106\n队长暴击伤害+3%</v>
      </c>
    </row>
    <row r="171" spans="1:6">
      <c r="A171" t="str">
        <f>基因升级!$J$140&amp;"+"&amp;基因升级!J309</f>
        <v>队长攻击力+110</v>
      </c>
      <c r="B171" t="str">
        <f>IF(基因升级!K309="","",基因升级!K$140&amp;"+"&amp;基因升级!K309*100&amp;"%")</f>
        <v>队长伤害+5%</v>
      </c>
      <c r="C171" t="str">
        <f>IF(基因升级!L309="","",基因升级!L$140&amp;"+"&amp;基因升级!L309*100&amp;"%")</f>
        <v/>
      </c>
      <c r="D171" t="str">
        <f>IF(基因升级!M309="","",基因升级!M$140&amp;"+"&amp;基因升级!M309*100&amp;"%")</f>
        <v/>
      </c>
      <c r="E171" t="str">
        <f>IF(基因升级!N309="","",基因升级!N$140&amp;"+"&amp;基因升级!N309*100&amp;"%")</f>
        <v/>
      </c>
      <c r="F171" t="str">
        <f t="shared" si="2"/>
        <v>队长攻击力+110\n队长伤害+5%</v>
      </c>
    </row>
    <row r="172" spans="1:6">
      <c r="A172" t="str">
        <f>基因升级!$J$140&amp;"+"&amp;基因升级!J310</f>
        <v>队长攻击力+110</v>
      </c>
      <c r="B172" t="str">
        <f>IF(基因升级!K310="","",基因升级!K$140&amp;"+"&amp;基因升级!K310*100&amp;"%")</f>
        <v/>
      </c>
      <c r="C172" t="str">
        <f>IF(基因升级!L310="","",基因升级!L$140&amp;"+"&amp;基因升级!L310*100&amp;"%")</f>
        <v/>
      </c>
      <c r="D172" t="str">
        <f>IF(基因升级!M310="","",基因升级!M$140&amp;"+"&amp;基因升级!M310*100&amp;"%")</f>
        <v/>
      </c>
      <c r="E172" t="str">
        <f>IF(基因升级!N310="","",基因升级!N$140&amp;"+"&amp;基因升级!N310*100&amp;"%")</f>
        <v>队长技能冷却+0.75%</v>
      </c>
      <c r="F172" t="str">
        <f t="shared" si="2"/>
        <v>队长攻击力+110\n队长技能冷却+0.75%</v>
      </c>
    </row>
    <row r="173" spans="1:6">
      <c r="A173" t="str">
        <f>基因升级!$J$140&amp;"+"&amp;基因升级!J311</f>
        <v>队长攻击力+110</v>
      </c>
      <c r="B173" t="str">
        <f>IF(基因升级!K311="","",基因升级!K$140&amp;"+"&amp;基因升级!K311*100&amp;"%")</f>
        <v/>
      </c>
      <c r="C173" t="str">
        <f>IF(基因升级!L311="","",基因升级!L$140&amp;"+"&amp;基因升级!L311*100&amp;"%")</f>
        <v/>
      </c>
      <c r="D173" t="str">
        <f>IF(基因升级!M311="","",基因升级!M$140&amp;"+"&amp;基因升级!M311*100&amp;"%")</f>
        <v>队长暴击++0.2%</v>
      </c>
      <c r="E173" t="str">
        <f>IF(基因升级!N311="","",基因升级!N$140&amp;"+"&amp;基因升级!N311*100&amp;"%")</f>
        <v/>
      </c>
      <c r="F173" t="str">
        <f t="shared" si="2"/>
        <v>队长攻击力+110\n队长暴击++0.2%</v>
      </c>
    </row>
    <row r="174" spans="1:6">
      <c r="A174" t="str">
        <f>基因升级!$J$140&amp;"+"&amp;基因升级!J312</f>
        <v>队长攻击力+110</v>
      </c>
      <c r="B174" t="str">
        <f>IF(基因升级!K312="","",基因升级!K$140&amp;"+"&amp;基因升级!K312*100&amp;"%")</f>
        <v/>
      </c>
      <c r="C174" t="str">
        <f>IF(基因升级!L312="","",基因升级!L$140&amp;"+"&amp;基因升级!L312*100&amp;"%")</f>
        <v>队长暴击伤害+3%</v>
      </c>
      <c r="D174" t="str">
        <f>IF(基因升级!M312="","",基因升级!M$140&amp;"+"&amp;基因升级!M312*100&amp;"%")</f>
        <v/>
      </c>
      <c r="E174" t="str">
        <f>IF(基因升级!N312="","",基因升级!N$140&amp;"+"&amp;基因升级!N312*100&amp;"%")</f>
        <v/>
      </c>
      <c r="F174" t="str">
        <f t="shared" si="2"/>
        <v>队长攻击力+110\n队长暴击伤害+3%</v>
      </c>
    </row>
    <row r="175" spans="1:6">
      <c r="A175" t="str">
        <f>基因升级!$J$140&amp;"+"&amp;基因升级!J313</f>
        <v>队长攻击力+110</v>
      </c>
      <c r="B175" t="str">
        <f>IF(基因升级!K313="","",基因升级!K$140&amp;"+"&amp;基因升级!K313*100&amp;"%")</f>
        <v>队长伤害+5%</v>
      </c>
      <c r="C175" t="str">
        <f>IF(基因升级!L313="","",基因升级!L$140&amp;"+"&amp;基因升级!L313*100&amp;"%")</f>
        <v/>
      </c>
      <c r="D175" t="str">
        <f>IF(基因升级!M313="","",基因升级!M$140&amp;"+"&amp;基因升级!M313*100&amp;"%")</f>
        <v/>
      </c>
      <c r="E175" t="str">
        <f>IF(基因升级!N313="","",基因升级!N$140&amp;"+"&amp;基因升级!N313*100&amp;"%")</f>
        <v/>
      </c>
      <c r="F175" t="str">
        <f t="shared" si="2"/>
        <v>队长攻击力+110\n队长伤害+5%</v>
      </c>
    </row>
    <row r="176" spans="1:6">
      <c r="A176" t="str">
        <f>基因升级!$J$140&amp;"+"&amp;基因升级!J314</f>
        <v>队长攻击力+110</v>
      </c>
      <c r="B176" t="str">
        <f>IF(基因升级!K314="","",基因升级!K$140&amp;"+"&amp;基因升级!K314*100&amp;"%")</f>
        <v/>
      </c>
      <c r="C176" t="str">
        <f>IF(基因升级!L314="","",基因升级!L$140&amp;"+"&amp;基因升级!L314*100&amp;"%")</f>
        <v/>
      </c>
      <c r="D176" t="str">
        <f>IF(基因升级!M314="","",基因升级!M$140&amp;"+"&amp;基因升级!M314*100&amp;"%")</f>
        <v/>
      </c>
      <c r="E176" t="str">
        <f>IF(基因升级!N314="","",基因升级!N$140&amp;"+"&amp;基因升级!N314*100&amp;"%")</f>
        <v>队长技能冷却+0.75%</v>
      </c>
      <c r="F176" t="str">
        <f t="shared" si="2"/>
        <v>队长攻击力+110\n队长技能冷却+0.75%</v>
      </c>
    </row>
    <row r="177" spans="1:6">
      <c r="A177" t="str">
        <f>基因升级!$J$140&amp;"+"&amp;基因升级!J315</f>
        <v>队长攻击力+110</v>
      </c>
      <c r="B177" t="str">
        <f>IF(基因升级!K315="","",基因升级!K$140&amp;"+"&amp;基因升级!K315*100&amp;"%")</f>
        <v/>
      </c>
      <c r="C177" t="str">
        <f>IF(基因升级!L315="","",基因升级!L$140&amp;"+"&amp;基因升级!L315*100&amp;"%")</f>
        <v/>
      </c>
      <c r="D177" t="str">
        <f>IF(基因升级!M315="","",基因升级!M$140&amp;"+"&amp;基因升级!M315*100&amp;"%")</f>
        <v>队长暴击++0.2%</v>
      </c>
      <c r="E177" t="str">
        <f>IF(基因升级!N315="","",基因升级!N$140&amp;"+"&amp;基因升级!N315*100&amp;"%")</f>
        <v/>
      </c>
      <c r="F177" t="str">
        <f t="shared" si="2"/>
        <v>队长攻击力+110\n队长暴击++0.2%</v>
      </c>
    </row>
    <row r="178" spans="1:6">
      <c r="A178" t="str">
        <f>基因升级!$J$140&amp;"+"&amp;基因升级!J316</f>
        <v>队长攻击力+110</v>
      </c>
      <c r="B178" t="str">
        <f>IF(基因升级!K316="","",基因升级!K$140&amp;"+"&amp;基因升级!K316*100&amp;"%")</f>
        <v/>
      </c>
      <c r="C178" t="str">
        <f>IF(基因升级!L316="","",基因升级!L$140&amp;"+"&amp;基因升级!L316*100&amp;"%")</f>
        <v>队长暴击伤害+3%</v>
      </c>
      <c r="D178" t="str">
        <f>IF(基因升级!M316="","",基因升级!M$140&amp;"+"&amp;基因升级!M316*100&amp;"%")</f>
        <v/>
      </c>
      <c r="E178" t="str">
        <f>IF(基因升级!N316="","",基因升级!N$140&amp;"+"&amp;基因升级!N316*100&amp;"%")</f>
        <v/>
      </c>
      <c r="F178" t="str">
        <f t="shared" si="2"/>
        <v>队长攻击力+110\n队长暴击伤害+3%</v>
      </c>
    </row>
    <row r="179" spans="1:6">
      <c r="A179" t="str">
        <f>基因升级!$J$140&amp;"+"&amp;基因升级!J317</f>
        <v>队长攻击力+110</v>
      </c>
      <c r="B179" t="str">
        <f>IF(基因升级!K317="","",基因升级!K$140&amp;"+"&amp;基因升级!K317*100&amp;"%")</f>
        <v>队长伤害+5%</v>
      </c>
      <c r="C179" t="str">
        <f>IF(基因升级!L317="","",基因升级!L$140&amp;"+"&amp;基因升级!L317*100&amp;"%")</f>
        <v/>
      </c>
      <c r="D179" t="str">
        <f>IF(基因升级!M317="","",基因升级!M$140&amp;"+"&amp;基因升级!M317*100&amp;"%")</f>
        <v/>
      </c>
      <c r="E179" t="str">
        <f>IF(基因升级!N317="","",基因升级!N$140&amp;"+"&amp;基因升级!N317*100&amp;"%")</f>
        <v/>
      </c>
      <c r="F179" t="str">
        <f t="shared" si="2"/>
        <v>队长攻击力+110\n队长伤害+5%</v>
      </c>
    </row>
    <row r="180" spans="1:6">
      <c r="A180" t="str">
        <f>基因升级!$J$140&amp;"+"&amp;基因升级!J318</f>
        <v>队长攻击力+110</v>
      </c>
      <c r="B180" t="str">
        <f>IF(基因升级!K318="","",基因升级!K$140&amp;"+"&amp;基因升级!K318*100&amp;"%")</f>
        <v/>
      </c>
      <c r="C180" t="str">
        <f>IF(基因升级!L318="","",基因升级!L$140&amp;"+"&amp;基因升级!L318*100&amp;"%")</f>
        <v/>
      </c>
      <c r="D180" t="str">
        <f>IF(基因升级!M318="","",基因升级!M$140&amp;"+"&amp;基因升级!M318*100&amp;"%")</f>
        <v/>
      </c>
      <c r="E180" t="str">
        <f>IF(基因升级!N318="","",基因升级!N$140&amp;"+"&amp;基因升级!N318*100&amp;"%")</f>
        <v>队长技能冷却+0.75%</v>
      </c>
      <c r="F180" t="str">
        <f t="shared" si="2"/>
        <v>队长攻击力+110\n队长技能冷却+0.75%</v>
      </c>
    </row>
    <row r="181" spans="1:6">
      <c r="A181" t="str">
        <f>基因升级!$J$140&amp;"+"&amp;基因升级!J319</f>
        <v>队长攻击力+110</v>
      </c>
      <c r="B181" t="str">
        <f>IF(基因升级!K319="","",基因升级!K$140&amp;"+"&amp;基因升级!K319*100&amp;"%")</f>
        <v/>
      </c>
      <c r="C181" t="str">
        <f>IF(基因升级!L319="","",基因升级!L$140&amp;"+"&amp;基因升级!L319*100&amp;"%")</f>
        <v/>
      </c>
      <c r="D181" t="str">
        <f>IF(基因升级!M319="","",基因升级!M$140&amp;"+"&amp;基因升级!M319*100&amp;"%")</f>
        <v>队长暴击++0.2%</v>
      </c>
      <c r="E181" t="str">
        <f>IF(基因升级!N319="","",基因升级!N$140&amp;"+"&amp;基因升级!N319*100&amp;"%")</f>
        <v/>
      </c>
      <c r="F181" t="str">
        <f t="shared" si="2"/>
        <v>队长攻击力+110\n队长暴击++0.2%</v>
      </c>
    </row>
    <row r="182" spans="1:6">
      <c r="A182" t="str">
        <f>基因升级!$J$140&amp;"+"&amp;基因升级!J320</f>
        <v>队长攻击力+110</v>
      </c>
      <c r="B182" t="str">
        <f>IF(基因升级!K320="","",基因升级!K$140&amp;"+"&amp;基因升级!K320*100&amp;"%")</f>
        <v/>
      </c>
      <c r="C182" t="str">
        <f>IF(基因升级!L320="","",基因升级!L$140&amp;"+"&amp;基因升级!L320*100&amp;"%")</f>
        <v>队长暴击伤害+3%</v>
      </c>
      <c r="D182" t="str">
        <f>IF(基因升级!M320="","",基因升级!M$140&amp;"+"&amp;基因升级!M320*100&amp;"%")</f>
        <v/>
      </c>
      <c r="E182" t="str">
        <f>IF(基因升级!N320="","",基因升级!N$140&amp;"+"&amp;基因升级!N320*100&amp;"%")</f>
        <v/>
      </c>
      <c r="F182" t="str">
        <f t="shared" si="2"/>
        <v>队长攻击力+110\n队长暴击伤害+3%</v>
      </c>
    </row>
    <row r="183" spans="1:6">
      <c r="A183" t="str">
        <f>基因升级!$J$140&amp;"+"&amp;基因升级!J321</f>
        <v>队长攻击力+110</v>
      </c>
      <c r="B183" t="str">
        <f>IF(基因升级!K321="","",基因升级!K$140&amp;"+"&amp;基因升级!K321*100&amp;"%")</f>
        <v>队长伤害+5%</v>
      </c>
      <c r="C183" t="str">
        <f>IF(基因升级!L321="","",基因升级!L$140&amp;"+"&amp;基因升级!L321*100&amp;"%")</f>
        <v/>
      </c>
      <c r="D183" t="str">
        <f>IF(基因升级!M321="","",基因升级!M$140&amp;"+"&amp;基因升级!M321*100&amp;"%")</f>
        <v/>
      </c>
      <c r="E183" t="str">
        <f>IF(基因升级!N321="","",基因升级!N$140&amp;"+"&amp;基因升级!N321*100&amp;"%")</f>
        <v/>
      </c>
      <c r="F183" t="str">
        <f t="shared" si="2"/>
        <v>队长攻击力+110\n队长伤害+5%</v>
      </c>
    </row>
    <row r="184" spans="1:6">
      <c r="A184" t="str">
        <f>基因升级!$J$140&amp;"+"&amp;基因升级!J322</f>
        <v>队长攻击力+110</v>
      </c>
      <c r="B184" t="str">
        <f>IF(基因升级!K322="","",基因升级!K$140&amp;"+"&amp;基因升级!K322*100&amp;"%")</f>
        <v/>
      </c>
      <c r="C184" t="str">
        <f>IF(基因升级!L322="","",基因升级!L$140&amp;"+"&amp;基因升级!L322*100&amp;"%")</f>
        <v/>
      </c>
      <c r="D184" t="str">
        <f>IF(基因升级!M322="","",基因升级!M$140&amp;"+"&amp;基因升级!M322*100&amp;"%")</f>
        <v/>
      </c>
      <c r="E184" t="str">
        <f>IF(基因升级!N322="","",基因升级!N$140&amp;"+"&amp;基因升级!N322*100&amp;"%")</f>
        <v>队长技能冷却+0.75%</v>
      </c>
      <c r="F184" t="str">
        <f t="shared" si="2"/>
        <v>队长攻击力+110\n队长技能冷却+0.75%</v>
      </c>
    </row>
    <row r="185" spans="1:6">
      <c r="A185" t="str">
        <f>基因升级!$J$140&amp;"+"&amp;基因升级!J323</f>
        <v>队长攻击力+110</v>
      </c>
      <c r="B185" t="str">
        <f>IF(基因升级!K323="","",基因升级!K$140&amp;"+"&amp;基因升级!K323*100&amp;"%")</f>
        <v/>
      </c>
      <c r="C185" t="str">
        <f>IF(基因升级!L323="","",基因升级!L$140&amp;"+"&amp;基因升级!L323*100&amp;"%")</f>
        <v/>
      </c>
      <c r="D185" t="str">
        <f>IF(基因升级!M323="","",基因升级!M$140&amp;"+"&amp;基因升级!M323*100&amp;"%")</f>
        <v>队长暴击++0.2%</v>
      </c>
      <c r="E185" t="str">
        <f>IF(基因升级!N323="","",基因升级!N$140&amp;"+"&amp;基因升级!N323*100&amp;"%")</f>
        <v/>
      </c>
      <c r="F185" t="str">
        <f t="shared" si="2"/>
        <v>队长攻击力+110\n队长暴击++0.2%</v>
      </c>
    </row>
    <row r="186" spans="1:6">
      <c r="A186" t="str">
        <f>基因升级!$J$140&amp;"+"&amp;基因升级!J324</f>
        <v>队长攻击力+110</v>
      </c>
      <c r="B186" t="str">
        <f>IF(基因升级!K324="","",基因升级!K$140&amp;"+"&amp;基因升级!K324*100&amp;"%")</f>
        <v/>
      </c>
      <c r="C186" t="str">
        <f>IF(基因升级!L324="","",基因升级!L$140&amp;"+"&amp;基因升级!L324*100&amp;"%")</f>
        <v>队长暴击伤害+3%</v>
      </c>
      <c r="D186" t="str">
        <f>IF(基因升级!M324="","",基因升级!M$140&amp;"+"&amp;基因升级!M324*100&amp;"%")</f>
        <v/>
      </c>
      <c r="E186" t="str">
        <f>IF(基因升级!N324="","",基因升级!N$140&amp;"+"&amp;基因升级!N324*100&amp;"%")</f>
        <v/>
      </c>
      <c r="F186" t="str">
        <f t="shared" si="2"/>
        <v>队长攻击力+110\n队长暴击伤害+3%</v>
      </c>
    </row>
    <row r="187" spans="1:6">
      <c r="A187" t="str">
        <f>基因升级!$J$140&amp;"+"&amp;基因升级!J325</f>
        <v>队长攻击力+116</v>
      </c>
      <c r="B187" t="str">
        <f>IF(基因升级!K325="","",基因升级!K$140&amp;"+"&amp;基因升级!K325*100&amp;"%")</f>
        <v>队长伤害+5%</v>
      </c>
      <c r="C187" t="str">
        <f>IF(基因升级!L325="","",基因升级!L$140&amp;"+"&amp;基因升级!L325*100&amp;"%")</f>
        <v/>
      </c>
      <c r="D187" t="str">
        <f>IF(基因升级!M325="","",基因升级!M$140&amp;"+"&amp;基因升级!M325*100&amp;"%")</f>
        <v/>
      </c>
      <c r="E187" t="str">
        <f>IF(基因升级!N325="","",基因升级!N$140&amp;"+"&amp;基因升级!N325*100&amp;"%")</f>
        <v/>
      </c>
      <c r="F187" t="str">
        <f t="shared" si="2"/>
        <v>队长攻击力+116\n队长伤害+5%</v>
      </c>
    </row>
    <row r="188" spans="1:6">
      <c r="A188" t="str">
        <f>基因升级!$J$140&amp;"+"&amp;基因升级!J326</f>
        <v>队长攻击力+116</v>
      </c>
      <c r="B188" t="str">
        <f>IF(基因升级!K326="","",基因升级!K$140&amp;"+"&amp;基因升级!K326*100&amp;"%")</f>
        <v/>
      </c>
      <c r="C188" t="str">
        <f>IF(基因升级!L326="","",基因升级!L$140&amp;"+"&amp;基因升级!L326*100&amp;"%")</f>
        <v/>
      </c>
      <c r="D188" t="str">
        <f>IF(基因升级!M326="","",基因升级!M$140&amp;"+"&amp;基因升级!M326*100&amp;"%")</f>
        <v/>
      </c>
      <c r="E188" t="str">
        <f>IF(基因升级!N326="","",基因升级!N$140&amp;"+"&amp;基因升级!N326*100&amp;"%")</f>
        <v>队长技能冷却+0.75%</v>
      </c>
      <c r="F188" t="str">
        <f t="shared" si="2"/>
        <v>队长攻击力+116\n队长技能冷却+0.75%</v>
      </c>
    </row>
    <row r="189" spans="1:6">
      <c r="A189" t="str">
        <f>基因升级!$J$140&amp;"+"&amp;基因升级!J327</f>
        <v>队长攻击力+116</v>
      </c>
      <c r="B189" t="str">
        <f>IF(基因升级!K327="","",基因升级!K$140&amp;"+"&amp;基因升级!K327*100&amp;"%")</f>
        <v/>
      </c>
      <c r="C189" t="str">
        <f>IF(基因升级!L327="","",基因升级!L$140&amp;"+"&amp;基因升级!L327*100&amp;"%")</f>
        <v/>
      </c>
      <c r="D189" t="str">
        <f>IF(基因升级!M327="","",基因升级!M$140&amp;"+"&amp;基因升级!M327*100&amp;"%")</f>
        <v>队长暴击++0.2%</v>
      </c>
      <c r="E189" t="str">
        <f>IF(基因升级!N327="","",基因升级!N$140&amp;"+"&amp;基因升级!N327*100&amp;"%")</f>
        <v/>
      </c>
      <c r="F189" t="str">
        <f t="shared" si="2"/>
        <v>队长攻击力+116\n队长暴击++0.2%</v>
      </c>
    </row>
    <row r="190" spans="1:6">
      <c r="A190" t="str">
        <f>基因升级!$J$140&amp;"+"&amp;基因升级!J328</f>
        <v>队长攻击力+116</v>
      </c>
      <c r="B190" t="str">
        <f>IF(基因升级!K328="","",基因升级!K$140&amp;"+"&amp;基因升级!K328*100&amp;"%")</f>
        <v/>
      </c>
      <c r="C190" t="str">
        <f>IF(基因升级!L328="","",基因升级!L$140&amp;"+"&amp;基因升级!L328*100&amp;"%")</f>
        <v>队长暴击伤害+3%</v>
      </c>
      <c r="D190" t="str">
        <f>IF(基因升级!M328="","",基因升级!M$140&amp;"+"&amp;基因升级!M328*100&amp;"%")</f>
        <v/>
      </c>
      <c r="E190" t="str">
        <f>IF(基因升级!N328="","",基因升级!N$140&amp;"+"&amp;基因升级!N328*100&amp;"%")</f>
        <v/>
      </c>
      <c r="F190" t="str">
        <f t="shared" si="2"/>
        <v>队长攻击力+116\n队长暴击伤害+3%</v>
      </c>
    </row>
    <row r="191" spans="1:6">
      <c r="A191" t="str">
        <f>基因升级!$J$140&amp;"+"&amp;基因升级!J329</f>
        <v>队长攻击力+116</v>
      </c>
      <c r="B191" t="str">
        <f>IF(基因升级!K329="","",基因升级!K$140&amp;"+"&amp;基因升级!K329*100&amp;"%")</f>
        <v>队长伤害+5%</v>
      </c>
      <c r="C191" t="str">
        <f>IF(基因升级!L329="","",基因升级!L$140&amp;"+"&amp;基因升级!L329*100&amp;"%")</f>
        <v/>
      </c>
      <c r="D191" t="str">
        <f>IF(基因升级!M329="","",基因升级!M$140&amp;"+"&amp;基因升级!M329*100&amp;"%")</f>
        <v/>
      </c>
      <c r="E191" t="str">
        <f>IF(基因升级!N329="","",基因升级!N$140&amp;"+"&amp;基因升级!N329*100&amp;"%")</f>
        <v/>
      </c>
      <c r="F191" t="str">
        <f t="shared" si="2"/>
        <v>队长攻击力+116\n队长伤害+5%</v>
      </c>
    </row>
    <row r="192" spans="1:6">
      <c r="A192" t="str">
        <f>基因升级!$J$140&amp;"+"&amp;基因升级!J330</f>
        <v>队长攻击力+116</v>
      </c>
      <c r="B192" t="str">
        <f>IF(基因升级!K330="","",基因升级!K$140&amp;"+"&amp;基因升级!K330*100&amp;"%")</f>
        <v/>
      </c>
      <c r="C192" t="str">
        <f>IF(基因升级!L330="","",基因升级!L$140&amp;"+"&amp;基因升级!L330*100&amp;"%")</f>
        <v/>
      </c>
      <c r="D192" t="str">
        <f>IF(基因升级!M330="","",基因升级!M$140&amp;"+"&amp;基因升级!M330*100&amp;"%")</f>
        <v/>
      </c>
      <c r="E192" t="str">
        <f>IF(基因升级!N330="","",基因升级!N$140&amp;"+"&amp;基因升级!N330*100&amp;"%")</f>
        <v>队长技能冷却+0.75%</v>
      </c>
      <c r="F192" t="str">
        <f t="shared" si="2"/>
        <v>队长攻击力+116\n队长技能冷却+0.75%</v>
      </c>
    </row>
    <row r="193" spans="1:6">
      <c r="A193" t="str">
        <f>基因升级!$J$140&amp;"+"&amp;基因升级!J331</f>
        <v>队长攻击力+116</v>
      </c>
      <c r="B193" t="str">
        <f>IF(基因升级!K331="","",基因升级!K$140&amp;"+"&amp;基因升级!K331*100&amp;"%")</f>
        <v/>
      </c>
      <c r="C193" t="str">
        <f>IF(基因升级!L331="","",基因升级!L$140&amp;"+"&amp;基因升级!L331*100&amp;"%")</f>
        <v/>
      </c>
      <c r="D193" t="str">
        <f>IF(基因升级!M331="","",基因升级!M$140&amp;"+"&amp;基因升级!M331*100&amp;"%")</f>
        <v>队长暴击++0.2%</v>
      </c>
      <c r="E193" t="str">
        <f>IF(基因升级!N331="","",基因升级!N$140&amp;"+"&amp;基因升级!N331*100&amp;"%")</f>
        <v/>
      </c>
      <c r="F193" t="str">
        <f t="shared" si="2"/>
        <v>队长攻击力+116\n队长暴击++0.2%</v>
      </c>
    </row>
    <row r="194" spans="1:6">
      <c r="A194" t="str">
        <f>基因升级!$J$140&amp;"+"&amp;基因升级!J332</f>
        <v>队长攻击力+116</v>
      </c>
      <c r="B194" t="str">
        <f>IF(基因升级!K332="","",基因升级!K$140&amp;"+"&amp;基因升级!K332*100&amp;"%")</f>
        <v/>
      </c>
      <c r="C194" t="str">
        <f>IF(基因升级!L332="","",基因升级!L$140&amp;"+"&amp;基因升级!L332*100&amp;"%")</f>
        <v>队长暴击伤害+3%</v>
      </c>
      <c r="D194" t="str">
        <f>IF(基因升级!M332="","",基因升级!M$140&amp;"+"&amp;基因升级!M332*100&amp;"%")</f>
        <v/>
      </c>
      <c r="E194" t="str">
        <f>IF(基因升级!N332="","",基因升级!N$140&amp;"+"&amp;基因升级!N332*100&amp;"%")</f>
        <v/>
      </c>
      <c r="F194" t="str">
        <f t="shared" si="2"/>
        <v>队长攻击力+116\n队长暴击伤害+3%</v>
      </c>
    </row>
    <row r="195" spans="1:6">
      <c r="A195" t="str">
        <f>基因升级!$J$140&amp;"+"&amp;基因升级!J333</f>
        <v>队长攻击力+116</v>
      </c>
      <c r="B195" t="str">
        <f>IF(基因升级!K333="","",基因升级!K$140&amp;"+"&amp;基因升级!K333*100&amp;"%")</f>
        <v>队长伤害+5%</v>
      </c>
      <c r="C195" t="str">
        <f>IF(基因升级!L333="","",基因升级!L$140&amp;"+"&amp;基因升级!L333*100&amp;"%")</f>
        <v/>
      </c>
      <c r="D195" t="str">
        <f>IF(基因升级!M333="","",基因升级!M$140&amp;"+"&amp;基因升级!M333*100&amp;"%")</f>
        <v/>
      </c>
      <c r="E195" t="str">
        <f>IF(基因升级!N333="","",基因升级!N$140&amp;"+"&amp;基因升级!N333*100&amp;"%")</f>
        <v/>
      </c>
      <c r="F195" t="str">
        <f t="shared" si="2"/>
        <v>队长攻击力+116\n队长伤害+5%</v>
      </c>
    </row>
    <row r="196" spans="1:6">
      <c r="A196" t="str">
        <f>基因升级!$J$140&amp;"+"&amp;基因升级!J334</f>
        <v>队长攻击力+116</v>
      </c>
      <c r="B196" t="str">
        <f>IF(基因升级!K334="","",基因升级!K$140&amp;"+"&amp;基因升级!K334*100&amp;"%")</f>
        <v/>
      </c>
      <c r="C196" t="str">
        <f>IF(基因升级!L334="","",基因升级!L$140&amp;"+"&amp;基因升级!L334*100&amp;"%")</f>
        <v/>
      </c>
      <c r="D196" t="str">
        <f>IF(基因升级!M334="","",基因升级!M$140&amp;"+"&amp;基因升级!M334*100&amp;"%")</f>
        <v/>
      </c>
      <c r="E196" t="str">
        <f>IF(基因升级!N334="","",基因升级!N$140&amp;"+"&amp;基因升级!N334*100&amp;"%")</f>
        <v>队长技能冷却+0.75%</v>
      </c>
      <c r="F196" t="str">
        <f t="shared" ref="F196:F259" si="3">_xlfn.TEXTJOIN("\n",1,A196:E196)</f>
        <v>队长攻击力+116\n队长技能冷却+0.75%</v>
      </c>
    </row>
    <row r="197" spans="1:6">
      <c r="A197" t="str">
        <f>基因升级!$J$140&amp;"+"&amp;基因升级!J335</f>
        <v>队长攻击力+116</v>
      </c>
      <c r="B197" t="str">
        <f>IF(基因升级!K335="","",基因升级!K$140&amp;"+"&amp;基因升级!K335*100&amp;"%")</f>
        <v/>
      </c>
      <c r="C197" t="str">
        <f>IF(基因升级!L335="","",基因升级!L$140&amp;"+"&amp;基因升级!L335*100&amp;"%")</f>
        <v/>
      </c>
      <c r="D197" t="str">
        <f>IF(基因升级!M335="","",基因升级!M$140&amp;"+"&amp;基因升级!M335*100&amp;"%")</f>
        <v>队长暴击++0.2%</v>
      </c>
      <c r="E197" t="str">
        <f>IF(基因升级!N335="","",基因升级!N$140&amp;"+"&amp;基因升级!N335*100&amp;"%")</f>
        <v/>
      </c>
      <c r="F197" t="str">
        <f t="shared" si="3"/>
        <v>队长攻击力+116\n队长暴击++0.2%</v>
      </c>
    </row>
    <row r="198" spans="1:6">
      <c r="A198" t="str">
        <f>基因升级!$J$140&amp;"+"&amp;基因升级!J336</f>
        <v>队长攻击力+116</v>
      </c>
      <c r="B198" t="str">
        <f>IF(基因升级!K336="","",基因升级!K$140&amp;"+"&amp;基因升级!K336*100&amp;"%")</f>
        <v/>
      </c>
      <c r="C198" t="str">
        <f>IF(基因升级!L336="","",基因升级!L$140&amp;"+"&amp;基因升级!L336*100&amp;"%")</f>
        <v>队长暴击伤害+3%</v>
      </c>
      <c r="D198" t="str">
        <f>IF(基因升级!M336="","",基因升级!M$140&amp;"+"&amp;基因升级!M336*100&amp;"%")</f>
        <v/>
      </c>
      <c r="E198" t="str">
        <f>IF(基因升级!N336="","",基因升级!N$140&amp;"+"&amp;基因升级!N336*100&amp;"%")</f>
        <v/>
      </c>
      <c r="F198" t="str">
        <f t="shared" si="3"/>
        <v>队长攻击力+116\n队长暴击伤害+3%</v>
      </c>
    </row>
    <row r="199" spans="1:6">
      <c r="A199" t="str">
        <f>基因升级!$J$140&amp;"+"&amp;基因升级!J337</f>
        <v>队长攻击力+116</v>
      </c>
      <c r="B199" t="str">
        <f>IF(基因升级!K337="","",基因升级!K$140&amp;"+"&amp;基因升级!K337*100&amp;"%")</f>
        <v>队长伤害+5%</v>
      </c>
      <c r="C199" t="str">
        <f>IF(基因升级!L337="","",基因升级!L$140&amp;"+"&amp;基因升级!L337*100&amp;"%")</f>
        <v/>
      </c>
      <c r="D199" t="str">
        <f>IF(基因升级!M337="","",基因升级!M$140&amp;"+"&amp;基因升级!M337*100&amp;"%")</f>
        <v/>
      </c>
      <c r="E199" t="str">
        <f>IF(基因升级!N337="","",基因升级!N$140&amp;"+"&amp;基因升级!N337*100&amp;"%")</f>
        <v/>
      </c>
      <c r="F199" t="str">
        <f t="shared" si="3"/>
        <v>队长攻击力+116\n队长伤害+5%</v>
      </c>
    </row>
    <row r="200" spans="1:6">
      <c r="A200" t="str">
        <f>基因升级!$J$140&amp;"+"&amp;基因升级!J338</f>
        <v>队长攻击力+116</v>
      </c>
      <c r="B200" t="str">
        <f>IF(基因升级!K338="","",基因升级!K$140&amp;"+"&amp;基因升级!K338*100&amp;"%")</f>
        <v/>
      </c>
      <c r="C200" t="str">
        <f>IF(基因升级!L338="","",基因升级!L$140&amp;"+"&amp;基因升级!L338*100&amp;"%")</f>
        <v/>
      </c>
      <c r="D200" t="str">
        <f>IF(基因升级!M338="","",基因升级!M$140&amp;"+"&amp;基因升级!M338*100&amp;"%")</f>
        <v/>
      </c>
      <c r="E200" t="str">
        <f>IF(基因升级!N338="","",基因升级!N$140&amp;"+"&amp;基因升级!N338*100&amp;"%")</f>
        <v>队长技能冷却+0.75%</v>
      </c>
      <c r="F200" t="str">
        <f t="shared" si="3"/>
        <v>队长攻击力+116\n队长技能冷却+0.75%</v>
      </c>
    </row>
    <row r="201" spans="1:6">
      <c r="A201" t="str">
        <f>基因升级!$J$140&amp;"+"&amp;基因升级!J339</f>
        <v>队长攻击力+116</v>
      </c>
      <c r="B201" t="str">
        <f>IF(基因升级!K339="","",基因升级!K$140&amp;"+"&amp;基因升级!K339*100&amp;"%")</f>
        <v/>
      </c>
      <c r="C201" t="str">
        <f>IF(基因升级!L339="","",基因升级!L$140&amp;"+"&amp;基因升级!L339*100&amp;"%")</f>
        <v/>
      </c>
      <c r="D201" t="str">
        <f>IF(基因升级!M339="","",基因升级!M$140&amp;"+"&amp;基因升级!M339*100&amp;"%")</f>
        <v>队长暴击++0.2%</v>
      </c>
      <c r="E201" t="str">
        <f>IF(基因升级!N339="","",基因升级!N$140&amp;"+"&amp;基因升级!N339*100&amp;"%")</f>
        <v/>
      </c>
      <c r="F201" t="str">
        <f t="shared" si="3"/>
        <v>队长攻击力+116\n队长暴击++0.2%</v>
      </c>
    </row>
    <row r="202" spans="1:6">
      <c r="A202" t="str">
        <f>基因升级!$J$140&amp;"+"&amp;基因升级!J340</f>
        <v>队长攻击力+116</v>
      </c>
      <c r="B202" t="str">
        <f>IF(基因升级!K340="","",基因升级!K$140&amp;"+"&amp;基因升级!K340*100&amp;"%")</f>
        <v/>
      </c>
      <c r="C202" t="str">
        <f>IF(基因升级!L340="","",基因升级!L$140&amp;"+"&amp;基因升级!L340*100&amp;"%")</f>
        <v>队长暴击伤害+3%</v>
      </c>
      <c r="D202" t="str">
        <f>IF(基因升级!M340="","",基因升级!M$140&amp;"+"&amp;基因升级!M340*100&amp;"%")</f>
        <v/>
      </c>
      <c r="E202" t="str">
        <f>IF(基因升级!N340="","",基因升级!N$140&amp;"+"&amp;基因升级!N340*100&amp;"%")</f>
        <v/>
      </c>
      <c r="F202" t="str">
        <f t="shared" si="3"/>
        <v>队长攻击力+116\n队长暴击伤害+3%</v>
      </c>
    </row>
    <row r="203" spans="1:6">
      <c r="A203" t="str">
        <f>基因升级!$J$140&amp;"+"&amp;基因升级!J341</f>
        <v>队长攻击力+122</v>
      </c>
      <c r="B203" t="str">
        <f>IF(基因升级!K341="","",基因升级!K$140&amp;"+"&amp;基因升级!K341*100&amp;"%")</f>
        <v>队长伤害+5%</v>
      </c>
      <c r="C203" t="str">
        <f>IF(基因升级!L341="","",基因升级!L$140&amp;"+"&amp;基因升级!L341*100&amp;"%")</f>
        <v/>
      </c>
      <c r="D203" t="str">
        <f>IF(基因升级!M341="","",基因升级!M$140&amp;"+"&amp;基因升级!M341*100&amp;"%")</f>
        <v/>
      </c>
      <c r="E203" t="str">
        <f>IF(基因升级!N341="","",基因升级!N$140&amp;"+"&amp;基因升级!N341*100&amp;"%")</f>
        <v/>
      </c>
      <c r="F203" t="str">
        <f t="shared" si="3"/>
        <v>队长攻击力+122\n队长伤害+5%</v>
      </c>
    </row>
    <row r="204" spans="1:6">
      <c r="A204" t="str">
        <f>基因升级!$J$140&amp;"+"&amp;基因升级!J342</f>
        <v>队长攻击力+122</v>
      </c>
      <c r="B204" t="str">
        <f>IF(基因升级!K342="","",基因升级!K$140&amp;"+"&amp;基因升级!K342*100&amp;"%")</f>
        <v/>
      </c>
      <c r="C204" t="str">
        <f>IF(基因升级!L342="","",基因升级!L$140&amp;"+"&amp;基因升级!L342*100&amp;"%")</f>
        <v/>
      </c>
      <c r="D204" t="str">
        <f>IF(基因升级!M342="","",基因升级!M$140&amp;"+"&amp;基因升级!M342*100&amp;"%")</f>
        <v/>
      </c>
      <c r="E204" t="str">
        <f>IF(基因升级!N342="","",基因升级!N$140&amp;"+"&amp;基因升级!N342*100&amp;"%")</f>
        <v>队长技能冷却+0.75%</v>
      </c>
      <c r="F204" t="str">
        <f t="shared" si="3"/>
        <v>队长攻击力+122\n队长技能冷却+0.75%</v>
      </c>
    </row>
    <row r="205" spans="1:6">
      <c r="A205" t="str">
        <f>基因升级!$J$140&amp;"+"&amp;基因升级!J343</f>
        <v>队长攻击力+122</v>
      </c>
      <c r="B205" t="str">
        <f>IF(基因升级!K343="","",基因升级!K$140&amp;"+"&amp;基因升级!K343*100&amp;"%")</f>
        <v/>
      </c>
      <c r="C205" t="str">
        <f>IF(基因升级!L343="","",基因升级!L$140&amp;"+"&amp;基因升级!L343*100&amp;"%")</f>
        <v/>
      </c>
      <c r="D205" t="str">
        <f>IF(基因升级!M343="","",基因升级!M$140&amp;"+"&amp;基因升级!M343*100&amp;"%")</f>
        <v>队长暴击++0.2%</v>
      </c>
      <c r="E205" t="str">
        <f>IF(基因升级!N343="","",基因升级!N$140&amp;"+"&amp;基因升级!N343*100&amp;"%")</f>
        <v/>
      </c>
      <c r="F205" t="str">
        <f t="shared" si="3"/>
        <v>队长攻击力+122\n队长暴击++0.2%</v>
      </c>
    </row>
    <row r="206" spans="1:6">
      <c r="A206" t="str">
        <f>基因升级!$J$140&amp;"+"&amp;基因升级!J344</f>
        <v>队长攻击力+122</v>
      </c>
      <c r="B206" t="str">
        <f>IF(基因升级!K344="","",基因升级!K$140&amp;"+"&amp;基因升级!K344*100&amp;"%")</f>
        <v/>
      </c>
      <c r="C206" t="str">
        <f>IF(基因升级!L344="","",基因升级!L$140&amp;"+"&amp;基因升级!L344*100&amp;"%")</f>
        <v>队长暴击伤害+3%</v>
      </c>
      <c r="D206" t="str">
        <f>IF(基因升级!M344="","",基因升级!M$140&amp;"+"&amp;基因升级!M344*100&amp;"%")</f>
        <v/>
      </c>
      <c r="E206" t="str">
        <f>IF(基因升级!N344="","",基因升级!N$140&amp;"+"&amp;基因升级!N344*100&amp;"%")</f>
        <v/>
      </c>
      <c r="F206" t="str">
        <f t="shared" si="3"/>
        <v>队长攻击力+122\n队长暴击伤害+3%</v>
      </c>
    </row>
    <row r="207" spans="1:6">
      <c r="A207" t="str">
        <f>基因升级!$J$140&amp;"+"&amp;基因升级!J345</f>
        <v>队长攻击力+122</v>
      </c>
      <c r="B207" t="str">
        <f>IF(基因升级!K345="","",基因升级!K$140&amp;"+"&amp;基因升级!K345*100&amp;"%")</f>
        <v>队长伤害+5%</v>
      </c>
      <c r="C207" t="str">
        <f>IF(基因升级!L345="","",基因升级!L$140&amp;"+"&amp;基因升级!L345*100&amp;"%")</f>
        <v/>
      </c>
      <c r="D207" t="str">
        <f>IF(基因升级!M345="","",基因升级!M$140&amp;"+"&amp;基因升级!M345*100&amp;"%")</f>
        <v/>
      </c>
      <c r="E207" t="str">
        <f>IF(基因升级!N345="","",基因升级!N$140&amp;"+"&amp;基因升级!N345*100&amp;"%")</f>
        <v/>
      </c>
      <c r="F207" t="str">
        <f t="shared" si="3"/>
        <v>队长攻击力+122\n队长伤害+5%</v>
      </c>
    </row>
    <row r="208" spans="1:6">
      <c r="A208" t="str">
        <f>基因升级!$J$140&amp;"+"&amp;基因升级!J346</f>
        <v>队长攻击力+122</v>
      </c>
      <c r="B208" t="str">
        <f>IF(基因升级!K346="","",基因升级!K$140&amp;"+"&amp;基因升级!K346*100&amp;"%")</f>
        <v/>
      </c>
      <c r="C208" t="str">
        <f>IF(基因升级!L346="","",基因升级!L$140&amp;"+"&amp;基因升级!L346*100&amp;"%")</f>
        <v/>
      </c>
      <c r="D208" t="str">
        <f>IF(基因升级!M346="","",基因升级!M$140&amp;"+"&amp;基因升级!M346*100&amp;"%")</f>
        <v/>
      </c>
      <c r="E208" t="str">
        <f>IF(基因升级!N346="","",基因升级!N$140&amp;"+"&amp;基因升级!N346*100&amp;"%")</f>
        <v>队长技能冷却+0.75%</v>
      </c>
      <c r="F208" t="str">
        <f t="shared" si="3"/>
        <v>队长攻击力+122\n队长技能冷却+0.75%</v>
      </c>
    </row>
    <row r="209" spans="1:6">
      <c r="A209" t="str">
        <f>基因升级!$J$140&amp;"+"&amp;基因升级!J347</f>
        <v>队长攻击力+122</v>
      </c>
      <c r="B209" t="str">
        <f>IF(基因升级!K347="","",基因升级!K$140&amp;"+"&amp;基因升级!K347*100&amp;"%")</f>
        <v/>
      </c>
      <c r="C209" t="str">
        <f>IF(基因升级!L347="","",基因升级!L$140&amp;"+"&amp;基因升级!L347*100&amp;"%")</f>
        <v/>
      </c>
      <c r="D209" t="str">
        <f>IF(基因升级!M347="","",基因升级!M$140&amp;"+"&amp;基因升级!M347*100&amp;"%")</f>
        <v>队长暴击++0.2%</v>
      </c>
      <c r="E209" t="str">
        <f>IF(基因升级!N347="","",基因升级!N$140&amp;"+"&amp;基因升级!N347*100&amp;"%")</f>
        <v/>
      </c>
      <c r="F209" t="str">
        <f t="shared" si="3"/>
        <v>队长攻击力+122\n队长暴击++0.2%</v>
      </c>
    </row>
    <row r="210" spans="1:6">
      <c r="A210" t="str">
        <f>基因升级!$J$140&amp;"+"&amp;基因升级!J348</f>
        <v>队长攻击力+122</v>
      </c>
      <c r="B210" t="str">
        <f>IF(基因升级!K348="","",基因升级!K$140&amp;"+"&amp;基因升级!K348*100&amp;"%")</f>
        <v/>
      </c>
      <c r="C210" t="str">
        <f>IF(基因升级!L348="","",基因升级!L$140&amp;"+"&amp;基因升级!L348*100&amp;"%")</f>
        <v>队长暴击伤害+3%</v>
      </c>
      <c r="D210" t="str">
        <f>IF(基因升级!M348="","",基因升级!M$140&amp;"+"&amp;基因升级!M348*100&amp;"%")</f>
        <v/>
      </c>
      <c r="E210" t="str">
        <f>IF(基因升级!N348="","",基因升级!N$140&amp;"+"&amp;基因升级!N348*100&amp;"%")</f>
        <v/>
      </c>
      <c r="F210" t="str">
        <f t="shared" si="3"/>
        <v>队长攻击力+122\n队长暴击伤害+3%</v>
      </c>
    </row>
    <row r="211" spans="1:6">
      <c r="A211" t="str">
        <f>基因升级!$J$140&amp;"+"&amp;基因升级!J349</f>
        <v>队长攻击力+122</v>
      </c>
      <c r="B211" t="str">
        <f>IF(基因升级!K349="","",基因升级!K$140&amp;"+"&amp;基因升级!K349*100&amp;"%")</f>
        <v>队长伤害+5%</v>
      </c>
      <c r="C211" t="str">
        <f>IF(基因升级!L349="","",基因升级!L$140&amp;"+"&amp;基因升级!L349*100&amp;"%")</f>
        <v/>
      </c>
      <c r="D211" t="str">
        <f>IF(基因升级!M349="","",基因升级!M$140&amp;"+"&amp;基因升级!M349*100&amp;"%")</f>
        <v/>
      </c>
      <c r="E211" t="str">
        <f>IF(基因升级!N349="","",基因升级!N$140&amp;"+"&amp;基因升级!N349*100&amp;"%")</f>
        <v/>
      </c>
      <c r="F211" t="str">
        <f t="shared" si="3"/>
        <v>队长攻击力+122\n队长伤害+5%</v>
      </c>
    </row>
    <row r="212" spans="1:6">
      <c r="A212" t="str">
        <f>基因升级!$J$140&amp;"+"&amp;基因升级!J350</f>
        <v>队长攻击力+122</v>
      </c>
      <c r="B212" t="str">
        <f>IF(基因升级!K350="","",基因升级!K$140&amp;"+"&amp;基因升级!K350*100&amp;"%")</f>
        <v/>
      </c>
      <c r="C212" t="str">
        <f>IF(基因升级!L350="","",基因升级!L$140&amp;"+"&amp;基因升级!L350*100&amp;"%")</f>
        <v/>
      </c>
      <c r="D212" t="str">
        <f>IF(基因升级!M350="","",基因升级!M$140&amp;"+"&amp;基因升级!M350*100&amp;"%")</f>
        <v/>
      </c>
      <c r="E212" t="str">
        <f>IF(基因升级!N350="","",基因升级!N$140&amp;"+"&amp;基因升级!N350*100&amp;"%")</f>
        <v>队长技能冷却+0.75%</v>
      </c>
      <c r="F212" t="str">
        <f t="shared" si="3"/>
        <v>队长攻击力+122\n队长技能冷却+0.75%</v>
      </c>
    </row>
    <row r="213" spans="1:6">
      <c r="A213" t="str">
        <f>基因升级!$J$140&amp;"+"&amp;基因升级!J351</f>
        <v>队长攻击力+122</v>
      </c>
      <c r="B213" t="str">
        <f>IF(基因升级!K351="","",基因升级!K$140&amp;"+"&amp;基因升级!K351*100&amp;"%")</f>
        <v/>
      </c>
      <c r="C213" t="str">
        <f>IF(基因升级!L351="","",基因升级!L$140&amp;"+"&amp;基因升级!L351*100&amp;"%")</f>
        <v/>
      </c>
      <c r="D213" t="str">
        <f>IF(基因升级!M351="","",基因升级!M$140&amp;"+"&amp;基因升级!M351*100&amp;"%")</f>
        <v>队长暴击++0.2%</v>
      </c>
      <c r="E213" t="str">
        <f>IF(基因升级!N351="","",基因升级!N$140&amp;"+"&amp;基因升级!N351*100&amp;"%")</f>
        <v/>
      </c>
      <c r="F213" t="str">
        <f t="shared" si="3"/>
        <v>队长攻击力+122\n队长暴击++0.2%</v>
      </c>
    </row>
    <row r="214" spans="1:6">
      <c r="A214" t="str">
        <f>基因升级!$J$140&amp;"+"&amp;基因升级!J352</f>
        <v>队长攻击力+122</v>
      </c>
      <c r="B214" t="str">
        <f>IF(基因升级!K352="","",基因升级!K$140&amp;"+"&amp;基因升级!K352*100&amp;"%")</f>
        <v/>
      </c>
      <c r="C214" t="str">
        <f>IF(基因升级!L352="","",基因升级!L$140&amp;"+"&amp;基因升级!L352*100&amp;"%")</f>
        <v>队长暴击伤害+3%</v>
      </c>
      <c r="D214" t="str">
        <f>IF(基因升级!M352="","",基因升级!M$140&amp;"+"&amp;基因升级!M352*100&amp;"%")</f>
        <v/>
      </c>
      <c r="E214" t="str">
        <f>IF(基因升级!N352="","",基因升级!N$140&amp;"+"&amp;基因升级!N352*100&amp;"%")</f>
        <v/>
      </c>
      <c r="F214" t="str">
        <f t="shared" si="3"/>
        <v>队长攻击力+122\n队长暴击伤害+3%</v>
      </c>
    </row>
    <row r="215" spans="1:6">
      <c r="A215" t="str">
        <f>基因升级!$J$140&amp;"+"&amp;基因升级!J353</f>
        <v>队长攻击力+122</v>
      </c>
      <c r="B215" t="str">
        <f>IF(基因升级!K353="","",基因升级!K$140&amp;"+"&amp;基因升级!K353*100&amp;"%")</f>
        <v>队长伤害+5%</v>
      </c>
      <c r="C215" t="str">
        <f>IF(基因升级!L353="","",基因升级!L$140&amp;"+"&amp;基因升级!L353*100&amp;"%")</f>
        <v/>
      </c>
      <c r="D215" t="str">
        <f>IF(基因升级!M353="","",基因升级!M$140&amp;"+"&amp;基因升级!M353*100&amp;"%")</f>
        <v/>
      </c>
      <c r="E215" t="str">
        <f>IF(基因升级!N353="","",基因升级!N$140&amp;"+"&amp;基因升级!N353*100&amp;"%")</f>
        <v/>
      </c>
      <c r="F215" t="str">
        <f t="shared" si="3"/>
        <v>队长攻击力+122\n队长伤害+5%</v>
      </c>
    </row>
    <row r="216" spans="1:6">
      <c r="A216" t="str">
        <f>基因升级!$J$140&amp;"+"&amp;基因升级!J354</f>
        <v>队长攻击力+128</v>
      </c>
      <c r="B216" t="str">
        <f>IF(基因升级!K354="","",基因升级!K$140&amp;"+"&amp;基因升级!K354*100&amp;"%")</f>
        <v/>
      </c>
      <c r="C216" t="str">
        <f>IF(基因升级!L354="","",基因升级!L$140&amp;"+"&amp;基因升级!L354*100&amp;"%")</f>
        <v/>
      </c>
      <c r="D216" t="str">
        <f>IF(基因升级!M354="","",基因升级!M$140&amp;"+"&amp;基因升级!M354*100&amp;"%")</f>
        <v/>
      </c>
      <c r="E216" t="str">
        <f>IF(基因升级!N354="","",基因升级!N$140&amp;"+"&amp;基因升级!N354*100&amp;"%")</f>
        <v>队长技能冷却+0.75%</v>
      </c>
      <c r="F216" t="str">
        <f t="shared" si="3"/>
        <v>队长攻击力+128\n队长技能冷却+0.75%</v>
      </c>
    </row>
    <row r="217" spans="1:6">
      <c r="A217" t="str">
        <f>基因升级!$J$140&amp;"+"&amp;基因升级!J355</f>
        <v>队长攻击力+122</v>
      </c>
      <c r="B217" t="str">
        <f>IF(基因升级!K355="","",基因升级!K$140&amp;"+"&amp;基因升级!K355*100&amp;"%")</f>
        <v/>
      </c>
      <c r="C217" t="str">
        <f>IF(基因升级!L355="","",基因升级!L$140&amp;"+"&amp;基因升级!L355*100&amp;"%")</f>
        <v/>
      </c>
      <c r="D217" t="str">
        <f>IF(基因升级!M355="","",基因升级!M$140&amp;"+"&amp;基因升级!M355*100&amp;"%")</f>
        <v>队长暴击++0.2%</v>
      </c>
      <c r="E217" t="str">
        <f>IF(基因升级!N355="","",基因升级!N$140&amp;"+"&amp;基因升级!N355*100&amp;"%")</f>
        <v/>
      </c>
      <c r="F217" t="str">
        <f t="shared" si="3"/>
        <v>队长攻击力+122\n队长暴击++0.2%</v>
      </c>
    </row>
    <row r="218" spans="1:6">
      <c r="A218" t="str">
        <f>基因升级!$J$140&amp;"+"&amp;基因升级!J356</f>
        <v>队长攻击力+122</v>
      </c>
      <c r="B218" t="str">
        <f>IF(基因升级!K356="","",基因升级!K$140&amp;"+"&amp;基因升级!K356*100&amp;"%")</f>
        <v/>
      </c>
      <c r="C218" t="str">
        <f>IF(基因升级!L356="","",基因升级!L$140&amp;"+"&amp;基因升级!L356*100&amp;"%")</f>
        <v>队长暴击伤害+3%</v>
      </c>
      <c r="D218" t="str">
        <f>IF(基因升级!M356="","",基因升级!M$140&amp;"+"&amp;基因升级!M356*100&amp;"%")</f>
        <v/>
      </c>
      <c r="E218" t="str">
        <f>IF(基因升级!N356="","",基因升级!N$140&amp;"+"&amp;基因升级!N356*100&amp;"%")</f>
        <v/>
      </c>
      <c r="F218" t="str">
        <f t="shared" si="3"/>
        <v>队长攻击力+122\n队长暴击伤害+3%</v>
      </c>
    </row>
    <row r="219" spans="1:6">
      <c r="A219" t="str">
        <f>基因升级!$J$140&amp;"+"&amp;基因升级!J357</f>
        <v>队长攻击力+128</v>
      </c>
      <c r="B219" t="str">
        <f>IF(基因升级!K357="","",基因升级!K$140&amp;"+"&amp;基因升级!K357*100&amp;"%")</f>
        <v>队长伤害+5%</v>
      </c>
      <c r="C219" t="str">
        <f>IF(基因升级!L357="","",基因升级!L$140&amp;"+"&amp;基因升级!L357*100&amp;"%")</f>
        <v/>
      </c>
      <c r="D219" t="str">
        <f>IF(基因升级!M357="","",基因升级!M$140&amp;"+"&amp;基因升级!M357*100&amp;"%")</f>
        <v/>
      </c>
      <c r="E219" t="str">
        <f>IF(基因升级!N357="","",基因升级!N$140&amp;"+"&amp;基因升级!N357*100&amp;"%")</f>
        <v/>
      </c>
      <c r="F219" t="str">
        <f t="shared" si="3"/>
        <v>队长攻击力+128\n队长伤害+5%</v>
      </c>
    </row>
    <row r="220" spans="1:6">
      <c r="A220" t="str">
        <f>基因升级!$J$140&amp;"+"&amp;基因升级!J358</f>
        <v>队长攻击力+128</v>
      </c>
      <c r="B220" t="str">
        <f>IF(基因升级!K358="","",基因升级!K$140&amp;"+"&amp;基因升级!K358*100&amp;"%")</f>
        <v/>
      </c>
      <c r="C220" t="str">
        <f>IF(基因升级!L358="","",基因升级!L$140&amp;"+"&amp;基因升级!L358*100&amp;"%")</f>
        <v/>
      </c>
      <c r="D220" t="str">
        <f>IF(基因升级!M358="","",基因升级!M$140&amp;"+"&amp;基因升级!M358*100&amp;"%")</f>
        <v/>
      </c>
      <c r="E220" t="str">
        <f>IF(基因升级!N358="","",基因升级!N$140&amp;"+"&amp;基因升级!N358*100&amp;"%")</f>
        <v>队长技能冷却+0.75%</v>
      </c>
      <c r="F220" t="str">
        <f t="shared" si="3"/>
        <v>队长攻击力+128\n队长技能冷却+0.75%</v>
      </c>
    </row>
    <row r="221" spans="1:6">
      <c r="A221" t="str">
        <f>基因升级!$J$140&amp;"+"&amp;基因升级!J359</f>
        <v>队长攻击力+128</v>
      </c>
      <c r="B221" t="str">
        <f>IF(基因升级!K359="","",基因升级!K$140&amp;"+"&amp;基因升级!K359*100&amp;"%")</f>
        <v/>
      </c>
      <c r="C221" t="str">
        <f>IF(基因升级!L359="","",基因升级!L$140&amp;"+"&amp;基因升级!L359*100&amp;"%")</f>
        <v/>
      </c>
      <c r="D221" t="str">
        <f>IF(基因升级!M359="","",基因升级!M$140&amp;"+"&amp;基因升级!M359*100&amp;"%")</f>
        <v>队长暴击++0.2%</v>
      </c>
      <c r="E221" t="str">
        <f>IF(基因升级!N359="","",基因升级!N$140&amp;"+"&amp;基因升级!N359*100&amp;"%")</f>
        <v/>
      </c>
      <c r="F221" t="str">
        <f t="shared" si="3"/>
        <v>队长攻击力+128\n队长暴击++0.2%</v>
      </c>
    </row>
    <row r="222" spans="1:6">
      <c r="A222" t="str">
        <f>基因升级!$J$140&amp;"+"&amp;基因升级!J360</f>
        <v>队长攻击力+128</v>
      </c>
      <c r="B222" t="str">
        <f>IF(基因升级!K360="","",基因升级!K$140&amp;"+"&amp;基因升级!K360*100&amp;"%")</f>
        <v/>
      </c>
      <c r="C222" t="str">
        <f>IF(基因升级!L360="","",基因升级!L$140&amp;"+"&amp;基因升级!L360*100&amp;"%")</f>
        <v>队长暴击伤害+3%</v>
      </c>
      <c r="D222" t="str">
        <f>IF(基因升级!M360="","",基因升级!M$140&amp;"+"&amp;基因升级!M360*100&amp;"%")</f>
        <v/>
      </c>
      <c r="E222" t="str">
        <f>IF(基因升级!N360="","",基因升级!N$140&amp;"+"&amp;基因升级!N360*100&amp;"%")</f>
        <v/>
      </c>
      <c r="F222" t="str">
        <f t="shared" si="3"/>
        <v>队长攻击力+128\n队长暴击伤害+3%</v>
      </c>
    </row>
    <row r="223" spans="1:6">
      <c r="A223" t="str">
        <f>基因升级!$J$140&amp;"+"&amp;基因升级!J361</f>
        <v>队长攻击力+128</v>
      </c>
      <c r="B223" t="str">
        <f>IF(基因升级!K361="","",基因升级!K$140&amp;"+"&amp;基因升级!K361*100&amp;"%")</f>
        <v>队长伤害+5%</v>
      </c>
      <c r="C223" t="str">
        <f>IF(基因升级!L361="","",基因升级!L$140&amp;"+"&amp;基因升级!L361*100&amp;"%")</f>
        <v/>
      </c>
      <c r="D223" t="str">
        <f>IF(基因升级!M361="","",基因升级!M$140&amp;"+"&amp;基因升级!M361*100&amp;"%")</f>
        <v/>
      </c>
      <c r="E223" t="str">
        <f>IF(基因升级!N361="","",基因升级!N$140&amp;"+"&amp;基因升级!N361*100&amp;"%")</f>
        <v/>
      </c>
      <c r="F223" t="str">
        <f t="shared" si="3"/>
        <v>队长攻击力+128\n队长伤害+5%</v>
      </c>
    </row>
    <row r="224" spans="1:6">
      <c r="A224" t="str">
        <f>基因升级!$J$140&amp;"+"&amp;基因升级!J362</f>
        <v>队长攻击力+128</v>
      </c>
      <c r="B224" t="str">
        <f>IF(基因升级!K362="","",基因升级!K$140&amp;"+"&amp;基因升级!K362*100&amp;"%")</f>
        <v/>
      </c>
      <c r="C224" t="str">
        <f>IF(基因升级!L362="","",基因升级!L$140&amp;"+"&amp;基因升级!L362*100&amp;"%")</f>
        <v/>
      </c>
      <c r="D224" t="str">
        <f>IF(基因升级!M362="","",基因升级!M$140&amp;"+"&amp;基因升级!M362*100&amp;"%")</f>
        <v/>
      </c>
      <c r="E224" t="str">
        <f>IF(基因升级!N362="","",基因升级!N$140&amp;"+"&amp;基因升级!N362*100&amp;"%")</f>
        <v>队长技能冷却+0.75%</v>
      </c>
      <c r="F224" t="str">
        <f t="shared" si="3"/>
        <v>队长攻击力+128\n队长技能冷却+0.75%</v>
      </c>
    </row>
    <row r="225" spans="1:6">
      <c r="A225" t="str">
        <f>基因升级!$J$140&amp;"+"&amp;基因升级!J363</f>
        <v>队长攻击力+128</v>
      </c>
      <c r="B225" t="str">
        <f>IF(基因升级!K363="","",基因升级!K$140&amp;"+"&amp;基因升级!K363*100&amp;"%")</f>
        <v/>
      </c>
      <c r="C225" t="str">
        <f>IF(基因升级!L363="","",基因升级!L$140&amp;"+"&amp;基因升级!L363*100&amp;"%")</f>
        <v/>
      </c>
      <c r="D225" t="str">
        <f>IF(基因升级!M363="","",基因升级!M$140&amp;"+"&amp;基因升级!M363*100&amp;"%")</f>
        <v>队长暴击++0.2%</v>
      </c>
      <c r="E225" t="str">
        <f>IF(基因升级!N363="","",基因升级!N$140&amp;"+"&amp;基因升级!N363*100&amp;"%")</f>
        <v/>
      </c>
      <c r="F225" t="str">
        <f t="shared" si="3"/>
        <v>队长攻击力+128\n队长暴击++0.2%</v>
      </c>
    </row>
    <row r="226" spans="1:6">
      <c r="A226" t="str">
        <f>基因升级!$J$140&amp;"+"&amp;基因升级!J364</f>
        <v>队长攻击力+128</v>
      </c>
      <c r="B226" t="str">
        <f>IF(基因升级!K364="","",基因升级!K$140&amp;"+"&amp;基因升级!K364*100&amp;"%")</f>
        <v/>
      </c>
      <c r="C226" t="str">
        <f>IF(基因升级!L364="","",基因升级!L$140&amp;"+"&amp;基因升级!L364*100&amp;"%")</f>
        <v>队长暴击伤害+3%</v>
      </c>
      <c r="D226" t="str">
        <f>IF(基因升级!M364="","",基因升级!M$140&amp;"+"&amp;基因升级!M364*100&amp;"%")</f>
        <v/>
      </c>
      <c r="E226" t="str">
        <f>IF(基因升级!N364="","",基因升级!N$140&amp;"+"&amp;基因升级!N364*100&amp;"%")</f>
        <v/>
      </c>
      <c r="F226" t="str">
        <f t="shared" si="3"/>
        <v>队长攻击力+128\n队长暴击伤害+3%</v>
      </c>
    </row>
    <row r="227" spans="1:6">
      <c r="A227" t="str">
        <f>基因升级!$J$140&amp;"+"&amp;基因升级!J365</f>
        <v>队长攻击力+128</v>
      </c>
      <c r="B227" t="str">
        <f>IF(基因升级!K365="","",基因升级!K$140&amp;"+"&amp;基因升级!K365*100&amp;"%")</f>
        <v>队长伤害+5%</v>
      </c>
      <c r="C227" t="str">
        <f>IF(基因升级!L365="","",基因升级!L$140&amp;"+"&amp;基因升级!L365*100&amp;"%")</f>
        <v/>
      </c>
      <c r="D227" t="str">
        <f>IF(基因升级!M365="","",基因升级!M$140&amp;"+"&amp;基因升级!M365*100&amp;"%")</f>
        <v/>
      </c>
      <c r="E227" t="str">
        <f>IF(基因升级!N365="","",基因升级!N$140&amp;"+"&amp;基因升级!N365*100&amp;"%")</f>
        <v/>
      </c>
      <c r="F227" t="str">
        <f t="shared" si="3"/>
        <v>队长攻击力+128\n队长伤害+5%</v>
      </c>
    </row>
    <row r="228" spans="1:6">
      <c r="A228" t="str">
        <f>基因升级!$J$140&amp;"+"&amp;基因升级!J366</f>
        <v>队长攻击力+128</v>
      </c>
      <c r="B228" t="str">
        <f>IF(基因升级!K366="","",基因升级!K$140&amp;"+"&amp;基因升级!K366*100&amp;"%")</f>
        <v/>
      </c>
      <c r="C228" t="str">
        <f>IF(基因升级!L366="","",基因升级!L$140&amp;"+"&amp;基因升级!L366*100&amp;"%")</f>
        <v/>
      </c>
      <c r="D228" t="str">
        <f>IF(基因升级!M366="","",基因升级!M$140&amp;"+"&amp;基因升级!M366*100&amp;"%")</f>
        <v/>
      </c>
      <c r="E228" t="str">
        <f>IF(基因升级!N366="","",基因升级!N$140&amp;"+"&amp;基因升级!N366*100&amp;"%")</f>
        <v>队长技能冷却+0.75%</v>
      </c>
      <c r="F228" t="str">
        <f t="shared" si="3"/>
        <v>队长攻击力+128\n队长技能冷却+0.75%</v>
      </c>
    </row>
    <row r="229" spans="1:6">
      <c r="A229" t="str">
        <f>基因升级!$J$140&amp;"+"&amp;基因升级!J367</f>
        <v>队长攻击力+128</v>
      </c>
      <c r="B229" t="str">
        <f>IF(基因升级!K367="","",基因升级!K$140&amp;"+"&amp;基因升级!K367*100&amp;"%")</f>
        <v/>
      </c>
      <c r="C229" t="str">
        <f>IF(基因升级!L367="","",基因升级!L$140&amp;"+"&amp;基因升级!L367*100&amp;"%")</f>
        <v/>
      </c>
      <c r="D229" t="str">
        <f>IF(基因升级!M367="","",基因升级!M$140&amp;"+"&amp;基因升级!M367*100&amp;"%")</f>
        <v>队长暴击++0.2%</v>
      </c>
      <c r="E229" t="str">
        <f>IF(基因升级!N367="","",基因升级!N$140&amp;"+"&amp;基因升级!N367*100&amp;"%")</f>
        <v/>
      </c>
      <c r="F229" t="str">
        <f t="shared" si="3"/>
        <v>队长攻击力+128\n队长暴击++0.2%</v>
      </c>
    </row>
    <row r="230" spans="1:6">
      <c r="A230" t="str">
        <f>基因升级!$J$140&amp;"+"&amp;基因升级!J368</f>
        <v>队长攻击力+128</v>
      </c>
      <c r="B230" t="str">
        <f>IF(基因升级!K368="","",基因升级!K$140&amp;"+"&amp;基因升级!K368*100&amp;"%")</f>
        <v/>
      </c>
      <c r="C230" t="str">
        <f>IF(基因升级!L368="","",基因升级!L$140&amp;"+"&amp;基因升级!L368*100&amp;"%")</f>
        <v>队长暴击伤害+3%</v>
      </c>
      <c r="D230" t="str">
        <f>IF(基因升级!M368="","",基因升级!M$140&amp;"+"&amp;基因升级!M368*100&amp;"%")</f>
        <v/>
      </c>
      <c r="E230" t="str">
        <f>IF(基因升级!N368="","",基因升级!N$140&amp;"+"&amp;基因升级!N368*100&amp;"%")</f>
        <v/>
      </c>
      <c r="F230" t="str">
        <f t="shared" si="3"/>
        <v>队长攻击力+128\n队长暴击伤害+3%</v>
      </c>
    </row>
    <row r="231" spans="1:6">
      <c r="A231" t="str">
        <f>基因升级!$J$140&amp;"+"&amp;基因升级!J369</f>
        <v>队长攻击力+128</v>
      </c>
      <c r="B231" t="str">
        <f>IF(基因升级!K369="","",基因升级!K$140&amp;"+"&amp;基因升级!K369*100&amp;"%")</f>
        <v>队长伤害+5%</v>
      </c>
      <c r="C231" t="str">
        <f>IF(基因升级!L369="","",基因升级!L$140&amp;"+"&amp;基因升级!L369*100&amp;"%")</f>
        <v/>
      </c>
      <c r="D231" t="str">
        <f>IF(基因升级!M369="","",基因升级!M$140&amp;"+"&amp;基因升级!M369*100&amp;"%")</f>
        <v/>
      </c>
      <c r="E231" t="str">
        <f>IF(基因升级!N369="","",基因升级!N$140&amp;"+"&amp;基因升级!N369*100&amp;"%")</f>
        <v/>
      </c>
      <c r="F231" t="str">
        <f t="shared" si="3"/>
        <v>队长攻击力+128\n队长伤害+5%</v>
      </c>
    </row>
    <row r="232" spans="1:6">
      <c r="A232" t="str">
        <f>基因升级!$J$140&amp;"+"&amp;基因升级!J370</f>
        <v>队长攻击力+128</v>
      </c>
      <c r="B232" t="str">
        <f>IF(基因升级!K370="","",基因升级!K$140&amp;"+"&amp;基因升级!K370*100&amp;"%")</f>
        <v/>
      </c>
      <c r="C232" t="str">
        <f>IF(基因升级!L370="","",基因升级!L$140&amp;"+"&amp;基因升级!L370*100&amp;"%")</f>
        <v/>
      </c>
      <c r="D232" t="str">
        <f>IF(基因升级!M370="","",基因升级!M$140&amp;"+"&amp;基因升级!M370*100&amp;"%")</f>
        <v/>
      </c>
      <c r="E232" t="str">
        <f>IF(基因升级!N370="","",基因升级!N$140&amp;"+"&amp;基因升级!N370*100&amp;"%")</f>
        <v>队长技能冷却+0.75%</v>
      </c>
      <c r="F232" t="str">
        <f t="shared" si="3"/>
        <v>队长攻击力+128\n队长技能冷却+0.75%</v>
      </c>
    </row>
    <row r="233" spans="1:6">
      <c r="A233" t="str">
        <f>基因升级!$J$140&amp;"+"&amp;基因升级!J371</f>
        <v>队长攻击力+128</v>
      </c>
      <c r="B233" t="str">
        <f>IF(基因升级!K371="","",基因升级!K$140&amp;"+"&amp;基因升级!K371*100&amp;"%")</f>
        <v/>
      </c>
      <c r="C233" t="str">
        <f>IF(基因升级!L371="","",基因升级!L$140&amp;"+"&amp;基因升级!L371*100&amp;"%")</f>
        <v/>
      </c>
      <c r="D233" t="str">
        <f>IF(基因升级!M371="","",基因升级!M$140&amp;"+"&amp;基因升级!M371*100&amp;"%")</f>
        <v>队长暴击++0.2%</v>
      </c>
      <c r="E233" t="str">
        <f>IF(基因升级!N371="","",基因升级!N$140&amp;"+"&amp;基因升级!N371*100&amp;"%")</f>
        <v/>
      </c>
      <c r="F233" t="str">
        <f t="shared" si="3"/>
        <v>队长攻击力+128\n队长暴击++0.2%</v>
      </c>
    </row>
    <row r="234" spans="1:6">
      <c r="A234" t="str">
        <f>基因升级!$J$140&amp;"+"&amp;基因升级!J372</f>
        <v>队长攻击力+128</v>
      </c>
      <c r="B234" t="str">
        <f>IF(基因升级!K372="","",基因升级!K$140&amp;"+"&amp;基因升级!K372*100&amp;"%")</f>
        <v/>
      </c>
      <c r="C234" t="str">
        <f>IF(基因升级!L372="","",基因升级!L$140&amp;"+"&amp;基因升级!L372*100&amp;"%")</f>
        <v>队长暴击伤害+3%</v>
      </c>
      <c r="D234" t="str">
        <f>IF(基因升级!M372="","",基因升级!M$140&amp;"+"&amp;基因升级!M372*100&amp;"%")</f>
        <v/>
      </c>
      <c r="E234" t="str">
        <f>IF(基因升级!N372="","",基因升级!N$140&amp;"+"&amp;基因升级!N372*100&amp;"%")</f>
        <v/>
      </c>
      <c r="F234" t="str">
        <f t="shared" si="3"/>
        <v>队长攻击力+128\n队长暴击伤害+3%</v>
      </c>
    </row>
    <row r="235" spans="1:6">
      <c r="A235" t="str">
        <f>基因升级!$J$140&amp;"+"&amp;基因升级!J373</f>
        <v>队长攻击力+134</v>
      </c>
      <c r="B235" t="str">
        <f>IF(基因升级!K373="","",基因升级!K$140&amp;"+"&amp;基因升级!K373*100&amp;"%")</f>
        <v>队长伤害+5%</v>
      </c>
      <c r="C235" t="str">
        <f>IF(基因升级!L373="","",基因升级!L$140&amp;"+"&amp;基因升级!L373*100&amp;"%")</f>
        <v/>
      </c>
      <c r="D235" t="str">
        <f>IF(基因升级!M373="","",基因升级!M$140&amp;"+"&amp;基因升级!M373*100&amp;"%")</f>
        <v/>
      </c>
      <c r="E235" t="str">
        <f>IF(基因升级!N373="","",基因升级!N$140&amp;"+"&amp;基因升级!N373*100&amp;"%")</f>
        <v/>
      </c>
      <c r="F235" t="str">
        <f t="shared" si="3"/>
        <v>队长攻击力+134\n队长伤害+5%</v>
      </c>
    </row>
    <row r="236" spans="1:6">
      <c r="A236" t="str">
        <f>基因升级!$J$140&amp;"+"&amp;基因升级!J374</f>
        <v>队长攻击力+134</v>
      </c>
      <c r="B236" t="str">
        <f>IF(基因升级!K374="","",基因升级!K$140&amp;"+"&amp;基因升级!K374*100&amp;"%")</f>
        <v/>
      </c>
      <c r="C236" t="str">
        <f>IF(基因升级!L374="","",基因升级!L$140&amp;"+"&amp;基因升级!L374*100&amp;"%")</f>
        <v/>
      </c>
      <c r="D236" t="str">
        <f>IF(基因升级!M374="","",基因升级!M$140&amp;"+"&amp;基因升级!M374*100&amp;"%")</f>
        <v/>
      </c>
      <c r="E236" t="str">
        <f>IF(基因升级!N374="","",基因升级!N$140&amp;"+"&amp;基因升级!N374*100&amp;"%")</f>
        <v>队长技能冷却+0.75%</v>
      </c>
      <c r="F236" t="str">
        <f t="shared" si="3"/>
        <v>队长攻击力+134\n队长技能冷却+0.75%</v>
      </c>
    </row>
    <row r="237" spans="1:6">
      <c r="A237" t="str">
        <f>基因升级!$J$140&amp;"+"&amp;基因升级!J375</f>
        <v>队长攻击力+134</v>
      </c>
      <c r="B237" t="str">
        <f>IF(基因升级!K375="","",基因升级!K$140&amp;"+"&amp;基因升级!K375*100&amp;"%")</f>
        <v/>
      </c>
      <c r="C237" t="str">
        <f>IF(基因升级!L375="","",基因升级!L$140&amp;"+"&amp;基因升级!L375*100&amp;"%")</f>
        <v/>
      </c>
      <c r="D237" t="str">
        <f>IF(基因升级!M375="","",基因升级!M$140&amp;"+"&amp;基因升级!M375*100&amp;"%")</f>
        <v>队长暴击++0.2%</v>
      </c>
      <c r="E237" t="str">
        <f>IF(基因升级!N375="","",基因升级!N$140&amp;"+"&amp;基因升级!N375*100&amp;"%")</f>
        <v/>
      </c>
      <c r="F237" t="str">
        <f t="shared" si="3"/>
        <v>队长攻击力+134\n队长暴击++0.2%</v>
      </c>
    </row>
    <row r="238" spans="1:6">
      <c r="A238" t="str">
        <f>基因升级!$J$140&amp;"+"&amp;基因升级!J376</f>
        <v>队长攻击力+134</v>
      </c>
      <c r="B238" t="str">
        <f>IF(基因升级!K376="","",基因升级!K$140&amp;"+"&amp;基因升级!K376*100&amp;"%")</f>
        <v/>
      </c>
      <c r="C238" t="str">
        <f>IF(基因升级!L376="","",基因升级!L$140&amp;"+"&amp;基因升级!L376*100&amp;"%")</f>
        <v>队长暴击伤害+3%</v>
      </c>
      <c r="D238" t="str">
        <f>IF(基因升级!M376="","",基因升级!M$140&amp;"+"&amp;基因升级!M376*100&amp;"%")</f>
        <v/>
      </c>
      <c r="E238" t="str">
        <f>IF(基因升级!N376="","",基因升级!N$140&amp;"+"&amp;基因升级!N376*100&amp;"%")</f>
        <v/>
      </c>
      <c r="F238" t="str">
        <f t="shared" si="3"/>
        <v>队长攻击力+134\n队长暴击伤害+3%</v>
      </c>
    </row>
    <row r="239" spans="1:6">
      <c r="A239" t="str">
        <f>基因升级!$J$140&amp;"+"&amp;基因升级!J377</f>
        <v>队长攻击力+134</v>
      </c>
      <c r="B239" t="str">
        <f>IF(基因升级!K377="","",基因升级!K$140&amp;"+"&amp;基因升级!K377*100&amp;"%")</f>
        <v>队长伤害+5%</v>
      </c>
      <c r="C239" t="str">
        <f>IF(基因升级!L377="","",基因升级!L$140&amp;"+"&amp;基因升级!L377*100&amp;"%")</f>
        <v/>
      </c>
      <c r="D239" t="str">
        <f>IF(基因升级!M377="","",基因升级!M$140&amp;"+"&amp;基因升级!M377*100&amp;"%")</f>
        <v/>
      </c>
      <c r="E239" t="str">
        <f>IF(基因升级!N377="","",基因升级!N$140&amp;"+"&amp;基因升级!N377*100&amp;"%")</f>
        <v/>
      </c>
      <c r="F239" t="str">
        <f t="shared" si="3"/>
        <v>队长攻击力+134\n队长伤害+5%</v>
      </c>
    </row>
    <row r="240" spans="1:6">
      <c r="A240" t="str">
        <f>基因升级!$J$140&amp;"+"&amp;基因升级!J378</f>
        <v>队长攻击力+134</v>
      </c>
      <c r="B240" t="str">
        <f>IF(基因升级!K378="","",基因升级!K$140&amp;"+"&amp;基因升级!K378*100&amp;"%")</f>
        <v/>
      </c>
      <c r="C240" t="str">
        <f>IF(基因升级!L378="","",基因升级!L$140&amp;"+"&amp;基因升级!L378*100&amp;"%")</f>
        <v/>
      </c>
      <c r="D240" t="str">
        <f>IF(基因升级!M378="","",基因升级!M$140&amp;"+"&amp;基因升级!M378*100&amp;"%")</f>
        <v/>
      </c>
      <c r="E240" t="str">
        <f>IF(基因升级!N378="","",基因升级!N$140&amp;"+"&amp;基因升级!N378*100&amp;"%")</f>
        <v>队长技能冷却+0.75%</v>
      </c>
      <c r="F240" t="str">
        <f t="shared" si="3"/>
        <v>队长攻击力+134\n队长技能冷却+0.75%</v>
      </c>
    </row>
    <row r="241" spans="1:6">
      <c r="A241" t="str">
        <f>基因升级!$J$140&amp;"+"&amp;基因升级!J379</f>
        <v>队长攻击力+134</v>
      </c>
      <c r="B241" t="str">
        <f>IF(基因升级!K379="","",基因升级!K$140&amp;"+"&amp;基因升级!K379*100&amp;"%")</f>
        <v/>
      </c>
      <c r="C241" t="str">
        <f>IF(基因升级!L379="","",基因升级!L$140&amp;"+"&amp;基因升级!L379*100&amp;"%")</f>
        <v/>
      </c>
      <c r="D241" t="str">
        <f>IF(基因升级!M379="","",基因升级!M$140&amp;"+"&amp;基因升级!M379*100&amp;"%")</f>
        <v>队长暴击++0.2%</v>
      </c>
      <c r="E241" t="str">
        <f>IF(基因升级!N379="","",基因升级!N$140&amp;"+"&amp;基因升级!N379*100&amp;"%")</f>
        <v/>
      </c>
      <c r="F241" t="str">
        <f t="shared" si="3"/>
        <v>队长攻击力+134\n队长暴击++0.2%</v>
      </c>
    </row>
    <row r="242" spans="1:6">
      <c r="A242" t="str">
        <f>基因升级!$J$140&amp;"+"&amp;基因升级!J380</f>
        <v>队长攻击力+134</v>
      </c>
      <c r="B242" t="str">
        <f>IF(基因升级!K380="","",基因升级!K$140&amp;"+"&amp;基因升级!K380*100&amp;"%")</f>
        <v/>
      </c>
      <c r="C242" t="str">
        <f>IF(基因升级!L380="","",基因升级!L$140&amp;"+"&amp;基因升级!L380*100&amp;"%")</f>
        <v>队长暴击伤害+3%</v>
      </c>
      <c r="D242" t="str">
        <f>IF(基因升级!M380="","",基因升级!M$140&amp;"+"&amp;基因升级!M380*100&amp;"%")</f>
        <v/>
      </c>
      <c r="E242" t="str">
        <f>IF(基因升级!N380="","",基因升级!N$140&amp;"+"&amp;基因升级!N380*100&amp;"%")</f>
        <v/>
      </c>
      <c r="F242" t="str">
        <f t="shared" si="3"/>
        <v>队长攻击力+134\n队长暴击伤害+3%</v>
      </c>
    </row>
    <row r="243" spans="1:6">
      <c r="A243" t="str">
        <f>基因升级!$J$140&amp;"+"&amp;基因升级!J381</f>
        <v>队长攻击力+134</v>
      </c>
      <c r="B243" t="str">
        <f>IF(基因升级!K381="","",基因升级!K$140&amp;"+"&amp;基因升级!K381*100&amp;"%")</f>
        <v>队长伤害+5%</v>
      </c>
      <c r="C243" t="str">
        <f>IF(基因升级!L381="","",基因升级!L$140&amp;"+"&amp;基因升级!L381*100&amp;"%")</f>
        <v/>
      </c>
      <c r="D243" t="str">
        <f>IF(基因升级!M381="","",基因升级!M$140&amp;"+"&amp;基因升级!M381*100&amp;"%")</f>
        <v/>
      </c>
      <c r="E243" t="str">
        <f>IF(基因升级!N381="","",基因升级!N$140&amp;"+"&amp;基因升级!N381*100&amp;"%")</f>
        <v/>
      </c>
      <c r="F243" t="str">
        <f t="shared" si="3"/>
        <v>队长攻击力+134\n队长伤害+5%</v>
      </c>
    </row>
    <row r="244" spans="1:6">
      <c r="A244" t="str">
        <f>基因升级!$J$140&amp;"+"&amp;基因升级!J382</f>
        <v>队长攻击力+134</v>
      </c>
      <c r="B244" t="str">
        <f>IF(基因升级!K382="","",基因升级!K$140&amp;"+"&amp;基因升级!K382*100&amp;"%")</f>
        <v/>
      </c>
      <c r="C244" t="str">
        <f>IF(基因升级!L382="","",基因升级!L$140&amp;"+"&amp;基因升级!L382*100&amp;"%")</f>
        <v/>
      </c>
      <c r="D244" t="str">
        <f>IF(基因升级!M382="","",基因升级!M$140&amp;"+"&amp;基因升级!M382*100&amp;"%")</f>
        <v/>
      </c>
      <c r="E244" t="str">
        <f>IF(基因升级!N382="","",基因升级!N$140&amp;"+"&amp;基因升级!N382*100&amp;"%")</f>
        <v>队长技能冷却+0.75%</v>
      </c>
      <c r="F244" t="str">
        <f t="shared" si="3"/>
        <v>队长攻击力+134\n队长技能冷却+0.75%</v>
      </c>
    </row>
    <row r="245" spans="1:6">
      <c r="A245" t="str">
        <f>基因升级!$J$140&amp;"+"&amp;基因升级!J383</f>
        <v>队长攻击力+134</v>
      </c>
      <c r="B245" t="str">
        <f>IF(基因升级!K383="","",基因升级!K$140&amp;"+"&amp;基因升级!K383*100&amp;"%")</f>
        <v/>
      </c>
      <c r="C245" t="str">
        <f>IF(基因升级!L383="","",基因升级!L$140&amp;"+"&amp;基因升级!L383*100&amp;"%")</f>
        <v/>
      </c>
      <c r="D245" t="str">
        <f>IF(基因升级!M383="","",基因升级!M$140&amp;"+"&amp;基因升级!M383*100&amp;"%")</f>
        <v>队长暴击++0.2%</v>
      </c>
      <c r="E245" t="str">
        <f>IF(基因升级!N383="","",基因升级!N$140&amp;"+"&amp;基因升级!N383*100&amp;"%")</f>
        <v/>
      </c>
      <c r="F245" t="str">
        <f t="shared" si="3"/>
        <v>队长攻击力+134\n队长暴击++0.2%</v>
      </c>
    </row>
    <row r="246" spans="1:6">
      <c r="A246" t="str">
        <f>基因升级!$J$140&amp;"+"&amp;基因升级!J384</f>
        <v>队长攻击力+134</v>
      </c>
      <c r="B246" t="str">
        <f>IF(基因升级!K384="","",基因升级!K$140&amp;"+"&amp;基因升级!K384*100&amp;"%")</f>
        <v/>
      </c>
      <c r="C246" t="str">
        <f>IF(基因升级!L384="","",基因升级!L$140&amp;"+"&amp;基因升级!L384*100&amp;"%")</f>
        <v>队长暴击伤害+3%</v>
      </c>
      <c r="D246" t="str">
        <f>IF(基因升级!M384="","",基因升级!M$140&amp;"+"&amp;基因升级!M384*100&amp;"%")</f>
        <v/>
      </c>
      <c r="E246" t="str">
        <f>IF(基因升级!N384="","",基因升级!N$140&amp;"+"&amp;基因升级!N384*100&amp;"%")</f>
        <v/>
      </c>
      <c r="F246" t="str">
        <f t="shared" si="3"/>
        <v>队长攻击力+134\n队长暴击伤害+3%</v>
      </c>
    </row>
    <row r="247" spans="1:6">
      <c r="A247" t="str">
        <f>基因升级!$J$140&amp;"+"&amp;基因升级!J385</f>
        <v>队长攻击力+134</v>
      </c>
      <c r="B247" t="str">
        <f>IF(基因升级!K385="","",基因升级!K$140&amp;"+"&amp;基因升级!K385*100&amp;"%")</f>
        <v>队长伤害+5%</v>
      </c>
      <c r="C247" t="str">
        <f>IF(基因升级!L385="","",基因升级!L$140&amp;"+"&amp;基因升级!L385*100&amp;"%")</f>
        <v/>
      </c>
      <c r="D247" t="str">
        <f>IF(基因升级!M385="","",基因升级!M$140&amp;"+"&amp;基因升级!M385*100&amp;"%")</f>
        <v/>
      </c>
      <c r="E247" t="str">
        <f>IF(基因升级!N385="","",基因升级!N$140&amp;"+"&amp;基因升级!N385*100&amp;"%")</f>
        <v/>
      </c>
      <c r="F247" t="str">
        <f t="shared" si="3"/>
        <v>队长攻击力+134\n队长伤害+5%</v>
      </c>
    </row>
    <row r="248" spans="1:6">
      <c r="A248" t="str">
        <f>基因升级!$J$140&amp;"+"&amp;基因升级!J386</f>
        <v>队长攻击力+134</v>
      </c>
      <c r="B248" t="str">
        <f>IF(基因升级!K386="","",基因升级!K$140&amp;"+"&amp;基因升级!K386*100&amp;"%")</f>
        <v/>
      </c>
      <c r="C248" t="str">
        <f>IF(基因升级!L386="","",基因升级!L$140&amp;"+"&amp;基因升级!L386*100&amp;"%")</f>
        <v/>
      </c>
      <c r="D248" t="str">
        <f>IF(基因升级!M386="","",基因升级!M$140&amp;"+"&amp;基因升级!M386*100&amp;"%")</f>
        <v/>
      </c>
      <c r="E248" t="str">
        <f>IF(基因升级!N386="","",基因升级!N$140&amp;"+"&amp;基因升级!N386*100&amp;"%")</f>
        <v>队长技能冷却+0.75%</v>
      </c>
      <c r="F248" t="str">
        <f t="shared" si="3"/>
        <v>队长攻击力+134\n队长技能冷却+0.75%</v>
      </c>
    </row>
    <row r="249" spans="1:6">
      <c r="A249" t="str">
        <f>基因升级!$J$140&amp;"+"&amp;基因升级!J387</f>
        <v>队长攻击力+134</v>
      </c>
      <c r="B249" t="str">
        <f>IF(基因升级!K387="","",基因升级!K$140&amp;"+"&amp;基因升级!K387*100&amp;"%")</f>
        <v/>
      </c>
      <c r="C249" t="str">
        <f>IF(基因升级!L387="","",基因升级!L$140&amp;"+"&amp;基因升级!L387*100&amp;"%")</f>
        <v/>
      </c>
      <c r="D249" t="str">
        <f>IF(基因升级!M387="","",基因升级!M$140&amp;"+"&amp;基因升级!M387*100&amp;"%")</f>
        <v>队长暴击++0.2%</v>
      </c>
      <c r="E249" t="str">
        <f>IF(基因升级!N387="","",基因升级!N$140&amp;"+"&amp;基因升级!N387*100&amp;"%")</f>
        <v/>
      </c>
      <c r="F249" t="str">
        <f t="shared" si="3"/>
        <v>队长攻击力+134\n队长暴击++0.2%</v>
      </c>
    </row>
    <row r="250" spans="1:6">
      <c r="A250" t="str">
        <f>基因升级!$J$140&amp;"+"&amp;基因升级!J388</f>
        <v>队长攻击力+134</v>
      </c>
      <c r="B250" t="str">
        <f>IF(基因升级!K388="","",基因升级!K$140&amp;"+"&amp;基因升级!K388*100&amp;"%")</f>
        <v/>
      </c>
      <c r="C250" t="str">
        <f>IF(基因升级!L388="","",基因升级!L$140&amp;"+"&amp;基因升级!L388*100&amp;"%")</f>
        <v>队长暴击伤害+3%</v>
      </c>
      <c r="D250" t="str">
        <f>IF(基因升级!M388="","",基因升级!M$140&amp;"+"&amp;基因升级!M388*100&amp;"%")</f>
        <v/>
      </c>
      <c r="E250" t="str">
        <f>IF(基因升级!N388="","",基因升级!N$140&amp;"+"&amp;基因升级!N388*100&amp;"%")</f>
        <v/>
      </c>
      <c r="F250" t="str">
        <f t="shared" si="3"/>
        <v>队长攻击力+134\n队长暴击伤害+3%</v>
      </c>
    </row>
    <row r="251" spans="1:6">
      <c r="A251" t="str">
        <f>基因升级!$J$140&amp;"+"&amp;基因升级!J389</f>
        <v>队长攻击力+140</v>
      </c>
      <c r="B251" t="str">
        <f>IF(基因升级!K389="","",基因升级!K$140&amp;"+"&amp;基因升级!K389*100&amp;"%")</f>
        <v>队长伤害+5%</v>
      </c>
      <c r="C251" t="str">
        <f>IF(基因升级!L389="","",基因升级!L$140&amp;"+"&amp;基因升级!L389*100&amp;"%")</f>
        <v/>
      </c>
      <c r="D251" t="str">
        <f>IF(基因升级!M389="","",基因升级!M$140&amp;"+"&amp;基因升级!M389*100&amp;"%")</f>
        <v/>
      </c>
      <c r="E251" t="str">
        <f>IF(基因升级!N389="","",基因升级!N$140&amp;"+"&amp;基因升级!N389*100&amp;"%")</f>
        <v/>
      </c>
      <c r="F251" t="str">
        <f t="shared" si="3"/>
        <v>队长攻击力+140\n队长伤害+5%</v>
      </c>
    </row>
    <row r="252" spans="1:6">
      <c r="A252" t="str">
        <f>基因升级!$J$140&amp;"+"&amp;基因升级!J390</f>
        <v>队长攻击力+140</v>
      </c>
      <c r="B252" t="str">
        <f>IF(基因升级!K390="","",基因升级!K$140&amp;"+"&amp;基因升级!K390*100&amp;"%")</f>
        <v/>
      </c>
      <c r="C252" t="str">
        <f>IF(基因升级!L390="","",基因升级!L$140&amp;"+"&amp;基因升级!L390*100&amp;"%")</f>
        <v/>
      </c>
      <c r="D252" t="str">
        <f>IF(基因升级!M390="","",基因升级!M$140&amp;"+"&amp;基因升级!M390*100&amp;"%")</f>
        <v/>
      </c>
      <c r="E252" t="str">
        <f>IF(基因升级!N390="","",基因升级!N$140&amp;"+"&amp;基因升级!N390*100&amp;"%")</f>
        <v>队长技能冷却+0.75%</v>
      </c>
      <c r="F252" t="str">
        <f t="shared" si="3"/>
        <v>队长攻击力+140\n队长技能冷却+0.75%</v>
      </c>
    </row>
    <row r="253" spans="1:6">
      <c r="A253" t="str">
        <f>基因升级!$J$140&amp;"+"&amp;基因升级!J391</f>
        <v>队长攻击力+140</v>
      </c>
      <c r="B253" t="str">
        <f>IF(基因升级!K391="","",基因升级!K$140&amp;"+"&amp;基因升级!K391*100&amp;"%")</f>
        <v/>
      </c>
      <c r="C253" t="str">
        <f>IF(基因升级!L391="","",基因升级!L$140&amp;"+"&amp;基因升级!L391*100&amp;"%")</f>
        <v/>
      </c>
      <c r="D253" t="str">
        <f>IF(基因升级!M391="","",基因升级!M$140&amp;"+"&amp;基因升级!M391*100&amp;"%")</f>
        <v>队长暴击++0.2%</v>
      </c>
      <c r="E253" t="str">
        <f>IF(基因升级!N391="","",基因升级!N$140&amp;"+"&amp;基因升级!N391*100&amp;"%")</f>
        <v/>
      </c>
      <c r="F253" t="str">
        <f t="shared" si="3"/>
        <v>队长攻击力+140\n队长暴击++0.2%</v>
      </c>
    </row>
    <row r="254" spans="1:6">
      <c r="A254" t="str">
        <f>基因升级!$J$140&amp;"+"&amp;基因升级!J392</f>
        <v>队长攻击力+140</v>
      </c>
      <c r="B254" t="str">
        <f>IF(基因升级!K392="","",基因升级!K$140&amp;"+"&amp;基因升级!K392*100&amp;"%")</f>
        <v/>
      </c>
      <c r="C254" t="str">
        <f>IF(基因升级!L392="","",基因升级!L$140&amp;"+"&amp;基因升级!L392*100&amp;"%")</f>
        <v>队长暴击伤害+3%</v>
      </c>
      <c r="D254" t="str">
        <f>IF(基因升级!M392="","",基因升级!M$140&amp;"+"&amp;基因升级!M392*100&amp;"%")</f>
        <v/>
      </c>
      <c r="E254" t="str">
        <f>IF(基因升级!N392="","",基因升级!N$140&amp;"+"&amp;基因升级!N392*100&amp;"%")</f>
        <v/>
      </c>
      <c r="F254" t="str">
        <f t="shared" si="3"/>
        <v>队长攻击力+140\n队长暴击伤害+3%</v>
      </c>
    </row>
    <row r="255" spans="1:6">
      <c r="A255" t="str">
        <f>基因升级!$J$140&amp;"+"&amp;基因升级!J393</f>
        <v>队长攻击力+140</v>
      </c>
      <c r="B255" t="str">
        <f>IF(基因升级!K393="","",基因升级!K$140&amp;"+"&amp;基因升级!K393*100&amp;"%")</f>
        <v>队长伤害+5%</v>
      </c>
      <c r="C255" t="str">
        <f>IF(基因升级!L393="","",基因升级!L$140&amp;"+"&amp;基因升级!L393*100&amp;"%")</f>
        <v/>
      </c>
      <c r="D255" t="str">
        <f>IF(基因升级!M393="","",基因升级!M$140&amp;"+"&amp;基因升级!M393*100&amp;"%")</f>
        <v/>
      </c>
      <c r="E255" t="str">
        <f>IF(基因升级!N393="","",基因升级!N$140&amp;"+"&amp;基因升级!N393*100&amp;"%")</f>
        <v/>
      </c>
      <c r="F255" t="str">
        <f t="shared" si="3"/>
        <v>队长攻击力+140\n队长伤害+5%</v>
      </c>
    </row>
    <row r="256" spans="1:6">
      <c r="A256" t="str">
        <f>基因升级!$J$140&amp;"+"&amp;基因升级!J394</f>
        <v>队长攻击力+140</v>
      </c>
      <c r="B256" t="str">
        <f>IF(基因升级!K394="","",基因升级!K$140&amp;"+"&amp;基因升级!K394*100&amp;"%")</f>
        <v/>
      </c>
      <c r="C256" t="str">
        <f>IF(基因升级!L394="","",基因升级!L$140&amp;"+"&amp;基因升级!L394*100&amp;"%")</f>
        <v/>
      </c>
      <c r="D256" t="str">
        <f>IF(基因升级!M394="","",基因升级!M$140&amp;"+"&amp;基因升级!M394*100&amp;"%")</f>
        <v/>
      </c>
      <c r="E256" t="str">
        <f>IF(基因升级!N394="","",基因升级!N$140&amp;"+"&amp;基因升级!N394*100&amp;"%")</f>
        <v>队长技能冷却+0.75%</v>
      </c>
      <c r="F256" t="str">
        <f t="shared" si="3"/>
        <v>队长攻击力+140\n队长技能冷却+0.75%</v>
      </c>
    </row>
    <row r="257" spans="1:6">
      <c r="A257" t="str">
        <f>基因升级!$J$140&amp;"+"&amp;基因升级!J395</f>
        <v>队长攻击力+140</v>
      </c>
      <c r="B257" t="str">
        <f>IF(基因升级!K395="","",基因升级!K$140&amp;"+"&amp;基因升级!K395*100&amp;"%")</f>
        <v/>
      </c>
      <c r="C257" t="str">
        <f>IF(基因升级!L395="","",基因升级!L$140&amp;"+"&amp;基因升级!L395*100&amp;"%")</f>
        <v/>
      </c>
      <c r="D257" t="str">
        <f>IF(基因升级!M395="","",基因升级!M$140&amp;"+"&amp;基因升级!M395*100&amp;"%")</f>
        <v>队长暴击++0.2%</v>
      </c>
      <c r="E257" t="str">
        <f>IF(基因升级!N395="","",基因升级!N$140&amp;"+"&amp;基因升级!N395*100&amp;"%")</f>
        <v/>
      </c>
      <c r="F257" t="str">
        <f t="shared" si="3"/>
        <v>队长攻击力+140\n队长暴击++0.2%</v>
      </c>
    </row>
    <row r="258" spans="1:6">
      <c r="A258" t="str">
        <f>基因升级!$J$140&amp;"+"&amp;基因升级!J396</f>
        <v>队长攻击力+140</v>
      </c>
      <c r="B258" t="str">
        <f>IF(基因升级!K396="","",基因升级!K$140&amp;"+"&amp;基因升级!K396*100&amp;"%")</f>
        <v/>
      </c>
      <c r="C258" t="str">
        <f>IF(基因升级!L396="","",基因升级!L$140&amp;"+"&amp;基因升级!L396*100&amp;"%")</f>
        <v>队长暴击伤害+3%</v>
      </c>
      <c r="D258" t="str">
        <f>IF(基因升级!M396="","",基因升级!M$140&amp;"+"&amp;基因升级!M396*100&amp;"%")</f>
        <v/>
      </c>
      <c r="E258" t="str">
        <f>IF(基因升级!N396="","",基因升级!N$140&amp;"+"&amp;基因升级!N396*100&amp;"%")</f>
        <v/>
      </c>
      <c r="F258" t="str">
        <f t="shared" si="3"/>
        <v>队长攻击力+140\n队长暴击伤害+3%</v>
      </c>
    </row>
    <row r="259" spans="1:6">
      <c r="A259" t="str">
        <f>基因升级!$J$140&amp;"+"&amp;基因升级!J397</f>
        <v>队长攻击力+140</v>
      </c>
      <c r="B259" t="str">
        <f>IF(基因升级!K397="","",基因升级!K$140&amp;"+"&amp;基因升级!K397*100&amp;"%")</f>
        <v>队长伤害+5%</v>
      </c>
      <c r="C259" t="str">
        <f>IF(基因升级!L397="","",基因升级!L$140&amp;"+"&amp;基因升级!L397*100&amp;"%")</f>
        <v/>
      </c>
      <c r="D259" t="str">
        <f>IF(基因升级!M397="","",基因升级!M$140&amp;"+"&amp;基因升级!M397*100&amp;"%")</f>
        <v/>
      </c>
      <c r="E259" t="str">
        <f>IF(基因升级!N397="","",基因升级!N$140&amp;"+"&amp;基因升级!N397*100&amp;"%")</f>
        <v/>
      </c>
      <c r="F259" t="str">
        <f t="shared" si="3"/>
        <v>队长攻击力+140\n队长伤害+5%</v>
      </c>
    </row>
    <row r="260" spans="1:6">
      <c r="A260" t="str">
        <f>基因升级!$J$140&amp;"+"&amp;基因升级!J398</f>
        <v>队长攻击力+140</v>
      </c>
      <c r="B260" t="str">
        <f>IF(基因升级!K398="","",基因升级!K$140&amp;"+"&amp;基因升级!K398*100&amp;"%")</f>
        <v/>
      </c>
      <c r="C260" t="str">
        <f>IF(基因升级!L398="","",基因升级!L$140&amp;"+"&amp;基因升级!L398*100&amp;"%")</f>
        <v/>
      </c>
      <c r="D260" t="str">
        <f>IF(基因升级!M398="","",基因升级!M$140&amp;"+"&amp;基因升级!M398*100&amp;"%")</f>
        <v/>
      </c>
      <c r="E260" t="str">
        <f>IF(基因升级!N398="","",基因升级!N$140&amp;"+"&amp;基因升级!N398*100&amp;"%")</f>
        <v>队长技能冷却+0.75%</v>
      </c>
      <c r="F260" t="str">
        <f t="shared" ref="F260:F323" si="4">_xlfn.TEXTJOIN("\n",1,A260:E260)</f>
        <v>队长攻击力+140\n队长技能冷却+0.75%</v>
      </c>
    </row>
    <row r="261" spans="1:6">
      <c r="A261" t="str">
        <f>基因升级!$J$140&amp;"+"&amp;基因升级!J399</f>
        <v>队长攻击力+140</v>
      </c>
      <c r="B261" t="str">
        <f>IF(基因升级!K399="","",基因升级!K$140&amp;"+"&amp;基因升级!K399*100&amp;"%")</f>
        <v/>
      </c>
      <c r="C261" t="str">
        <f>IF(基因升级!L399="","",基因升级!L$140&amp;"+"&amp;基因升级!L399*100&amp;"%")</f>
        <v/>
      </c>
      <c r="D261" t="str">
        <f>IF(基因升级!M399="","",基因升级!M$140&amp;"+"&amp;基因升级!M399*100&amp;"%")</f>
        <v>队长暴击++0.2%</v>
      </c>
      <c r="E261" t="str">
        <f>IF(基因升级!N399="","",基因升级!N$140&amp;"+"&amp;基因升级!N399*100&amp;"%")</f>
        <v/>
      </c>
      <c r="F261" t="str">
        <f t="shared" si="4"/>
        <v>队长攻击力+140\n队长暴击++0.2%</v>
      </c>
    </row>
    <row r="262" spans="1:6">
      <c r="A262" t="str">
        <f>基因升级!$J$140&amp;"+"&amp;基因升级!J400</f>
        <v>队长攻击力+140</v>
      </c>
      <c r="B262" t="str">
        <f>IF(基因升级!K400="","",基因升级!K$140&amp;"+"&amp;基因升级!K400*100&amp;"%")</f>
        <v/>
      </c>
      <c r="C262" t="str">
        <f>IF(基因升级!L400="","",基因升级!L$140&amp;"+"&amp;基因升级!L400*100&amp;"%")</f>
        <v>队长暴击伤害+3%</v>
      </c>
      <c r="D262" t="str">
        <f>IF(基因升级!M400="","",基因升级!M$140&amp;"+"&amp;基因升级!M400*100&amp;"%")</f>
        <v/>
      </c>
      <c r="E262" t="str">
        <f>IF(基因升级!N400="","",基因升级!N$140&amp;"+"&amp;基因升级!N400*100&amp;"%")</f>
        <v/>
      </c>
      <c r="F262" t="str">
        <f t="shared" si="4"/>
        <v>队长攻击力+140\n队长暴击伤害+3%</v>
      </c>
    </row>
    <row r="263" spans="1:6">
      <c r="A263" t="str">
        <f>基因升级!$J$140&amp;"+"&amp;基因升级!J401</f>
        <v>队长攻击力+140</v>
      </c>
      <c r="B263" t="str">
        <f>IF(基因升级!K401="","",基因升级!K$140&amp;"+"&amp;基因升级!K401*100&amp;"%")</f>
        <v>队长伤害+5%</v>
      </c>
      <c r="C263" t="str">
        <f>IF(基因升级!L401="","",基因升级!L$140&amp;"+"&amp;基因升级!L401*100&amp;"%")</f>
        <v/>
      </c>
      <c r="D263" t="str">
        <f>IF(基因升级!M401="","",基因升级!M$140&amp;"+"&amp;基因升级!M401*100&amp;"%")</f>
        <v/>
      </c>
      <c r="E263" t="str">
        <f>IF(基因升级!N401="","",基因升级!N$140&amp;"+"&amp;基因升级!N401*100&amp;"%")</f>
        <v/>
      </c>
      <c r="F263" t="str">
        <f t="shared" si="4"/>
        <v>队长攻击力+140\n队长伤害+5%</v>
      </c>
    </row>
    <row r="264" spans="1:6">
      <c r="A264" t="str">
        <f>基因升级!$J$140&amp;"+"&amp;基因升级!J402</f>
        <v>队长攻击力+140</v>
      </c>
      <c r="B264" t="str">
        <f>IF(基因升级!K402="","",基因升级!K$140&amp;"+"&amp;基因升级!K402*100&amp;"%")</f>
        <v/>
      </c>
      <c r="C264" t="str">
        <f>IF(基因升级!L402="","",基因升级!L$140&amp;"+"&amp;基因升级!L402*100&amp;"%")</f>
        <v/>
      </c>
      <c r="D264" t="str">
        <f>IF(基因升级!M402="","",基因升级!M$140&amp;"+"&amp;基因升级!M402*100&amp;"%")</f>
        <v/>
      </c>
      <c r="E264" t="str">
        <f>IF(基因升级!N402="","",基因升级!N$140&amp;"+"&amp;基因升级!N402*100&amp;"%")</f>
        <v>队长技能冷却+0.75%</v>
      </c>
      <c r="F264" t="str">
        <f t="shared" si="4"/>
        <v>队长攻击力+140\n队长技能冷却+0.75%</v>
      </c>
    </row>
    <row r="265" spans="1:6">
      <c r="A265" t="str">
        <f>基因升级!$J$140&amp;"+"&amp;基因升级!J403</f>
        <v>队长攻击力+140</v>
      </c>
      <c r="B265" t="str">
        <f>IF(基因升级!K403="","",基因升级!K$140&amp;"+"&amp;基因升级!K403*100&amp;"%")</f>
        <v/>
      </c>
      <c r="C265" t="str">
        <f>IF(基因升级!L403="","",基因升级!L$140&amp;"+"&amp;基因升级!L403*100&amp;"%")</f>
        <v/>
      </c>
      <c r="D265" t="str">
        <f>IF(基因升级!M403="","",基因升级!M$140&amp;"+"&amp;基因升级!M403*100&amp;"%")</f>
        <v>队长暴击++0.2%</v>
      </c>
      <c r="E265" t="str">
        <f>IF(基因升级!N403="","",基因升级!N$140&amp;"+"&amp;基因升级!N403*100&amp;"%")</f>
        <v/>
      </c>
      <c r="F265" t="str">
        <f t="shared" si="4"/>
        <v>队长攻击力+140\n队长暴击++0.2%</v>
      </c>
    </row>
    <row r="266" spans="1:6">
      <c r="A266" t="str">
        <f>基因升级!$J$140&amp;"+"&amp;基因升级!J404</f>
        <v>队长攻击力+140</v>
      </c>
      <c r="B266" t="str">
        <f>IF(基因升级!K404="","",基因升级!K$140&amp;"+"&amp;基因升级!K404*100&amp;"%")</f>
        <v/>
      </c>
      <c r="C266" t="str">
        <f>IF(基因升级!L404="","",基因升级!L$140&amp;"+"&amp;基因升级!L404*100&amp;"%")</f>
        <v>队长暴击伤害+3%</v>
      </c>
      <c r="D266" t="str">
        <f>IF(基因升级!M404="","",基因升级!M$140&amp;"+"&amp;基因升级!M404*100&amp;"%")</f>
        <v/>
      </c>
      <c r="E266" t="str">
        <f>IF(基因升级!N404="","",基因升级!N$140&amp;"+"&amp;基因升级!N404*100&amp;"%")</f>
        <v/>
      </c>
      <c r="F266" t="str">
        <f t="shared" si="4"/>
        <v>队长攻击力+140\n队长暴击伤害+3%</v>
      </c>
    </row>
    <row r="267" spans="1:6">
      <c r="A267" t="str">
        <f>基因升级!$J$140&amp;"+"&amp;基因升级!J405</f>
        <v>队长攻击力+146</v>
      </c>
      <c r="B267" t="str">
        <f>IF(基因升级!K405="","",基因升级!K$140&amp;"+"&amp;基因升级!K405*100&amp;"%")</f>
        <v>队长伤害+5%</v>
      </c>
      <c r="C267" t="str">
        <f>IF(基因升级!L405="","",基因升级!L$140&amp;"+"&amp;基因升级!L405*100&amp;"%")</f>
        <v/>
      </c>
      <c r="D267" t="str">
        <f>IF(基因升级!M405="","",基因升级!M$140&amp;"+"&amp;基因升级!M405*100&amp;"%")</f>
        <v/>
      </c>
      <c r="E267" t="str">
        <f>IF(基因升级!N405="","",基因升级!N$140&amp;"+"&amp;基因升级!N405*100&amp;"%")</f>
        <v/>
      </c>
      <c r="F267" t="str">
        <f t="shared" si="4"/>
        <v>队长攻击力+146\n队长伤害+5%</v>
      </c>
    </row>
    <row r="268" spans="1:6">
      <c r="A268" t="str">
        <f>基因升级!$J$140&amp;"+"&amp;基因升级!J406</f>
        <v>队长攻击力+146</v>
      </c>
      <c r="B268" t="str">
        <f>IF(基因升级!K406="","",基因升级!K$140&amp;"+"&amp;基因升级!K406*100&amp;"%")</f>
        <v/>
      </c>
      <c r="C268" t="str">
        <f>IF(基因升级!L406="","",基因升级!L$140&amp;"+"&amp;基因升级!L406*100&amp;"%")</f>
        <v/>
      </c>
      <c r="D268" t="str">
        <f>IF(基因升级!M406="","",基因升级!M$140&amp;"+"&amp;基因升级!M406*100&amp;"%")</f>
        <v/>
      </c>
      <c r="E268" t="str">
        <f>IF(基因升级!N406="","",基因升级!N$140&amp;"+"&amp;基因升级!N406*100&amp;"%")</f>
        <v>队长技能冷却+0.75%</v>
      </c>
      <c r="F268" t="str">
        <f t="shared" si="4"/>
        <v>队长攻击力+146\n队长技能冷却+0.75%</v>
      </c>
    </row>
    <row r="269" spans="1:6">
      <c r="A269" t="str">
        <f>基因升级!$J$140&amp;"+"&amp;基因升级!J407</f>
        <v>队长攻击力+146</v>
      </c>
      <c r="B269" t="str">
        <f>IF(基因升级!K407="","",基因升级!K$140&amp;"+"&amp;基因升级!K407*100&amp;"%")</f>
        <v/>
      </c>
      <c r="C269" t="str">
        <f>IF(基因升级!L407="","",基因升级!L$140&amp;"+"&amp;基因升级!L407*100&amp;"%")</f>
        <v/>
      </c>
      <c r="D269" t="str">
        <f>IF(基因升级!M407="","",基因升级!M$140&amp;"+"&amp;基因升级!M407*100&amp;"%")</f>
        <v>队长暴击++0.2%</v>
      </c>
      <c r="E269" t="str">
        <f>IF(基因升级!N407="","",基因升级!N$140&amp;"+"&amp;基因升级!N407*100&amp;"%")</f>
        <v/>
      </c>
      <c r="F269" t="str">
        <f t="shared" si="4"/>
        <v>队长攻击力+146\n队长暴击++0.2%</v>
      </c>
    </row>
    <row r="270" spans="1:6">
      <c r="A270" t="str">
        <f>基因升级!$J$140&amp;"+"&amp;基因升级!J408</f>
        <v>队长攻击力+146</v>
      </c>
      <c r="B270" t="str">
        <f>IF(基因升级!K408="","",基因升级!K$140&amp;"+"&amp;基因升级!K408*100&amp;"%")</f>
        <v/>
      </c>
      <c r="C270" t="str">
        <f>IF(基因升级!L408="","",基因升级!L$140&amp;"+"&amp;基因升级!L408*100&amp;"%")</f>
        <v>队长暴击伤害+3%</v>
      </c>
      <c r="D270" t="str">
        <f>IF(基因升级!M408="","",基因升级!M$140&amp;"+"&amp;基因升级!M408*100&amp;"%")</f>
        <v/>
      </c>
      <c r="E270" t="str">
        <f>IF(基因升级!N408="","",基因升级!N$140&amp;"+"&amp;基因升级!N408*100&amp;"%")</f>
        <v/>
      </c>
      <c r="F270" t="str">
        <f t="shared" si="4"/>
        <v>队长攻击力+146\n队长暴击伤害+3%</v>
      </c>
    </row>
    <row r="271" spans="1:6">
      <c r="A271" t="str">
        <f>基因升级!$J$140&amp;"+"&amp;基因升级!J409</f>
        <v>队长攻击力+146</v>
      </c>
      <c r="B271" t="str">
        <f>IF(基因升级!K409="","",基因升级!K$140&amp;"+"&amp;基因升级!K409*100&amp;"%")</f>
        <v>队长伤害+5%</v>
      </c>
      <c r="C271" t="str">
        <f>IF(基因升级!L409="","",基因升级!L$140&amp;"+"&amp;基因升级!L409*100&amp;"%")</f>
        <v/>
      </c>
      <c r="D271" t="str">
        <f>IF(基因升级!M409="","",基因升级!M$140&amp;"+"&amp;基因升级!M409*100&amp;"%")</f>
        <v/>
      </c>
      <c r="E271" t="str">
        <f>IF(基因升级!N409="","",基因升级!N$140&amp;"+"&amp;基因升级!N409*100&amp;"%")</f>
        <v/>
      </c>
      <c r="F271" t="str">
        <f t="shared" si="4"/>
        <v>队长攻击力+146\n队长伤害+5%</v>
      </c>
    </row>
    <row r="272" spans="1:6">
      <c r="A272" t="str">
        <f>基因升级!$J$140&amp;"+"&amp;基因升级!J410</f>
        <v>队长攻击力+146</v>
      </c>
      <c r="B272" t="str">
        <f>IF(基因升级!K410="","",基因升级!K$140&amp;"+"&amp;基因升级!K410*100&amp;"%")</f>
        <v/>
      </c>
      <c r="C272" t="str">
        <f>IF(基因升级!L410="","",基因升级!L$140&amp;"+"&amp;基因升级!L410*100&amp;"%")</f>
        <v/>
      </c>
      <c r="D272" t="str">
        <f>IF(基因升级!M410="","",基因升级!M$140&amp;"+"&amp;基因升级!M410*100&amp;"%")</f>
        <v/>
      </c>
      <c r="E272" t="str">
        <f>IF(基因升级!N410="","",基因升级!N$140&amp;"+"&amp;基因升级!N410*100&amp;"%")</f>
        <v>队长技能冷却+0.75%</v>
      </c>
      <c r="F272" t="str">
        <f t="shared" si="4"/>
        <v>队长攻击力+146\n队长技能冷却+0.75%</v>
      </c>
    </row>
    <row r="273" spans="1:6">
      <c r="A273" t="str">
        <f>基因升级!$J$140&amp;"+"&amp;基因升级!J411</f>
        <v>队长攻击力+146</v>
      </c>
      <c r="B273" t="str">
        <f>IF(基因升级!K411="","",基因升级!K$140&amp;"+"&amp;基因升级!K411*100&amp;"%")</f>
        <v/>
      </c>
      <c r="C273" t="str">
        <f>IF(基因升级!L411="","",基因升级!L$140&amp;"+"&amp;基因升级!L411*100&amp;"%")</f>
        <v/>
      </c>
      <c r="D273" t="str">
        <f>IF(基因升级!M411="","",基因升级!M$140&amp;"+"&amp;基因升级!M411*100&amp;"%")</f>
        <v>队长暴击++0.2%</v>
      </c>
      <c r="E273" t="str">
        <f>IF(基因升级!N411="","",基因升级!N$140&amp;"+"&amp;基因升级!N411*100&amp;"%")</f>
        <v/>
      </c>
      <c r="F273" t="str">
        <f t="shared" si="4"/>
        <v>队长攻击力+146\n队长暴击++0.2%</v>
      </c>
    </row>
    <row r="274" spans="1:6">
      <c r="A274" t="str">
        <f>基因升级!$J$140&amp;"+"&amp;基因升级!J412</f>
        <v>队长攻击力+146</v>
      </c>
      <c r="B274" t="str">
        <f>IF(基因升级!K412="","",基因升级!K$140&amp;"+"&amp;基因升级!K412*100&amp;"%")</f>
        <v/>
      </c>
      <c r="C274" t="str">
        <f>IF(基因升级!L412="","",基因升级!L$140&amp;"+"&amp;基因升级!L412*100&amp;"%")</f>
        <v>队长暴击伤害+3%</v>
      </c>
      <c r="D274" t="str">
        <f>IF(基因升级!M412="","",基因升级!M$140&amp;"+"&amp;基因升级!M412*100&amp;"%")</f>
        <v/>
      </c>
      <c r="E274" t="str">
        <f>IF(基因升级!N412="","",基因升级!N$140&amp;"+"&amp;基因升级!N412*100&amp;"%")</f>
        <v/>
      </c>
      <c r="F274" t="str">
        <f t="shared" si="4"/>
        <v>队长攻击力+146\n队长暴击伤害+3%</v>
      </c>
    </row>
    <row r="275" spans="1:6">
      <c r="A275" t="str">
        <f>基因升级!$J$140&amp;"+"&amp;基因升级!J413</f>
        <v>队长攻击力+146</v>
      </c>
      <c r="B275" t="str">
        <f>IF(基因升级!K413="","",基因升级!K$140&amp;"+"&amp;基因升级!K413*100&amp;"%")</f>
        <v>队长伤害+5%</v>
      </c>
      <c r="C275" t="str">
        <f>IF(基因升级!L413="","",基因升级!L$140&amp;"+"&amp;基因升级!L413*100&amp;"%")</f>
        <v/>
      </c>
      <c r="D275" t="str">
        <f>IF(基因升级!M413="","",基因升级!M$140&amp;"+"&amp;基因升级!M413*100&amp;"%")</f>
        <v/>
      </c>
      <c r="E275" t="str">
        <f>IF(基因升级!N413="","",基因升级!N$140&amp;"+"&amp;基因升级!N413*100&amp;"%")</f>
        <v/>
      </c>
      <c r="F275" t="str">
        <f t="shared" si="4"/>
        <v>队长攻击力+146\n队长伤害+5%</v>
      </c>
    </row>
    <row r="276" spans="1:6">
      <c r="A276" t="str">
        <f>基因升级!$J$140&amp;"+"&amp;基因升级!J414</f>
        <v>队长攻击力+146</v>
      </c>
      <c r="B276" t="str">
        <f>IF(基因升级!K414="","",基因升级!K$140&amp;"+"&amp;基因升级!K414*100&amp;"%")</f>
        <v/>
      </c>
      <c r="C276" t="str">
        <f>IF(基因升级!L414="","",基因升级!L$140&amp;"+"&amp;基因升级!L414*100&amp;"%")</f>
        <v/>
      </c>
      <c r="D276" t="str">
        <f>IF(基因升级!M414="","",基因升级!M$140&amp;"+"&amp;基因升级!M414*100&amp;"%")</f>
        <v/>
      </c>
      <c r="E276" t="str">
        <f>IF(基因升级!N414="","",基因升级!N$140&amp;"+"&amp;基因升级!N414*100&amp;"%")</f>
        <v>队长技能冷却+0.75%</v>
      </c>
      <c r="F276" t="str">
        <f t="shared" si="4"/>
        <v>队长攻击力+146\n队长技能冷却+0.75%</v>
      </c>
    </row>
    <row r="277" spans="1:6">
      <c r="A277" t="str">
        <f>基因升级!$J$140&amp;"+"&amp;基因升级!J415</f>
        <v>队长攻击力+146</v>
      </c>
      <c r="B277" t="str">
        <f>IF(基因升级!K415="","",基因升级!K$140&amp;"+"&amp;基因升级!K415*100&amp;"%")</f>
        <v/>
      </c>
      <c r="C277" t="str">
        <f>IF(基因升级!L415="","",基因升级!L$140&amp;"+"&amp;基因升级!L415*100&amp;"%")</f>
        <v/>
      </c>
      <c r="D277" t="str">
        <f>IF(基因升级!M415="","",基因升级!M$140&amp;"+"&amp;基因升级!M415*100&amp;"%")</f>
        <v>队长暴击++0.2%</v>
      </c>
      <c r="E277" t="str">
        <f>IF(基因升级!N415="","",基因升级!N$140&amp;"+"&amp;基因升级!N415*100&amp;"%")</f>
        <v/>
      </c>
      <c r="F277" t="str">
        <f t="shared" si="4"/>
        <v>队长攻击力+146\n队长暴击++0.2%</v>
      </c>
    </row>
    <row r="278" spans="1:6">
      <c r="A278" t="str">
        <f>基因升级!$J$140&amp;"+"&amp;基因升级!J416</f>
        <v>队长攻击力+146</v>
      </c>
      <c r="B278" t="str">
        <f>IF(基因升级!K416="","",基因升级!K$140&amp;"+"&amp;基因升级!K416*100&amp;"%")</f>
        <v/>
      </c>
      <c r="C278" t="str">
        <f>IF(基因升级!L416="","",基因升级!L$140&amp;"+"&amp;基因升级!L416*100&amp;"%")</f>
        <v>队长暴击伤害+3%</v>
      </c>
      <c r="D278" t="str">
        <f>IF(基因升级!M416="","",基因升级!M$140&amp;"+"&amp;基因升级!M416*100&amp;"%")</f>
        <v/>
      </c>
      <c r="E278" t="str">
        <f>IF(基因升级!N416="","",基因升级!N$140&amp;"+"&amp;基因升级!N416*100&amp;"%")</f>
        <v/>
      </c>
      <c r="F278" t="str">
        <f t="shared" si="4"/>
        <v>队长攻击力+146\n队长暴击伤害+3%</v>
      </c>
    </row>
    <row r="279" spans="1:6">
      <c r="A279" t="str">
        <f>基因升级!$J$140&amp;"+"&amp;基因升级!J417</f>
        <v>队长攻击力+146</v>
      </c>
      <c r="B279" t="str">
        <f>IF(基因升级!K417="","",基因升级!K$140&amp;"+"&amp;基因升级!K417*100&amp;"%")</f>
        <v>队长伤害+5%</v>
      </c>
      <c r="C279" t="str">
        <f>IF(基因升级!L417="","",基因升级!L$140&amp;"+"&amp;基因升级!L417*100&amp;"%")</f>
        <v/>
      </c>
      <c r="D279" t="str">
        <f>IF(基因升级!M417="","",基因升级!M$140&amp;"+"&amp;基因升级!M417*100&amp;"%")</f>
        <v/>
      </c>
      <c r="E279" t="str">
        <f>IF(基因升级!N417="","",基因升级!N$140&amp;"+"&amp;基因升级!N417*100&amp;"%")</f>
        <v/>
      </c>
      <c r="F279" t="str">
        <f t="shared" si="4"/>
        <v>队长攻击力+146\n队长伤害+5%</v>
      </c>
    </row>
    <row r="280" spans="1:6">
      <c r="A280" t="str">
        <f>基因升级!$J$140&amp;"+"&amp;基因升级!J418</f>
        <v>队长攻击力+146</v>
      </c>
      <c r="B280" t="str">
        <f>IF(基因升级!K418="","",基因升级!K$140&amp;"+"&amp;基因升级!K418*100&amp;"%")</f>
        <v/>
      </c>
      <c r="C280" t="str">
        <f>IF(基因升级!L418="","",基因升级!L$140&amp;"+"&amp;基因升级!L418*100&amp;"%")</f>
        <v/>
      </c>
      <c r="D280" t="str">
        <f>IF(基因升级!M418="","",基因升级!M$140&amp;"+"&amp;基因升级!M418*100&amp;"%")</f>
        <v/>
      </c>
      <c r="E280" t="str">
        <f>IF(基因升级!N418="","",基因升级!N$140&amp;"+"&amp;基因升级!N418*100&amp;"%")</f>
        <v>队长技能冷却+0.75%</v>
      </c>
      <c r="F280" t="str">
        <f t="shared" si="4"/>
        <v>队长攻击力+146\n队长技能冷却+0.75%</v>
      </c>
    </row>
    <row r="281" spans="1:6">
      <c r="A281" t="str">
        <f>基因升级!$J$140&amp;"+"&amp;基因升级!J419</f>
        <v>队长攻击力+146</v>
      </c>
      <c r="B281" t="str">
        <f>IF(基因升级!K419="","",基因升级!K$140&amp;"+"&amp;基因升级!K419*100&amp;"%")</f>
        <v/>
      </c>
      <c r="C281" t="str">
        <f>IF(基因升级!L419="","",基因升级!L$140&amp;"+"&amp;基因升级!L419*100&amp;"%")</f>
        <v/>
      </c>
      <c r="D281" t="str">
        <f>IF(基因升级!M419="","",基因升级!M$140&amp;"+"&amp;基因升级!M419*100&amp;"%")</f>
        <v>队长暴击++0.2%</v>
      </c>
      <c r="E281" t="str">
        <f>IF(基因升级!N419="","",基因升级!N$140&amp;"+"&amp;基因升级!N419*100&amp;"%")</f>
        <v/>
      </c>
      <c r="F281" t="str">
        <f t="shared" si="4"/>
        <v>队长攻击力+146\n队长暴击++0.2%</v>
      </c>
    </row>
    <row r="282" spans="1:6">
      <c r="A282" t="str">
        <f>基因升级!$J$140&amp;"+"&amp;基因升级!J420</f>
        <v>队长攻击力+146</v>
      </c>
      <c r="B282" t="str">
        <f>IF(基因升级!K420="","",基因升级!K$140&amp;"+"&amp;基因升级!K420*100&amp;"%")</f>
        <v/>
      </c>
      <c r="C282" t="str">
        <f>IF(基因升级!L420="","",基因升级!L$140&amp;"+"&amp;基因升级!L420*100&amp;"%")</f>
        <v>队长暴击伤害+3%</v>
      </c>
      <c r="D282" t="str">
        <f>IF(基因升级!M420="","",基因升级!M$140&amp;"+"&amp;基因升级!M420*100&amp;"%")</f>
        <v/>
      </c>
      <c r="E282" t="str">
        <f>IF(基因升级!N420="","",基因升级!N$140&amp;"+"&amp;基因升级!N420*100&amp;"%")</f>
        <v/>
      </c>
      <c r="F282" t="str">
        <f t="shared" si="4"/>
        <v>队长攻击力+146\n队长暴击伤害+3%</v>
      </c>
    </row>
    <row r="283" spans="1:6">
      <c r="A283" t="str">
        <f>基因升级!$J$140&amp;"+"&amp;基因升级!J421</f>
        <v>队长攻击力+152</v>
      </c>
      <c r="B283" t="str">
        <f>IF(基因升级!K421="","",基因升级!K$140&amp;"+"&amp;基因升级!K421*100&amp;"%")</f>
        <v>队长伤害+5%</v>
      </c>
      <c r="C283" t="str">
        <f>IF(基因升级!L421="","",基因升级!L$140&amp;"+"&amp;基因升级!L421*100&amp;"%")</f>
        <v/>
      </c>
      <c r="D283" t="str">
        <f>IF(基因升级!M421="","",基因升级!M$140&amp;"+"&amp;基因升级!M421*100&amp;"%")</f>
        <v/>
      </c>
      <c r="E283" t="str">
        <f>IF(基因升级!N421="","",基因升级!N$140&amp;"+"&amp;基因升级!N421*100&amp;"%")</f>
        <v/>
      </c>
      <c r="F283" t="str">
        <f t="shared" si="4"/>
        <v>队长攻击力+152\n队长伤害+5%</v>
      </c>
    </row>
    <row r="284" spans="1:6">
      <c r="A284" t="str">
        <f>基因升级!$J$140&amp;"+"&amp;基因升级!J422</f>
        <v>队长攻击力+152</v>
      </c>
      <c r="B284" t="str">
        <f>IF(基因升级!K422="","",基因升级!K$140&amp;"+"&amp;基因升级!K422*100&amp;"%")</f>
        <v/>
      </c>
      <c r="C284" t="str">
        <f>IF(基因升级!L422="","",基因升级!L$140&amp;"+"&amp;基因升级!L422*100&amp;"%")</f>
        <v/>
      </c>
      <c r="D284" t="str">
        <f>IF(基因升级!M422="","",基因升级!M$140&amp;"+"&amp;基因升级!M422*100&amp;"%")</f>
        <v/>
      </c>
      <c r="E284" t="str">
        <f>IF(基因升级!N422="","",基因升级!N$140&amp;"+"&amp;基因升级!N422*100&amp;"%")</f>
        <v>队长技能冷却+0.75%</v>
      </c>
      <c r="F284" t="str">
        <f t="shared" si="4"/>
        <v>队长攻击力+152\n队长技能冷却+0.75%</v>
      </c>
    </row>
    <row r="285" spans="1:6">
      <c r="A285" t="str">
        <f>基因升级!$J$140&amp;"+"&amp;基因升级!J423</f>
        <v>队长攻击力+152</v>
      </c>
      <c r="B285" t="str">
        <f>IF(基因升级!K423="","",基因升级!K$140&amp;"+"&amp;基因升级!K423*100&amp;"%")</f>
        <v/>
      </c>
      <c r="C285" t="str">
        <f>IF(基因升级!L423="","",基因升级!L$140&amp;"+"&amp;基因升级!L423*100&amp;"%")</f>
        <v/>
      </c>
      <c r="D285" t="str">
        <f>IF(基因升级!M423="","",基因升级!M$140&amp;"+"&amp;基因升级!M423*100&amp;"%")</f>
        <v>队长暴击++0.2%</v>
      </c>
      <c r="E285" t="str">
        <f>IF(基因升级!N423="","",基因升级!N$140&amp;"+"&amp;基因升级!N423*100&amp;"%")</f>
        <v/>
      </c>
      <c r="F285" t="str">
        <f t="shared" si="4"/>
        <v>队长攻击力+152\n队长暴击++0.2%</v>
      </c>
    </row>
    <row r="286" spans="1:6">
      <c r="A286" t="str">
        <f>基因升级!$J$140&amp;"+"&amp;基因升级!J424</f>
        <v>队长攻击力+152</v>
      </c>
      <c r="B286" t="str">
        <f>IF(基因升级!K424="","",基因升级!K$140&amp;"+"&amp;基因升级!K424*100&amp;"%")</f>
        <v/>
      </c>
      <c r="C286" t="str">
        <f>IF(基因升级!L424="","",基因升级!L$140&amp;"+"&amp;基因升级!L424*100&amp;"%")</f>
        <v>队长暴击伤害+3%</v>
      </c>
      <c r="D286" t="str">
        <f>IF(基因升级!M424="","",基因升级!M$140&amp;"+"&amp;基因升级!M424*100&amp;"%")</f>
        <v/>
      </c>
      <c r="E286" t="str">
        <f>IF(基因升级!N424="","",基因升级!N$140&amp;"+"&amp;基因升级!N424*100&amp;"%")</f>
        <v/>
      </c>
      <c r="F286" t="str">
        <f t="shared" si="4"/>
        <v>队长攻击力+152\n队长暴击伤害+3%</v>
      </c>
    </row>
    <row r="287" spans="1:6">
      <c r="A287" t="str">
        <f>基因升级!$J$140&amp;"+"&amp;基因升级!J425</f>
        <v>队长攻击力+152</v>
      </c>
      <c r="B287" t="str">
        <f>IF(基因升级!K425="","",基因升级!K$140&amp;"+"&amp;基因升级!K425*100&amp;"%")</f>
        <v>队长伤害+5%</v>
      </c>
      <c r="C287" t="str">
        <f>IF(基因升级!L425="","",基因升级!L$140&amp;"+"&amp;基因升级!L425*100&amp;"%")</f>
        <v/>
      </c>
      <c r="D287" t="str">
        <f>IF(基因升级!M425="","",基因升级!M$140&amp;"+"&amp;基因升级!M425*100&amp;"%")</f>
        <v/>
      </c>
      <c r="E287" t="str">
        <f>IF(基因升级!N425="","",基因升级!N$140&amp;"+"&amp;基因升级!N425*100&amp;"%")</f>
        <v/>
      </c>
      <c r="F287" t="str">
        <f t="shared" si="4"/>
        <v>队长攻击力+152\n队长伤害+5%</v>
      </c>
    </row>
    <row r="288" spans="1:6">
      <c r="A288" t="str">
        <f>基因升级!$J$140&amp;"+"&amp;基因升级!J426</f>
        <v>队长攻击力+152</v>
      </c>
      <c r="B288" t="str">
        <f>IF(基因升级!K426="","",基因升级!K$140&amp;"+"&amp;基因升级!K426*100&amp;"%")</f>
        <v/>
      </c>
      <c r="C288" t="str">
        <f>IF(基因升级!L426="","",基因升级!L$140&amp;"+"&amp;基因升级!L426*100&amp;"%")</f>
        <v/>
      </c>
      <c r="D288" t="str">
        <f>IF(基因升级!M426="","",基因升级!M$140&amp;"+"&amp;基因升级!M426*100&amp;"%")</f>
        <v/>
      </c>
      <c r="E288" t="str">
        <f>IF(基因升级!N426="","",基因升级!N$140&amp;"+"&amp;基因升级!N426*100&amp;"%")</f>
        <v>队长技能冷却+0.75%</v>
      </c>
      <c r="F288" t="str">
        <f t="shared" si="4"/>
        <v>队长攻击力+152\n队长技能冷却+0.75%</v>
      </c>
    </row>
    <row r="289" spans="1:6">
      <c r="A289" t="str">
        <f>基因升级!$J$140&amp;"+"&amp;基因升级!J427</f>
        <v>队长攻击力+152</v>
      </c>
      <c r="B289" t="str">
        <f>IF(基因升级!K427="","",基因升级!K$140&amp;"+"&amp;基因升级!K427*100&amp;"%")</f>
        <v/>
      </c>
      <c r="C289" t="str">
        <f>IF(基因升级!L427="","",基因升级!L$140&amp;"+"&amp;基因升级!L427*100&amp;"%")</f>
        <v/>
      </c>
      <c r="D289" t="str">
        <f>IF(基因升级!M427="","",基因升级!M$140&amp;"+"&amp;基因升级!M427*100&amp;"%")</f>
        <v>队长暴击++0.2%</v>
      </c>
      <c r="E289" t="str">
        <f>IF(基因升级!N427="","",基因升级!N$140&amp;"+"&amp;基因升级!N427*100&amp;"%")</f>
        <v/>
      </c>
      <c r="F289" t="str">
        <f t="shared" si="4"/>
        <v>队长攻击力+152\n队长暴击++0.2%</v>
      </c>
    </row>
    <row r="290" spans="1:6">
      <c r="A290" t="str">
        <f>基因升级!$J$140&amp;"+"&amp;基因升级!J428</f>
        <v>队长攻击力+152</v>
      </c>
      <c r="B290" t="str">
        <f>IF(基因升级!K428="","",基因升级!K$140&amp;"+"&amp;基因升级!K428*100&amp;"%")</f>
        <v/>
      </c>
      <c r="C290" t="str">
        <f>IF(基因升级!L428="","",基因升级!L$140&amp;"+"&amp;基因升级!L428*100&amp;"%")</f>
        <v>队长暴击伤害+3%</v>
      </c>
      <c r="D290" t="str">
        <f>IF(基因升级!M428="","",基因升级!M$140&amp;"+"&amp;基因升级!M428*100&amp;"%")</f>
        <v/>
      </c>
      <c r="E290" t="str">
        <f>IF(基因升级!N428="","",基因升级!N$140&amp;"+"&amp;基因升级!N428*100&amp;"%")</f>
        <v/>
      </c>
      <c r="F290" t="str">
        <f t="shared" si="4"/>
        <v>队长攻击力+152\n队长暴击伤害+3%</v>
      </c>
    </row>
    <row r="291" spans="1:6">
      <c r="A291" t="str">
        <f>基因升级!$J$140&amp;"+"&amp;基因升级!J429</f>
        <v>队长攻击力+152</v>
      </c>
      <c r="B291" t="str">
        <f>IF(基因升级!K429="","",基因升级!K$140&amp;"+"&amp;基因升级!K429*100&amp;"%")</f>
        <v>队长伤害+5%</v>
      </c>
      <c r="C291" t="str">
        <f>IF(基因升级!L429="","",基因升级!L$140&amp;"+"&amp;基因升级!L429*100&amp;"%")</f>
        <v/>
      </c>
      <c r="D291" t="str">
        <f>IF(基因升级!M429="","",基因升级!M$140&amp;"+"&amp;基因升级!M429*100&amp;"%")</f>
        <v/>
      </c>
      <c r="E291" t="str">
        <f>IF(基因升级!N429="","",基因升级!N$140&amp;"+"&amp;基因升级!N429*100&amp;"%")</f>
        <v/>
      </c>
      <c r="F291" t="str">
        <f t="shared" si="4"/>
        <v>队长攻击力+152\n队长伤害+5%</v>
      </c>
    </row>
    <row r="292" spans="1:6">
      <c r="A292" t="str">
        <f>基因升级!$J$140&amp;"+"&amp;基因升级!J430</f>
        <v>队长攻击力+152</v>
      </c>
      <c r="B292" t="str">
        <f>IF(基因升级!K430="","",基因升级!K$140&amp;"+"&amp;基因升级!K430*100&amp;"%")</f>
        <v/>
      </c>
      <c r="C292" t="str">
        <f>IF(基因升级!L430="","",基因升级!L$140&amp;"+"&amp;基因升级!L430*100&amp;"%")</f>
        <v/>
      </c>
      <c r="D292" t="str">
        <f>IF(基因升级!M430="","",基因升级!M$140&amp;"+"&amp;基因升级!M430*100&amp;"%")</f>
        <v/>
      </c>
      <c r="E292" t="str">
        <f>IF(基因升级!N430="","",基因升级!N$140&amp;"+"&amp;基因升级!N430*100&amp;"%")</f>
        <v>队长技能冷却+0.75%</v>
      </c>
      <c r="F292" t="str">
        <f t="shared" si="4"/>
        <v>队长攻击力+152\n队长技能冷却+0.75%</v>
      </c>
    </row>
    <row r="293" spans="1:6">
      <c r="A293" t="str">
        <f>基因升级!$J$140&amp;"+"&amp;基因升级!J431</f>
        <v>队长攻击力+152</v>
      </c>
      <c r="B293" t="str">
        <f>IF(基因升级!K431="","",基因升级!K$140&amp;"+"&amp;基因升级!K431*100&amp;"%")</f>
        <v/>
      </c>
      <c r="C293" t="str">
        <f>IF(基因升级!L431="","",基因升级!L$140&amp;"+"&amp;基因升级!L431*100&amp;"%")</f>
        <v/>
      </c>
      <c r="D293" t="str">
        <f>IF(基因升级!M431="","",基因升级!M$140&amp;"+"&amp;基因升级!M431*100&amp;"%")</f>
        <v>队长暴击++0.2%</v>
      </c>
      <c r="E293" t="str">
        <f>IF(基因升级!N431="","",基因升级!N$140&amp;"+"&amp;基因升级!N431*100&amp;"%")</f>
        <v/>
      </c>
      <c r="F293" t="str">
        <f t="shared" si="4"/>
        <v>队长攻击力+152\n队长暴击++0.2%</v>
      </c>
    </row>
    <row r="294" spans="1:6">
      <c r="A294" t="str">
        <f>基因升级!$J$140&amp;"+"&amp;基因升级!J432</f>
        <v>队长攻击力+152</v>
      </c>
      <c r="B294" t="str">
        <f>IF(基因升级!K432="","",基因升级!K$140&amp;"+"&amp;基因升级!K432*100&amp;"%")</f>
        <v/>
      </c>
      <c r="C294" t="str">
        <f>IF(基因升级!L432="","",基因升级!L$140&amp;"+"&amp;基因升级!L432*100&amp;"%")</f>
        <v>队长暴击伤害+3%</v>
      </c>
      <c r="D294" t="str">
        <f>IF(基因升级!M432="","",基因升级!M$140&amp;"+"&amp;基因升级!M432*100&amp;"%")</f>
        <v/>
      </c>
      <c r="E294" t="str">
        <f>IF(基因升级!N432="","",基因升级!N$140&amp;"+"&amp;基因升级!N432*100&amp;"%")</f>
        <v/>
      </c>
      <c r="F294" t="str">
        <f t="shared" si="4"/>
        <v>队长攻击力+152\n队长暴击伤害+3%</v>
      </c>
    </row>
    <row r="295" spans="1:6">
      <c r="A295" t="str">
        <f>基因升级!$J$140&amp;"+"&amp;基因升级!J433</f>
        <v>队长攻击力+152</v>
      </c>
      <c r="B295" t="str">
        <f>IF(基因升级!K433="","",基因升级!K$140&amp;"+"&amp;基因升级!K433*100&amp;"%")</f>
        <v>队长伤害+5%</v>
      </c>
      <c r="C295" t="str">
        <f>IF(基因升级!L433="","",基因升级!L$140&amp;"+"&amp;基因升级!L433*100&amp;"%")</f>
        <v/>
      </c>
      <c r="D295" t="str">
        <f>IF(基因升级!M433="","",基因升级!M$140&amp;"+"&amp;基因升级!M433*100&amp;"%")</f>
        <v/>
      </c>
      <c r="E295" t="str">
        <f>IF(基因升级!N433="","",基因升级!N$140&amp;"+"&amp;基因升级!N433*100&amp;"%")</f>
        <v/>
      </c>
      <c r="F295" t="str">
        <f t="shared" si="4"/>
        <v>队长攻击力+152\n队长伤害+5%</v>
      </c>
    </row>
    <row r="296" spans="1:6">
      <c r="A296" t="str">
        <f>基因升级!$J$140&amp;"+"&amp;基因升级!J434</f>
        <v>队长攻击力+152</v>
      </c>
      <c r="B296" t="str">
        <f>IF(基因升级!K434="","",基因升级!K$140&amp;"+"&amp;基因升级!K434*100&amp;"%")</f>
        <v/>
      </c>
      <c r="C296" t="str">
        <f>IF(基因升级!L434="","",基因升级!L$140&amp;"+"&amp;基因升级!L434*100&amp;"%")</f>
        <v/>
      </c>
      <c r="D296" t="str">
        <f>IF(基因升级!M434="","",基因升级!M$140&amp;"+"&amp;基因升级!M434*100&amp;"%")</f>
        <v/>
      </c>
      <c r="E296" t="str">
        <f>IF(基因升级!N434="","",基因升级!N$140&amp;"+"&amp;基因升级!N434*100&amp;"%")</f>
        <v>队长技能冷却+0.75%</v>
      </c>
      <c r="F296" t="str">
        <f t="shared" si="4"/>
        <v>队长攻击力+152\n队长技能冷却+0.75%</v>
      </c>
    </row>
    <row r="297" spans="1:6">
      <c r="A297" t="str">
        <f>基因升级!$J$140&amp;"+"&amp;基因升级!J435</f>
        <v>队长攻击力+152</v>
      </c>
      <c r="B297" t="str">
        <f>IF(基因升级!K435="","",基因升级!K$140&amp;"+"&amp;基因升级!K435*100&amp;"%")</f>
        <v/>
      </c>
      <c r="C297" t="str">
        <f>IF(基因升级!L435="","",基因升级!L$140&amp;"+"&amp;基因升级!L435*100&amp;"%")</f>
        <v/>
      </c>
      <c r="D297" t="str">
        <f>IF(基因升级!M435="","",基因升级!M$140&amp;"+"&amp;基因升级!M435*100&amp;"%")</f>
        <v>队长暴击++0.2%</v>
      </c>
      <c r="E297" t="str">
        <f>IF(基因升级!N435="","",基因升级!N$140&amp;"+"&amp;基因升级!N435*100&amp;"%")</f>
        <v/>
      </c>
      <c r="F297" t="str">
        <f t="shared" si="4"/>
        <v>队长攻击力+152\n队长暴击++0.2%</v>
      </c>
    </row>
    <row r="298" spans="1:6">
      <c r="A298" t="str">
        <f>基因升级!$J$140&amp;"+"&amp;基因升级!J436</f>
        <v>队长攻击力+152</v>
      </c>
      <c r="B298" t="str">
        <f>IF(基因升级!K436="","",基因升级!K$140&amp;"+"&amp;基因升级!K436*100&amp;"%")</f>
        <v/>
      </c>
      <c r="C298" t="str">
        <f>IF(基因升级!L436="","",基因升级!L$140&amp;"+"&amp;基因升级!L436*100&amp;"%")</f>
        <v>队长暴击伤害+3%</v>
      </c>
      <c r="D298" t="str">
        <f>IF(基因升级!M436="","",基因升级!M$140&amp;"+"&amp;基因升级!M436*100&amp;"%")</f>
        <v/>
      </c>
      <c r="E298" t="str">
        <f>IF(基因升级!N436="","",基因升级!N$140&amp;"+"&amp;基因升级!N436*100&amp;"%")</f>
        <v/>
      </c>
      <c r="F298" t="str">
        <f t="shared" si="4"/>
        <v>队长攻击力+152\n队长暴击伤害+3%</v>
      </c>
    </row>
    <row r="299" spans="1:6">
      <c r="A299" t="str">
        <f>基因升级!$J$140&amp;"+"&amp;基因升级!J437</f>
        <v>队长攻击力+158</v>
      </c>
      <c r="B299" t="str">
        <f>IF(基因升级!K437="","",基因升级!K$140&amp;"+"&amp;基因升级!K437*100&amp;"%")</f>
        <v>队长伤害+5%</v>
      </c>
      <c r="C299" t="str">
        <f>IF(基因升级!L437="","",基因升级!L$140&amp;"+"&amp;基因升级!L437*100&amp;"%")</f>
        <v/>
      </c>
      <c r="D299" t="str">
        <f>IF(基因升级!M437="","",基因升级!M$140&amp;"+"&amp;基因升级!M437*100&amp;"%")</f>
        <v/>
      </c>
      <c r="E299" t="str">
        <f>IF(基因升级!N437="","",基因升级!N$140&amp;"+"&amp;基因升级!N437*100&amp;"%")</f>
        <v/>
      </c>
      <c r="F299" t="str">
        <f t="shared" si="4"/>
        <v>队长攻击力+158\n队长伤害+5%</v>
      </c>
    </row>
    <row r="300" spans="1:6">
      <c r="A300" t="str">
        <f>基因升级!$J$140&amp;"+"&amp;基因升级!J438</f>
        <v>队长攻击力+158</v>
      </c>
      <c r="B300" t="str">
        <f>IF(基因升级!K438="","",基因升级!K$140&amp;"+"&amp;基因升级!K438*100&amp;"%")</f>
        <v/>
      </c>
      <c r="C300" t="str">
        <f>IF(基因升级!L438="","",基因升级!L$140&amp;"+"&amp;基因升级!L438*100&amp;"%")</f>
        <v/>
      </c>
      <c r="D300" t="str">
        <f>IF(基因升级!M438="","",基因升级!M$140&amp;"+"&amp;基因升级!M438*100&amp;"%")</f>
        <v/>
      </c>
      <c r="E300" t="str">
        <f>IF(基因升级!N438="","",基因升级!N$140&amp;"+"&amp;基因升级!N438*100&amp;"%")</f>
        <v>队长技能冷却+0.75%</v>
      </c>
      <c r="F300" t="str">
        <f t="shared" si="4"/>
        <v>队长攻击力+158\n队长技能冷却+0.75%</v>
      </c>
    </row>
    <row r="301" spans="1:6">
      <c r="A301" t="str">
        <f>基因升级!$J$140&amp;"+"&amp;基因升级!J439</f>
        <v>队长攻击力+158</v>
      </c>
      <c r="B301" t="str">
        <f>IF(基因升级!K439="","",基因升级!K$140&amp;"+"&amp;基因升级!K439*100&amp;"%")</f>
        <v/>
      </c>
      <c r="C301" t="str">
        <f>IF(基因升级!L439="","",基因升级!L$140&amp;"+"&amp;基因升级!L439*100&amp;"%")</f>
        <v/>
      </c>
      <c r="D301" t="str">
        <f>IF(基因升级!M439="","",基因升级!M$140&amp;"+"&amp;基因升级!M439*100&amp;"%")</f>
        <v>队长暴击++0.2%</v>
      </c>
      <c r="E301" t="str">
        <f>IF(基因升级!N439="","",基因升级!N$140&amp;"+"&amp;基因升级!N439*100&amp;"%")</f>
        <v/>
      </c>
      <c r="F301" t="str">
        <f t="shared" si="4"/>
        <v>队长攻击力+158\n队长暴击++0.2%</v>
      </c>
    </row>
    <row r="302" spans="1:6">
      <c r="A302" t="str">
        <f>基因升级!$J$140&amp;"+"&amp;基因升级!J440</f>
        <v>队长攻击力+158</v>
      </c>
      <c r="B302" t="str">
        <f>IF(基因升级!K440="","",基因升级!K$140&amp;"+"&amp;基因升级!K440*100&amp;"%")</f>
        <v/>
      </c>
      <c r="C302" t="str">
        <f>IF(基因升级!L440="","",基因升级!L$140&amp;"+"&amp;基因升级!L440*100&amp;"%")</f>
        <v>队长暴击伤害+3%</v>
      </c>
      <c r="D302" t="str">
        <f>IF(基因升级!M440="","",基因升级!M$140&amp;"+"&amp;基因升级!M440*100&amp;"%")</f>
        <v/>
      </c>
      <c r="E302" t="str">
        <f>IF(基因升级!N440="","",基因升级!N$140&amp;"+"&amp;基因升级!N440*100&amp;"%")</f>
        <v/>
      </c>
      <c r="F302" t="str">
        <f t="shared" si="4"/>
        <v>队长攻击力+158\n队长暴击伤害+3%</v>
      </c>
    </row>
    <row r="303" spans="1:6">
      <c r="A303" t="str">
        <f>基因升级!$J$140&amp;"+"&amp;基因升级!J441</f>
        <v>队长攻击力+158</v>
      </c>
      <c r="B303" t="str">
        <f>IF(基因升级!K441="","",基因升级!K$140&amp;"+"&amp;基因升级!K441*100&amp;"%")</f>
        <v>队长伤害+5%</v>
      </c>
      <c r="C303" t="str">
        <f>IF(基因升级!L441="","",基因升级!L$140&amp;"+"&amp;基因升级!L441*100&amp;"%")</f>
        <v/>
      </c>
      <c r="D303" t="str">
        <f>IF(基因升级!M441="","",基因升级!M$140&amp;"+"&amp;基因升级!M441*100&amp;"%")</f>
        <v/>
      </c>
      <c r="E303" t="str">
        <f>IF(基因升级!N441="","",基因升级!N$140&amp;"+"&amp;基因升级!N441*100&amp;"%")</f>
        <v/>
      </c>
      <c r="F303" t="str">
        <f t="shared" si="4"/>
        <v>队长攻击力+158\n队长伤害+5%</v>
      </c>
    </row>
    <row r="304" spans="1:6">
      <c r="A304" t="str">
        <f>基因升级!$J$140&amp;"+"&amp;基因升级!J442</f>
        <v>队长攻击力+158</v>
      </c>
      <c r="B304" t="str">
        <f>IF(基因升级!K442="","",基因升级!K$140&amp;"+"&amp;基因升级!K442*100&amp;"%")</f>
        <v/>
      </c>
      <c r="C304" t="str">
        <f>IF(基因升级!L442="","",基因升级!L$140&amp;"+"&amp;基因升级!L442*100&amp;"%")</f>
        <v/>
      </c>
      <c r="D304" t="str">
        <f>IF(基因升级!M442="","",基因升级!M$140&amp;"+"&amp;基因升级!M442*100&amp;"%")</f>
        <v/>
      </c>
      <c r="E304" t="str">
        <f>IF(基因升级!N442="","",基因升级!N$140&amp;"+"&amp;基因升级!N442*100&amp;"%")</f>
        <v>队长技能冷却+0.75%</v>
      </c>
      <c r="F304" t="str">
        <f t="shared" si="4"/>
        <v>队长攻击力+158\n队长技能冷却+0.75%</v>
      </c>
    </row>
    <row r="305" spans="1:6">
      <c r="A305" t="str">
        <f>基因升级!$J$140&amp;"+"&amp;基因升级!J443</f>
        <v>队长攻击力+158</v>
      </c>
      <c r="B305" t="str">
        <f>IF(基因升级!K443="","",基因升级!K$140&amp;"+"&amp;基因升级!K443*100&amp;"%")</f>
        <v/>
      </c>
      <c r="C305" t="str">
        <f>IF(基因升级!L443="","",基因升级!L$140&amp;"+"&amp;基因升级!L443*100&amp;"%")</f>
        <v/>
      </c>
      <c r="D305" t="str">
        <f>IF(基因升级!M443="","",基因升级!M$140&amp;"+"&amp;基因升级!M443*100&amp;"%")</f>
        <v>队长暴击++0.2%</v>
      </c>
      <c r="E305" t="str">
        <f>IF(基因升级!N443="","",基因升级!N$140&amp;"+"&amp;基因升级!N443*100&amp;"%")</f>
        <v/>
      </c>
      <c r="F305" t="str">
        <f t="shared" si="4"/>
        <v>队长攻击力+158\n队长暴击++0.2%</v>
      </c>
    </row>
    <row r="306" spans="1:6">
      <c r="A306" t="str">
        <f>基因升级!$J$140&amp;"+"&amp;基因升级!J444</f>
        <v>队长攻击力+158</v>
      </c>
      <c r="B306" t="str">
        <f>IF(基因升级!K444="","",基因升级!K$140&amp;"+"&amp;基因升级!K444*100&amp;"%")</f>
        <v/>
      </c>
      <c r="C306" t="str">
        <f>IF(基因升级!L444="","",基因升级!L$140&amp;"+"&amp;基因升级!L444*100&amp;"%")</f>
        <v>队长暴击伤害+3%</v>
      </c>
      <c r="D306" t="str">
        <f>IF(基因升级!M444="","",基因升级!M$140&amp;"+"&amp;基因升级!M444*100&amp;"%")</f>
        <v/>
      </c>
      <c r="E306" t="str">
        <f>IF(基因升级!N444="","",基因升级!N$140&amp;"+"&amp;基因升级!N444*100&amp;"%")</f>
        <v/>
      </c>
      <c r="F306" t="str">
        <f t="shared" si="4"/>
        <v>队长攻击力+158\n队长暴击伤害+3%</v>
      </c>
    </row>
    <row r="307" spans="1:6">
      <c r="A307" t="str">
        <f>基因升级!$J$140&amp;"+"&amp;基因升级!J445</f>
        <v>队长攻击力+158</v>
      </c>
      <c r="B307" t="str">
        <f>IF(基因升级!K445="","",基因升级!K$140&amp;"+"&amp;基因升级!K445*100&amp;"%")</f>
        <v>队长伤害+5%</v>
      </c>
      <c r="C307" t="str">
        <f>IF(基因升级!L445="","",基因升级!L$140&amp;"+"&amp;基因升级!L445*100&amp;"%")</f>
        <v/>
      </c>
      <c r="D307" t="str">
        <f>IF(基因升级!M445="","",基因升级!M$140&amp;"+"&amp;基因升级!M445*100&amp;"%")</f>
        <v/>
      </c>
      <c r="E307" t="str">
        <f>IF(基因升级!N445="","",基因升级!N$140&amp;"+"&amp;基因升级!N445*100&amp;"%")</f>
        <v/>
      </c>
      <c r="F307" t="str">
        <f t="shared" si="4"/>
        <v>队长攻击力+158\n队长伤害+5%</v>
      </c>
    </row>
    <row r="308" spans="1:6">
      <c r="A308" t="str">
        <f>基因升级!$J$140&amp;"+"&amp;基因升级!J446</f>
        <v>队长攻击力+158</v>
      </c>
      <c r="B308" t="str">
        <f>IF(基因升级!K446="","",基因升级!K$140&amp;"+"&amp;基因升级!K446*100&amp;"%")</f>
        <v/>
      </c>
      <c r="C308" t="str">
        <f>IF(基因升级!L446="","",基因升级!L$140&amp;"+"&amp;基因升级!L446*100&amp;"%")</f>
        <v/>
      </c>
      <c r="D308" t="str">
        <f>IF(基因升级!M446="","",基因升级!M$140&amp;"+"&amp;基因升级!M446*100&amp;"%")</f>
        <v/>
      </c>
      <c r="E308" t="str">
        <f>IF(基因升级!N446="","",基因升级!N$140&amp;"+"&amp;基因升级!N446*100&amp;"%")</f>
        <v>队长技能冷却+0.75%</v>
      </c>
      <c r="F308" t="str">
        <f t="shared" si="4"/>
        <v>队长攻击力+158\n队长技能冷却+0.75%</v>
      </c>
    </row>
    <row r="309" spans="1:6">
      <c r="A309" t="str">
        <f>基因升级!$J$140&amp;"+"&amp;基因升级!J447</f>
        <v>队长攻击力+158</v>
      </c>
      <c r="B309" t="str">
        <f>IF(基因升级!K447="","",基因升级!K$140&amp;"+"&amp;基因升级!K447*100&amp;"%")</f>
        <v/>
      </c>
      <c r="C309" t="str">
        <f>IF(基因升级!L447="","",基因升级!L$140&amp;"+"&amp;基因升级!L447*100&amp;"%")</f>
        <v/>
      </c>
      <c r="D309" t="str">
        <f>IF(基因升级!M447="","",基因升级!M$140&amp;"+"&amp;基因升级!M447*100&amp;"%")</f>
        <v>队长暴击++0.2%</v>
      </c>
      <c r="E309" t="str">
        <f>IF(基因升级!N447="","",基因升级!N$140&amp;"+"&amp;基因升级!N447*100&amp;"%")</f>
        <v/>
      </c>
      <c r="F309" t="str">
        <f t="shared" si="4"/>
        <v>队长攻击力+158\n队长暴击++0.2%</v>
      </c>
    </row>
    <row r="310" spans="1:6">
      <c r="A310" t="str">
        <f>基因升级!$J$140&amp;"+"&amp;基因升级!J448</f>
        <v>队长攻击力+158</v>
      </c>
      <c r="B310" t="str">
        <f>IF(基因升级!K448="","",基因升级!K$140&amp;"+"&amp;基因升级!K448*100&amp;"%")</f>
        <v/>
      </c>
      <c r="C310" t="str">
        <f>IF(基因升级!L448="","",基因升级!L$140&amp;"+"&amp;基因升级!L448*100&amp;"%")</f>
        <v>队长暴击伤害+3%</v>
      </c>
      <c r="D310" t="str">
        <f>IF(基因升级!M448="","",基因升级!M$140&amp;"+"&amp;基因升级!M448*100&amp;"%")</f>
        <v/>
      </c>
      <c r="E310" t="str">
        <f>IF(基因升级!N448="","",基因升级!N$140&amp;"+"&amp;基因升级!N448*100&amp;"%")</f>
        <v/>
      </c>
      <c r="F310" t="str">
        <f t="shared" si="4"/>
        <v>队长攻击力+158\n队长暴击伤害+3%</v>
      </c>
    </row>
    <row r="311" spans="1:6">
      <c r="A311" t="str">
        <f>基因升级!$J$140&amp;"+"&amp;基因升级!J449</f>
        <v>队长攻击力+158</v>
      </c>
      <c r="B311" t="str">
        <f>IF(基因升级!K449="","",基因升级!K$140&amp;"+"&amp;基因升级!K449*100&amp;"%")</f>
        <v>队长伤害+5%</v>
      </c>
      <c r="C311" t="str">
        <f>IF(基因升级!L449="","",基因升级!L$140&amp;"+"&amp;基因升级!L449*100&amp;"%")</f>
        <v/>
      </c>
      <c r="D311" t="str">
        <f>IF(基因升级!M449="","",基因升级!M$140&amp;"+"&amp;基因升级!M449*100&amp;"%")</f>
        <v/>
      </c>
      <c r="E311" t="str">
        <f>IF(基因升级!N449="","",基因升级!N$140&amp;"+"&amp;基因升级!N449*100&amp;"%")</f>
        <v/>
      </c>
      <c r="F311" t="str">
        <f t="shared" si="4"/>
        <v>队长攻击力+158\n队长伤害+5%</v>
      </c>
    </row>
    <row r="312" spans="1:6">
      <c r="A312" t="str">
        <f>基因升级!$J$140&amp;"+"&amp;基因升级!J450</f>
        <v>队长攻击力+158</v>
      </c>
      <c r="B312" t="str">
        <f>IF(基因升级!K450="","",基因升级!K$140&amp;"+"&amp;基因升级!K450*100&amp;"%")</f>
        <v/>
      </c>
      <c r="C312" t="str">
        <f>IF(基因升级!L450="","",基因升级!L$140&amp;"+"&amp;基因升级!L450*100&amp;"%")</f>
        <v/>
      </c>
      <c r="D312" t="str">
        <f>IF(基因升级!M450="","",基因升级!M$140&amp;"+"&amp;基因升级!M450*100&amp;"%")</f>
        <v/>
      </c>
      <c r="E312" t="str">
        <f>IF(基因升级!N450="","",基因升级!N$140&amp;"+"&amp;基因升级!N450*100&amp;"%")</f>
        <v>队长技能冷却+0.75%</v>
      </c>
      <c r="F312" t="str">
        <f t="shared" si="4"/>
        <v>队长攻击力+158\n队长技能冷却+0.75%</v>
      </c>
    </row>
    <row r="313" spans="1:6">
      <c r="A313" t="str">
        <f>基因升级!$J$140&amp;"+"&amp;基因升级!J451</f>
        <v>队长攻击力+158</v>
      </c>
      <c r="B313" t="str">
        <f>IF(基因升级!K451="","",基因升级!K$140&amp;"+"&amp;基因升级!K451*100&amp;"%")</f>
        <v/>
      </c>
      <c r="C313" t="str">
        <f>IF(基因升级!L451="","",基因升级!L$140&amp;"+"&amp;基因升级!L451*100&amp;"%")</f>
        <v/>
      </c>
      <c r="D313" t="str">
        <f>IF(基因升级!M451="","",基因升级!M$140&amp;"+"&amp;基因升级!M451*100&amp;"%")</f>
        <v>队长暴击++0.2%</v>
      </c>
      <c r="E313" t="str">
        <f>IF(基因升级!N451="","",基因升级!N$140&amp;"+"&amp;基因升级!N451*100&amp;"%")</f>
        <v/>
      </c>
      <c r="F313" t="str">
        <f t="shared" si="4"/>
        <v>队长攻击力+158\n队长暴击++0.2%</v>
      </c>
    </row>
    <row r="314" spans="1:6">
      <c r="A314" t="str">
        <f>基因升级!$J$140&amp;"+"&amp;基因升级!J452</f>
        <v>队长攻击力+158</v>
      </c>
      <c r="B314" t="str">
        <f>IF(基因升级!K452="","",基因升级!K$140&amp;"+"&amp;基因升级!K452*100&amp;"%")</f>
        <v/>
      </c>
      <c r="C314" t="str">
        <f>IF(基因升级!L452="","",基因升级!L$140&amp;"+"&amp;基因升级!L452*100&amp;"%")</f>
        <v>队长暴击伤害+3%</v>
      </c>
      <c r="D314" t="str">
        <f>IF(基因升级!M452="","",基因升级!M$140&amp;"+"&amp;基因升级!M452*100&amp;"%")</f>
        <v/>
      </c>
      <c r="E314" t="str">
        <f>IF(基因升级!N452="","",基因升级!N$140&amp;"+"&amp;基因升级!N452*100&amp;"%")</f>
        <v/>
      </c>
      <c r="F314" t="str">
        <f t="shared" si="4"/>
        <v>队长攻击力+158\n队长暴击伤害+3%</v>
      </c>
    </row>
    <row r="315" spans="1:6">
      <c r="A315" t="str">
        <f>基因升级!$J$140&amp;"+"&amp;基因升级!J453</f>
        <v>队长攻击力+164</v>
      </c>
      <c r="B315" t="str">
        <f>IF(基因升级!K453="","",基因升级!K$140&amp;"+"&amp;基因升级!K453*100&amp;"%")</f>
        <v>队长伤害+5%</v>
      </c>
      <c r="C315" t="str">
        <f>IF(基因升级!L453="","",基因升级!L$140&amp;"+"&amp;基因升级!L453*100&amp;"%")</f>
        <v/>
      </c>
      <c r="D315" t="str">
        <f>IF(基因升级!M453="","",基因升级!M$140&amp;"+"&amp;基因升级!M453*100&amp;"%")</f>
        <v/>
      </c>
      <c r="E315" t="str">
        <f>IF(基因升级!N453="","",基因升级!N$140&amp;"+"&amp;基因升级!N453*100&amp;"%")</f>
        <v/>
      </c>
      <c r="F315" t="str">
        <f t="shared" si="4"/>
        <v>队长攻击力+164\n队长伤害+5%</v>
      </c>
    </row>
    <row r="316" spans="1:6">
      <c r="A316" t="str">
        <f>基因升级!$J$140&amp;"+"&amp;基因升级!J454</f>
        <v>队长攻击力+164</v>
      </c>
      <c r="B316" t="str">
        <f>IF(基因升级!K454="","",基因升级!K$140&amp;"+"&amp;基因升级!K454*100&amp;"%")</f>
        <v/>
      </c>
      <c r="C316" t="str">
        <f>IF(基因升级!L454="","",基因升级!L$140&amp;"+"&amp;基因升级!L454*100&amp;"%")</f>
        <v/>
      </c>
      <c r="D316" t="str">
        <f>IF(基因升级!M454="","",基因升级!M$140&amp;"+"&amp;基因升级!M454*100&amp;"%")</f>
        <v/>
      </c>
      <c r="E316" t="str">
        <f>IF(基因升级!N454="","",基因升级!N$140&amp;"+"&amp;基因升级!N454*100&amp;"%")</f>
        <v>队长技能冷却+0.75%</v>
      </c>
      <c r="F316" t="str">
        <f t="shared" si="4"/>
        <v>队长攻击力+164\n队长技能冷却+0.75%</v>
      </c>
    </row>
    <row r="317" spans="1:6">
      <c r="A317" t="str">
        <f>基因升级!$J$140&amp;"+"&amp;基因升级!J455</f>
        <v>队长攻击力+164</v>
      </c>
      <c r="B317" t="str">
        <f>IF(基因升级!K455="","",基因升级!K$140&amp;"+"&amp;基因升级!K455*100&amp;"%")</f>
        <v/>
      </c>
      <c r="C317" t="str">
        <f>IF(基因升级!L455="","",基因升级!L$140&amp;"+"&amp;基因升级!L455*100&amp;"%")</f>
        <v/>
      </c>
      <c r="D317" t="str">
        <f>IF(基因升级!M455="","",基因升级!M$140&amp;"+"&amp;基因升级!M455*100&amp;"%")</f>
        <v>队长暴击++0.2%</v>
      </c>
      <c r="E317" t="str">
        <f>IF(基因升级!N455="","",基因升级!N$140&amp;"+"&amp;基因升级!N455*100&amp;"%")</f>
        <v/>
      </c>
      <c r="F317" t="str">
        <f t="shared" si="4"/>
        <v>队长攻击力+164\n队长暴击++0.2%</v>
      </c>
    </row>
    <row r="318" spans="1:6">
      <c r="A318" t="str">
        <f>基因升级!$J$140&amp;"+"&amp;基因升级!J456</f>
        <v>队长攻击力+164</v>
      </c>
      <c r="B318" t="str">
        <f>IF(基因升级!K456="","",基因升级!K$140&amp;"+"&amp;基因升级!K456*100&amp;"%")</f>
        <v/>
      </c>
      <c r="C318" t="str">
        <f>IF(基因升级!L456="","",基因升级!L$140&amp;"+"&amp;基因升级!L456*100&amp;"%")</f>
        <v>队长暴击伤害+3%</v>
      </c>
      <c r="D318" t="str">
        <f>IF(基因升级!M456="","",基因升级!M$140&amp;"+"&amp;基因升级!M456*100&amp;"%")</f>
        <v/>
      </c>
      <c r="E318" t="str">
        <f>IF(基因升级!N456="","",基因升级!N$140&amp;"+"&amp;基因升级!N456*100&amp;"%")</f>
        <v/>
      </c>
      <c r="F318" t="str">
        <f t="shared" si="4"/>
        <v>队长攻击力+164\n队长暴击伤害+3%</v>
      </c>
    </row>
    <row r="319" spans="1:6">
      <c r="A319" t="str">
        <f>基因升级!$J$140&amp;"+"&amp;基因升级!J457</f>
        <v>队长攻击力+164</v>
      </c>
      <c r="B319" t="str">
        <f>IF(基因升级!K457="","",基因升级!K$140&amp;"+"&amp;基因升级!K457*100&amp;"%")</f>
        <v>队长伤害+5%</v>
      </c>
      <c r="C319" t="str">
        <f>IF(基因升级!L457="","",基因升级!L$140&amp;"+"&amp;基因升级!L457*100&amp;"%")</f>
        <v/>
      </c>
      <c r="D319" t="str">
        <f>IF(基因升级!M457="","",基因升级!M$140&amp;"+"&amp;基因升级!M457*100&amp;"%")</f>
        <v/>
      </c>
      <c r="E319" t="str">
        <f>IF(基因升级!N457="","",基因升级!N$140&amp;"+"&amp;基因升级!N457*100&amp;"%")</f>
        <v/>
      </c>
      <c r="F319" t="str">
        <f t="shared" si="4"/>
        <v>队长攻击力+164\n队长伤害+5%</v>
      </c>
    </row>
    <row r="320" spans="1:6">
      <c r="A320" t="str">
        <f>基因升级!$J$140&amp;"+"&amp;基因升级!J458</f>
        <v>队长攻击力+164</v>
      </c>
      <c r="B320" t="str">
        <f>IF(基因升级!K458="","",基因升级!K$140&amp;"+"&amp;基因升级!K458*100&amp;"%")</f>
        <v/>
      </c>
      <c r="C320" t="str">
        <f>IF(基因升级!L458="","",基因升级!L$140&amp;"+"&amp;基因升级!L458*100&amp;"%")</f>
        <v/>
      </c>
      <c r="D320" t="str">
        <f>IF(基因升级!M458="","",基因升级!M$140&amp;"+"&amp;基因升级!M458*100&amp;"%")</f>
        <v/>
      </c>
      <c r="E320" t="str">
        <f>IF(基因升级!N458="","",基因升级!N$140&amp;"+"&amp;基因升级!N458*100&amp;"%")</f>
        <v>队长技能冷却+0.75%</v>
      </c>
      <c r="F320" t="str">
        <f t="shared" si="4"/>
        <v>队长攻击力+164\n队长技能冷却+0.75%</v>
      </c>
    </row>
    <row r="321" spans="1:6">
      <c r="A321" t="str">
        <f>基因升级!$J$140&amp;"+"&amp;基因升级!J459</f>
        <v>队长攻击力+164</v>
      </c>
      <c r="B321" t="str">
        <f>IF(基因升级!K459="","",基因升级!K$140&amp;"+"&amp;基因升级!K459*100&amp;"%")</f>
        <v/>
      </c>
      <c r="C321" t="str">
        <f>IF(基因升级!L459="","",基因升级!L$140&amp;"+"&amp;基因升级!L459*100&amp;"%")</f>
        <v/>
      </c>
      <c r="D321" t="str">
        <f>IF(基因升级!M459="","",基因升级!M$140&amp;"+"&amp;基因升级!M459*100&amp;"%")</f>
        <v>队长暴击++0.2%</v>
      </c>
      <c r="E321" t="str">
        <f>IF(基因升级!N459="","",基因升级!N$140&amp;"+"&amp;基因升级!N459*100&amp;"%")</f>
        <v/>
      </c>
      <c r="F321" t="str">
        <f t="shared" si="4"/>
        <v>队长攻击力+164\n队长暴击++0.2%</v>
      </c>
    </row>
    <row r="322" spans="1:6">
      <c r="A322" t="str">
        <f>基因升级!$J$140&amp;"+"&amp;基因升级!J460</f>
        <v>队长攻击力+164</v>
      </c>
      <c r="B322" t="str">
        <f>IF(基因升级!K460="","",基因升级!K$140&amp;"+"&amp;基因升级!K460*100&amp;"%")</f>
        <v/>
      </c>
      <c r="C322" t="str">
        <f>IF(基因升级!L460="","",基因升级!L$140&amp;"+"&amp;基因升级!L460*100&amp;"%")</f>
        <v>队长暴击伤害+3%</v>
      </c>
      <c r="D322" t="str">
        <f>IF(基因升级!M460="","",基因升级!M$140&amp;"+"&amp;基因升级!M460*100&amp;"%")</f>
        <v/>
      </c>
      <c r="E322" t="str">
        <f>IF(基因升级!N460="","",基因升级!N$140&amp;"+"&amp;基因升级!N460*100&amp;"%")</f>
        <v/>
      </c>
      <c r="F322" t="str">
        <f t="shared" si="4"/>
        <v>队长攻击力+164\n队长暴击伤害+3%</v>
      </c>
    </row>
    <row r="323" spans="1:6">
      <c r="A323" t="str">
        <f>基因升级!$J$140&amp;"+"&amp;基因升级!J461</f>
        <v>队长攻击力+164</v>
      </c>
      <c r="B323" t="str">
        <f>IF(基因升级!K461="","",基因升级!K$140&amp;"+"&amp;基因升级!K461*100&amp;"%")</f>
        <v>队长伤害+5%</v>
      </c>
      <c r="C323" t="str">
        <f>IF(基因升级!L461="","",基因升级!L$140&amp;"+"&amp;基因升级!L461*100&amp;"%")</f>
        <v/>
      </c>
      <c r="D323" t="str">
        <f>IF(基因升级!M461="","",基因升级!M$140&amp;"+"&amp;基因升级!M461*100&amp;"%")</f>
        <v/>
      </c>
      <c r="E323" t="str">
        <f>IF(基因升级!N461="","",基因升级!N$140&amp;"+"&amp;基因升级!N461*100&amp;"%")</f>
        <v/>
      </c>
      <c r="F323" t="str">
        <f t="shared" si="4"/>
        <v>队长攻击力+164\n队长伤害+5%</v>
      </c>
    </row>
    <row r="324" spans="1:6">
      <c r="A324" t="str">
        <f>基因升级!$J$140&amp;"+"&amp;基因升级!J462</f>
        <v>队长攻击力+164</v>
      </c>
      <c r="B324" t="str">
        <f>IF(基因升级!K462="","",基因升级!K$140&amp;"+"&amp;基因升级!K462*100&amp;"%")</f>
        <v/>
      </c>
      <c r="C324" t="str">
        <f>IF(基因升级!L462="","",基因升级!L$140&amp;"+"&amp;基因升级!L462*100&amp;"%")</f>
        <v/>
      </c>
      <c r="D324" t="str">
        <f>IF(基因升级!M462="","",基因升级!M$140&amp;"+"&amp;基因升级!M462*100&amp;"%")</f>
        <v/>
      </c>
      <c r="E324" t="str">
        <f>IF(基因升级!N462="","",基因升级!N$140&amp;"+"&amp;基因升级!N462*100&amp;"%")</f>
        <v/>
      </c>
      <c r="F324" t="str">
        <f t="shared" ref="F324:F362" si="5">_xlfn.TEXTJOIN("\n",1,A324:E324)</f>
        <v>队长攻击力+164</v>
      </c>
    </row>
    <row r="325" spans="1:6">
      <c r="A325" t="str">
        <f>基因升级!$J$140&amp;"+"&amp;基因升级!J463</f>
        <v>队长攻击力+164</v>
      </c>
      <c r="B325" t="str">
        <f>IF(基因升级!K463="","",基因升级!K$140&amp;"+"&amp;基因升级!K463*100&amp;"%")</f>
        <v/>
      </c>
      <c r="C325" t="str">
        <f>IF(基因升级!L463="","",基因升级!L$140&amp;"+"&amp;基因升级!L463*100&amp;"%")</f>
        <v/>
      </c>
      <c r="D325" t="str">
        <f>IF(基因升级!M463="","",基因升级!M$140&amp;"+"&amp;基因升级!M463*100&amp;"%")</f>
        <v>队长暴击++0.2%</v>
      </c>
      <c r="E325" t="str">
        <f>IF(基因升级!N463="","",基因升级!N$140&amp;"+"&amp;基因升级!N463*100&amp;"%")</f>
        <v/>
      </c>
      <c r="F325" t="str">
        <f t="shared" si="5"/>
        <v>队长攻击力+164\n队长暴击++0.2%</v>
      </c>
    </row>
    <row r="326" spans="1:6">
      <c r="A326" t="str">
        <f>基因升级!$J$140&amp;"+"&amp;基因升级!J464</f>
        <v>队长攻击力+164</v>
      </c>
      <c r="B326" t="str">
        <f>IF(基因升级!K464="","",基因升级!K$140&amp;"+"&amp;基因升级!K464*100&amp;"%")</f>
        <v/>
      </c>
      <c r="C326" t="str">
        <f>IF(基因升级!L464="","",基因升级!L$140&amp;"+"&amp;基因升级!L464*100&amp;"%")</f>
        <v>队长暴击伤害+3%</v>
      </c>
      <c r="D326" t="str">
        <f>IF(基因升级!M464="","",基因升级!M$140&amp;"+"&amp;基因升级!M464*100&amp;"%")</f>
        <v/>
      </c>
      <c r="E326" t="str">
        <f>IF(基因升级!N464="","",基因升级!N$140&amp;"+"&amp;基因升级!N464*100&amp;"%")</f>
        <v/>
      </c>
      <c r="F326" t="str">
        <f t="shared" si="5"/>
        <v>队长攻击力+164\n队长暴击伤害+3%</v>
      </c>
    </row>
    <row r="327" spans="1:6">
      <c r="A327" t="str">
        <f>基因升级!$J$140&amp;"+"&amp;基因升级!J465</f>
        <v>队长攻击力+164</v>
      </c>
      <c r="B327" t="str">
        <f>IF(基因升级!K465="","",基因升级!K$140&amp;"+"&amp;基因升级!K465*100&amp;"%")</f>
        <v>队长伤害+5%</v>
      </c>
      <c r="C327" t="str">
        <f>IF(基因升级!L465="","",基因升级!L$140&amp;"+"&amp;基因升级!L465*100&amp;"%")</f>
        <v/>
      </c>
      <c r="D327" t="str">
        <f>IF(基因升级!M465="","",基因升级!M$140&amp;"+"&amp;基因升级!M465*100&amp;"%")</f>
        <v/>
      </c>
      <c r="E327" t="str">
        <f>IF(基因升级!N465="","",基因升级!N$140&amp;"+"&amp;基因升级!N465*100&amp;"%")</f>
        <v/>
      </c>
      <c r="F327" t="str">
        <f t="shared" si="5"/>
        <v>队长攻击力+164\n队长伤害+5%</v>
      </c>
    </row>
    <row r="328" spans="1:6">
      <c r="A328" t="str">
        <f>基因升级!$J$140&amp;"+"&amp;基因升级!J466</f>
        <v>队长攻击力+164</v>
      </c>
      <c r="B328" t="str">
        <f>IF(基因升级!K466="","",基因升级!K$140&amp;"+"&amp;基因升级!K466*100&amp;"%")</f>
        <v/>
      </c>
      <c r="C328" t="str">
        <f>IF(基因升级!L466="","",基因升级!L$140&amp;"+"&amp;基因升级!L466*100&amp;"%")</f>
        <v/>
      </c>
      <c r="D328" t="str">
        <f>IF(基因升级!M466="","",基因升级!M$140&amp;"+"&amp;基因升级!M466*100&amp;"%")</f>
        <v/>
      </c>
      <c r="E328" t="str">
        <f>IF(基因升级!N466="","",基因升级!N$140&amp;"+"&amp;基因升级!N466*100&amp;"%")</f>
        <v/>
      </c>
      <c r="F328" t="str">
        <f t="shared" si="5"/>
        <v>队长攻击力+164</v>
      </c>
    </row>
    <row r="329" spans="1:6">
      <c r="A329" t="str">
        <f>基因升级!$J$140&amp;"+"&amp;基因升级!J467</f>
        <v>队长攻击力+164</v>
      </c>
      <c r="B329" t="str">
        <f>IF(基因升级!K467="","",基因升级!K$140&amp;"+"&amp;基因升级!K467*100&amp;"%")</f>
        <v/>
      </c>
      <c r="C329" t="str">
        <f>IF(基因升级!L467="","",基因升级!L$140&amp;"+"&amp;基因升级!L467*100&amp;"%")</f>
        <v/>
      </c>
      <c r="D329" t="str">
        <f>IF(基因升级!M467="","",基因升级!M$140&amp;"+"&amp;基因升级!M467*100&amp;"%")</f>
        <v>队长暴击++0.2%</v>
      </c>
      <c r="E329" t="str">
        <f>IF(基因升级!N467="","",基因升级!N$140&amp;"+"&amp;基因升级!N467*100&amp;"%")</f>
        <v/>
      </c>
      <c r="F329" t="str">
        <f t="shared" si="5"/>
        <v>队长攻击力+164\n队长暴击++0.2%</v>
      </c>
    </row>
    <row r="330" spans="1:6">
      <c r="A330" t="str">
        <f>基因升级!$J$140&amp;"+"&amp;基因升级!J468</f>
        <v>队长攻击力+164</v>
      </c>
      <c r="B330" t="str">
        <f>IF(基因升级!K468="","",基因升级!K$140&amp;"+"&amp;基因升级!K468*100&amp;"%")</f>
        <v/>
      </c>
      <c r="C330" t="str">
        <f>IF(基因升级!L468="","",基因升级!L$140&amp;"+"&amp;基因升级!L468*100&amp;"%")</f>
        <v>队长暴击伤害+3%</v>
      </c>
      <c r="D330" t="str">
        <f>IF(基因升级!M468="","",基因升级!M$140&amp;"+"&amp;基因升级!M468*100&amp;"%")</f>
        <v/>
      </c>
      <c r="E330" t="str">
        <f>IF(基因升级!N468="","",基因升级!N$140&amp;"+"&amp;基因升级!N468*100&amp;"%")</f>
        <v/>
      </c>
      <c r="F330" t="str">
        <f t="shared" si="5"/>
        <v>队长攻击力+164\n队长暴击伤害+3%</v>
      </c>
    </row>
    <row r="331" spans="1:6">
      <c r="A331" t="str">
        <f>基因升级!$J$140&amp;"+"&amp;基因升级!J469</f>
        <v>队长攻击力+168</v>
      </c>
      <c r="B331" t="str">
        <f>IF(基因升级!K469="","",基因升级!K$140&amp;"+"&amp;基因升级!K469*100&amp;"%")</f>
        <v>队长伤害+5%</v>
      </c>
      <c r="C331" t="str">
        <f>IF(基因升级!L469="","",基因升级!L$140&amp;"+"&amp;基因升级!L469*100&amp;"%")</f>
        <v/>
      </c>
      <c r="D331" t="str">
        <f>IF(基因升级!M469="","",基因升级!M$140&amp;"+"&amp;基因升级!M469*100&amp;"%")</f>
        <v/>
      </c>
      <c r="E331" t="str">
        <f>IF(基因升级!N469="","",基因升级!N$140&amp;"+"&amp;基因升级!N469*100&amp;"%")</f>
        <v/>
      </c>
      <c r="F331" t="str">
        <f t="shared" si="5"/>
        <v>队长攻击力+168\n队长伤害+5%</v>
      </c>
    </row>
    <row r="332" spans="1:6">
      <c r="A332" t="str">
        <f>基因升级!$J$140&amp;"+"&amp;基因升级!J470</f>
        <v>队长攻击力+168</v>
      </c>
      <c r="B332" t="str">
        <f>IF(基因升级!K470="","",基因升级!K$140&amp;"+"&amp;基因升级!K470*100&amp;"%")</f>
        <v/>
      </c>
      <c r="C332" t="str">
        <f>IF(基因升级!L470="","",基因升级!L$140&amp;"+"&amp;基因升级!L470*100&amp;"%")</f>
        <v/>
      </c>
      <c r="D332" t="str">
        <f>IF(基因升级!M470="","",基因升级!M$140&amp;"+"&amp;基因升级!M470*100&amp;"%")</f>
        <v/>
      </c>
      <c r="E332" t="str">
        <f>IF(基因升级!N470="","",基因升级!N$140&amp;"+"&amp;基因升级!N470*100&amp;"%")</f>
        <v/>
      </c>
      <c r="F332" t="str">
        <f t="shared" si="5"/>
        <v>队长攻击力+168</v>
      </c>
    </row>
    <row r="333" spans="1:6">
      <c r="A333" t="str">
        <f>基因升级!$J$140&amp;"+"&amp;基因升级!J471</f>
        <v>队长攻击力+168</v>
      </c>
      <c r="B333" t="str">
        <f>IF(基因升级!K471="","",基因升级!K$140&amp;"+"&amp;基因升级!K471*100&amp;"%")</f>
        <v/>
      </c>
      <c r="C333" t="str">
        <f>IF(基因升级!L471="","",基因升级!L$140&amp;"+"&amp;基因升级!L471*100&amp;"%")</f>
        <v/>
      </c>
      <c r="D333" t="str">
        <f>IF(基因升级!M471="","",基因升级!M$140&amp;"+"&amp;基因升级!M471*100&amp;"%")</f>
        <v>队长暴击++0.2%</v>
      </c>
      <c r="E333" t="str">
        <f>IF(基因升级!N471="","",基因升级!N$140&amp;"+"&amp;基因升级!N471*100&amp;"%")</f>
        <v/>
      </c>
      <c r="F333" t="str">
        <f t="shared" si="5"/>
        <v>队长攻击力+168\n队长暴击++0.2%</v>
      </c>
    </row>
    <row r="334" spans="1:6">
      <c r="A334" t="str">
        <f>基因升级!$J$140&amp;"+"&amp;基因升级!J472</f>
        <v>队长攻击力+168</v>
      </c>
      <c r="B334" t="str">
        <f>IF(基因升级!K472="","",基因升级!K$140&amp;"+"&amp;基因升级!K472*100&amp;"%")</f>
        <v/>
      </c>
      <c r="C334" t="str">
        <f>IF(基因升级!L472="","",基因升级!L$140&amp;"+"&amp;基因升级!L472*100&amp;"%")</f>
        <v>队长暴击伤害+3%</v>
      </c>
      <c r="D334" t="str">
        <f>IF(基因升级!M472="","",基因升级!M$140&amp;"+"&amp;基因升级!M472*100&amp;"%")</f>
        <v/>
      </c>
      <c r="E334" t="str">
        <f>IF(基因升级!N472="","",基因升级!N$140&amp;"+"&amp;基因升级!N472*100&amp;"%")</f>
        <v/>
      </c>
      <c r="F334" t="str">
        <f t="shared" si="5"/>
        <v>队长攻击力+168\n队长暴击伤害+3%</v>
      </c>
    </row>
    <row r="335" spans="1:6">
      <c r="A335" t="str">
        <f>基因升级!$J$140&amp;"+"&amp;基因升级!J473</f>
        <v>队长攻击力+168</v>
      </c>
      <c r="B335" t="str">
        <f>IF(基因升级!K473="","",基因升级!K$140&amp;"+"&amp;基因升级!K473*100&amp;"%")</f>
        <v>队长伤害+5%</v>
      </c>
      <c r="C335" t="str">
        <f>IF(基因升级!L473="","",基因升级!L$140&amp;"+"&amp;基因升级!L473*100&amp;"%")</f>
        <v/>
      </c>
      <c r="D335" t="str">
        <f>IF(基因升级!M473="","",基因升级!M$140&amp;"+"&amp;基因升级!M473*100&amp;"%")</f>
        <v/>
      </c>
      <c r="E335" t="str">
        <f>IF(基因升级!N473="","",基因升级!N$140&amp;"+"&amp;基因升级!N473*100&amp;"%")</f>
        <v/>
      </c>
      <c r="F335" t="str">
        <f t="shared" si="5"/>
        <v>队长攻击力+168\n队长伤害+5%</v>
      </c>
    </row>
    <row r="336" spans="1:6">
      <c r="A336" t="str">
        <f>基因升级!$J$140&amp;"+"&amp;基因升级!J474</f>
        <v>队长攻击力+168</v>
      </c>
      <c r="B336" t="str">
        <f>IF(基因升级!K474="","",基因升级!K$140&amp;"+"&amp;基因升级!K474*100&amp;"%")</f>
        <v/>
      </c>
      <c r="C336" t="str">
        <f>IF(基因升级!L474="","",基因升级!L$140&amp;"+"&amp;基因升级!L474*100&amp;"%")</f>
        <v/>
      </c>
      <c r="D336" t="str">
        <f>IF(基因升级!M474="","",基因升级!M$140&amp;"+"&amp;基因升级!M474*100&amp;"%")</f>
        <v/>
      </c>
      <c r="E336" t="str">
        <f>IF(基因升级!N474="","",基因升级!N$140&amp;"+"&amp;基因升级!N474*100&amp;"%")</f>
        <v/>
      </c>
      <c r="F336" t="str">
        <f t="shared" si="5"/>
        <v>队长攻击力+168</v>
      </c>
    </row>
    <row r="337" spans="1:6">
      <c r="A337" t="str">
        <f>基因升级!$J$140&amp;"+"&amp;基因升级!J475</f>
        <v>队长攻击力+168</v>
      </c>
      <c r="B337" t="str">
        <f>IF(基因升级!K475="","",基因升级!K$140&amp;"+"&amp;基因升级!K475*100&amp;"%")</f>
        <v/>
      </c>
      <c r="C337" t="str">
        <f>IF(基因升级!L475="","",基因升级!L$140&amp;"+"&amp;基因升级!L475*100&amp;"%")</f>
        <v/>
      </c>
      <c r="D337" t="str">
        <f>IF(基因升级!M475="","",基因升级!M$140&amp;"+"&amp;基因升级!M475*100&amp;"%")</f>
        <v>队长暴击++0.2%</v>
      </c>
      <c r="E337" t="str">
        <f>IF(基因升级!N475="","",基因升级!N$140&amp;"+"&amp;基因升级!N475*100&amp;"%")</f>
        <v/>
      </c>
      <c r="F337" t="str">
        <f t="shared" si="5"/>
        <v>队长攻击力+168\n队长暴击++0.2%</v>
      </c>
    </row>
    <row r="338" spans="1:6">
      <c r="A338" t="str">
        <f>基因升级!$J$140&amp;"+"&amp;基因升级!J476</f>
        <v>队长攻击力+168</v>
      </c>
      <c r="B338" t="str">
        <f>IF(基因升级!K476="","",基因升级!K$140&amp;"+"&amp;基因升级!K476*100&amp;"%")</f>
        <v/>
      </c>
      <c r="C338" t="str">
        <f>IF(基因升级!L476="","",基因升级!L$140&amp;"+"&amp;基因升级!L476*100&amp;"%")</f>
        <v>队长暴击伤害+3%</v>
      </c>
      <c r="D338" t="str">
        <f>IF(基因升级!M476="","",基因升级!M$140&amp;"+"&amp;基因升级!M476*100&amp;"%")</f>
        <v/>
      </c>
      <c r="E338" t="str">
        <f>IF(基因升级!N476="","",基因升级!N$140&amp;"+"&amp;基因升级!N476*100&amp;"%")</f>
        <v/>
      </c>
      <c r="F338" t="str">
        <f t="shared" si="5"/>
        <v>队长攻击力+168\n队长暴击伤害+3%</v>
      </c>
    </row>
    <row r="339" spans="1:6">
      <c r="A339" t="str">
        <f>基因升级!$J$140&amp;"+"&amp;基因升级!J477</f>
        <v>队长攻击力+168</v>
      </c>
      <c r="B339" t="str">
        <f>IF(基因升级!K477="","",基因升级!K$140&amp;"+"&amp;基因升级!K477*100&amp;"%")</f>
        <v>队长伤害+5%</v>
      </c>
      <c r="C339" t="str">
        <f>IF(基因升级!L477="","",基因升级!L$140&amp;"+"&amp;基因升级!L477*100&amp;"%")</f>
        <v/>
      </c>
      <c r="D339" t="str">
        <f>IF(基因升级!M477="","",基因升级!M$140&amp;"+"&amp;基因升级!M477*100&amp;"%")</f>
        <v/>
      </c>
      <c r="E339" t="str">
        <f>IF(基因升级!N477="","",基因升级!N$140&amp;"+"&amp;基因升级!N477*100&amp;"%")</f>
        <v/>
      </c>
      <c r="F339" t="str">
        <f t="shared" si="5"/>
        <v>队长攻击力+168\n队长伤害+5%</v>
      </c>
    </row>
    <row r="340" spans="1:6">
      <c r="A340" t="str">
        <f>基因升级!$J$140&amp;"+"&amp;基因升级!J478</f>
        <v>队长攻击力+168</v>
      </c>
      <c r="B340" t="str">
        <f>IF(基因升级!K478="","",基因升级!K$140&amp;"+"&amp;基因升级!K478*100&amp;"%")</f>
        <v/>
      </c>
      <c r="C340" t="str">
        <f>IF(基因升级!L478="","",基因升级!L$140&amp;"+"&amp;基因升级!L478*100&amp;"%")</f>
        <v/>
      </c>
      <c r="D340" t="str">
        <f>IF(基因升级!M478="","",基因升级!M$140&amp;"+"&amp;基因升级!M478*100&amp;"%")</f>
        <v/>
      </c>
      <c r="E340" t="str">
        <f>IF(基因升级!N478="","",基因升级!N$140&amp;"+"&amp;基因升级!N478*100&amp;"%")</f>
        <v/>
      </c>
      <c r="F340" t="str">
        <f t="shared" si="5"/>
        <v>队长攻击力+168</v>
      </c>
    </row>
    <row r="341" spans="1:6">
      <c r="A341" t="str">
        <f>基因升级!$J$140&amp;"+"&amp;基因升级!J479</f>
        <v>队长攻击力+168</v>
      </c>
      <c r="B341" t="str">
        <f>IF(基因升级!K479="","",基因升级!K$140&amp;"+"&amp;基因升级!K479*100&amp;"%")</f>
        <v/>
      </c>
      <c r="C341" t="str">
        <f>IF(基因升级!L479="","",基因升级!L$140&amp;"+"&amp;基因升级!L479*100&amp;"%")</f>
        <v/>
      </c>
      <c r="D341" t="str">
        <f>IF(基因升级!M479="","",基因升级!M$140&amp;"+"&amp;基因升级!M479*100&amp;"%")</f>
        <v>队长暴击++0.2%</v>
      </c>
      <c r="E341" t="str">
        <f>IF(基因升级!N479="","",基因升级!N$140&amp;"+"&amp;基因升级!N479*100&amp;"%")</f>
        <v/>
      </c>
      <c r="F341" t="str">
        <f t="shared" si="5"/>
        <v>队长攻击力+168\n队长暴击++0.2%</v>
      </c>
    </row>
    <row r="342" spans="1:6">
      <c r="A342" t="str">
        <f>基因升级!$J$140&amp;"+"&amp;基因升级!J480</f>
        <v>队长攻击力+168</v>
      </c>
      <c r="B342" t="str">
        <f>IF(基因升级!K480="","",基因升级!K$140&amp;"+"&amp;基因升级!K480*100&amp;"%")</f>
        <v/>
      </c>
      <c r="C342" t="str">
        <f>IF(基因升级!L480="","",基因升级!L$140&amp;"+"&amp;基因升级!L480*100&amp;"%")</f>
        <v>队长暴击伤害+3%</v>
      </c>
      <c r="D342" t="str">
        <f>IF(基因升级!M480="","",基因升级!M$140&amp;"+"&amp;基因升级!M480*100&amp;"%")</f>
        <v/>
      </c>
      <c r="E342" t="str">
        <f>IF(基因升级!N480="","",基因升级!N$140&amp;"+"&amp;基因升级!N480*100&amp;"%")</f>
        <v/>
      </c>
      <c r="F342" t="str">
        <f t="shared" si="5"/>
        <v>队长攻击力+168\n队长暴击伤害+3%</v>
      </c>
    </row>
    <row r="343" spans="1:6">
      <c r="A343" t="str">
        <f>基因升级!$J$140&amp;"+"&amp;基因升级!J481</f>
        <v>队长攻击力+168</v>
      </c>
      <c r="B343" t="str">
        <f>IF(基因升级!K481="","",基因升级!K$140&amp;"+"&amp;基因升级!K481*100&amp;"%")</f>
        <v>队长伤害+5%</v>
      </c>
      <c r="C343" t="str">
        <f>IF(基因升级!L481="","",基因升级!L$140&amp;"+"&amp;基因升级!L481*100&amp;"%")</f>
        <v/>
      </c>
      <c r="D343" t="str">
        <f>IF(基因升级!M481="","",基因升级!M$140&amp;"+"&amp;基因升级!M481*100&amp;"%")</f>
        <v/>
      </c>
      <c r="E343" t="str">
        <f>IF(基因升级!N481="","",基因升级!N$140&amp;"+"&amp;基因升级!N481*100&amp;"%")</f>
        <v/>
      </c>
      <c r="F343" t="str">
        <f t="shared" si="5"/>
        <v>队长攻击力+168\n队长伤害+5%</v>
      </c>
    </row>
    <row r="344" spans="1:6">
      <c r="A344" t="str">
        <f>基因升级!$J$140&amp;"+"&amp;基因升级!J482</f>
        <v>队长攻击力+168</v>
      </c>
      <c r="B344" t="str">
        <f>IF(基因升级!K482="","",基因升级!K$140&amp;"+"&amp;基因升级!K482*100&amp;"%")</f>
        <v/>
      </c>
      <c r="C344" t="str">
        <f>IF(基因升级!L482="","",基因升级!L$140&amp;"+"&amp;基因升级!L482*100&amp;"%")</f>
        <v/>
      </c>
      <c r="D344" t="str">
        <f>IF(基因升级!M482="","",基因升级!M$140&amp;"+"&amp;基因升级!M482*100&amp;"%")</f>
        <v/>
      </c>
      <c r="E344" t="str">
        <f>IF(基因升级!N482="","",基因升级!N$140&amp;"+"&amp;基因升级!N482*100&amp;"%")</f>
        <v/>
      </c>
      <c r="F344" t="str">
        <f t="shared" si="5"/>
        <v>队长攻击力+168</v>
      </c>
    </row>
    <row r="345" spans="1:6">
      <c r="A345" t="str">
        <f>基因升级!$J$140&amp;"+"&amp;基因升级!J483</f>
        <v>队长攻击力+168</v>
      </c>
      <c r="B345" t="str">
        <f>IF(基因升级!K483="","",基因升级!K$140&amp;"+"&amp;基因升级!K483*100&amp;"%")</f>
        <v/>
      </c>
      <c r="C345" t="str">
        <f>IF(基因升级!L483="","",基因升级!L$140&amp;"+"&amp;基因升级!L483*100&amp;"%")</f>
        <v/>
      </c>
      <c r="D345" t="str">
        <f>IF(基因升级!M483="","",基因升级!M$140&amp;"+"&amp;基因升级!M483*100&amp;"%")</f>
        <v>队长暴击++0.2%</v>
      </c>
      <c r="E345" t="str">
        <f>IF(基因升级!N483="","",基因升级!N$140&amp;"+"&amp;基因升级!N483*100&amp;"%")</f>
        <v/>
      </c>
      <c r="F345" t="str">
        <f t="shared" si="5"/>
        <v>队长攻击力+168\n队长暴击++0.2%</v>
      </c>
    </row>
    <row r="346" spans="1:6">
      <c r="A346" t="str">
        <f>基因升级!$J$140&amp;"+"&amp;基因升级!J484</f>
        <v>队长攻击力+168</v>
      </c>
      <c r="B346" t="str">
        <f>IF(基因升级!K484="","",基因升级!K$140&amp;"+"&amp;基因升级!K484*100&amp;"%")</f>
        <v/>
      </c>
      <c r="C346" t="str">
        <f>IF(基因升级!L484="","",基因升级!L$140&amp;"+"&amp;基因升级!L484*100&amp;"%")</f>
        <v>队长暴击伤害+3%</v>
      </c>
      <c r="D346" t="str">
        <f>IF(基因升级!M484="","",基因升级!M$140&amp;"+"&amp;基因升级!M484*100&amp;"%")</f>
        <v/>
      </c>
      <c r="E346" t="str">
        <f>IF(基因升级!N484="","",基因升级!N$140&amp;"+"&amp;基因升级!N484*100&amp;"%")</f>
        <v/>
      </c>
      <c r="F346" t="str">
        <f t="shared" si="5"/>
        <v>队长攻击力+168\n队长暴击伤害+3%</v>
      </c>
    </row>
    <row r="347" spans="1:6">
      <c r="A347" t="str">
        <f>基因升级!$J$140&amp;"+"&amp;基因升级!J485</f>
        <v>队长攻击力+174</v>
      </c>
      <c r="B347" t="str">
        <f>IF(基因升级!K485="","",基因升级!K$140&amp;"+"&amp;基因升级!K485*100&amp;"%")</f>
        <v>队长伤害+5%</v>
      </c>
      <c r="C347" t="str">
        <f>IF(基因升级!L485="","",基因升级!L$140&amp;"+"&amp;基因升级!L485*100&amp;"%")</f>
        <v/>
      </c>
      <c r="D347" t="str">
        <f>IF(基因升级!M485="","",基因升级!M$140&amp;"+"&amp;基因升级!M485*100&amp;"%")</f>
        <v/>
      </c>
      <c r="E347" t="str">
        <f>IF(基因升级!N485="","",基因升级!N$140&amp;"+"&amp;基因升级!N485*100&amp;"%")</f>
        <v/>
      </c>
      <c r="F347" t="str">
        <f t="shared" si="5"/>
        <v>队长攻击力+174\n队长伤害+5%</v>
      </c>
    </row>
    <row r="348" spans="1:6">
      <c r="A348" t="str">
        <f>基因升级!$J$140&amp;"+"&amp;基因升级!J486</f>
        <v>队长攻击力+174</v>
      </c>
      <c r="B348" t="str">
        <f>IF(基因升级!K486="","",基因升级!K$140&amp;"+"&amp;基因升级!K486*100&amp;"%")</f>
        <v/>
      </c>
      <c r="C348" t="str">
        <f>IF(基因升级!L486="","",基因升级!L$140&amp;"+"&amp;基因升级!L486*100&amp;"%")</f>
        <v/>
      </c>
      <c r="D348" t="str">
        <f>IF(基因升级!M486="","",基因升级!M$140&amp;"+"&amp;基因升级!M486*100&amp;"%")</f>
        <v/>
      </c>
      <c r="E348" t="str">
        <f>IF(基因升级!N486="","",基因升级!N$140&amp;"+"&amp;基因升级!N486*100&amp;"%")</f>
        <v/>
      </c>
      <c r="F348" t="str">
        <f t="shared" si="5"/>
        <v>队长攻击力+174</v>
      </c>
    </row>
    <row r="349" spans="1:6">
      <c r="A349" t="str">
        <f>基因升级!$J$140&amp;"+"&amp;基因升级!J487</f>
        <v>队长攻击力+174</v>
      </c>
      <c r="B349" t="str">
        <f>IF(基因升级!K487="","",基因升级!K$140&amp;"+"&amp;基因升级!K487*100&amp;"%")</f>
        <v/>
      </c>
      <c r="C349" t="str">
        <f>IF(基因升级!L487="","",基因升级!L$140&amp;"+"&amp;基因升级!L487*100&amp;"%")</f>
        <v/>
      </c>
      <c r="D349" t="str">
        <f>IF(基因升级!M487="","",基因升级!M$140&amp;"+"&amp;基因升级!M487*100&amp;"%")</f>
        <v>队长暴击++0.2%</v>
      </c>
      <c r="E349" t="str">
        <f>IF(基因升级!N487="","",基因升级!N$140&amp;"+"&amp;基因升级!N487*100&amp;"%")</f>
        <v/>
      </c>
      <c r="F349" t="str">
        <f t="shared" si="5"/>
        <v>队长攻击力+174\n队长暴击++0.2%</v>
      </c>
    </row>
    <row r="350" spans="1:6">
      <c r="A350" t="str">
        <f>基因升级!$J$140&amp;"+"&amp;基因升级!J488</f>
        <v>队长攻击力+174</v>
      </c>
      <c r="B350" t="str">
        <f>IF(基因升级!K488="","",基因升级!K$140&amp;"+"&amp;基因升级!K488*100&amp;"%")</f>
        <v/>
      </c>
      <c r="C350" t="str">
        <f>IF(基因升级!L488="","",基因升级!L$140&amp;"+"&amp;基因升级!L488*100&amp;"%")</f>
        <v>队长暴击伤害+3%</v>
      </c>
      <c r="D350" t="str">
        <f>IF(基因升级!M488="","",基因升级!M$140&amp;"+"&amp;基因升级!M488*100&amp;"%")</f>
        <v/>
      </c>
      <c r="E350" t="str">
        <f>IF(基因升级!N488="","",基因升级!N$140&amp;"+"&amp;基因升级!N488*100&amp;"%")</f>
        <v/>
      </c>
      <c r="F350" t="str">
        <f t="shared" si="5"/>
        <v>队长攻击力+174\n队长暴击伤害+3%</v>
      </c>
    </row>
    <row r="351" spans="1:6">
      <c r="A351" t="str">
        <f>基因升级!$J$140&amp;"+"&amp;基因升级!J489</f>
        <v>队长攻击力+174</v>
      </c>
      <c r="B351" t="str">
        <f>IF(基因升级!K489="","",基因升级!K$140&amp;"+"&amp;基因升级!K489*100&amp;"%")</f>
        <v>队长伤害+5%</v>
      </c>
      <c r="C351" t="str">
        <f>IF(基因升级!L489="","",基因升级!L$140&amp;"+"&amp;基因升级!L489*100&amp;"%")</f>
        <v/>
      </c>
      <c r="D351" t="str">
        <f>IF(基因升级!M489="","",基因升级!M$140&amp;"+"&amp;基因升级!M489*100&amp;"%")</f>
        <v/>
      </c>
      <c r="E351" t="str">
        <f>IF(基因升级!N489="","",基因升级!N$140&amp;"+"&amp;基因升级!N489*100&amp;"%")</f>
        <v/>
      </c>
      <c r="F351" t="str">
        <f t="shared" si="5"/>
        <v>队长攻击力+174\n队长伤害+5%</v>
      </c>
    </row>
    <row r="352" spans="1:6">
      <c r="A352" t="str">
        <f>基因升级!$J$140&amp;"+"&amp;基因升级!J490</f>
        <v>队长攻击力+174</v>
      </c>
      <c r="B352" t="str">
        <f>IF(基因升级!K490="","",基因升级!K$140&amp;"+"&amp;基因升级!K490*100&amp;"%")</f>
        <v/>
      </c>
      <c r="C352" t="str">
        <f>IF(基因升级!L490="","",基因升级!L$140&amp;"+"&amp;基因升级!L490*100&amp;"%")</f>
        <v/>
      </c>
      <c r="D352" t="str">
        <f>IF(基因升级!M490="","",基因升级!M$140&amp;"+"&amp;基因升级!M490*100&amp;"%")</f>
        <v/>
      </c>
      <c r="E352" t="str">
        <f>IF(基因升级!N490="","",基因升级!N$140&amp;"+"&amp;基因升级!N490*100&amp;"%")</f>
        <v/>
      </c>
      <c r="F352" t="str">
        <f t="shared" si="5"/>
        <v>队长攻击力+174</v>
      </c>
    </row>
    <row r="353" spans="1:6">
      <c r="A353" t="str">
        <f>基因升级!$J$140&amp;"+"&amp;基因升级!J491</f>
        <v>队长攻击力+174</v>
      </c>
      <c r="B353" t="str">
        <f>IF(基因升级!K491="","",基因升级!K$140&amp;"+"&amp;基因升级!K491*100&amp;"%")</f>
        <v/>
      </c>
      <c r="C353" t="str">
        <f>IF(基因升级!L491="","",基因升级!L$140&amp;"+"&amp;基因升级!L491*100&amp;"%")</f>
        <v/>
      </c>
      <c r="D353" t="str">
        <f>IF(基因升级!M491="","",基因升级!M$140&amp;"+"&amp;基因升级!M491*100&amp;"%")</f>
        <v>队长暴击++0.2%</v>
      </c>
      <c r="E353" t="str">
        <f>IF(基因升级!N491="","",基因升级!N$140&amp;"+"&amp;基因升级!N491*100&amp;"%")</f>
        <v/>
      </c>
      <c r="F353" t="str">
        <f t="shared" si="5"/>
        <v>队长攻击力+174\n队长暴击++0.2%</v>
      </c>
    </row>
    <row r="354" spans="1:6">
      <c r="A354" t="str">
        <f>基因升级!$J$140&amp;"+"&amp;基因升级!J492</f>
        <v>队长攻击力+174</v>
      </c>
      <c r="B354" t="str">
        <f>IF(基因升级!K492="","",基因升级!K$140&amp;"+"&amp;基因升级!K492*100&amp;"%")</f>
        <v/>
      </c>
      <c r="C354" t="str">
        <f>IF(基因升级!L492="","",基因升级!L$140&amp;"+"&amp;基因升级!L492*100&amp;"%")</f>
        <v>队长暴击伤害+3%</v>
      </c>
      <c r="D354" t="str">
        <f>IF(基因升级!M492="","",基因升级!M$140&amp;"+"&amp;基因升级!M492*100&amp;"%")</f>
        <v/>
      </c>
      <c r="E354" t="str">
        <f>IF(基因升级!N492="","",基因升级!N$140&amp;"+"&amp;基因升级!N492*100&amp;"%")</f>
        <v/>
      </c>
      <c r="F354" t="str">
        <f t="shared" si="5"/>
        <v>队长攻击力+174\n队长暴击伤害+3%</v>
      </c>
    </row>
    <row r="355" spans="1:6">
      <c r="A355" t="str">
        <f>基因升级!$J$140&amp;"+"&amp;基因升级!J493</f>
        <v>队长攻击力+174</v>
      </c>
      <c r="B355" t="str">
        <f>IF(基因升级!K493="","",基因升级!K$140&amp;"+"&amp;基因升级!K493*100&amp;"%")</f>
        <v>队长伤害+5%</v>
      </c>
      <c r="C355" t="str">
        <f>IF(基因升级!L493="","",基因升级!L$140&amp;"+"&amp;基因升级!L493*100&amp;"%")</f>
        <v/>
      </c>
      <c r="D355" t="str">
        <f>IF(基因升级!M493="","",基因升级!M$140&amp;"+"&amp;基因升级!M493*100&amp;"%")</f>
        <v/>
      </c>
      <c r="E355" t="str">
        <f>IF(基因升级!N493="","",基因升级!N$140&amp;"+"&amp;基因升级!N493*100&amp;"%")</f>
        <v/>
      </c>
      <c r="F355" t="str">
        <f t="shared" si="5"/>
        <v>队长攻击力+174\n队长伤害+5%</v>
      </c>
    </row>
    <row r="356" spans="1:6">
      <c r="A356" t="str">
        <f>基因升级!$J$140&amp;"+"&amp;基因升级!J494</f>
        <v>队长攻击力+174</v>
      </c>
      <c r="B356" t="str">
        <f>IF(基因升级!K494="","",基因升级!K$140&amp;"+"&amp;基因升级!K494*100&amp;"%")</f>
        <v/>
      </c>
      <c r="C356" t="str">
        <f>IF(基因升级!L494="","",基因升级!L$140&amp;"+"&amp;基因升级!L494*100&amp;"%")</f>
        <v/>
      </c>
      <c r="D356" t="str">
        <f>IF(基因升级!M494="","",基因升级!M$140&amp;"+"&amp;基因升级!M494*100&amp;"%")</f>
        <v/>
      </c>
      <c r="E356" t="str">
        <f>IF(基因升级!N494="","",基因升级!N$140&amp;"+"&amp;基因升级!N494*100&amp;"%")</f>
        <v/>
      </c>
      <c r="F356" t="str">
        <f t="shared" si="5"/>
        <v>队长攻击力+174</v>
      </c>
    </row>
    <row r="357" spans="1:6">
      <c r="A357" t="str">
        <f>基因升级!$J$140&amp;"+"&amp;基因升级!J495</f>
        <v>队长攻击力+174</v>
      </c>
      <c r="B357" t="str">
        <f>IF(基因升级!K495="","",基因升级!K$140&amp;"+"&amp;基因升级!K495*100&amp;"%")</f>
        <v/>
      </c>
      <c r="C357" t="str">
        <f>IF(基因升级!L495="","",基因升级!L$140&amp;"+"&amp;基因升级!L495*100&amp;"%")</f>
        <v/>
      </c>
      <c r="D357" t="str">
        <f>IF(基因升级!M495="","",基因升级!M$140&amp;"+"&amp;基因升级!M495*100&amp;"%")</f>
        <v>队长暴击++0.2%</v>
      </c>
      <c r="E357" t="str">
        <f>IF(基因升级!N495="","",基因升级!N$140&amp;"+"&amp;基因升级!N495*100&amp;"%")</f>
        <v/>
      </c>
      <c r="F357" t="str">
        <f t="shared" si="5"/>
        <v>队长攻击力+174\n队长暴击++0.2%</v>
      </c>
    </row>
    <row r="358" spans="1:6">
      <c r="A358" t="str">
        <f>基因升级!$J$140&amp;"+"&amp;基因升级!J496</f>
        <v>队长攻击力+174</v>
      </c>
      <c r="B358" t="str">
        <f>IF(基因升级!K496="","",基因升级!K$140&amp;"+"&amp;基因升级!K496*100&amp;"%")</f>
        <v/>
      </c>
      <c r="C358" t="str">
        <f>IF(基因升级!L496="","",基因升级!L$140&amp;"+"&amp;基因升级!L496*100&amp;"%")</f>
        <v>队长暴击伤害+3%</v>
      </c>
      <c r="D358" t="str">
        <f>IF(基因升级!M496="","",基因升级!M$140&amp;"+"&amp;基因升级!M496*100&amp;"%")</f>
        <v/>
      </c>
      <c r="E358" t="str">
        <f>IF(基因升级!N496="","",基因升级!N$140&amp;"+"&amp;基因升级!N496*100&amp;"%")</f>
        <v/>
      </c>
      <c r="F358" t="str">
        <f t="shared" si="5"/>
        <v>队长攻击力+174\n队长暴击伤害+3%</v>
      </c>
    </row>
    <row r="359" spans="1:6">
      <c r="A359" t="str">
        <f>基因升级!$J$140&amp;"+"&amp;基因升级!J497</f>
        <v>队长攻击力+174</v>
      </c>
      <c r="B359" t="str">
        <f>IF(基因升级!K497="","",基因升级!K$140&amp;"+"&amp;基因升级!K497*100&amp;"%")</f>
        <v>队长伤害+5%</v>
      </c>
      <c r="C359" t="str">
        <f>IF(基因升级!L497="","",基因升级!L$140&amp;"+"&amp;基因升级!L497*100&amp;"%")</f>
        <v/>
      </c>
      <c r="D359" t="str">
        <f>IF(基因升级!M497="","",基因升级!M$140&amp;"+"&amp;基因升级!M497*100&amp;"%")</f>
        <v/>
      </c>
      <c r="E359" t="str">
        <f>IF(基因升级!N497="","",基因升级!N$140&amp;"+"&amp;基因升级!N497*100&amp;"%")</f>
        <v/>
      </c>
      <c r="F359" t="str">
        <f t="shared" si="5"/>
        <v>队长攻击力+174\n队长伤害+5%</v>
      </c>
    </row>
    <row r="360" spans="1:6">
      <c r="A360" t="str">
        <f>基因升级!$J$140&amp;"+"&amp;基因升级!J498</f>
        <v>队长攻击力+174</v>
      </c>
      <c r="B360" t="str">
        <f>IF(基因升级!K498="","",基因升级!K$140&amp;"+"&amp;基因升级!K498*100&amp;"%")</f>
        <v/>
      </c>
      <c r="C360" t="str">
        <f>IF(基因升级!L498="","",基因升级!L$140&amp;"+"&amp;基因升级!L498*100&amp;"%")</f>
        <v/>
      </c>
      <c r="D360" t="str">
        <f>IF(基因升级!M498="","",基因升级!M$140&amp;"+"&amp;基因升级!M498*100&amp;"%")</f>
        <v/>
      </c>
      <c r="E360" t="str">
        <f>IF(基因升级!N498="","",基因升级!N$140&amp;"+"&amp;基因升级!N498*100&amp;"%")</f>
        <v/>
      </c>
      <c r="F360" t="str">
        <f t="shared" si="5"/>
        <v>队长攻击力+174</v>
      </c>
    </row>
    <row r="361" spans="1:6">
      <c r="A361" t="str">
        <f>基因升级!$J$140&amp;"+"&amp;基因升级!J499</f>
        <v>队长攻击力+174</v>
      </c>
      <c r="B361" t="str">
        <f>IF(基因升级!K499="","",基因升级!K$140&amp;"+"&amp;基因升级!K499*100&amp;"%")</f>
        <v/>
      </c>
      <c r="C361" t="str">
        <f>IF(基因升级!L499="","",基因升级!L$140&amp;"+"&amp;基因升级!L499*100&amp;"%")</f>
        <v/>
      </c>
      <c r="D361" t="str">
        <f>IF(基因升级!M499="","",基因升级!M$140&amp;"+"&amp;基因升级!M499*100&amp;"%")</f>
        <v>队长暴击++0.2%</v>
      </c>
      <c r="E361" t="str">
        <f>IF(基因升级!N499="","",基因升级!N$140&amp;"+"&amp;基因升级!N499*100&amp;"%")</f>
        <v/>
      </c>
      <c r="F361" t="str">
        <f t="shared" si="5"/>
        <v>队长攻击力+174\n队长暴击++0.2%</v>
      </c>
    </row>
    <row r="362" spans="1:6">
      <c r="A362" t="str">
        <f>基因升级!$J$140&amp;"+"&amp;基因升级!J500</f>
        <v>队长攻击力+174</v>
      </c>
      <c r="B362" t="str">
        <f>IF(基因升级!K500="","",基因升级!K$140&amp;"+"&amp;基因升级!K500*100&amp;"%")</f>
        <v/>
      </c>
      <c r="C362" t="str">
        <f>IF(基因升级!L500="","",基因升级!L$140&amp;"+"&amp;基因升级!L500*100&amp;"%")</f>
        <v>队长暴击伤害+3%</v>
      </c>
      <c r="D362" t="str">
        <f>IF(基因升级!M500="","",基因升级!M$140&amp;"+"&amp;基因升级!M500*100&amp;"%")</f>
        <v/>
      </c>
      <c r="E362" t="str">
        <f>IF(基因升级!N500="","",基因升级!N$140&amp;"+"&amp;基因升级!N500*100&amp;"%")</f>
        <v/>
      </c>
      <c r="F362" t="str">
        <f t="shared" si="5"/>
        <v>队长攻击力+174\n队长暴击伤害+3%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养成属性</vt:lpstr>
      <vt:lpstr>基因升级</vt:lpstr>
      <vt:lpstr>基因产出</vt:lpstr>
      <vt:lpstr>属性汇总</vt:lpstr>
      <vt:lpstr>蔚蓝参考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Ziw</cp:lastModifiedBy>
  <dcterms:created xsi:type="dcterms:W3CDTF">2025-05-08T13:51:00Z</dcterms:created>
  <dcterms:modified xsi:type="dcterms:W3CDTF">2026-06-11T07:54:04Z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214E9D85E9B64E91995CB10CEC731666_12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