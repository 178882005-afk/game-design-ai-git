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75" activeTab="3"/>
  </bookViews>
  <sheets>
    <sheet name="说明" sheetId="1" r:id="rId1"/>
    <sheet name="养成规划" sheetId="2" r:id="rId2"/>
    <sheet name="梦灵属性" sheetId="4" r:id="rId3"/>
    <sheet name="梦灵属性 (新版)" sheetId="16" r:id="rId4"/>
    <sheet name="梦灵本体产出" sheetId="7" r:id="rId5"/>
    <sheet name="梦灵经验产出" sheetId="8" r:id="rId6"/>
    <sheet name="梦灵图鉴" sheetId="6" r:id="rId7"/>
    <sheet name="属性汇总" sheetId="5" r:id="rId8"/>
    <sheet name="抽奖定制" sheetId="9" r:id="rId9"/>
    <sheet name="队伍预设" sheetId="10" r:id="rId10"/>
    <sheet name="星妙之路" sheetId="11" r:id="rId11"/>
    <sheet name="价值表" sheetId="12" r:id="rId12"/>
    <sheet name="Sheet1" sheetId="13" r:id="rId13"/>
    <sheet name="Sheet3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<sst xmlns="http://schemas.openxmlformats.org/spreadsheetml/2006/main" count="2412" uniqueCount="633">
  <si>
    <t>梦灵养成</t>
  </si>
  <si>
    <t>说明</t>
  </si>
  <si>
    <t>梦灵升级</t>
  </si>
  <si>
    <t>梦灵属性=梦灵初始属性×（1＋（梦灵等级－1）×等级系数）</t>
  </si>
  <si>
    <t>梦灵升级消耗【能量特饮】＋【金币】</t>
  </si>
  <si>
    <t>梦灵升级本质上是上阵编队位置的升级，替换梦灵，等级继承</t>
  </si>
  <si>
    <t>梦灵升级不能超过上阵编队最低等级位置10级</t>
  </si>
  <si>
    <t>梦灵升星</t>
  </si>
  <si>
    <t>梦灵升星属性＝梦灵等级属性×（1+品质系数）＋梦灵初始属性×升星系数×（品质id-1）</t>
  </si>
  <si>
    <t>梦灵升星消耗【本体碎片】＋【金币】</t>
  </si>
  <si>
    <t>梦灵升星到一定阶段后，需要【进阶石】</t>
  </si>
  <si>
    <t>关联配置</t>
  </si>
  <si>
    <t>配置</t>
  </si>
  <si>
    <t>字段</t>
  </si>
  <si>
    <t>值</t>
  </si>
  <si>
    <t>D_单位_unit_data</t>
  </si>
  <si>
    <t>D_道具_item_data</t>
  </si>
  <si>
    <t>*涉及梦灵道具与梦灵初始品质</t>
  </si>
  <si>
    <t>*预留最后一行</t>
  </si>
  <si>
    <t>本页结束</t>
  </si>
  <si>
    <t>养成属性</t>
  </si>
  <si>
    <t>属性规划</t>
  </si>
  <si>
    <t>途径</t>
  </si>
  <si>
    <t>生命百分比</t>
  </si>
  <si>
    <t>攻击百分比</t>
  </si>
  <si>
    <t>暴击伤害</t>
  </si>
  <si>
    <t>梦灵</t>
  </si>
  <si>
    <t>*引用属性规划</t>
  </si>
  <si>
    <t>养成分项</t>
  </si>
  <si>
    <t>梦灵图鉴</t>
  </si>
  <si>
    <t>*特殊属性</t>
  </si>
  <si>
    <t>设计思路</t>
  </si>
  <si>
    <t>养成1</t>
  </si>
  <si>
    <t>养成规划</t>
  </si>
  <si>
    <t>满级参数</t>
  </si>
  <si>
    <t>养成周期/天</t>
  </si>
  <si>
    <t>*引用商业化框架</t>
  </si>
  <si>
    <t>养成成本/钻</t>
  </si>
  <si>
    <t>每日碎片产出</t>
  </si>
  <si>
    <t>内容</t>
  </si>
  <si>
    <t>价值</t>
  </si>
  <si>
    <t>蓝色梦灵碎片</t>
  </si>
  <si>
    <t>紫色梦灵碎片</t>
  </si>
  <si>
    <t>橙色梦灵碎片</t>
  </si>
  <si>
    <t>红色梦灵碎片</t>
  </si>
  <si>
    <t>梦灵设定</t>
  </si>
  <si>
    <t>梦灵职业</t>
  </si>
  <si>
    <t>梦灵品质</t>
  </si>
  <si>
    <t>战士</t>
  </si>
  <si>
    <t>法师</t>
  </si>
  <si>
    <t>射手</t>
  </si>
  <si>
    <t>辅助</t>
  </si>
  <si>
    <t>控制</t>
  </si>
  <si>
    <t>毒系</t>
  </si>
  <si>
    <t>总和</t>
  </si>
  <si>
    <t>蓝</t>
  </si>
  <si>
    <t>紫</t>
  </si>
  <si>
    <t>橙</t>
  </si>
  <si>
    <t>红</t>
  </si>
  <si>
    <t>梦灵养成数值和消耗</t>
  </si>
  <si>
    <t>基础品质系数</t>
  </si>
  <si>
    <r>
      <rPr>
        <sz val="12"/>
        <rFont val="等线"/>
        <charset val="134"/>
        <scheme val="minor"/>
      </rPr>
      <t>梦灵属性=全局攻击力</t>
    </r>
    <r>
      <rPr>
        <sz val="12"/>
        <rFont val="等线"/>
        <charset val="134"/>
        <scheme val="minor"/>
      </rPr>
      <t>*（1+品质系数*梦灵等级）</t>
    </r>
  </si>
  <si>
    <t>品质</t>
  </si>
  <si>
    <t>品质系数</t>
  </si>
  <si>
    <t>攻击</t>
  </si>
  <si>
    <t>生命</t>
  </si>
  <si>
    <t>技能系数</t>
  </si>
  <si>
    <t>进阶消耗</t>
  </si>
  <si>
    <t>预期养成周期</t>
  </si>
  <si>
    <t>每日产出</t>
  </si>
  <si>
    <t>单价</t>
  </si>
  <si>
    <t>总坑深</t>
  </si>
  <si>
    <t>彩</t>
  </si>
  <si>
    <t>升级碎片</t>
  </si>
  <si>
    <t>期望养成等级</t>
  </si>
  <si>
    <t>品质系数：梦灵每级所提供的属性</t>
  </si>
  <si>
    <t>#控制活跃速率</t>
  </si>
  <si>
    <t>进阶属性加成</t>
  </si>
  <si>
    <t>等级</t>
  </si>
  <si>
    <t>生命比</t>
  </si>
  <si>
    <t>攻击比</t>
  </si>
  <si>
    <t>英雄经验</t>
  </si>
  <si>
    <t>步长</t>
  </si>
  <si>
    <t>英雄碎片</t>
  </si>
  <si>
    <t>列1</t>
  </si>
  <si>
    <t>列2</t>
  </si>
  <si>
    <t>15级buff</t>
  </si>
  <si>
    <t>调整后</t>
  </si>
  <si>
    <t>总概率</t>
  </si>
  <si>
    <t>概率</t>
  </si>
  <si>
    <t>出现权重</t>
  </si>
  <si>
    <t>数量</t>
  </si>
  <si>
    <t>期望数量</t>
  </si>
  <si>
    <t>期望/总数=返利</t>
  </si>
  <si>
    <t>期望数量差</t>
  </si>
  <si>
    <t>橙色梦灵</t>
  </si>
  <si>
    <t>红色梦灵</t>
  </si>
  <si>
    <t>英雄碎片sum</t>
  </si>
  <si>
    <t>获取单梦灵的总概率需要更高，不然玩家不去拿5级梦灵解锁了</t>
  </si>
  <si>
    <t>420抽</t>
  </si>
  <si>
    <t>梦灵抽卡</t>
  </si>
  <si>
    <t>600抽</t>
  </si>
  <si>
    <t>1橙C</t>
  </si>
  <si>
    <t>6核心抽=2</t>
  </si>
  <si>
    <t>{12,12,[51010002]},{14,14,[51010001]},{16,16,[51010003]},{17,17,[51010001]},{18,18,[51010001]}</t>
  </si>
  <si>
    <t>角色释放（做抽奖数保底）</t>
  </si>
  <si>
    <t>期望天数</t>
  </si>
  <si>
    <t>招募阶段</t>
  </si>
  <si>
    <t>招募所需次数</t>
  </si>
  <si>
    <t>招募释放</t>
  </si>
  <si>
    <t>英雄品质</t>
  </si>
  <si>
    <t>非R</t>
  </si>
  <si>
    <t>小R</t>
  </si>
  <si>
    <t>中R</t>
  </si>
  <si>
    <t>大R</t>
  </si>
  <si>
    <t>预期关卡</t>
  </si>
  <si>
    <t>预期</t>
  </si>
  <si>
    <t>id</t>
  </si>
  <si>
    <t>首日招募次数</t>
  </si>
  <si>
    <t>效果</t>
  </si>
  <si>
    <t>lv2次数</t>
  </si>
  <si>
    <t>lv3次数</t>
  </si>
  <si>
    <t>lv4次数</t>
  </si>
  <si>
    <t>lv5次数</t>
  </si>
  <si>
    <t>前250抽保底设计</t>
  </si>
  <si>
    <t>寒冰射手</t>
  </si>
  <si>
    <t>炽焰巫师</t>
  </si>
  <si>
    <t>吟游诗人</t>
  </si>
  <si>
    <t>摇滚巨石</t>
  </si>
  <si>
    <t>泥巴少女</t>
  </si>
  <si>
    <t>忍者鲨手</t>
  </si>
  <si>
    <t>甜心护士</t>
  </si>
  <si>
    <t>雷震子</t>
  </si>
  <si>
    <t>关羽</t>
  </si>
  <si>
    <t>顺序保底出【摇滚巨石】</t>
  </si>
  <si>
    <t>10~30</t>
  </si>
  <si>
    <t>顺序保底橙卡A</t>
  </si>
  <si>
    <t>250~280</t>
  </si>
  <si>
    <t>顺序保底橙卡E</t>
  </si>
  <si>
    <t>80~120</t>
  </si>
  <si>
    <t>顺序保底红卡A</t>
  </si>
  <si>
    <t>30~60</t>
  </si>
  <si>
    <t>顺序保底红卡D</t>
  </si>
  <si>
    <t>加上第1次十连，寒冰能升到5级</t>
  </si>
  <si>
    <t>60~80</t>
  </si>
  <si>
    <t>540~560</t>
  </si>
  <si>
    <t>顺序保底橙卡F</t>
  </si>
  <si>
    <t>910~950</t>
  </si>
  <si>
    <t>顺序保底红卡B</t>
  </si>
  <si>
    <t>1100~1200</t>
  </si>
  <si>
    <t>顺序保底红卡E</t>
  </si>
  <si>
    <t>加上前2次十连，诗人能升到5级</t>
  </si>
  <si>
    <t>110~130</t>
  </si>
  <si>
    <t>1740~1780</t>
  </si>
  <si>
    <t>顺序保底红卡C</t>
  </si>
  <si>
    <t>2200~2300</t>
  </si>
  <si>
    <t>顺序保底红卡F</t>
  </si>
  <si>
    <t>顺序保底出【泥巴少女】</t>
  </si>
  <si>
    <t>160~180</t>
  </si>
  <si>
    <t>炽焰巫师升到5级</t>
  </si>
  <si>
    <t>210~230</t>
  </si>
  <si>
    <t>果冻少女</t>
  </si>
  <si>
    <t>寒冰射手升10级</t>
  </si>
  <si>
    <t>260~280</t>
  </si>
  <si>
    <t>顺序保底橙卡B</t>
  </si>
  <si>
    <t>顺序保底出【忍者鲨手】</t>
  </si>
  <si>
    <t>310~330</t>
  </si>
  <si>
    <t>360~380</t>
  </si>
  <si>
    <t>诗人升10级</t>
  </si>
  <si>
    <t>410~430</t>
  </si>
  <si>
    <t>路人甲</t>
  </si>
  <si>
    <t>顺序保底出【甜心护士】</t>
  </si>
  <si>
    <t>460~480</t>
  </si>
  <si>
    <t>东方宫主</t>
  </si>
  <si>
    <t>单橙</t>
  </si>
  <si>
    <t>炽焰巫师升10级</t>
  </si>
  <si>
    <t>510~530</t>
  </si>
  <si>
    <t>顺序保底橙卡C</t>
  </si>
  <si>
    <t>镭射</t>
  </si>
  <si>
    <t>双橙</t>
  </si>
  <si>
    <t>560~580</t>
  </si>
  <si>
    <t>亚瑟</t>
  </si>
  <si>
    <t>三橙</t>
  </si>
  <si>
    <t>顺序保底出【雷震子】</t>
  </si>
  <si>
    <t>610~630</t>
  </si>
  <si>
    <t>【摇滚巨石-5级】</t>
  </si>
  <si>
    <t>唐小僧</t>
  </si>
  <si>
    <t>四橙</t>
  </si>
  <si>
    <t>660~680</t>
  </si>
  <si>
    <t>蜘蛛女王</t>
  </si>
  <si>
    <t>五橙</t>
  </si>
  <si>
    <t>710~730</t>
  </si>
  <si>
    <t>神灯王子</t>
  </si>
  <si>
    <t>六橙</t>
  </si>
  <si>
    <t>760~780</t>
  </si>
  <si>
    <t>顺序保底橙卡D</t>
  </si>
  <si>
    <t>【泥巴少女-5级】</t>
  </si>
  <si>
    <t>810~830</t>
  </si>
  <si>
    <t>后羿</t>
  </si>
  <si>
    <t>一红</t>
  </si>
  <si>
    <t>累抽领取【关羽】</t>
  </si>
  <si>
    <t>神算诸葛</t>
  </si>
  <si>
    <t>二红</t>
  </si>
  <si>
    <t>最终：【关羽-4级】、【忍者鲨手-4级】、【泥巴少女-4级】、【甜心护士-4级】、【雷震子-5级】</t>
  </si>
  <si>
    <t>海拉</t>
  </si>
  <si>
    <t>三红</t>
  </si>
  <si>
    <t>我爱沙</t>
  </si>
  <si>
    <t>妲己</t>
  </si>
  <si>
    <t>白素贞</t>
  </si>
  <si>
    <t>零日骇客</t>
  </si>
  <si>
    <t>【忍者鲨手-5级】</t>
  </si>
  <si>
    <t>抽卡等级</t>
  </si>
  <si>
    <t>#当没有满图鉴基本概率低，满图鉴后产的多</t>
  </si>
  <si>
    <t>招募等级</t>
  </si>
  <si>
    <t>金币</t>
  </si>
  <si>
    <t>灵感钥匙</t>
  </si>
  <si>
    <t>职业经验*25</t>
  </si>
  <si>
    <t>职业经验*50</t>
  </si>
  <si>
    <t>职业经验*100</t>
  </si>
  <si>
    <t>蓝卡</t>
  </si>
  <si>
    <t>紫卡</t>
  </si>
  <si>
    <t>橙卡</t>
  </si>
  <si>
    <t>红卡</t>
  </si>
  <si>
    <t>升级经验</t>
  </si>
  <si>
    <t>列3</t>
  </si>
  <si>
    <t>期望卡数量</t>
  </si>
  <si>
    <t>【甜心护士-5级】</t>
  </si>
  <si>
    <t>【雷震子-5级】</t>
  </si>
  <si>
    <t>最终：【关羽-4级】、【忍者鲨手-5级】、【泥巴少女-5级】、【甜心护士-5级】、【雷震子-5级】</t>
  </si>
  <si>
    <t>均值</t>
  </si>
  <si>
    <t>心愿招募</t>
  </si>
  <si>
    <t>产出设定</t>
  </si>
  <si>
    <t>小R和非R盯着4折以下才会买</t>
  </si>
  <si>
    <t>中R买6折以下</t>
  </si>
  <si>
    <t>大R有折扣全买</t>
  </si>
  <si>
    <t>道具</t>
  </si>
  <si>
    <t>来源</t>
  </si>
  <si>
    <t>周期</t>
  </si>
  <si>
    <t>是否分层</t>
  </si>
  <si>
    <t>招募券</t>
  </si>
  <si>
    <t>日常任务</t>
  </si>
  <si>
    <t>每日</t>
  </si>
  <si>
    <t>无差异</t>
  </si>
  <si>
    <t>首通奖励</t>
  </si>
  <si>
    <t>一次性</t>
  </si>
  <si>
    <t>竞技场</t>
  </si>
  <si>
    <t>前两次低于5折，后两次高于5折</t>
  </si>
  <si>
    <t>体力</t>
  </si>
  <si>
    <t>竞速</t>
  </si>
  <si>
    <t>金矿排行</t>
  </si>
  <si>
    <t>运营活动</t>
  </si>
  <si>
    <t>根据折扣投放</t>
  </si>
  <si>
    <t>产出计算</t>
  </si>
  <si>
    <t>产出汇总</t>
  </si>
  <si>
    <t>新服活动</t>
  </si>
  <si>
    <t>主线</t>
  </si>
  <si>
    <t>日常任务+每周任务</t>
  </si>
  <si>
    <t>每周周本成就</t>
  </si>
  <si>
    <t>周本</t>
  </si>
  <si>
    <t>商店免费</t>
  </si>
  <si>
    <t>商店</t>
  </si>
  <si>
    <t>刷新商店</t>
  </si>
  <si>
    <t>次数</t>
  </si>
  <si>
    <t>抽奖券</t>
  </si>
  <si>
    <t>每日结算</t>
  </si>
  <si>
    <t>体力产出</t>
  </si>
  <si>
    <t>蓝色表头都是从其他地方贴过来的</t>
  </si>
  <si>
    <t>每日次数</t>
  </si>
  <si>
    <t>单次体力</t>
  </si>
  <si>
    <t>单项体力</t>
  </si>
  <si>
    <t>累计体力</t>
  </si>
  <si>
    <t>创号初始</t>
  </si>
  <si>
    <t>时间恢复</t>
  </si>
  <si>
    <t>每日广告</t>
  </si>
  <si>
    <t>食堂奖励</t>
  </si>
  <si>
    <t>日礼包免费</t>
  </si>
  <si>
    <t>月卡福利</t>
  </si>
  <si>
    <t>每日特惠礼包1</t>
  </si>
  <si>
    <t>每日特惠礼包2</t>
  </si>
  <si>
    <t>每日特惠礼包3</t>
  </si>
  <si>
    <t>日礼包购买</t>
  </si>
  <si>
    <t>周礼包购买</t>
  </si>
  <si>
    <t>宝石购买</t>
  </si>
  <si>
    <t>星火宝箱</t>
  </si>
  <si>
    <t>运营活动预留（此处换算成每日，实际节奏比预期快）</t>
  </si>
  <si>
    <t>#活动直接送/副产物*20</t>
  </si>
  <si>
    <t>折扣</t>
  </si>
  <si>
    <t>日礼包</t>
  </si>
  <si>
    <t>周礼包</t>
  </si>
  <si>
    <t>月礼包</t>
  </si>
  <si>
    <t>月卡</t>
  </si>
  <si>
    <t>每日特惠</t>
  </si>
  <si>
    <t>战令</t>
  </si>
  <si>
    <t>每周签到礼包</t>
  </si>
  <si>
    <t>活动预留</t>
  </si>
  <si>
    <t>免费</t>
  </si>
  <si>
    <t>七日挑战110、收集活动100</t>
  </si>
  <si>
    <t>主线推图</t>
  </si>
  <si>
    <t>开服活动</t>
  </si>
  <si>
    <t>章节礼包</t>
  </si>
  <si>
    <t>首充</t>
  </si>
  <si>
    <t>体力战令</t>
  </si>
  <si>
    <t>活动总抽</t>
  </si>
  <si>
    <t>天数</t>
  </si>
  <si>
    <t>期望倍率</t>
  </si>
  <si>
    <t>属性成长</t>
  </si>
  <si>
    <t>梦灵经验规划</t>
  </si>
  <si>
    <t>梦灵经验主要控制等级释放节奏，比升级周期短，纯活跃投放、防止投放导致等级不平衡，在消耗做倍率区分</t>
  </si>
  <si>
    <t>目标坑深(钻石)</t>
  </si>
  <si>
    <t>活跃产出(钻石)</t>
  </si>
  <si>
    <t>总产出</t>
  </si>
  <si>
    <t>蓝品</t>
  </si>
  <si>
    <t>紫品</t>
  </si>
  <si>
    <t>橙品</t>
  </si>
  <si>
    <t>红品</t>
  </si>
  <si>
    <t>付费占比</t>
  </si>
  <si>
    <t>梦灵数量</t>
  </si>
  <si>
    <t>概率降低为50%</t>
  </si>
  <si>
    <t>召唤</t>
  </si>
  <si>
    <t>期望等级</t>
  </si>
  <si>
    <t>总消耗</t>
  </si>
  <si>
    <t>产出比例</t>
  </si>
  <si>
    <t>消耗倍率</t>
  </si>
  <si>
    <t>标准消耗</t>
  </si>
  <si>
    <t>#以五天的量为基数</t>
  </si>
  <si>
    <t>ID</t>
  </si>
  <si>
    <t>定位</t>
  </si>
  <si>
    <t>彩品</t>
  </si>
  <si>
    <t>停留时间</t>
  </si>
  <si>
    <t>梦灵经验产出规划</t>
  </si>
  <si>
    <t>每日总产出（非R）</t>
  </si>
  <si>
    <t>#和扫荡抽奖券绑定</t>
  </si>
  <si>
    <t>#单次扫荡产出</t>
  </si>
  <si>
    <t>产出途径</t>
  </si>
  <si>
    <t>梦灵经验</t>
  </si>
  <si>
    <t>体力扫荡</t>
  </si>
  <si>
    <t>挂机收益</t>
  </si>
  <si>
    <t>抽卡收益</t>
  </si>
  <si>
    <t>活动产出</t>
  </si>
  <si>
    <t>钻石价格</t>
  </si>
  <si>
    <t>rmb价格</t>
  </si>
  <si>
    <t>额外说明
汇总</t>
  </si>
  <si>
    <t>全体</t>
  </si>
  <si>
    <t>预留给小R</t>
  </si>
  <si>
    <t>每周1次</t>
  </si>
  <si>
    <t>梦灵经验产出配置</t>
  </si>
  <si>
    <t>经验值</t>
  </si>
  <si>
    <t>爆伤</t>
  </si>
  <si>
    <t>期望爆伤</t>
  </si>
  <si>
    <t>养成练度</t>
  </si>
  <si>
    <t>蓝卡期望天数</t>
  </si>
  <si>
    <t>紫卡期望天数</t>
  </si>
  <si>
    <t>橙卡期望天数</t>
  </si>
  <si>
    <t>红卡期望天数</t>
  </si>
  <si>
    <t>养成汇总</t>
  </si>
  <si>
    <t>#目前只计算双月卡玩家进度，后续等数值总表一起拓展</t>
  </si>
  <si>
    <t>开服天数</t>
  </si>
  <si>
    <t>梦灵品质练度</t>
  </si>
  <si>
    <t>梦灵等级练度</t>
  </si>
  <si>
    <t>暴击率</t>
  </si>
  <si>
    <t>伤害增加</t>
  </si>
  <si>
    <t>伤害减免</t>
  </si>
  <si>
    <t>固定减伤</t>
  </si>
  <si>
    <t>攻击速度</t>
  </si>
  <si>
    <t>保底</t>
  </si>
  <si>
    <t/>
  </si>
  <si>
    <t>{372,372,[51010001]}</t>
  </si>
  <si>
    <t>{373,373,[51010002]}</t>
  </si>
  <si>
    <t>{375,375,[51010008]}</t>
  </si>
  <si>
    <t>{378,378,[51010009]}</t>
  </si>
  <si>
    <t>忍者早了20抽</t>
  </si>
  <si>
    <t>双C+队伍</t>
  </si>
  <si>
    <t>东方不败</t>
  </si>
  <si>
    <t>镭射眼</t>
  </si>
  <si>
    <t>单橙-东方不败</t>
  </si>
  <si>
    <t>单橙-镭射眼</t>
  </si>
  <si>
    <t>单橙-亚瑟</t>
  </si>
  <si>
    <t>诸葛亮</t>
  </si>
  <si>
    <t>双橙-东方不败+镭射眼</t>
  </si>
  <si>
    <t>双橙-镭射眼+亚瑟</t>
  </si>
  <si>
    <t>双橙-东方不败+亚瑟</t>
  </si>
  <si>
    <t>白蛇</t>
  </si>
  <si>
    <t>三橙-东方不败+镭射眼+亚瑟</t>
  </si>
  <si>
    <t>女娲</t>
  </si>
  <si>
    <t>四橙-东方不败+镭射眼+亚瑟+蜘蛛</t>
  </si>
  <si>
    <t>五橙-射手流-带神灯</t>
  </si>
  <si>
    <t>五橙-法师流-带神灯</t>
  </si>
  <si>
    <t>五橙-射手流-带恢复</t>
  </si>
  <si>
    <t>五橙-法师流-带恢复</t>
  </si>
  <si>
    <t>五橙-射手流-带神灯+恢复（无控制）</t>
  </si>
  <si>
    <t>五橙-法师流-带神灯+恢复（无控制）</t>
  </si>
  <si>
    <t>六橙-射手流-带神灯</t>
  </si>
  <si>
    <t>六橙-法师流-带神灯</t>
  </si>
  <si>
    <t>六橙-射手流-带恢复</t>
  </si>
  <si>
    <t>六橙-法师流-带恢复</t>
  </si>
  <si>
    <t>六橙-射手流-带神灯+恢复（无控制）</t>
  </si>
  <si>
    <t>六橙-法师流-带神灯+恢复（无控制）</t>
  </si>
  <si>
    <t>单红-诸葛亮</t>
  </si>
  <si>
    <t>单红-后羿</t>
  </si>
  <si>
    <t>单红-海拉</t>
  </si>
  <si>
    <t>二红-诸葛亮+后羿</t>
  </si>
  <si>
    <t>二红-诸葛亮+海拉</t>
  </si>
  <si>
    <t>二红-后羿+海拉</t>
  </si>
  <si>
    <t>三红带控制</t>
  </si>
  <si>
    <t>三红带辅助</t>
  </si>
  <si>
    <t>礼包</t>
  </si>
  <si>
    <t>时间预期</t>
  </si>
  <si>
    <t>预期体验</t>
  </si>
  <si>
    <t>首充第三天</t>
  </si>
  <si>
    <t>橙色梦灵礼包·小</t>
  </si>
  <si>
    <t>常规非R玩家将将能拿到橙卡</t>
  </si>
  <si>
    <t>小概率能拿到蜘蛛（最后橙）</t>
  </si>
  <si>
    <t>梦灵试炼1轮</t>
  </si>
  <si>
    <t>常规非R玩家拿到第1个橙，但是不到第2个</t>
  </si>
  <si>
    <t>前4个橙卡随机</t>
  </si>
  <si>
    <t>梦灵试炼2轮</t>
  </si>
  <si>
    <t>常规非R玩家拿到第3个橙</t>
  </si>
  <si>
    <t>首轮梦灵最终宝箱</t>
  </si>
  <si>
    <t>不给橙色梦灵</t>
  </si>
  <si>
    <t>奖励id</t>
  </si>
  <si>
    <t>组别</t>
  </si>
  <si>
    <t>进度</t>
  </si>
  <si>
    <t>道具奖励</t>
  </si>
  <si>
    <t>梦灵自选</t>
  </si>
  <si>
    <t>卡带奖励</t>
  </si>
  <si>
    <t>总返利</t>
  </si>
  <si>
    <t>体力*10</t>
  </si>
  <si>
    <t>能量特饮*50</t>
  </si>
  <si>
    <t>金币*200</t>
  </si>
  <si>
    <t>初愿摇杆*1</t>
  </si>
  <si>
    <t>筑梦快递箱*1</t>
  </si>
  <si>
    <t>永动充电宝</t>
  </si>
  <si>
    <t>金币*500</t>
  </si>
  <si>
    <t>北斗高精</t>
  </si>
  <si>
    <t>金币*1000</t>
  </si>
  <si>
    <t>秘藏摇杆*1</t>
  </si>
  <si>
    <t>东方不败&amp;镭射眼</t>
  </si>
  <si>
    <t>猎杀</t>
  </si>
  <si>
    <t>超能特饮*100</t>
  </si>
  <si>
    <t>唐小僧&amp;亚瑟</t>
  </si>
  <si>
    <t>量子枸杞</t>
  </si>
  <si>
    <t>梦愿水晶*1</t>
  </si>
  <si>
    <t>超能特饮*200</t>
  </si>
  <si>
    <t>初愿摇杆*5</t>
  </si>
  <si>
    <t>高能</t>
  </si>
  <si>
    <t>金币*2000</t>
  </si>
  <si>
    <t>裂开了</t>
  </si>
  <si>
    <t>超能特饮*500</t>
  </si>
  <si>
    <t>群聊复读机</t>
  </si>
  <si>
    <t>筑梦典藏箱*1</t>
  </si>
  <si>
    <t>后羿&amp;神算诸葛</t>
  </si>
  <si>
    <t>弹墙</t>
  </si>
  <si>
    <t>金币*3000</t>
  </si>
  <si>
    <t>会议时间相对论</t>
  </si>
  <si>
    <t>祝福ID</t>
  </si>
  <si>
    <t>排序</t>
  </si>
  <si>
    <t>level</t>
  </si>
  <si>
    <t>order</t>
  </si>
  <si>
    <t>光环·宿舍夜谈</t>
  </si>
  <si>
    <t>光环·友圈社牛</t>
  </si>
  <si>
    <t>主要投放途径</t>
  </si>
  <si>
    <t>光环·天劫查重</t>
  </si>
  <si>
    <t>序号</t>
  </si>
  <si>
    <t>道具ID</t>
  </si>
  <si>
    <t>道具名称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</si>
  <si>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</si>
  <si>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</si>
  <si>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</si>
  <si>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</si>
  <si>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</si>
  <si>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</si>
  <si>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</si>
  <si>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</si>
  <si>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光环·拼手速</t>
  </si>
  <si>
    <t>钻石</t>
  </si>
  <si>
    <t>货币类</t>
  </si>
  <si>
    <t>任务/成就/主线三星</t>
  </si>
  <si>
    <t>充值</t>
  </si>
  <si>
    <t>做各阶层的能力阶梯</t>
  </si>
  <si>
    <t>光环·海王撒网</t>
  </si>
  <si>
    <t>快捷购买</t>
  </si>
  <si>
    <t>日周月商店</t>
  </si>
  <si>
    <t>光环·电量续航</t>
  </si>
  <si>
    <t>星珀</t>
  </si>
  <si>
    <t>排行冲刺</t>
  </si>
  <si>
    <t>做中R的付费质感（前期中R）</t>
  </si>
  <si>
    <t>光环·科学养生</t>
  </si>
  <si>
    <t>战令宝箱</t>
  </si>
  <si>
    <t>红温警告</t>
  </si>
  <si>
    <t>每日特惠宝箱</t>
  </si>
  <si>
    <t>咩菲特的雕像</t>
  </si>
  <si>
    <t>织梦宝箱</t>
  </si>
  <si>
    <t>闪电五连鞭</t>
  </si>
  <si>
    <t>筑梦快递箱</t>
  </si>
  <si>
    <t>十万伏特</t>
  </si>
  <si>
    <t>筑梦典藏箱</t>
  </si>
  <si>
    <t>抢课仙人的手速</t>
  </si>
  <si>
    <t>能量特饮2</t>
  </si>
  <si>
    <t>能量特饮</t>
  </si>
  <si>
    <t>梦灵类</t>
  </si>
  <si>
    <t>做非R的基础体验</t>
  </si>
  <si>
    <t>5G光速加载</t>
  </si>
  <si>
    <t>梦境招募券</t>
  </si>
  <si>
    <t>情绪净化/主线任务</t>
  </si>
  <si>
    <t>商店购买</t>
  </si>
  <si>
    <t>做各阶层的能力阶梯（前期质变）</t>
  </si>
  <si>
    <t>梦愿水晶</t>
  </si>
  <si>
    <t>招募累计</t>
  </si>
  <si>
    <t>神灯</t>
  </si>
  <si>
    <t>限定招募</t>
  </si>
  <si>
    <t>做大R的付费边界（后期质变）</t>
  </si>
  <si>
    <t>已读不回</t>
  </si>
  <si>
    <t>稀有梦灵</t>
  </si>
  <si>
    <t>英雄招募</t>
  </si>
  <si>
    <t>内卷的呼吸</t>
  </si>
  <si>
    <t>史诗梦灵</t>
  </si>
  <si>
    <t>直男秘剑·多喝热水</t>
  </si>
  <si>
    <t>传说梦灵</t>
  </si>
  <si>
    <t>神话梦灵</t>
  </si>
  <si>
    <t>奶茶功德</t>
  </si>
  <si>
    <t>彩虹梦灵</t>
  </si>
  <si>
    <t>稀有梦灵碎片</t>
  </si>
  <si>
    <t>节能零元购</t>
  </si>
  <si>
    <t>史诗梦灵碎片</t>
  </si>
  <si>
    <t>检讨仙人的手速</t>
  </si>
  <si>
    <t>传说梦灵碎片</t>
  </si>
  <si>
    <t>班主任的凝视</t>
  </si>
  <si>
    <t>神话梦灵碎片</t>
  </si>
  <si>
    <t>彩虹梦灵碎片</t>
  </si>
  <si>
    <t>装备强化书</t>
  </si>
  <si>
    <t>装备类</t>
  </si>
  <si>
    <t>做非R长线活跃养成</t>
  </si>
  <si>
    <t>粉笔头的复仇</t>
  </si>
  <si>
    <t>锻造晶石</t>
  </si>
  <si>
    <t>装备洗练</t>
  </si>
  <si>
    <t>主线装备箱</t>
  </si>
  <si>
    <t>组队装备箱</t>
  </si>
  <si>
    <t>随机普通装备</t>
  </si>
  <si>
    <t>扩了么</t>
  </si>
  <si>
    <t>随机优秀装备</t>
  </si>
  <si>
    <t>随机稀有装备</t>
  </si>
  <si>
    <t>随机史诗装备</t>
  </si>
  <si>
    <t>随机传说装备</t>
  </si>
  <si>
    <t>随机神话装备</t>
  </si>
  <si>
    <t>早八瞬移术</t>
  </si>
  <si>
    <t>随机创世装备</t>
  </si>
  <si>
    <t>买一送一</t>
  </si>
  <si>
    <t>初愿摇杆</t>
  </si>
  <si>
    <t>宝石类</t>
  </si>
  <si>
    <t>宝石低抽</t>
  </si>
  <si>
    <t>秘藏摇杆</t>
  </si>
  <si>
    <t>宝石高抽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</si>
  <si>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</si>
  <si>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</si>
  <si>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</si>
  <si>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</si>
  <si>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</si>
  <si>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</si>
  <si>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</si>
  <si>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和你爆了</t>
  </si>
  <si>
    <t>优秀符文</t>
  </si>
  <si>
    <t>绿宝石</t>
  </si>
  <si>
    <t>稀有符文</t>
  </si>
  <si>
    <t>蓝宝石</t>
  </si>
  <si>
    <t>史诗符文</t>
  </si>
  <si>
    <t>紫宝石</t>
  </si>
  <si>
    <t>留着过年</t>
  </si>
  <si>
    <t>传说符文</t>
  </si>
  <si>
    <t>橙宝石</t>
  </si>
  <si>
    <t>爱的魔力转圈圈</t>
  </si>
  <si>
    <t>神话符文</t>
  </si>
  <si>
    <t>红宝石</t>
  </si>
  <si>
    <t>做大R的付费质感</t>
  </si>
  <si>
    <t>创世符文</t>
  </si>
  <si>
    <t>彩宝石</t>
  </si>
  <si>
    <t>做大R的付费边界</t>
  </si>
  <si>
    <t>强力老鼠胶</t>
  </si>
  <si>
    <t>聚精会神</t>
  </si>
  <si>
    <t>织梦微尘</t>
  </si>
  <si>
    <t>基因类</t>
  </si>
  <si>
    <t>基因低级材料</t>
  </si>
  <si>
    <t>凛冬将至</t>
  </si>
  <si>
    <t>潜能棱晶</t>
  </si>
  <si>
    <t>主线三星</t>
  </si>
  <si>
    <t>基因高级材料</t>
  </si>
  <si>
    <t>燃起来了</t>
  </si>
  <si>
    <t>加速沙漏</t>
  </si>
  <si>
    <t>通过SS类活动做分层</t>
  </si>
  <si>
    <t>雷霆嘎巴</t>
  </si>
  <si>
    <t>你有毒啊</t>
  </si>
  <si>
    <t>抽奖道具</t>
  </si>
  <si>
    <t>蜗牛竞速</t>
  </si>
  <si>
    <t>史诗梦灵皮肤</t>
  </si>
  <si>
    <t>传说梦灵皮肤</t>
  </si>
  <si>
    <t>蓄能</t>
  </si>
  <si>
    <t>神话梦灵皮肤</t>
  </si>
  <si>
    <t>传说武器皮肤</t>
  </si>
  <si>
    <t>聚爆</t>
  </si>
  <si>
    <t>神话武器皮肤</t>
  </si>
  <si>
    <t>身外身</t>
  </si>
  <si>
    <t>绞杀</t>
  </si>
  <si>
    <t>传说时装皮肤</t>
  </si>
  <si>
    <t>做中小R的钻销体系+大R的付费隔绝</t>
  </si>
  <si>
    <t>缠绕</t>
  </si>
  <si>
    <t>神话时装皮肤</t>
  </si>
  <si>
    <t>JOJO的面具</t>
  </si>
  <si>
    <t>黄金弓箭</t>
  </si>
  <si>
    <t>传说船体皮肤</t>
  </si>
  <si>
    <t>防狼喷雾</t>
  </si>
  <si>
    <t>神话船体皮肤</t>
  </si>
  <si>
    <t>聚集</t>
  </si>
  <si>
    <t>4合1</t>
  </si>
  <si>
    <t>超频</t>
  </si>
  <si>
    <t>梦境(计算完保底后的综合概率)</t>
  </si>
  <si>
    <t>蔚蓝</t>
  </si>
  <si>
    <t>预期天数</t>
  </si>
  <si>
    <t>经验</t>
  </si>
  <si>
    <t>配置值</t>
  </si>
  <si>
    <t>保底次数</t>
  </si>
  <si>
    <t>实际概率</t>
  </si>
  <si>
    <t>粉卡</t>
  </si>
  <si>
    <t>权重</t>
  </si>
  <si>
    <t>期望概率</t>
  </si>
  <si>
    <t>抽卡数</t>
  </si>
  <si>
    <t>卡池5</t>
  </si>
  <si>
    <t>卡池6</t>
  </si>
  <si>
    <t>橙卡随机</t>
  </si>
  <si>
    <t>红卡随机</t>
  </si>
  <si>
    <t>期望橙卡等级</t>
  </si>
  <si>
    <t>期望红卡等级</t>
  </si>
  <si>
    <t>升级消耗</t>
  </si>
  <si>
    <t>红卡提升等级</t>
  </si>
  <si>
    <t>橙卡提升等级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</si>
</sst>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yyyy/m/d;@"/>
    <numFmt numFmtId="179" formatCode="0.00000_);[Red]\(0.00000\)"/>
    <numFmt numFmtId="180" formatCode="0.00_);[Red]\(0.00\)"/>
    <numFmt numFmtId="181" formatCode="#,##0_ "/>
    <numFmt numFmtId="182" formatCode="0.0_ "/>
    <numFmt numFmtId="183" formatCode="0.00_ "/>
  </numFmts>
  <fonts count="56">
    <font>
      <sz val="10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b/>
      <sz val="10"/>
      <color theme="4"/>
      <name val="微软雅黑"/>
      <charset val="134"/>
    </font>
    <font>
      <strike/>
      <sz val="10"/>
      <color theme="1"/>
      <name val="微软雅黑"/>
      <charset val="134"/>
    </font>
    <font>
      <b/>
      <strike/>
      <sz val="10"/>
      <color theme="4"/>
      <name val="微软雅黑"/>
      <charset val="134"/>
    </font>
    <font>
      <sz val="11"/>
      <color theme="1"/>
      <name val="等线"/>
      <charset val="134"/>
      <scheme val="minor"/>
    </font>
    <font>
      <sz val="9"/>
      <color rgb="FF000000"/>
      <name val="å®ä½"/>
      <charset val="134"/>
    </font>
    <font>
      <b/>
      <sz val="10"/>
      <color rgb="FFFA7D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2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rgb="FFFFFFFF"/>
      <name val="等线"/>
      <charset val="134"/>
      <scheme val="minor"/>
    </font>
    <font>
      <sz val="12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0"/>
      <color rgb="FF000000"/>
      <name val="等线"/>
      <charset val="134"/>
      <scheme val="minor"/>
    </font>
    <font>
      <b/>
      <sz val="10"/>
      <color rgb="FF4472C4"/>
      <name val="等线"/>
      <charset val="134"/>
      <scheme val="minor"/>
    </font>
    <font>
      <sz val="12"/>
      <name val="等线"/>
      <charset val="134"/>
    </font>
    <font>
      <b/>
      <sz val="10"/>
      <color theme="4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theme="1"/>
      <name val="等线"/>
      <charset val="134"/>
    </font>
    <font>
      <sz val="10"/>
      <name val="等线"/>
      <charset val="134"/>
      <scheme val="minor"/>
    </font>
    <font>
      <b/>
      <sz val="14"/>
      <name val="等线"/>
      <charset val="134"/>
      <scheme val="minor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31E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14548173467"/>
      </top>
      <bottom style="thin">
        <color theme="4" tint="0.399914548173467"/>
      </bottom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14548173467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18" borderId="2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9" borderId="25" applyNumberFormat="0" applyAlignment="0" applyProtection="0">
      <alignment vertical="center"/>
    </xf>
    <xf numFmtId="0" fontId="46" fillId="20" borderId="26" applyNumberFormat="0" applyAlignment="0" applyProtection="0">
      <alignment vertical="center"/>
    </xf>
    <xf numFmtId="0" fontId="47" fillId="20" borderId="25" applyNumberFormat="0" applyAlignment="0" applyProtection="0">
      <alignment vertical="center"/>
    </xf>
    <xf numFmtId="0" fontId="48" fillId="21" borderId="27" applyNumberFormat="0" applyAlignment="0" applyProtection="0">
      <alignment vertical="center"/>
    </xf>
    <xf numFmtId="0" fontId="49" fillId="0" borderId="28" applyNumberFormat="0" applyFill="0" applyAlignment="0" applyProtection="0">
      <alignment vertical="center"/>
    </xf>
    <xf numFmtId="0" fontId="50" fillId="0" borderId="29" applyNumberFormat="0" applyFill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77" fontId="3" fillId="0" borderId="3" xfId="3" applyNumberFormat="1" applyFont="1" applyBorder="1" applyAlignment="1">
      <alignment horizontal="center" vertical="center"/>
    </xf>
    <xf numFmtId="177" fontId="0" fillId="0" borderId="0" xfId="3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177" fontId="5" fillId="3" borderId="3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 applyAlignment="1"/>
    <xf numFmtId="49" fontId="8" fillId="4" borderId="4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0" fillId="6" borderId="0" xfId="0" applyFont="1" applyFill="1">
      <alignment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0" fillId="10" borderId="0" xfId="0" applyFill="1">
      <alignment vertical="center"/>
    </xf>
    <xf numFmtId="0" fontId="15" fillId="0" borderId="0" xfId="0" applyFont="1">
      <alignment vertical="center"/>
    </xf>
    <xf numFmtId="0" fontId="0" fillId="12" borderId="0" xfId="0" applyFill="1">
      <alignment vertical="center"/>
    </xf>
    <xf numFmtId="0" fontId="16" fillId="0" borderId="0" xfId="0" applyFont="1">
      <alignment vertical="center"/>
    </xf>
    <xf numFmtId="0" fontId="17" fillId="13" borderId="7" xfId="0" applyFont="1" applyFill="1" applyBorder="1" applyAlignment="1">
      <alignment horizontal="center" vertical="center"/>
    </xf>
    <xf numFmtId="176" fontId="17" fillId="13" borderId="8" xfId="0" applyNumberFormat="1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19" fillId="14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2" borderId="0" xfId="0" applyFont="1" applyFill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9" fontId="20" fillId="0" borderId="1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7" fontId="3" fillId="0" borderId="0" xfId="3" applyNumberFormat="1" applyFont="1" applyAlignment="1">
      <alignment horizontal="center" vertical="center"/>
    </xf>
    <xf numFmtId="0" fontId="1" fillId="14" borderId="0" xfId="0" applyFont="1" applyFill="1">
      <alignment vertical="center"/>
    </xf>
    <xf numFmtId="0" fontId="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9" fontId="0" fillId="0" borderId="0" xfId="0" applyNumberFormat="1">
      <alignment vertical="center"/>
    </xf>
    <xf numFmtId="58" fontId="0" fillId="0" borderId="0" xfId="0" applyNumberFormat="1">
      <alignment vertical="center"/>
    </xf>
    <xf numFmtId="180" fontId="0" fillId="0" borderId="0" xfId="0" applyNumberFormat="1">
      <alignment vertical="center"/>
    </xf>
    <xf numFmtId="9" fontId="20" fillId="0" borderId="0" xfId="3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3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left" vertical="center"/>
    </xf>
    <xf numFmtId="176" fontId="9" fillId="0" borderId="1" xfId="0" applyNumberFormat="1" applyFont="1" applyFill="1" applyBorder="1" applyAlignment="1">
      <alignment horizontal="center" vertical="center"/>
    </xf>
    <xf numFmtId="9" fontId="9" fillId="0" borderId="0" xfId="3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81" fontId="20" fillId="0" borderId="1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9" fontId="9" fillId="0" borderId="15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9" fontId="9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176" fontId="3" fillId="0" borderId="16" xfId="0" applyNumberFormat="1" applyFont="1" applyBorder="1" applyAlignment="1">
      <alignment horizontal="center"/>
    </xf>
    <xf numFmtId="176" fontId="31" fillId="0" borderId="16" xfId="0" applyNumberFormat="1" applyFont="1" applyBorder="1" applyAlignment="1">
      <alignment horizontal="center"/>
    </xf>
    <xf numFmtId="0" fontId="3" fillId="0" borderId="0" xfId="0" applyFont="1">
      <alignment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9" fontId="2" fillId="0" borderId="0" xfId="0" applyNumberFormat="1" applyFont="1">
      <alignment vertical="center"/>
    </xf>
    <xf numFmtId="176" fontId="31" fillId="0" borderId="16" xfId="0" applyNumberFormat="1" applyFont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9" fillId="15" borderId="0" xfId="0" applyFont="1" applyFill="1">
      <alignment vertical="center"/>
    </xf>
    <xf numFmtId="0" fontId="19" fillId="2" borderId="17" xfId="0" applyFont="1" applyFill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82" fontId="3" fillId="0" borderId="7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9" fontId="3" fillId="0" borderId="15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183" fontId="3" fillId="0" borderId="7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6" borderId="0" xfId="0" applyFill="1">
      <alignment vertical="center"/>
    </xf>
    <xf numFmtId="0" fontId="9" fillId="16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9" fontId="3" fillId="0" borderId="15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183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16" borderId="7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32" fillId="0" borderId="0" xfId="0" applyFont="1">
      <alignment vertical="center"/>
    </xf>
    <xf numFmtId="0" fontId="20" fillId="0" borderId="6" xfId="0" applyFont="1" applyBorder="1" applyAlignment="1">
      <alignment horizontal="center" vertical="center"/>
    </xf>
    <xf numFmtId="0" fontId="20" fillId="17" borderId="1" xfId="0" applyFont="1" applyFill="1" applyBorder="1" applyAlignment="1">
      <alignment horizontal="center"/>
    </xf>
    <xf numFmtId="9" fontId="20" fillId="0" borderId="1" xfId="3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77" fontId="33" fillId="0" borderId="0" xfId="0" applyNumberFormat="1" applyFont="1">
      <alignment vertical="center"/>
    </xf>
    <xf numFmtId="177" fontId="34" fillId="0" borderId="0" xfId="0" applyNumberFormat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0" fillId="0" borderId="0" xfId="0" applyFont="1" applyAlignment="1"/>
    <xf numFmtId="0" fontId="35" fillId="14" borderId="0" xfId="0" applyFont="1" applyFill="1">
      <alignment vertical="center"/>
    </xf>
    <xf numFmtId="0" fontId="36" fillId="0" borderId="0" xfId="0" applyFont="1">
      <alignment vertical="center"/>
    </xf>
    <xf numFmtId="0" fontId="35" fillId="15" borderId="0" xfId="0" applyFont="1" applyFill="1">
      <alignment vertical="center"/>
    </xf>
    <xf numFmtId="0" fontId="2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1">
    <dxf>
      <font>
        <name val="微软雅黑"/>
        <scheme val="none"/>
        <sz val="10"/>
      </font>
      <alignment horizontal="center"/>
    </dxf>
    <dxf>
      <font>
        <name val="微软雅黑"/>
        <scheme val="none"/>
        <sz val="10"/>
      </font>
      <alignment horizontal="center"/>
    </dxf>
    <dxf>
      <font>
        <name val="微软雅黑"/>
        <scheme val="none"/>
        <b val="1"/>
        <i val="0"/>
        <strike val="0"/>
        <u val="none"/>
        <sz val="10"/>
        <color theme="4"/>
      </font>
      <numFmt numFmtId="9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1"/>
        <i val="0"/>
        <strike val="0"/>
        <u val="none"/>
        <sz val="10"/>
        <color theme="4"/>
      </font>
      <numFmt numFmtId="9" formatCode="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b val="1"/>
        <sz val="10"/>
        <color theme="4"/>
      </font>
      <alignment horizontal="center"/>
    </dxf>
    <dxf>
      <numFmt numFmtId="183" formatCode="0.00_ "/>
    </dxf>
    <dxf>
      <font>
        <name val="微软雅黑"/>
        <scheme val="none"/>
        <b val="1"/>
        <sz val="10"/>
        <color theme="4"/>
      </font>
      <alignment horizontal="center"/>
    </dxf>
    <dxf>
      <numFmt numFmtId="0" formatCode="General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/>
    </dxf>
    <dxf>
      <alignment horizontal="center"/>
    </dxf>
    <dxf>
      <alignment horizontal="center"/>
    </dxf>
    <dxf>
      <alignment horizontal="center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alignment horizontal="center"/>
    </dxf>
    <dxf>
      <font>
        <name val="等线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  <numFmt numFmtId="177" formatCode="0.0%"/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微软雅黑"/>
        <scheme val="none"/>
        <b val="1"/>
        <i val="0"/>
        <strike val="0"/>
        <u val="none"/>
        <sz val="10"/>
        <color theme="4"/>
      </font>
    </dxf>
    <dxf>
      <font>
        <name val="等线"/>
        <scheme val="none"/>
        <b val="1"/>
        <i val="0"/>
        <strike val="0"/>
        <u val="none"/>
        <sz val="10"/>
        <color theme="4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182" formatCode="0.0_ "/>
      <alignment horizontal="center"/>
    </dxf>
    <dxf>
      <numFmt numFmtId="182" formatCode="0.0_ "/>
      <alignment horizontal="center"/>
    </dxf>
    <dxf>
      <numFmt numFmtId="182" formatCode="0.0_ "/>
      <alignment horizontal="center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b val="1"/>
        <i val="0"/>
        <strike val="0"/>
        <u val="none"/>
        <sz val="10"/>
        <color theme="4"/>
      </font>
      <alignment horizontal="center" vertical="center"/>
    </dxf>
    <dxf>
      <font>
        <name val="微软雅黑"/>
        <scheme val="none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b val="0"/>
        <i val="0"/>
        <strike val="0"/>
        <u val="none"/>
        <sz val="10"/>
        <color theme="1"/>
      </font>
      <alignment horizontal="center" vertical="center"/>
    </dxf>
    <dxf>
      <font>
        <b val="1"/>
        <color rgb="FFFF0000"/>
      </font>
      <numFmt numFmtId="176" formatCode="0_ "/>
      <fill>
        <patternFill patternType="none"/>
      </fill>
    </dxf>
    <dxf>
      <font>
        <b val="1"/>
        <color rgb="FFFF0000"/>
      </font>
      <numFmt numFmtId="176" formatCode="0_ "/>
      <fill>
        <patternFill patternType="none"/>
      </fill>
    </dxf>
    <dxf>
      <font>
        <b val="1"/>
        <color rgb="FFFF0000"/>
      </font>
      <numFmt numFmtId="176" formatCode="0_ "/>
      <fill>
        <patternFill patternType="none"/>
      </fill>
    </dxf>
    <dxf>
      <font>
        <b val="1"/>
        <color rgb="FFFF0000"/>
      </font>
      <numFmt numFmtId="176" formatCode="0_ "/>
      <fill>
        <patternFill patternType="none"/>
      </fill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alignment horizontal="left"/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auto="1"/>
      </font>
      <numFmt numFmtId="0" formatCode="General"/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微软雅黑"/>
        <scheme val="none"/>
        <charset val="134"/>
        <b val="0"/>
        <i val="0"/>
        <strike val="0"/>
        <u val="none"/>
        <sz val="10"/>
        <color auto="1"/>
      </font>
      <numFmt numFmtId="176" formatCode="0_ 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center"/>
    </dxf>
    <dxf>
      <fill>
        <patternFill patternType="solid">
          <bgColor rgb="FFFF9900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b val="0"/>
        <i val="0"/>
        <strike val="0"/>
        <u val="none"/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font>
        <sz val="12"/>
        <color auto="1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3"/>
      <tableStyleElement type="headerRow" dxfId="72"/>
      <tableStyleElement type="totalRow" dxfId="71"/>
      <tableStyleElement type="firstColumn" dxfId="70"/>
      <tableStyleElement type="lastColumn" dxfId="69"/>
      <tableStyleElement type="firstRowStripe" dxfId="68"/>
      <tableStyleElement type="firstColumnStripe" dxfId="67"/>
    </tableStyle>
    <tableStyle name="TableStylePreset3_Accent2" pivot="0" count="7" xr9:uid="{678408F6-39DE-40AF-9D17-FE6DD702C64D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PivotStylePreset2_Accent1" table="0" count="10" xr9:uid="{267968C8-6FFD-4C36-ACC1-9EA1FD1885CA}">
      <tableStyleElement type="headerRow" dxfId="90"/>
      <tableStyleElement type="totalRow" dxfId="89"/>
      <tableStyleElement type="firstRowStripe" dxfId="88"/>
      <tableStyleElement type="firstColumnStripe" dxfId="87"/>
      <tableStyleElement type="firstSubtotalRow" dxfId="86"/>
      <tableStyleElement type="secondSubtotalRow" dxfId="85"/>
      <tableStyleElement type="firstRowSubheading" dxfId="84"/>
      <tableStyleElement type="secondRowSubheading" dxfId="83"/>
      <tableStyleElement type="pageFieldLabels" dxfId="82"/>
      <tableStyleElement type="pageFieldValues" dxfId="8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Sheet3!$O$1</c:f>
              <c:strCache>
                <c:ptCount val="1"/>
                <c:pt idx="0">
                  <c:v>橙卡提升等级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Sheet3!$M$2:$M$101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Sheet3!$O$2:$O$101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666816"/>
        <c:axId val="801944970"/>
      </c:scatterChart>
      <c:valAx>
        <c:axId val="95166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1944970"/>
        <c:crosses val="autoZero"/>
        <c:crossBetween val="midCat"/>
      </c:valAx>
      <c:valAx>
        <c:axId val="8019449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16668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387973-6b23-4dab-b860-b718948c89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Sheet3!$N$1</c:f>
              <c:strCache>
                <c:ptCount val="1"/>
                <c:pt idx="0">
                  <c:v>红卡提升等级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Sheet3!$M$2:$M$101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Sheet3!$N$2:$N$101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657079"/>
        <c:axId val="294118638"/>
      </c:scatterChart>
      <c:valAx>
        <c:axId val="21565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118638"/>
        <c:crosses val="autoZero"/>
        <c:crossBetween val="midCat"/>
      </c:valAx>
      <c:valAx>
        <c:axId val="294118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657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573e90-69ce-4f51-99e7-b91b3bedd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428625</xdr:colOff>
      <xdr:row>14</xdr:row>
      <xdr:rowOff>79375</xdr:rowOff>
    </xdr:from>
    <xdr:to>
      <xdr:col>23</xdr:col>
      <xdr:colOff>377825</xdr:colOff>
      <xdr:row>31</xdr:row>
      <xdr:rowOff>69850</xdr:rowOff>
    </xdr:to>
    <xdr:graphicFrame>
      <xdr:nvGraphicFramePr>
        <xdr:cNvPr id="5" name="图表 4"/>
        <xdr:cNvGraphicFramePr/>
      </xdr:nvGraphicFramePr>
      <xdr:xfrm>
        <a:off x="10791825" y="2346325"/>
        <a:ext cx="4854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32</xdr:row>
      <xdr:rowOff>12065</xdr:rowOff>
    </xdr:from>
    <xdr:to>
      <xdr:col>23</xdr:col>
      <xdr:colOff>387350</xdr:colOff>
      <xdr:row>49</xdr:row>
      <xdr:rowOff>2540</xdr:rowOff>
    </xdr:to>
    <xdr:graphicFrame>
      <xdr:nvGraphicFramePr>
        <xdr:cNvPr id="7" name="图表 6"/>
        <xdr:cNvGraphicFramePr/>
      </xdr:nvGraphicFramePr>
      <xdr:xfrm>
        <a:off x="10801350" y="5193665"/>
        <a:ext cx="4854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梦灵品质系数" displayName="梦灵品质系数" ref="D55:L255" totalsRowShown="0">
  <tableColumns count="9">
    <tableColumn id="1" name="品质" dataDxfId="0"/>
    <tableColumn id="2" name="等级" dataDxfId="1"/>
    <tableColumn id="3" name="生命比" dataDxfId="2">
      <calculatedColumnFormula>VLOOKUP($D56,$D$38:$E$41,2,0)*($E56-1)</calculatedColumnFormula>
    </tableColumn>
    <tableColumn id="4" name="攻击比" dataDxfId="3">
      <calculatedColumnFormula>VLOOKUP($D56,$D$38:$E$41,2,0)*($E56-1)</calculatedColumnFormula>
    </tableColumn>
    <tableColumn id="5" name="英雄经验" dataDxfId="4">
      <calculatedColumnFormula>梦灵经验产出!#REF!</calculatedColumnFormula>
    </tableColumn>
    <tableColumn id="14" name="步长" dataDxfId="5">
      <calculatedColumnFormula>H56*6/$E$13</calculatedColumnFormula>
    </tableColumn>
    <tableColumn id="6" name="英雄碎片" dataDxfId="6">
      <calculatedColumnFormula>J51*2</calculatedColumnFormula>
    </tableColumn>
    <tableColumn id="7" name="列1" dataDxfId="7">
      <calculatedColumnFormula>SUM($J$56:J56)</calculatedColumnFormula>
    </tableColumn>
    <tableColumn id="8" name="列2"/>
  </tableColumns>
  <tableStyleInfo name="TableStylePreset3_Accent1" showFirstColumn="0" showLastColumn="0" showRowStripes="0" showColumnStripes="0"/>
</table>
</file>

<file path=xl/tables/table2.xml><?xml version="1.0" encoding="utf-8"?>
<table xmlns="http://schemas.openxmlformats.org/spreadsheetml/2006/main" id="3" name="梦灵数量设定" displayName="梦灵数量设定" ref="D25:K29" totalsRowShown="0">
  <tableColumns count="8">
    <tableColumn id="1" name="梦灵品质" dataDxfId="8"/>
    <tableColumn id="2" name="战士" dataDxfId="9"/>
    <tableColumn id="3" name="法师" dataDxfId="10"/>
    <tableColumn id="4" name="射手" dataDxfId="11"/>
    <tableColumn id="5" name="辅助" dataDxfId="12"/>
    <tableColumn id="6" name="控制" dataDxfId="13"/>
    <tableColumn id="7" name="毒系" dataDxfId="14"/>
    <tableColumn id="8" name="总和" dataDxfId="15">
      <calculatedColumnFormula>SUM(E26:J26)</calculatedColumnFormula>
    </tableColumn>
  </tableColumns>
  <tableStyleInfo name="TableStylePreset3_Accent1" showFirstColumn="0" showLastColumn="0" showRowStripes="0" showColumnStripes="0"/>
</table>
</file>

<file path=xl/tables/table3.xml><?xml version="1.0" encoding="utf-8"?>
<table xmlns="http://schemas.openxmlformats.org/spreadsheetml/2006/main" id="5" name="梦灵品质系数_6" displayName="梦灵品质系数_6" ref="D55:L255" totalsRowShown="0">
  <tableColumns count="9">
    <tableColumn id="1" name="品质"/>
    <tableColumn id="2" name="等级"/>
    <tableColumn id="3" name="生命比">
      <calculatedColumnFormula>VLOOKUP($D56,$D$38:$E$41,2,0)*($E56-1)</calculatedColumnFormula>
    </tableColumn>
    <tableColumn id="4" name="攻击比">
      <calculatedColumnFormula>VLOOKUP($D56,$D$38:$E$41,2,0)*($E56-1)</calculatedColumnFormula>
    </tableColumn>
    <tableColumn id="5" name="英雄经验">
      <calculatedColumnFormula>梦灵经验产出!#REF!</calculatedColumnFormula>
    </tableColumn>
    <tableColumn id="6" name="步长">
      <calculatedColumnFormula>H56*6/$E$13</calculatedColumnFormula>
    </tableColumn>
    <tableColumn id="7" name="英雄碎片">
      <calculatedColumnFormula>J51*2</calculatedColumnFormula>
    </tableColumn>
    <tableColumn id="8" name="英雄碎片sum" dataDxfId="16">
      <calculatedColumnFormula>SUM($J$56:J56)</calculatedColumnFormula>
    </tableColumn>
    <tableColumn id="9" name="列1"/>
  </tableColumns>
  <tableStyleInfo name="TableStylePreset3_Accent1" showFirstColumn="0" showLastColumn="0" showRowStripes="0" showColumnStripes="0"/>
</table>
</file>

<file path=xl/tables/table4.xml><?xml version="1.0" encoding="utf-8"?>
<table xmlns="http://schemas.openxmlformats.org/spreadsheetml/2006/main" id="9" name="梦灵数量设定_10" displayName="梦灵数量设定_10" ref="D25:K29" totalsRowShown="0">
  <tableColumns count="8">
    <tableColumn id="1" name="梦灵品质"/>
    <tableColumn id="2" name="战士"/>
    <tableColumn id="3" name="法师"/>
    <tableColumn id="4" name="射手"/>
    <tableColumn id="5" name="辅助"/>
    <tableColumn id="6" name="控制"/>
    <tableColumn id="7" name="毒系"/>
    <tableColumn id="8" name="总和">
      <calculatedColumnFormula>SUM(E26:J26)</calculatedColumnFormula>
    </tableColumn>
  </tableColumns>
  <tableStyleInfo name="TableStylePreset3_Accent1" showFirstColumn="0" showLastColumn="0" showRowStripes="0" showColumnStripes="0"/>
</table>
</file>

<file path=xl/tables/table5.xml><?xml version="1.0" encoding="utf-8"?>
<table xmlns="http://schemas.openxmlformats.org/spreadsheetml/2006/main" id="6" name="抽卡概率" displayName="抽卡概率" ref="D33:U41" totalsRowShown="0">
  <tableColumns count="18">
    <tableColumn id="1" name="招募等级" dataDxfId="17"/>
    <tableColumn id="2" name="金币" dataDxfId="18">
      <calculatedColumnFormula>1-SUM(F34:M34)</calculatedColumnFormula>
    </tableColumn>
    <tableColumn id="3" name="灵感钥匙" dataDxfId="19">
      <calculatedColumnFormula>AVERAGE(F24:F33)</calculatedColumnFormula>
    </tableColumn>
    <tableColumn id="4" name="职业经验*25" dataDxfId="20">
      <calculatedColumnFormula>AVERAGE(G24:G33)</calculatedColumnFormula>
    </tableColumn>
    <tableColumn id="5" name="职业经验*50" dataDxfId="21">
      <calculatedColumnFormula>AVERAGE(H24:H33)</calculatedColumnFormula>
    </tableColumn>
    <tableColumn id="6" name="职业经验*100" dataDxfId="22">
      <calculatedColumnFormula>AVERAGE(I24:I33)</calculatedColumnFormula>
    </tableColumn>
    <tableColumn id="7" name="蓝卡" dataDxfId="23">
      <calculatedColumnFormula>AVERAGE(J24:J33)</calculatedColumnFormula>
    </tableColumn>
    <tableColumn id="8" name="紫卡" dataDxfId="24">
      <calculatedColumnFormula>AVERAGE(K24:K33)</calculatedColumnFormula>
    </tableColumn>
    <tableColumn id="9" name="橙卡" dataDxfId="25"/>
    <tableColumn id="10" name="红卡" dataDxfId="26">
      <calculatedColumnFormula>Sheet1!H4</calculatedColumnFormula>
    </tableColumn>
    <tableColumn id="11" name="升级经验" dataDxfId="27"/>
    <tableColumn id="19" name="列3" dataDxfId="28"/>
    <tableColumn id="13" name="小R" dataDxfId="29">
      <calculatedColumnFormula>MAX((SUM($N$34:$N34)-OFFSET($F$68,MATCH(P$33,$D$69:$D$72,0),0))/OFFSET($E$68,MATCH(P$33,$D$69:$D$72,0),0),1)</calculatedColumnFormula>
    </tableColumn>
    <tableColumn id="14" name="中R" dataDxfId="30">
      <calculatedColumnFormula>MAX((SUM($N$34:$N34)-OFFSET($F$68,MATCH(Q$33,$D$69:$D$72,0),0))/OFFSET($E$68,MATCH(Q$33,$D$69:$D$72,0),0),1)</calculatedColumnFormula>
    </tableColumn>
    <tableColumn id="15" name="大R" dataDxfId="31">
      <calculatedColumnFormula>MAX((SUM($N$34:$N34)-OFFSET($F$68,MATCH(R$33,$D$69:$D$72,0),0))/OFFSET($E$68,MATCH(R$33,$D$69:$D$72,0),0),1)</calculatedColumnFormula>
    </tableColumn>
    <tableColumn id="16" name="期望卡数量" dataDxfId="32"/>
    <tableColumn id="17" name="列1" dataDxfId="33">
      <calculatedColumnFormula>SUM($N$34:N34)</calculatedColumnFormula>
    </tableColumn>
    <tableColumn id="18" name="列2" dataDxfId="34">
      <calculatedColumnFormula>T33</calculatedColumnFormula>
    </tableColumn>
  </tableColumns>
  <tableStyleInfo name="TableStylePreset3_Accent1" showFirstColumn="0" showLastColumn="0" showRowStripes="0" showColumnStripes="0"/>
</table>
</file>

<file path=xl/tables/table6.xml><?xml version="1.0" encoding="utf-8"?>
<table xmlns="http://schemas.openxmlformats.org/spreadsheetml/2006/main" id="7" name="梦灵解锁预期" displayName="梦灵解锁预期" ref="D6:N30" totalsRowShown="0">
  <tableColumns count="11">
    <tableColumn id="1" name="招募阶段" dataDxfId="35"/>
    <tableColumn id="2" name="招募所需次数" dataDxfId="36"/>
    <tableColumn id="3" name="招募释放" dataDxfId="37"/>
    <tableColumn id="4" name="英雄品质" dataDxfId="38"/>
    <tableColumn id="5" name="非R" dataDxfId="39">
      <calculatedColumnFormula>MAX($E7-$F$69*MIN(D7/12,1),0)/$E$69</calculatedColumnFormula>
    </tableColumn>
    <tableColumn id="6" name="小R" dataDxfId="40">
      <calculatedColumnFormula>MAX($E7-$F$70,0)/$E$70</calculatedColumnFormula>
    </tableColumn>
    <tableColumn id="7" name="中R" dataDxfId="41">
      <calculatedColumnFormula>MAX($E7-$F$71,0)/$E$71</calculatedColumnFormula>
    </tableColumn>
    <tableColumn id="8" name="大R" dataDxfId="42">
      <calculatedColumnFormula>MAX($E7-$F$72,0)/$E$72</calculatedColumnFormula>
    </tableColumn>
    <tableColumn id="9" name="预期关卡" dataDxfId="43"/>
    <tableColumn id="10" name="预期" dataDxfId="44"/>
    <tableColumn id="11" name="id"/>
  </tableColumns>
  <tableStyleInfo name="TableStylePreset3_Accent1" showFirstColumn="0" showLastColumn="0" showRowStripes="0" showColumnStripes="0"/>
</table>
</file>

<file path=xl/tables/table7.xml><?xml version="1.0" encoding="utf-8"?>
<table xmlns="http://schemas.openxmlformats.org/spreadsheetml/2006/main" id="8" name="体力恢复" displayName="体力恢复" ref="D105:H117" totalsRowShown="0">
  <autoFilter xmlns:etc="http://www.wps.cn/officeDocument/2017/etCustomData" ref="D105:H117" etc:filterBottomFollowUsedRange="0"/>
  <tableColumns count="5">
    <tableColumn id="1" name="途径" dataDxfId="45"/>
    <tableColumn id="2" name="每日次数" dataDxfId="46"/>
    <tableColumn id="3" name="单次体力" dataDxfId="47"/>
    <tableColumn id="4" name="单项体力" dataDxfId="48">
      <calculatedColumnFormula>E106*F106</calculatedColumnFormula>
    </tableColumn>
    <tableColumn id="5" name="累计体力" dataDxfId="49">
      <calculatedColumnFormula>G106+H105</calculatedColumnFormula>
    </tableColumn>
  </tableColumns>
  <tableStyleInfo name="TableStylePreset3_Accent1" showFirstColumn="0" showLastColumn="0" showRowStripes="0" showColumnStripes="0"/>
</table>
</file>

<file path=xl/tables/table8.xml><?xml version="1.0" encoding="utf-8"?>
<table xmlns="http://schemas.openxmlformats.org/spreadsheetml/2006/main" id="1" name="梦灵产出表" displayName="梦灵产出表" ref="D68:F72" totalsRowShown="0">
  <tableColumns count="3">
    <tableColumn id="1" name="每日" dataDxfId="50"/>
    <tableColumn id="2" name="招募券" dataDxfId="51">
      <calculatedColumnFormula>$E$80+$E$81/7+$D$89+SUM($E$93:$E$97)+$I$101*$E$101+$L$121+$G$122+$H$122+$J$122+$E$138/30+SUM($E$123:$L$123)+SUM($E$124:$L$125)+$E$89+D73+D82</calculatedColumnFormula>
    </tableColumn>
    <tableColumn id="3" name="新服活动" dataDxfId="52">
      <calculatedColumnFormula>$D$130</calculatedColumnFormula>
    </tableColumn>
  </tableColumns>
  <tableStyleInfo name="TableStylePreset3_Accent2" showFirstColumn="0" showLastColumn="0" showRowStripes="0" showColumnStripes="0"/>
</table>
</file>

<file path=xl/tables/table9.xml><?xml version="1.0" encoding="utf-8"?>
<table xmlns="http://schemas.openxmlformats.org/spreadsheetml/2006/main" id="13" name="梦灵数量设定14" displayName="梦灵数量设定14" ref="D13:N19" totalsRowShown="0">
  <tableColumns count="11">
    <tableColumn id="1" name="梦灵品质" dataDxfId="55"/>
    <tableColumn id="3" name="战士" dataDxfId="56"/>
    <tableColumn id="4" name="法师" dataDxfId="57"/>
    <tableColumn id="5" name="射手" dataDxfId="58"/>
    <tableColumn id="6" name="辅助" dataDxfId="59"/>
    <tableColumn id="7" name="控制" dataDxfId="60"/>
    <tableColumn id="8" name="毒系" dataDxfId="61"/>
    <tableColumn id="2" name="召唤" dataDxfId="62"/>
    <tableColumn id="9" name="期望等级" dataDxfId="63"/>
    <tableColumn id="10" name="总消耗" dataDxfId="64"/>
    <tableColumn id="11" name="每日产出" dataDxfId="65"/>
  </tableColumns>
  <tableStyleInfo name="TableStylePreset3_Accent1" showFirstColumn="0" showLastColumn="0" showRowStripes="0" showColumnStripes="0"/>
</table>
</file>

<file path=xl/tables/table10.xml><?xml version="1.0" encoding="utf-8"?>
<table xmlns="http://schemas.openxmlformats.org/spreadsheetml/2006/main" id="4" name="梦灵经验产出" displayName="梦灵经验产出" ref="D409:F413" totalsRowShown="0">
  <tableColumns count="3">
    <tableColumn id="1" name="每日"/>
    <tableColumn id="2" name="经验值"/>
    <tableColumn id="3" name="新服活动" dataDxfId="66">
      <calculatedColumnFormula>E410</calculatedColumnFormula>
    </tableColumn>
  </tableColumns>
  <tableStyleInfo name="TableStylePreset3_Accent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8.xml"/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J24"/>
  <sheetViews>
    <sheetView workbookViewId="0">
      <selection activeCell="U3" sqref="U3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0">
      <c r="A1" s="182" t="s">
        <v>0</v>
      </c>
      <c r="B1" s="57"/>
      <c r="C1" s="182"/>
      <c r="D1" s="57"/>
      <c r="E1" s="57"/>
      <c r="F1" s="57"/>
      <c r="G1" s="57"/>
    </row>
    <row r="2" ht="18" spans="1:10">
      <c r="A2" s="183"/>
      <c r="B2" s="58"/>
      <c r="C2" s="172"/>
      <c r="D2" s="58"/>
      <c r="E2" s="58"/>
      <c r="F2" s="58"/>
      <c r="G2" s="58"/>
    </row>
    <row r="3" ht="18" spans="1:10">
      <c r="A3" s="184" t="s">
        <v>1</v>
      </c>
      <c r="B3" s="139"/>
      <c r="C3" s="184"/>
      <c r="D3" s="139"/>
      <c r="E3" s="139"/>
      <c r="F3" s="139"/>
      <c r="G3" s="139"/>
    </row>
    <row r="4" ht="18" spans="1:10">
      <c r="A4" s="183"/>
      <c r="B4" s="58"/>
      <c r="C4" s="172"/>
      <c r="D4" s="58"/>
      <c r="E4" s="58"/>
      <c r="F4" s="58"/>
      <c r="G4" s="58"/>
    </row>
    <row r="5" ht="18" spans="1:10">
      <c r="A5" s="183"/>
      <c r="B5" s="185"/>
      <c r="C5" s="172" t="s">
        <v>2</v>
      </c>
      <c r="D5" s="58"/>
      <c r="E5" s="58"/>
      <c r="F5" s="58"/>
      <c r="G5" s="58"/>
    </row>
    <row r="6" ht="18" spans="1:10">
      <c r="A6" s="183"/>
      <c r="B6" s="58"/>
      <c r="C6" s="58"/>
      <c r="D6" s="58" t="s">
        <v>3</v>
      </c>
      <c r="E6" s="58"/>
      <c r="F6" s="58"/>
      <c r="G6" s="58"/>
      <c r="H6" s="58"/>
      <c r="I6" s="58"/>
      <c r="J6" s="58"/>
    </row>
    <row r="7" ht="18" spans="1:10">
      <c r="A7" s="183"/>
      <c r="B7" s="58"/>
      <c r="C7" s="58"/>
      <c r="D7" s="58" t="s">
        <v>4</v>
      </c>
      <c r="E7" s="58"/>
      <c r="F7" s="58"/>
      <c r="G7" s="58"/>
      <c r="H7" s="58"/>
      <c r="I7" s="58"/>
      <c r="J7" s="58"/>
    </row>
    <row r="8" ht="18" spans="1:10">
      <c r="A8" s="183"/>
      <c r="B8" s="58"/>
      <c r="C8" s="58"/>
      <c r="D8" s="58" t="s">
        <v>5</v>
      </c>
      <c r="E8" s="58"/>
      <c r="F8" s="58"/>
      <c r="G8" s="58"/>
      <c r="H8" s="58"/>
      <c r="I8" s="58"/>
      <c r="J8" s="58"/>
    </row>
    <row r="9" ht="18" spans="1:10">
      <c r="A9" s="183"/>
      <c r="B9" s="58"/>
      <c r="C9" s="58"/>
      <c r="D9" s="58" t="s">
        <v>6</v>
      </c>
      <c r="E9" s="58"/>
      <c r="F9" s="58"/>
      <c r="G9" s="58"/>
      <c r="H9" s="58"/>
      <c r="I9" s="58"/>
      <c r="J9" s="58"/>
    </row>
    <row r="10" ht="18" spans="1:10">
      <c r="A10" s="183"/>
      <c r="B10" s="58"/>
      <c r="C10" s="58"/>
      <c r="D10" s="58"/>
      <c r="E10" s="58"/>
      <c r="F10" s="58"/>
      <c r="G10" s="58"/>
      <c r="H10" s="58"/>
      <c r="I10" s="58"/>
      <c r="J10" s="58"/>
    </row>
    <row r="11" ht="18" spans="1:10">
      <c r="A11" s="183"/>
      <c r="B11" s="185"/>
      <c r="C11" s="172" t="s">
        <v>7</v>
      </c>
      <c r="D11" s="58"/>
      <c r="E11" s="58"/>
      <c r="F11" s="58"/>
      <c r="G11" s="58"/>
      <c r="H11" s="58"/>
      <c r="I11" s="58"/>
      <c r="J11" s="58"/>
    </row>
    <row r="12" ht="18" spans="1:10">
      <c r="A12" s="183"/>
      <c r="B12" s="58"/>
      <c r="C12" s="58"/>
      <c r="D12" s="58" t="s">
        <v>8</v>
      </c>
      <c r="E12" s="58"/>
      <c r="F12" s="58"/>
      <c r="G12" s="58"/>
      <c r="H12" s="58"/>
      <c r="I12" s="58"/>
      <c r="J12" s="58"/>
    </row>
    <row r="13" ht="18" spans="1:10">
      <c r="A13" s="183"/>
      <c r="B13" s="58"/>
      <c r="C13" s="58"/>
      <c r="D13" s="58" t="s">
        <v>9</v>
      </c>
      <c r="E13" s="58"/>
      <c r="F13" s="58"/>
      <c r="G13" s="58"/>
      <c r="H13" s="58"/>
      <c r="I13" s="58"/>
      <c r="J13" s="58"/>
    </row>
    <row r="14" ht="18" spans="1:10">
      <c r="A14" s="183"/>
      <c r="B14" s="58"/>
      <c r="C14" s="58"/>
      <c r="D14" s="58" t="s">
        <v>10</v>
      </c>
      <c r="E14" s="58"/>
      <c r="F14" s="58"/>
      <c r="G14" s="58"/>
      <c r="H14" s="58"/>
      <c r="I14" s="58"/>
      <c r="J14" s="58"/>
    </row>
    <row r="15" ht="18" spans="1:10">
      <c r="A15" s="183"/>
      <c r="B15" s="58"/>
      <c r="C15" s="58"/>
      <c r="D15" s="58"/>
      <c r="E15" s="58"/>
      <c r="F15" s="58"/>
      <c r="G15" s="58"/>
      <c r="H15" s="58"/>
      <c r="I15" s="58"/>
      <c r="J15" s="58"/>
    </row>
    <row r="16" ht="18" spans="1:10">
      <c r="A16" s="183"/>
      <c r="B16" s="185"/>
      <c r="C16" s="172" t="s">
        <v>11</v>
      </c>
      <c r="D16" s="58"/>
      <c r="E16" s="58"/>
      <c r="F16" s="58"/>
      <c r="G16" s="58"/>
    </row>
    <row r="17" ht="18" spans="1:7">
      <c r="A17" s="183"/>
      <c r="B17" s="58"/>
      <c r="C17" s="172"/>
      <c r="D17" s="58"/>
      <c r="E17" s="58"/>
      <c r="F17" s="58"/>
      <c r="G17" s="58"/>
    </row>
    <row r="18" ht="18" spans="1:7">
      <c r="A18" s="183"/>
      <c r="B18" s="58"/>
      <c r="C18" s="172"/>
      <c r="D18" s="96" t="s">
        <v>12</v>
      </c>
      <c r="E18" s="96" t="s">
        <v>13</v>
      </c>
      <c r="F18" s="96" t="s">
        <v>14</v>
      </c>
      <c r="G18" s="58" t="s">
        <v>1</v>
      </c>
    </row>
    <row r="19" ht="18" spans="1:7">
      <c r="A19" s="183"/>
      <c r="B19" s="58"/>
      <c r="C19" s="172"/>
      <c r="D19" s="96" t="s">
        <v>15</v>
      </c>
      <c r="E19" s="96"/>
      <c r="F19" s="96"/>
      <c r="G19" s="58"/>
    </row>
    <row r="20" ht="18" spans="1:7">
      <c r="A20" s="183"/>
      <c r="B20" s="58"/>
      <c r="C20" s="172"/>
      <c r="D20" s="96" t="s">
        <v>16</v>
      </c>
      <c r="E20" s="96"/>
      <c r="F20" s="96"/>
      <c r="G20" s="58" t="s">
        <v>17</v>
      </c>
    </row>
    <row r="21" ht="18" spans="1:7">
      <c r="A21" s="183"/>
      <c r="B21" s="58"/>
      <c r="C21" s="172"/>
      <c r="D21" s="96"/>
      <c r="E21" s="96"/>
      <c r="F21" s="96"/>
      <c r="G21" s="58"/>
    </row>
    <row r="22" ht="18" spans="1:7">
      <c r="A22" s="183"/>
      <c r="B22" s="58"/>
      <c r="C22" s="172"/>
      <c r="D22" s="96"/>
      <c r="E22" s="96"/>
      <c r="F22" s="96"/>
      <c r="G22" s="58" t="s">
        <v>18</v>
      </c>
    </row>
    <row r="23" ht="18" spans="1:7">
      <c r="A23" s="183"/>
      <c r="B23" s="58"/>
      <c r="C23" s="172"/>
      <c r="D23" s="58"/>
      <c r="E23" s="58"/>
      <c r="F23" s="58"/>
      <c r="G23" s="58"/>
    </row>
    <row r="24" ht="18" spans="1:7">
      <c r="A24" s="182" t="s">
        <v>19</v>
      </c>
      <c r="B24" s="57"/>
      <c r="C24" s="182"/>
      <c r="D24" s="57"/>
      <c r="E24" s="57"/>
      <c r="F24" s="57"/>
      <c r="G24" s="5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L23"/>
  <sheetViews>
    <sheetView workbookViewId="0">
      <selection activeCell="K23" sqref="K23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6" width="13.4285714285714" customWidth="1"/>
    <col min="7" max="12" width="9.71428571428571" customWidth="1"/>
  </cols>
  <sheetData>
    <row r="1" ht="15.75" spans="1:12">
      <c r="A1" s="57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15.75" spans="1:12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  <c r="L2" s="58"/>
    </row>
    <row r="3" ht="18" spans="1:12">
      <c r="A3" s="60"/>
      <c r="B3" s="61"/>
      <c r="C3" s="172" t="s">
        <v>21</v>
      </c>
      <c r="D3" s="58"/>
      <c r="E3" s="58"/>
      <c r="F3" s="58"/>
      <c r="G3" s="58"/>
      <c r="H3" s="58"/>
      <c r="I3" s="58"/>
      <c r="J3" s="58"/>
      <c r="K3" s="58"/>
      <c r="L3" s="60"/>
    </row>
    <row r="4" ht="15.75" spans="1:12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  <c r="L4" s="60"/>
    </row>
    <row r="5" ht="15.75" spans="1:12">
      <c r="A5" s="58"/>
      <c r="B5" s="58"/>
      <c r="C5" s="59"/>
      <c r="D5" s="173" t="s">
        <v>22</v>
      </c>
      <c r="E5" s="96" t="s">
        <v>23</v>
      </c>
      <c r="F5" s="96" t="s">
        <v>24</v>
      </c>
      <c r="G5" s="96" t="s">
        <v>25</v>
      </c>
      <c r="H5" s="58"/>
    </row>
    <row r="6" ht="15.75" spans="1:12">
      <c r="A6" s="58"/>
      <c r="B6" s="58"/>
      <c r="C6" s="59"/>
      <c r="D6" s="174" t="s">
        <v>26</v>
      </c>
      <c r="E6" s="175">
        <v>4.2</v>
      </c>
      <c r="F6" s="175">
        <v>4.2</v>
      </c>
      <c r="G6" s="175">
        <v>9</v>
      </c>
      <c r="H6" s="58" t="s">
        <v>27</v>
      </c>
    </row>
    <row r="7" ht="15.75" spans="1:12">
      <c r="A7" s="58"/>
      <c r="B7" s="58"/>
      <c r="C7" s="59"/>
      <c r="D7" s="176"/>
      <c r="E7" s="71"/>
      <c r="F7" s="71"/>
      <c r="G7" s="71"/>
      <c r="H7" s="58"/>
      <c r="I7" s="58"/>
      <c r="J7" s="58"/>
      <c r="K7" s="58"/>
      <c r="L7" s="58"/>
    </row>
    <row r="8" ht="15.75" spans="1:12">
      <c r="A8" s="58"/>
      <c r="B8" s="58"/>
      <c r="C8" s="59"/>
      <c r="D8" s="176" t="s">
        <v>28</v>
      </c>
      <c r="E8" s="71"/>
      <c r="F8" s="71"/>
      <c r="G8" s="71"/>
      <c r="H8" s="58"/>
      <c r="I8" s="58"/>
      <c r="J8" s="58"/>
      <c r="K8" s="58"/>
      <c r="L8" s="58"/>
    </row>
    <row r="9" ht="15.75" spans="1:12">
      <c r="A9" s="58"/>
      <c r="B9" s="177"/>
      <c r="C9" s="178"/>
      <c r="D9" s="65" t="s">
        <v>2</v>
      </c>
      <c r="E9" s="66">
        <v>4.2</v>
      </c>
      <c r="F9" s="96">
        <v>420</v>
      </c>
      <c r="G9" s="96"/>
      <c r="H9" s="96"/>
      <c r="I9" s="96"/>
      <c r="J9" s="96"/>
      <c r="K9" s="96"/>
      <c r="L9" s="58" t="s">
        <v>27</v>
      </c>
    </row>
    <row r="10" ht="15.75" spans="1:12">
      <c r="A10" s="58"/>
      <c r="B10" s="179"/>
      <c r="C10" s="180"/>
      <c r="D10" s="65" t="s">
        <v>29</v>
      </c>
      <c r="E10" s="96"/>
      <c r="F10" s="96"/>
      <c r="G10" s="66">
        <v>9</v>
      </c>
      <c r="H10" s="96"/>
      <c r="I10" s="96"/>
      <c r="J10" s="96"/>
      <c r="K10" s="96"/>
      <c r="L10" s="58" t="s">
        <v>30</v>
      </c>
    </row>
    <row r="11" ht="15.75" spans="1:12">
      <c r="A11" s="58"/>
      <c r="B11" s="179"/>
      <c r="C11" s="180"/>
      <c r="D11" s="65"/>
      <c r="E11" s="96"/>
      <c r="F11" s="96"/>
      <c r="G11" s="66"/>
      <c r="H11" s="96"/>
      <c r="I11" s="96"/>
      <c r="J11" s="96"/>
      <c r="K11" s="96"/>
      <c r="L11" s="58"/>
    </row>
    <row r="12" ht="15.75" spans="1:12">
      <c r="A12" s="58"/>
      <c r="B12" s="179"/>
      <c r="C12" s="180"/>
      <c r="D12" s="65"/>
      <c r="E12" s="96"/>
      <c r="F12" s="96"/>
      <c r="G12" s="96"/>
      <c r="H12" s="96"/>
      <c r="I12" s="96"/>
      <c r="J12" s="96"/>
      <c r="K12" s="96"/>
      <c r="L12" s="58"/>
    </row>
    <row r="13" ht="15.75" spans="1:12">
      <c r="A13" s="58"/>
      <c r="B13" s="179"/>
      <c r="C13" s="180"/>
      <c r="D13" s="181"/>
      <c r="E13" s="58"/>
      <c r="F13" s="58"/>
      <c r="G13" s="58"/>
      <c r="H13" s="71"/>
      <c r="I13" s="71"/>
      <c r="J13" s="71"/>
      <c r="K13" s="71"/>
      <c r="L13" s="58"/>
    </row>
    <row r="14" ht="15.75" spans="1:12">
      <c r="A14" s="58"/>
      <c r="B14" s="179"/>
      <c r="C14" s="180"/>
      <c r="D14" s="181"/>
      <c r="E14" s="58"/>
      <c r="F14" s="58"/>
      <c r="G14" s="58"/>
      <c r="H14" s="71"/>
      <c r="I14" s="71"/>
      <c r="J14" s="71"/>
      <c r="K14" s="71"/>
      <c r="L14" s="58"/>
    </row>
    <row r="15" ht="15.75" spans="1:12">
      <c r="A15" s="58"/>
      <c r="B15" s="179"/>
      <c r="C15" s="180"/>
      <c r="D15" s="181"/>
      <c r="E15" s="58"/>
      <c r="F15" s="58"/>
      <c r="G15" s="58"/>
      <c r="H15" s="71"/>
      <c r="I15" s="71"/>
      <c r="J15" s="71"/>
      <c r="K15" s="71"/>
      <c r="L15" s="58"/>
    </row>
    <row r="16" ht="15.75" spans="1:12">
      <c r="A16" s="58"/>
      <c r="B16" s="179"/>
      <c r="C16" s="180"/>
      <c r="D16" s="181"/>
      <c r="E16" s="58"/>
      <c r="F16" s="58"/>
      <c r="G16" s="58"/>
      <c r="H16" s="71"/>
      <c r="I16" s="71"/>
      <c r="J16" s="71"/>
      <c r="K16" s="71"/>
      <c r="L16" s="58"/>
    </row>
    <row r="17" ht="15.75" spans="1:12">
      <c r="A17" s="58"/>
      <c r="B17" s="179"/>
      <c r="C17" s="180"/>
      <c r="D17" s="181"/>
      <c r="E17" s="58"/>
      <c r="F17" s="58"/>
      <c r="G17" s="58"/>
      <c r="H17" s="71"/>
      <c r="I17" s="71"/>
      <c r="J17" s="71"/>
      <c r="K17" s="71"/>
      <c r="L17" s="58"/>
    </row>
    <row r="18" ht="15.75" spans="1:12">
      <c r="A18" s="58"/>
      <c r="B18" s="179"/>
      <c r="C18" s="180"/>
      <c r="D18" s="181"/>
      <c r="E18" s="58"/>
      <c r="F18" s="58"/>
      <c r="G18" s="58"/>
      <c r="H18" s="71"/>
      <c r="I18" s="71"/>
      <c r="J18" s="71"/>
      <c r="K18" s="71"/>
      <c r="L18" s="58"/>
    </row>
    <row r="19" ht="15.75" spans="1:12">
      <c r="A19" s="58"/>
      <c r="B19" s="179"/>
      <c r="C19" s="180"/>
      <c r="D19" s="181"/>
      <c r="E19" s="58"/>
      <c r="F19" s="58"/>
      <c r="G19" s="58"/>
      <c r="H19" s="71"/>
      <c r="I19" s="71"/>
      <c r="J19" s="71"/>
      <c r="K19" s="71"/>
      <c r="L19" s="58"/>
    </row>
    <row r="20" ht="15.75" spans="1:12">
      <c r="A20" s="58"/>
      <c r="B20" s="179"/>
      <c r="C20" s="180"/>
      <c r="D20" s="181"/>
      <c r="E20" s="58"/>
      <c r="F20" s="58"/>
      <c r="G20" s="58"/>
      <c r="H20" s="71"/>
      <c r="I20" s="71"/>
      <c r="J20" s="71"/>
      <c r="K20" s="71"/>
      <c r="L20" s="58"/>
    </row>
    <row r="21" ht="15.75" spans="1:12">
      <c r="A21" s="58"/>
      <c r="B21" s="179"/>
      <c r="C21" s="180"/>
      <c r="D21" s="181"/>
      <c r="E21" s="58"/>
      <c r="F21" s="58"/>
      <c r="G21" s="58"/>
      <c r="H21" s="71"/>
      <c r="I21" s="71"/>
      <c r="J21" s="71"/>
      <c r="K21" s="71"/>
      <c r="L21" s="58"/>
    </row>
    <row r="22" ht="15.75" spans="1:12">
      <c r="A22" s="58"/>
      <c r="B22" s="58"/>
      <c r="C22" s="59"/>
      <c r="D22" s="58"/>
      <c r="E22" s="58"/>
      <c r="F22" s="58"/>
      <c r="G22" s="58"/>
      <c r="H22" s="58"/>
      <c r="I22" s="58"/>
      <c r="J22" s="58"/>
      <c r="K22" s="58"/>
      <c r="L22" s="58"/>
    </row>
    <row r="23" ht="15.75" spans="1:12">
      <c r="A23" s="57" t="s">
        <v>19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梦灵升星">
    <tabColor rgb="FFFFFFFF"/>
  </sheetPr>
  <dimension ref="A1:AD260"/>
  <sheetViews>
    <sheetView showGridLines="0" zoomScale="115" zoomScaleNormal="115" topLeftCell="A38" workbookViewId="0">
      <selection activeCell="N55" sqref="N55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14" customWidth="1"/>
    <col min="5" max="5" width="13" customWidth="1"/>
    <col min="6" max="6" width="13.5714285714286" customWidth="1"/>
    <col min="7" max="7" width="14.2857142857143" customWidth="1"/>
    <col min="8" max="8" width="13.7142857142857" customWidth="1"/>
    <col min="9" max="10" width="14.1428571428571" customWidth="1"/>
    <col min="11" max="11" width="13.5714285714286" customWidth="1"/>
    <col min="12" max="12" width="11.8571428571429" customWidth="1"/>
    <col min="13" max="28" width="9.14285714285714" customWidth="1"/>
    <col min="29" max="29" width="16" customWidth="1"/>
    <col min="30" max="30" width="12.8571428571429"/>
    <col min="31" max="33" width="16" customWidth="1"/>
    <col min="34" max="34" width="18.5714285714286" customWidth="1"/>
    <col min="35" max="35" width="10.8571428571429" customWidth="1"/>
    <col min="36" max="36" width="16" customWidth="1"/>
    <col min="37" max="37" width="13.4285714285714" customWidth="1"/>
  </cols>
  <sheetData>
    <row r="1" ht="15.75" spans="1:13">
      <c r="A1" s="57" t="s">
        <v>31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ht="15.75" spans="1:13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ht="15.75" spans="1:13">
      <c r="A3" s="60"/>
      <c r="B3" s="61"/>
      <c r="C3" s="62" t="s">
        <v>21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ht="15.75" spans="1:13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ht="15.75" spans="1:13">
      <c r="A5" s="58"/>
      <c r="B5" s="58"/>
      <c r="C5" s="59"/>
      <c r="D5" s="64" t="s">
        <v>22</v>
      </c>
      <c r="E5" s="64" t="s">
        <v>23</v>
      </c>
      <c r="F5" s="64" t="s">
        <v>24</v>
      </c>
      <c r="G5" s="58"/>
      <c r="H5" s="58"/>
      <c r="I5" s="58"/>
      <c r="J5" s="58"/>
      <c r="K5" s="58"/>
      <c r="L5" s="58"/>
    </row>
    <row r="6" ht="15.75" spans="1:13">
      <c r="A6" s="58"/>
      <c r="B6" s="58"/>
      <c r="C6" s="59"/>
      <c r="D6" s="65" t="s">
        <v>32</v>
      </c>
      <c r="E6" s="66">
        <v>4.2</v>
      </c>
      <c r="F6" s="66">
        <v>4.2</v>
      </c>
      <c r="G6" s="58"/>
      <c r="H6" s="58"/>
      <c r="I6" s="58"/>
      <c r="J6" s="58"/>
      <c r="K6" s="58"/>
      <c r="L6" s="58"/>
    </row>
    <row r="7" ht="15.75" spans="1:13">
      <c r="A7" s="58"/>
      <c r="B7" s="58"/>
      <c r="C7" s="59"/>
      <c r="D7" s="58"/>
      <c r="E7" s="58"/>
      <c r="F7" s="58"/>
      <c r="G7" s="58"/>
      <c r="H7" s="58"/>
      <c r="K7" s="58"/>
      <c r="L7" s="58"/>
      <c r="M7" s="58"/>
    </row>
    <row r="8" ht="15.75" spans="1:13">
      <c r="A8" s="60"/>
      <c r="B8" s="61"/>
      <c r="C8" s="62" t="s">
        <v>33</v>
      </c>
      <c r="D8" s="58"/>
      <c r="E8" s="58"/>
      <c r="F8" s="58"/>
      <c r="G8" s="58"/>
      <c r="H8" s="58"/>
      <c r="K8" s="58"/>
      <c r="L8" s="58"/>
      <c r="M8" s="58"/>
    </row>
    <row r="9" ht="15.75" spans="1:13">
      <c r="A9" s="58"/>
      <c r="B9" s="58"/>
      <c r="C9" s="59"/>
      <c r="D9" s="58"/>
      <c r="E9" s="58"/>
      <c r="F9" s="58"/>
      <c r="G9" s="58"/>
      <c r="H9" s="58"/>
      <c r="K9" s="58"/>
      <c r="L9" s="58"/>
      <c r="M9" s="58"/>
    </row>
    <row r="10" ht="15.75" spans="1:13">
      <c r="A10" s="58"/>
      <c r="B10" s="58"/>
      <c r="C10" s="59"/>
      <c r="D10" s="71" t="s">
        <v>34</v>
      </c>
      <c r="E10" s="71"/>
      <c r="F10" s="58"/>
      <c r="G10" s="58"/>
      <c r="H10" s="58"/>
      <c r="K10" s="58"/>
      <c r="L10" s="58"/>
      <c r="M10" s="58"/>
    </row>
    <row r="11" ht="15.75" spans="1:13">
      <c r="A11" s="58"/>
      <c r="B11" s="58"/>
      <c r="C11" s="59"/>
      <c r="D11" s="71" t="s">
        <v>35</v>
      </c>
      <c r="E11" s="71">
        <v>180</v>
      </c>
      <c r="F11" s="58" t="s">
        <v>36</v>
      </c>
      <c r="G11" s="58"/>
      <c r="H11" s="58"/>
      <c r="I11" s="58"/>
      <c r="J11" s="58"/>
      <c r="K11" s="58"/>
      <c r="L11" s="58"/>
      <c r="M11" s="58"/>
    </row>
    <row r="12" ht="15.75" spans="1:13">
      <c r="A12" s="58"/>
      <c r="B12" s="58"/>
      <c r="C12" s="59"/>
      <c r="D12" s="71" t="s">
        <v>37</v>
      </c>
      <c r="E12" s="71">
        <v>240000</v>
      </c>
      <c r="F12" s="58" t="s">
        <v>36</v>
      </c>
      <c r="G12" s="58"/>
      <c r="H12" s="58"/>
      <c r="I12" s="58"/>
      <c r="J12" s="58"/>
      <c r="K12" s="58"/>
      <c r="L12" s="58"/>
      <c r="M12" s="58"/>
    </row>
    <row r="13" ht="15.75" spans="1:13">
      <c r="A13" s="58"/>
      <c r="B13" s="58"/>
      <c r="C13" s="59"/>
      <c r="D13" s="71" t="s">
        <v>38</v>
      </c>
      <c r="E13" s="71">
        <f>40*46+18*24</f>
        <v>2272</v>
      </c>
      <c r="F13" s="58"/>
      <c r="G13" s="58"/>
      <c r="H13" s="58"/>
      <c r="I13" s="58"/>
      <c r="J13" s="58"/>
      <c r="K13" s="58"/>
      <c r="L13" s="58"/>
      <c r="M13" s="58"/>
    </row>
    <row r="14" ht="15.75" spans="1:13">
      <c r="A14" s="58"/>
      <c r="B14" s="58"/>
      <c r="C14" s="59"/>
      <c r="D14" s="71"/>
      <c r="E14" s="71"/>
      <c r="F14" s="58"/>
      <c r="G14" s="58"/>
      <c r="H14" s="58"/>
      <c r="I14" s="58"/>
      <c r="J14" s="58"/>
      <c r="K14" s="58"/>
      <c r="L14" s="58"/>
      <c r="M14" s="58"/>
    </row>
    <row r="15" ht="15.75" spans="1:13">
      <c r="A15" s="58"/>
      <c r="B15" s="58"/>
      <c r="C15" s="59"/>
      <c r="D15" s="71"/>
      <c r="E15" s="71"/>
      <c r="F15" s="58"/>
      <c r="G15" s="58"/>
      <c r="H15" s="58"/>
      <c r="I15" s="58"/>
      <c r="J15" s="58"/>
      <c r="K15" s="58"/>
      <c r="L15" s="58"/>
      <c r="M15" s="58"/>
    </row>
    <row r="16" ht="15.75" spans="1:13">
      <c r="A16" s="58"/>
      <c r="B16" s="58"/>
      <c r="C16" s="59"/>
      <c r="D16" s="71" t="s">
        <v>39</v>
      </c>
      <c r="E16" s="71" t="s">
        <v>40</v>
      </c>
      <c r="F16" s="58"/>
      <c r="G16" s="58"/>
      <c r="H16" s="58"/>
      <c r="I16" s="58"/>
      <c r="J16" s="58"/>
      <c r="K16" s="58"/>
      <c r="L16" s="58"/>
      <c r="M16" s="58"/>
    </row>
    <row r="17" ht="15.75" spans="1:13">
      <c r="A17" s="58"/>
      <c r="B17" s="58"/>
      <c r="C17" s="59"/>
      <c r="D17" s="71" t="s">
        <v>41</v>
      </c>
      <c r="E17" s="71">
        <v>600</v>
      </c>
      <c r="F17" s="58"/>
      <c r="G17" s="58"/>
      <c r="H17" s="58"/>
      <c r="I17" s="58"/>
      <c r="J17" s="58"/>
      <c r="K17" s="58"/>
      <c r="L17" s="58"/>
      <c r="M17" s="58"/>
    </row>
    <row r="18" ht="15.75" spans="1:13">
      <c r="A18" s="58"/>
      <c r="B18" s="58"/>
      <c r="C18" s="59"/>
      <c r="D18" s="71" t="s">
        <v>42</v>
      </c>
      <c r="E18" s="71">
        <v>1200</v>
      </c>
      <c r="F18" s="58"/>
      <c r="G18" s="58"/>
      <c r="H18" s="58"/>
      <c r="I18" s="58"/>
      <c r="J18" s="58"/>
      <c r="K18" s="58"/>
      <c r="L18" s="58"/>
      <c r="M18" s="58"/>
    </row>
    <row r="19" ht="15.75" spans="1:13">
      <c r="A19" s="58"/>
      <c r="B19" s="58"/>
      <c r="C19" s="59"/>
      <c r="D19" s="71" t="s">
        <v>43</v>
      </c>
      <c r="E19" s="71">
        <v>2400</v>
      </c>
      <c r="F19" s="58"/>
      <c r="G19" s="58"/>
      <c r="H19" s="58"/>
      <c r="I19" s="58"/>
      <c r="J19" s="58"/>
      <c r="K19" s="58"/>
      <c r="L19" s="58"/>
      <c r="M19" s="58"/>
    </row>
    <row r="20" ht="15.75" spans="1:13">
      <c r="A20" s="58"/>
      <c r="B20" s="58"/>
      <c r="C20" s="59"/>
      <c r="D20" s="71" t="s">
        <v>44</v>
      </c>
      <c r="E20" s="71">
        <v>4800</v>
      </c>
      <c r="F20" s="58"/>
      <c r="G20" s="58"/>
      <c r="H20" s="58"/>
      <c r="I20" s="58"/>
      <c r="J20" s="58"/>
      <c r="K20" s="58"/>
      <c r="L20" s="58"/>
      <c r="M20" s="58"/>
    </row>
    <row r="21" ht="15.75" spans="1:13">
      <c r="A21" s="58"/>
      <c r="B21" s="58"/>
      <c r="C21" s="59"/>
      <c r="D21" s="71"/>
      <c r="E21" s="71"/>
      <c r="F21" s="58"/>
      <c r="G21" s="58"/>
      <c r="H21" s="58"/>
      <c r="I21" s="58"/>
      <c r="J21" s="58"/>
      <c r="K21" s="58"/>
      <c r="L21" s="58"/>
      <c r="M21" s="58"/>
    </row>
    <row r="22" ht="15.75" spans="1:13">
      <c r="A22" s="58"/>
      <c r="B22" s="58"/>
      <c r="C22" s="59"/>
      <c r="D22" s="71"/>
      <c r="E22" s="71"/>
      <c r="F22" s="58"/>
      <c r="G22" s="58"/>
      <c r="H22" s="58"/>
      <c r="I22" s="58"/>
      <c r="J22" s="58"/>
      <c r="K22" s="58"/>
      <c r="L22" s="58"/>
      <c r="M22" s="58"/>
    </row>
    <row r="23" ht="15.75" spans="1:13">
      <c r="A23" s="58"/>
      <c r="B23" s="61"/>
      <c r="C23" s="62" t="s">
        <v>45</v>
      </c>
      <c r="D23" s="58"/>
      <c r="E23" s="71"/>
      <c r="F23" s="58"/>
      <c r="G23" s="58"/>
      <c r="H23" s="58"/>
      <c r="I23" s="58"/>
      <c r="J23" s="58"/>
      <c r="K23" s="58"/>
      <c r="L23" s="58"/>
      <c r="M23" s="58"/>
    </row>
    <row r="24" ht="15.75" spans="1:13">
      <c r="A24" s="58"/>
      <c r="B24" s="58"/>
      <c r="C24" s="59"/>
      <c r="D24" s="71"/>
      <c r="E24" s="71" t="s">
        <v>46</v>
      </c>
      <c r="F24" s="58"/>
      <c r="G24" s="58"/>
      <c r="H24" s="58"/>
      <c r="I24" s="58"/>
      <c r="J24" s="58"/>
      <c r="K24" s="58"/>
      <c r="L24" s="58"/>
      <c r="M24" s="58"/>
    </row>
    <row r="25" ht="15.75" spans="1:13">
      <c r="A25" s="58"/>
      <c r="B25" s="58"/>
      <c r="C25" s="59"/>
      <c r="D25" s="64" t="s">
        <v>47</v>
      </c>
      <c r="E25" s="64" t="s">
        <v>48</v>
      </c>
      <c r="F25" s="64" t="s">
        <v>49</v>
      </c>
      <c r="G25" s="64" t="s">
        <v>50</v>
      </c>
      <c r="H25" s="64" t="s">
        <v>51</v>
      </c>
      <c r="I25" s="64" t="s">
        <v>52</v>
      </c>
      <c r="J25" s="64" t="s">
        <v>53</v>
      </c>
      <c r="K25" s="64" t="s">
        <v>54</v>
      </c>
      <c r="L25" s="58"/>
      <c r="M25" s="58"/>
    </row>
    <row r="26" ht="15.75" spans="1:13">
      <c r="A26" s="58"/>
      <c r="B26" s="58"/>
      <c r="C26" s="59"/>
      <c r="D26" s="71" t="s">
        <v>55</v>
      </c>
      <c r="E26" s="71"/>
      <c r="F26" s="71">
        <v>1</v>
      </c>
      <c r="G26" s="71">
        <v>1</v>
      </c>
      <c r="H26" s="71">
        <v>1</v>
      </c>
      <c r="I26" s="71"/>
      <c r="J26" s="71"/>
      <c r="K26" s="71">
        <f>SUM(E26:J26)</f>
        <v>3</v>
      </c>
      <c r="L26" s="58"/>
      <c r="M26" s="58"/>
    </row>
    <row r="27" ht="15.75" spans="1:13">
      <c r="A27" s="58"/>
      <c r="B27" s="58"/>
      <c r="C27" s="59"/>
      <c r="D27" s="71" t="s">
        <v>56</v>
      </c>
      <c r="E27" s="71">
        <v>2</v>
      </c>
      <c r="F27" s="71">
        <v>1</v>
      </c>
      <c r="G27" s="71">
        <v>1</v>
      </c>
      <c r="H27" s="71">
        <v>1</v>
      </c>
      <c r="I27" s="71"/>
      <c r="J27" s="71">
        <v>1</v>
      </c>
      <c r="K27" s="71">
        <f>SUM(E27:J27)</f>
        <v>6</v>
      </c>
      <c r="L27" s="58"/>
      <c r="M27" s="58"/>
    </row>
    <row r="28" ht="15.75" spans="1:13">
      <c r="A28" s="58"/>
      <c r="B28" s="58"/>
      <c r="C28" s="59"/>
      <c r="D28" s="71" t="s">
        <v>57</v>
      </c>
      <c r="E28" s="71">
        <v>1</v>
      </c>
      <c r="F28" s="71">
        <v>1</v>
      </c>
      <c r="G28" s="71">
        <v>1</v>
      </c>
      <c r="H28" s="71">
        <v>1</v>
      </c>
      <c r="I28" s="71">
        <v>1</v>
      </c>
      <c r="J28" s="71">
        <v>1</v>
      </c>
      <c r="K28" s="71">
        <f>SUM(E28:J28)</f>
        <v>6</v>
      </c>
      <c r="L28" s="58"/>
      <c r="M28" s="58"/>
    </row>
    <row r="29" ht="15.75" spans="1:13">
      <c r="A29" s="58"/>
      <c r="B29" s="58"/>
      <c r="C29" s="59"/>
      <c r="D29" s="71" t="s">
        <v>58</v>
      </c>
      <c r="E29" s="71">
        <v>1</v>
      </c>
      <c r="F29" s="71">
        <v>1</v>
      </c>
      <c r="G29" s="71">
        <v>1</v>
      </c>
      <c r="H29" s="71">
        <v>1</v>
      </c>
      <c r="I29" s="71">
        <v>1</v>
      </c>
      <c r="J29" s="71">
        <v>1</v>
      </c>
      <c r="K29" s="71">
        <f>SUM(E29:J29)</f>
        <v>6</v>
      </c>
      <c r="L29" s="58"/>
      <c r="M29" s="58"/>
    </row>
    <row r="30" ht="15.75" spans="1:13">
      <c r="A30" s="58"/>
      <c r="B30" s="58"/>
      <c r="C30" s="59"/>
      <c r="D30" s="71"/>
      <c r="E30" s="71"/>
      <c r="F30" s="58"/>
      <c r="G30" s="58"/>
      <c r="H30" s="58"/>
      <c r="I30" s="58"/>
      <c r="J30" s="58"/>
      <c r="K30" s="58"/>
      <c r="L30" s="58"/>
      <c r="M30" s="58"/>
    </row>
    <row r="31" ht="15.75" spans="1:13">
      <c r="A31" s="58"/>
      <c r="B31" s="58"/>
      <c r="C31" s="59"/>
      <c r="D31" s="71"/>
      <c r="E31" s="71"/>
      <c r="F31" s="58"/>
      <c r="G31" s="58"/>
      <c r="H31" s="58"/>
      <c r="I31" s="58"/>
      <c r="J31" s="58"/>
      <c r="K31" s="58"/>
      <c r="L31" s="58"/>
      <c r="M31" s="58"/>
    </row>
    <row r="32" ht="15.75" spans="1:13">
      <c r="A32" s="58"/>
      <c r="B32" s="58"/>
      <c r="C32" s="59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ht="15.75" spans="1:16">
      <c r="A33" s="139" t="s">
        <v>59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ht="15.75" spans="1:16">
      <c r="A34" s="58"/>
      <c r="B34" s="58"/>
      <c r="C34" s="59"/>
      <c r="D34" s="58"/>
      <c r="E34" s="58"/>
      <c r="F34" s="58"/>
      <c r="G34" s="58"/>
      <c r="H34" s="58"/>
      <c r="I34" s="58"/>
      <c r="J34" s="58"/>
      <c r="K34" s="58"/>
      <c r="L34" s="58"/>
      <c r="M34" s="58"/>
    </row>
    <row r="35" ht="15.75" spans="1:16">
      <c r="A35" s="60"/>
      <c r="B35" s="61"/>
      <c r="C35" s="62" t="s">
        <v>60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ht="15.75" spans="1:16">
      <c r="A36" s="60"/>
      <c r="B36" s="58"/>
      <c r="C36" s="62"/>
      <c r="D36" s="58" t="s">
        <v>61</v>
      </c>
      <c r="E36" s="58"/>
      <c r="F36" s="58"/>
      <c r="G36" s="58"/>
      <c r="H36" s="58"/>
      <c r="I36" s="58"/>
      <c r="J36" s="58"/>
      <c r="K36" s="58"/>
      <c r="L36" s="58"/>
      <c r="M36" s="58"/>
    </row>
    <row r="37" ht="15.75" spans="1:16">
      <c r="A37" s="60"/>
      <c r="B37" s="58"/>
      <c r="C37" s="62"/>
      <c r="D37" s="64" t="s">
        <v>62</v>
      </c>
      <c r="E37" s="140" t="s">
        <v>63</v>
      </c>
      <c r="F37" s="64" t="s">
        <v>62</v>
      </c>
      <c r="G37" s="64" t="s">
        <v>64</v>
      </c>
      <c r="H37" s="64" t="s">
        <v>65</v>
      </c>
      <c r="I37" s="64" t="s">
        <v>66</v>
      </c>
      <c r="J37" s="64" t="s">
        <v>67</v>
      </c>
      <c r="K37" s="64" t="s">
        <v>68</v>
      </c>
      <c r="L37" s="64" t="s">
        <v>69</v>
      </c>
      <c r="M37" s="64" t="s">
        <v>70</v>
      </c>
      <c r="N37" s="64" t="s">
        <v>71</v>
      </c>
    </row>
    <row r="38" ht="16.5" spans="1:16">
      <c r="A38" s="60"/>
      <c r="B38" s="58"/>
      <c r="C38" s="62"/>
      <c r="D38" s="141" t="s">
        <v>55</v>
      </c>
      <c r="E38" s="141">
        <v>0.04</v>
      </c>
      <c r="F38" s="142">
        <v>3</v>
      </c>
      <c r="G38" s="141"/>
      <c r="H38" s="141"/>
      <c r="I38" s="141">
        <v>0.7</v>
      </c>
      <c r="J38" s="142">
        <f>SUMIFS($J$56:$J$255,$D$56:$D$255,D38,$E$56:$E$255,"&lt;"&amp;E46)/10</f>
        <v>2134</v>
      </c>
      <c r="K38" s="142">
        <v>60</v>
      </c>
      <c r="L38" s="143">
        <f>梦灵本体产出!$J$41*梦灵本体产出!$E$69*$K38</f>
        <v>1643.61374800956</v>
      </c>
      <c r="M38" s="143">
        <v>60</v>
      </c>
      <c r="N38" s="144">
        <f>M38*L38</f>
        <v>98616.8248805734</v>
      </c>
      <c r="P38">
        <v>1</v>
      </c>
    </row>
    <row r="39" ht="16.5" spans="1:16">
      <c r="A39" s="60"/>
      <c r="B39" s="58"/>
      <c r="C39" s="62"/>
      <c r="D39" s="141" t="s">
        <v>56</v>
      </c>
      <c r="E39" s="141">
        <v>0.05</v>
      </c>
      <c r="F39" s="142">
        <v>4</v>
      </c>
      <c r="G39" s="142">
        <v>60</v>
      </c>
      <c r="H39" s="142">
        <v>600</v>
      </c>
      <c r="I39" s="141">
        <v>0.8</v>
      </c>
      <c r="J39" s="142">
        <f>SUMIFS($J$56:$J$255,$D$56:$D$255,D39,$E$56:$E$255,"&lt;"&amp;E47)/10</f>
        <v>874</v>
      </c>
      <c r="K39" s="142">
        <v>60</v>
      </c>
      <c r="L39" s="143">
        <f>梦灵本体产出!$K$41*梦灵本体产出!$E$69*$K39</f>
        <v>975.183673469388</v>
      </c>
      <c r="M39" s="143">
        <v>120</v>
      </c>
      <c r="N39" s="144">
        <f>M39*L39</f>
        <v>117022.040816327</v>
      </c>
      <c r="P39">
        <v>1.2</v>
      </c>
    </row>
    <row r="40" ht="16.5" spans="1:16">
      <c r="A40" s="60"/>
      <c r="B40" s="58"/>
      <c r="C40" s="62"/>
      <c r="D40" s="141" t="s">
        <v>57</v>
      </c>
      <c r="E40" s="141">
        <v>0.06</v>
      </c>
      <c r="F40" s="142">
        <v>5</v>
      </c>
      <c r="G40" s="142">
        <v>120</v>
      </c>
      <c r="H40" s="142">
        <v>1200</v>
      </c>
      <c r="I40" s="141">
        <v>1.05</v>
      </c>
      <c r="J40" s="142">
        <f>SUMIFS($J$56:$J$255,$D$56:$D$255,D40,$E$56:$E$255,"&lt;"&amp;E48)/10</f>
        <v>244</v>
      </c>
      <c r="K40" s="142">
        <v>60</v>
      </c>
      <c r="L40" s="143">
        <f>梦灵本体产出!$L$41*梦灵本体产出!$E$69*$K40</f>
        <v>744.685714285714</v>
      </c>
      <c r="M40" s="143">
        <v>240</v>
      </c>
      <c r="N40" s="144">
        <f>M40*L40</f>
        <v>178724.571428571</v>
      </c>
      <c r="P40">
        <f>P38*1.2*1.2</f>
        <v>1.44</v>
      </c>
    </row>
    <row r="41" ht="16.5" spans="1:16">
      <c r="A41" s="60"/>
      <c r="B41" s="58"/>
      <c r="C41" s="62"/>
      <c r="D41" s="141" t="s">
        <v>58</v>
      </c>
      <c r="E41" s="141">
        <v>0.1</v>
      </c>
      <c r="F41" s="142">
        <v>6</v>
      </c>
      <c r="G41" s="142">
        <v>180</v>
      </c>
      <c r="H41" s="142">
        <v>1800</v>
      </c>
      <c r="I41" s="141">
        <v>1.4</v>
      </c>
      <c r="J41" s="142">
        <f>SUMIFS($J$56:$J$255,$D$56:$D$255,D41,$E$56:$E$255,"&lt;"&amp;E49)/10</f>
        <v>184</v>
      </c>
      <c r="K41" s="142">
        <v>60</v>
      </c>
      <c r="L41" s="143">
        <f>梦灵本体产出!$M$41*梦灵本体产出!$E$69*$K41</f>
        <v>282.080134946075</v>
      </c>
      <c r="M41" s="143">
        <v>480</v>
      </c>
      <c r="N41" s="144">
        <f>M41*L41</f>
        <v>135398.464774116</v>
      </c>
      <c r="P41">
        <f>P38*1.2^3</f>
        <v>1.728</v>
      </c>
    </row>
    <row r="42" ht="16.5" spans="1:16">
      <c r="A42" s="60"/>
      <c r="B42" s="58"/>
      <c r="C42" s="62"/>
      <c r="D42" s="141" t="s">
        <v>72</v>
      </c>
      <c r="E42" s="141">
        <v>0.14</v>
      </c>
      <c r="F42" s="142">
        <v>7</v>
      </c>
      <c r="G42" s="142">
        <v>240</v>
      </c>
      <c r="H42" s="142">
        <v>2400</v>
      </c>
      <c r="I42" s="141">
        <v>1.6</v>
      </c>
      <c r="J42" s="142">
        <f>SUMIFS($J$56:$J$255,$D$56:$D$255,D42,$E$56:$E$255,"&lt;"&amp;E50)/10</f>
        <v>0</v>
      </c>
      <c r="K42" s="142">
        <v>60</v>
      </c>
      <c r="L42" s="142"/>
      <c r="M42" s="142">
        <v>960</v>
      </c>
      <c r="N42" s="144">
        <f>M42*L42</f>
        <v>0</v>
      </c>
      <c r="P42">
        <f>P39*1.2^4</f>
        <v>2.48832</v>
      </c>
    </row>
    <row r="43" ht="15.75" spans="1:16">
      <c r="A43" s="60"/>
      <c r="B43" s="58"/>
      <c r="C43" s="62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cm="1">
        <f t="array" ref="N43">SUMPRODUCT(N38:N41,K26:K29)</f>
        <v>2882720.9367558</v>
      </c>
    </row>
    <row r="44" ht="15.75" spans="1:16">
      <c r="A44" s="60"/>
      <c r="B44" s="58"/>
      <c r="C44" s="62"/>
      <c r="D44" s="58" t="s">
        <v>73</v>
      </c>
      <c r="E44" s="58"/>
      <c r="F44" s="58"/>
      <c r="G44" s="58"/>
      <c r="H44" s="58"/>
      <c r="I44" s="58"/>
      <c r="J44" s="58"/>
      <c r="K44" s="58"/>
      <c r="L44" s="58"/>
      <c r="M44" s="58"/>
    </row>
    <row r="45" ht="15.75" spans="1:16">
      <c r="A45" s="60"/>
      <c r="B45" s="58"/>
      <c r="C45" s="62"/>
      <c r="D45" s="64" t="s">
        <v>62</v>
      </c>
      <c r="E45" s="64" t="s">
        <v>74</v>
      </c>
      <c r="F45" s="64" t="s">
        <v>67</v>
      </c>
    </row>
    <row r="46" ht="16.5" spans="1:16">
      <c r="A46" s="60"/>
      <c r="B46" s="58"/>
      <c r="C46" s="62"/>
      <c r="D46" s="141" t="s">
        <v>55</v>
      </c>
      <c r="E46" s="142">
        <v>50</v>
      </c>
      <c r="F46" s="142">
        <f>SUMIFS($H$56:$H$255,$D$56:$D$255,D46,$E$56:$E$255,"&lt;"&amp;E46)</f>
        <v>54240</v>
      </c>
    </row>
    <row r="47" ht="16.5" spans="1:16">
      <c r="A47" s="60"/>
      <c r="B47" s="58"/>
      <c r="C47" s="62"/>
      <c r="D47" s="141" t="s">
        <v>56</v>
      </c>
      <c r="E47" s="142">
        <v>40</v>
      </c>
      <c r="F47" s="142">
        <f>SUMIFS($H$56:$H$255,$D$56:$D$255,D47,$E$56:$E$255,"&lt;"&amp;E47)</f>
        <v>50760</v>
      </c>
    </row>
    <row r="48" ht="16.5" spans="1:16">
      <c r="A48" s="60"/>
      <c r="B48" s="58"/>
      <c r="C48" s="62"/>
      <c r="D48" s="141" t="s">
        <v>57</v>
      </c>
      <c r="E48" s="142">
        <v>30</v>
      </c>
      <c r="F48" s="142">
        <f>SUMIFS($H$56:$H$255,$D$56:$D$255,D48,$E$56:$E$255,"&lt;"&amp;E48)</f>
        <v>36480</v>
      </c>
    </row>
    <row r="49" ht="16.5" spans="1:13">
      <c r="A49" s="60"/>
      <c r="B49" s="58"/>
      <c r="C49" s="62"/>
      <c r="D49" s="141" t="s">
        <v>58</v>
      </c>
      <c r="E49" s="142">
        <v>30</v>
      </c>
      <c r="F49" s="142">
        <f>SUMIFS($H$56:$H$255,$D$56:$D$255,D49,$E$56:$E$255,"&lt;"&amp;E49)</f>
        <v>45600</v>
      </c>
    </row>
    <row r="50" ht="16.5" spans="1:13">
      <c r="A50" s="60"/>
      <c r="B50" s="58"/>
      <c r="C50" s="62"/>
      <c r="D50" s="141" t="s">
        <v>72</v>
      </c>
      <c r="E50" s="142">
        <v>30</v>
      </c>
      <c r="F50" s="142">
        <f>SUMIFS($H$56:$H$255,$D$56:$D$255,D50,$E$56:$E$255,"&lt;"&amp;E50)</f>
        <v>0</v>
      </c>
    </row>
    <row r="51" ht="15.75" spans="1:13">
      <c r="A51" s="60"/>
      <c r="B51" s="58"/>
      <c r="C51" s="62"/>
      <c r="D51" s="58"/>
      <c r="E51" s="58"/>
      <c r="F51" s="71" cm="1">
        <f t="array" ref="F51">SUMPRODUCT(F46:F49,K26:K29)</f>
        <v>959760</v>
      </c>
      <c r="G51" s="58"/>
    </row>
    <row r="52" ht="15.75" spans="1:13">
      <c r="A52" s="60"/>
      <c r="B52" s="58"/>
      <c r="C52" s="62"/>
      <c r="D52" s="58"/>
      <c r="E52" s="58"/>
      <c r="F52" s="58"/>
      <c r="G52" s="58"/>
      <c r="H52" s="58"/>
      <c r="I52" s="58"/>
      <c r="J52" s="58"/>
      <c r="K52" s="58"/>
      <c r="L52" s="58"/>
      <c r="M52" s="58"/>
    </row>
    <row r="53" ht="15.75" spans="1:13">
      <c r="A53" s="58"/>
      <c r="B53" s="58"/>
      <c r="C53" s="59"/>
      <c r="D53" s="58" t="s">
        <v>75</v>
      </c>
      <c r="G53" s="58"/>
      <c r="H53" s="58" t="s">
        <v>76</v>
      </c>
      <c r="I53" s="58"/>
      <c r="J53" s="58"/>
    </row>
    <row r="54" ht="15.75" spans="1:13">
      <c r="A54" s="58"/>
      <c r="B54" s="58"/>
      <c r="C54" s="59"/>
      <c r="D54" s="58"/>
      <c r="F54" s="145" t="s">
        <v>77</v>
      </c>
      <c r="G54" s="145"/>
      <c r="H54" s="146" t="s">
        <v>67</v>
      </c>
      <c r="I54" s="147"/>
      <c r="J54" s="148"/>
    </row>
    <row r="55" ht="15.75" spans="1:13">
      <c r="A55" s="58"/>
      <c r="B55" s="58"/>
      <c r="C55" s="59"/>
      <c r="D55" s="64" t="s">
        <v>62</v>
      </c>
      <c r="E55" s="64" t="s">
        <v>78</v>
      </c>
      <c r="F55" s="149" t="s">
        <v>79</v>
      </c>
      <c r="G55" s="149" t="s">
        <v>80</v>
      </c>
      <c r="H55" s="149" t="s">
        <v>81</v>
      </c>
      <c r="I55" s="149" t="s">
        <v>82</v>
      </c>
      <c r="J55" s="149" t="s">
        <v>83</v>
      </c>
      <c r="K55" s="3" t="s">
        <v>84</v>
      </c>
      <c r="L55" t="s">
        <v>85</v>
      </c>
    </row>
    <row r="56" ht="16.5" spans="1:13">
      <c r="A56" s="58"/>
      <c r="B56" s="58"/>
      <c r="C56" s="59"/>
      <c r="D56" s="150" t="s">
        <v>55</v>
      </c>
      <c r="E56" s="150">
        <v>1</v>
      </c>
      <c r="F56" s="151">
        <f t="shared" ref="F56:G87" si="0">VLOOKUP($D56,$D$38:$E$41,2,0)*($E56-1)</f>
        <v>0</v>
      </c>
      <c r="G56" s="151">
        <f t="shared" si="0"/>
        <v>0</v>
      </c>
      <c r="H56" s="152">
        <v>24</v>
      </c>
      <c r="I56" s="153">
        <f>H56*6/$E$13</f>
        <v>0.0633802816901408</v>
      </c>
      <c r="J56" s="142">
        <v>10</v>
      </c>
      <c r="K56" s="3">
        <f>SUM($J$56:J56)</f>
        <v>10</v>
      </c>
    </row>
    <row r="57" ht="16.5" spans="1:13">
      <c r="A57" s="58"/>
      <c r="B57" s="58"/>
      <c r="C57" s="59"/>
      <c r="D57" s="150" t="s">
        <v>55</v>
      </c>
      <c r="E57" s="155">
        <v>2</v>
      </c>
      <c r="F57" s="151">
        <f t="shared" si="0"/>
        <v>0.04</v>
      </c>
      <c r="G57" s="151">
        <f t="shared" si="0"/>
        <v>0.04</v>
      </c>
      <c r="H57" s="152">
        <v>48</v>
      </c>
      <c r="I57" s="153">
        <f>H57*6/$E$13</f>
        <v>0.126760563380282</v>
      </c>
      <c r="J57" s="142">
        <v>10</v>
      </c>
      <c r="K57" s="3">
        <f>SUM($J$56:J57)</f>
        <v>20</v>
      </c>
    </row>
    <row r="58" ht="16.5" spans="1:13">
      <c r="A58" s="58"/>
      <c r="B58" s="58"/>
      <c r="C58" s="59"/>
      <c r="D58" s="150" t="s">
        <v>55</v>
      </c>
      <c r="E58" s="155">
        <v>3</v>
      </c>
      <c r="F58" s="151">
        <f t="shared" si="0"/>
        <v>0.08</v>
      </c>
      <c r="G58" s="151">
        <f t="shared" si="0"/>
        <v>0.08</v>
      </c>
      <c r="H58" s="152">
        <v>72</v>
      </c>
      <c r="I58" s="153">
        <f t="shared" ref="I58:I88" si="1">H58*6/$E$13</f>
        <v>0.190140845070423</v>
      </c>
      <c r="J58" s="142">
        <v>10</v>
      </c>
      <c r="K58" s="3">
        <f>SUM($J$56:J58)</f>
        <v>30</v>
      </c>
    </row>
    <row r="59" ht="16.5" spans="1:13">
      <c r="A59" s="58"/>
      <c r="B59" s="58"/>
      <c r="C59" s="59"/>
      <c r="D59" s="150" t="s">
        <v>55</v>
      </c>
      <c r="E59" s="155">
        <v>4</v>
      </c>
      <c r="F59" s="151">
        <f t="shared" si="0"/>
        <v>0.12</v>
      </c>
      <c r="G59" s="151">
        <f t="shared" si="0"/>
        <v>0.12</v>
      </c>
      <c r="H59" s="152">
        <v>96</v>
      </c>
      <c r="I59" s="153">
        <f t="shared" si="1"/>
        <v>0.253521126760563</v>
      </c>
      <c r="J59" s="142">
        <v>10</v>
      </c>
      <c r="K59" s="3">
        <f>SUM($J$56:J59)</f>
        <v>40</v>
      </c>
    </row>
    <row r="60" ht="16.5" spans="1:13">
      <c r="A60" s="58"/>
      <c r="B60" s="58"/>
      <c r="C60" s="59"/>
      <c r="D60" s="150" t="s">
        <v>55</v>
      </c>
      <c r="E60" s="155">
        <v>5</v>
      </c>
      <c r="F60" s="151">
        <f t="shared" si="0"/>
        <v>0.16</v>
      </c>
      <c r="G60" s="151">
        <f t="shared" si="0"/>
        <v>0.16</v>
      </c>
      <c r="H60" s="152">
        <v>144</v>
      </c>
      <c r="I60" s="153">
        <f t="shared" si="1"/>
        <v>0.380281690140845</v>
      </c>
      <c r="J60" s="142">
        <v>30</v>
      </c>
      <c r="K60" s="3">
        <f>SUM($J$56:J60)</f>
        <v>70</v>
      </c>
    </row>
    <row r="61" ht="16.5" spans="1:13">
      <c r="A61" s="58"/>
      <c r="B61" s="58"/>
      <c r="C61" s="59"/>
      <c r="D61" s="150" t="s">
        <v>55</v>
      </c>
      <c r="E61" s="155">
        <v>6</v>
      </c>
      <c r="F61" s="151">
        <f t="shared" si="0"/>
        <v>0.2</v>
      </c>
      <c r="G61" s="151">
        <f t="shared" si="0"/>
        <v>0.2</v>
      </c>
      <c r="H61" s="152">
        <v>192</v>
      </c>
      <c r="I61" s="153">
        <f t="shared" si="1"/>
        <v>0.507042253521127</v>
      </c>
      <c r="J61" s="142">
        <v>30</v>
      </c>
      <c r="K61" s="3">
        <f>SUM($J$56:J61)</f>
        <v>100</v>
      </c>
    </row>
    <row r="62" ht="16.5" spans="1:13">
      <c r="A62" s="58"/>
      <c r="B62" s="58"/>
      <c r="C62" s="59"/>
      <c r="D62" s="150" t="s">
        <v>55</v>
      </c>
      <c r="E62" s="155">
        <v>7</v>
      </c>
      <c r="F62" s="151">
        <f t="shared" si="0"/>
        <v>0.24</v>
      </c>
      <c r="G62" s="151">
        <f t="shared" si="0"/>
        <v>0.24</v>
      </c>
      <c r="H62" s="152">
        <v>240</v>
      </c>
      <c r="I62" s="153">
        <f t="shared" si="1"/>
        <v>0.633802816901408</v>
      </c>
      <c r="J62" s="142">
        <v>30</v>
      </c>
      <c r="K62" s="3">
        <f>SUM($J$56:J62)</f>
        <v>130</v>
      </c>
    </row>
    <row r="63" ht="16.5" spans="1:13">
      <c r="A63" s="58"/>
      <c r="B63" s="58"/>
      <c r="C63" s="59"/>
      <c r="D63" s="150" t="s">
        <v>55</v>
      </c>
      <c r="E63" s="155">
        <v>8</v>
      </c>
      <c r="F63" s="151">
        <f t="shared" si="0"/>
        <v>0.28</v>
      </c>
      <c r="G63" s="151">
        <f t="shared" si="0"/>
        <v>0.28</v>
      </c>
      <c r="H63" s="152">
        <v>288</v>
      </c>
      <c r="I63" s="153">
        <f t="shared" si="1"/>
        <v>0.76056338028169</v>
      </c>
      <c r="J63" s="142">
        <v>30</v>
      </c>
      <c r="K63" s="3">
        <f>SUM($J$56:J63)</f>
        <v>160</v>
      </c>
    </row>
    <row r="64" ht="16.5" spans="1:13">
      <c r="A64" s="58"/>
      <c r="B64" s="58"/>
      <c r="C64" s="59"/>
      <c r="D64" s="150" t="s">
        <v>55</v>
      </c>
      <c r="E64" s="155">
        <v>9</v>
      </c>
      <c r="F64" s="151">
        <f t="shared" si="0"/>
        <v>0.32</v>
      </c>
      <c r="G64" s="151">
        <f t="shared" si="0"/>
        <v>0.32</v>
      </c>
      <c r="H64" s="152">
        <v>336</v>
      </c>
      <c r="I64" s="153">
        <f t="shared" si="1"/>
        <v>0.887323943661972</v>
      </c>
      <c r="J64" s="142">
        <v>30</v>
      </c>
      <c r="K64" s="3">
        <f>SUM($J$56:J64)</f>
        <v>190</v>
      </c>
    </row>
    <row r="65" ht="16.5" spans="1:13">
      <c r="A65" s="58"/>
      <c r="B65" s="58"/>
      <c r="C65" s="59"/>
      <c r="D65" s="150" t="s">
        <v>55</v>
      </c>
      <c r="E65" s="155">
        <v>10</v>
      </c>
      <c r="F65" s="151">
        <f t="shared" si="0"/>
        <v>0.36</v>
      </c>
      <c r="G65" s="151">
        <f t="shared" si="0"/>
        <v>0.36</v>
      </c>
      <c r="H65" s="152">
        <v>384</v>
      </c>
      <c r="I65" s="153">
        <f t="shared" si="1"/>
        <v>1.01408450704225</v>
      </c>
      <c r="J65" s="142">
        <v>60</v>
      </c>
      <c r="K65" s="3">
        <f>SUM($J$56:J65)</f>
        <v>250</v>
      </c>
    </row>
    <row r="66" ht="16.5" spans="1:13">
      <c r="A66" s="58"/>
      <c r="B66" s="58"/>
      <c r="C66" s="59"/>
      <c r="D66" s="150" t="s">
        <v>55</v>
      </c>
      <c r="E66" s="155">
        <v>11</v>
      </c>
      <c r="F66" s="151">
        <f t="shared" si="0"/>
        <v>0.4</v>
      </c>
      <c r="G66" s="151">
        <f t="shared" si="0"/>
        <v>0.4</v>
      </c>
      <c r="H66" s="152">
        <v>432</v>
      </c>
      <c r="I66" s="153">
        <f t="shared" si="1"/>
        <v>1.14084507042254</v>
      </c>
      <c r="J66" s="142">
        <v>60</v>
      </c>
      <c r="K66" s="3">
        <f>SUM($J$56:J66)</f>
        <v>310</v>
      </c>
    </row>
    <row r="67" ht="16.5" spans="1:13">
      <c r="A67" s="58"/>
      <c r="B67" s="58"/>
      <c r="C67" s="59"/>
      <c r="D67" s="150" t="s">
        <v>55</v>
      </c>
      <c r="E67" s="155">
        <v>12</v>
      </c>
      <c r="F67" s="151">
        <f t="shared" si="0"/>
        <v>0.44</v>
      </c>
      <c r="G67" s="151">
        <f t="shared" si="0"/>
        <v>0.44</v>
      </c>
      <c r="H67" s="152">
        <v>480</v>
      </c>
      <c r="I67" s="153">
        <f t="shared" si="1"/>
        <v>1.26760563380282</v>
      </c>
      <c r="J67" s="142">
        <v>60</v>
      </c>
      <c r="K67" s="3">
        <f>SUM($J$56:J67)</f>
        <v>370</v>
      </c>
    </row>
    <row r="68" ht="16.5" spans="1:13">
      <c r="A68" s="58"/>
      <c r="B68" s="58"/>
      <c r="C68" s="59"/>
      <c r="D68" s="150" t="s">
        <v>55</v>
      </c>
      <c r="E68" s="155">
        <v>13</v>
      </c>
      <c r="F68" s="151">
        <f t="shared" si="0"/>
        <v>0.48</v>
      </c>
      <c r="G68" s="151">
        <f t="shared" si="0"/>
        <v>0.48</v>
      </c>
      <c r="H68" s="152">
        <v>528</v>
      </c>
      <c r="I68" s="153">
        <f t="shared" si="1"/>
        <v>1.3943661971831</v>
      </c>
      <c r="J68" s="142">
        <v>60</v>
      </c>
      <c r="K68" s="3">
        <f>SUM($J$56:J68)</f>
        <v>430</v>
      </c>
    </row>
    <row r="69" ht="16.5" spans="1:13">
      <c r="A69" s="58"/>
      <c r="B69" s="58"/>
      <c r="C69" s="59"/>
      <c r="D69" s="150" t="s">
        <v>55</v>
      </c>
      <c r="E69" s="155">
        <v>14</v>
      </c>
      <c r="F69" s="151">
        <f t="shared" si="0"/>
        <v>0.52</v>
      </c>
      <c r="G69" s="151">
        <f t="shared" si="0"/>
        <v>0.52</v>
      </c>
      <c r="H69" s="152">
        <v>576</v>
      </c>
      <c r="I69" s="153">
        <f t="shared" si="1"/>
        <v>1.52112676056338</v>
      </c>
      <c r="J69" s="142">
        <v>60</v>
      </c>
      <c r="K69" s="3">
        <f>SUM($J$56:J69)</f>
        <v>490</v>
      </c>
    </row>
    <row r="70" ht="16.5" spans="1:13">
      <c r="A70" s="58"/>
      <c r="B70" s="58"/>
      <c r="C70" s="59"/>
      <c r="D70" s="150" t="s">
        <v>55</v>
      </c>
      <c r="E70" s="155">
        <v>15</v>
      </c>
      <c r="F70" s="151">
        <f t="shared" si="0"/>
        <v>0.56</v>
      </c>
      <c r="G70" s="151">
        <f t="shared" si="0"/>
        <v>0.56</v>
      </c>
      <c r="H70" s="152">
        <v>624</v>
      </c>
      <c r="I70" s="153">
        <f t="shared" si="1"/>
        <v>1.64788732394366</v>
      </c>
      <c r="J70" s="142">
        <v>90</v>
      </c>
      <c r="K70" s="3">
        <f>SUM($J$56:J70)</f>
        <v>580</v>
      </c>
      <c r="M70" s="14">
        <v>0.5</v>
      </c>
    </row>
    <row r="71" ht="16.5" spans="1:13">
      <c r="A71" s="58"/>
      <c r="B71" s="58"/>
      <c r="C71" s="59"/>
      <c r="D71" s="150" t="s">
        <v>55</v>
      </c>
      <c r="E71" s="155">
        <v>16</v>
      </c>
      <c r="F71" s="151">
        <f t="shared" si="0"/>
        <v>0.6</v>
      </c>
      <c r="G71" s="151">
        <f t="shared" si="0"/>
        <v>0.6</v>
      </c>
      <c r="H71" s="152">
        <v>672</v>
      </c>
      <c r="I71" s="153">
        <f t="shared" si="1"/>
        <v>1.77464788732394</v>
      </c>
      <c r="J71" s="142">
        <v>90</v>
      </c>
      <c r="K71" s="3">
        <f>SUM($J$56:J71)</f>
        <v>670</v>
      </c>
    </row>
    <row r="72" ht="16.5" spans="1:13">
      <c r="A72" s="58"/>
      <c r="B72" s="58"/>
      <c r="C72" s="59"/>
      <c r="D72" s="150" t="s">
        <v>55</v>
      </c>
      <c r="E72" s="155">
        <v>17</v>
      </c>
      <c r="F72" s="151">
        <f t="shared" si="0"/>
        <v>0.64</v>
      </c>
      <c r="G72" s="151">
        <f t="shared" si="0"/>
        <v>0.64</v>
      </c>
      <c r="H72" s="152">
        <v>720</v>
      </c>
      <c r="I72" s="153">
        <f t="shared" si="1"/>
        <v>1.90140845070423</v>
      </c>
      <c r="J72" s="142">
        <v>90</v>
      </c>
      <c r="K72" s="3">
        <f>SUM($J$56:J72)</f>
        <v>760</v>
      </c>
    </row>
    <row r="73" ht="16.5" spans="1:13">
      <c r="A73" s="58"/>
      <c r="B73" s="58"/>
      <c r="C73" s="59"/>
      <c r="D73" s="150" t="s">
        <v>55</v>
      </c>
      <c r="E73" s="155">
        <v>18</v>
      </c>
      <c r="F73" s="151">
        <f t="shared" si="0"/>
        <v>0.68</v>
      </c>
      <c r="G73" s="151">
        <f t="shared" si="0"/>
        <v>0.68</v>
      </c>
      <c r="H73" s="152">
        <v>768</v>
      </c>
      <c r="I73" s="153">
        <f t="shared" si="1"/>
        <v>2.02816901408451</v>
      </c>
      <c r="J73" s="142">
        <v>90</v>
      </c>
      <c r="K73" s="3">
        <f>SUM($J$56:J73)</f>
        <v>850</v>
      </c>
    </row>
    <row r="74" ht="16.5" spans="1:13">
      <c r="A74" s="58"/>
      <c r="B74" s="58"/>
      <c r="C74" s="59"/>
      <c r="D74" s="150" t="s">
        <v>55</v>
      </c>
      <c r="E74" s="155">
        <v>19</v>
      </c>
      <c r="F74" s="151">
        <f t="shared" si="0"/>
        <v>0.72</v>
      </c>
      <c r="G74" s="151">
        <f t="shared" si="0"/>
        <v>0.72</v>
      </c>
      <c r="H74" s="152">
        <v>816</v>
      </c>
      <c r="I74" s="153">
        <f t="shared" si="1"/>
        <v>2.15492957746479</v>
      </c>
      <c r="J74" s="142">
        <v>90</v>
      </c>
      <c r="K74" s="3">
        <f>SUM($J$56:J74)</f>
        <v>940</v>
      </c>
    </row>
    <row r="75" ht="16.5" spans="1:13">
      <c r="A75" s="58"/>
      <c r="B75" s="58"/>
      <c r="C75" s="59"/>
      <c r="D75" s="150" t="s">
        <v>55</v>
      </c>
      <c r="E75" s="155">
        <v>20</v>
      </c>
      <c r="F75" s="151">
        <f t="shared" si="0"/>
        <v>0.76</v>
      </c>
      <c r="G75" s="151">
        <f t="shared" si="0"/>
        <v>0.76</v>
      </c>
      <c r="H75" s="152">
        <v>864</v>
      </c>
      <c r="I75" s="153">
        <f t="shared" si="1"/>
        <v>2.28169014084507</v>
      </c>
      <c r="J75" s="142">
        <v>120</v>
      </c>
      <c r="K75" s="3">
        <f>SUM($J$56:J75)</f>
        <v>1060</v>
      </c>
    </row>
    <row r="76" ht="16.5" spans="1:13">
      <c r="A76" s="58"/>
      <c r="B76" s="58"/>
      <c r="C76" s="59"/>
      <c r="D76" s="150" t="s">
        <v>55</v>
      </c>
      <c r="E76" s="155">
        <v>21</v>
      </c>
      <c r="F76" s="151">
        <f t="shared" si="0"/>
        <v>0.8</v>
      </c>
      <c r="G76" s="151">
        <f t="shared" si="0"/>
        <v>0.8</v>
      </c>
      <c r="H76" s="152">
        <v>912</v>
      </c>
      <c r="I76" s="153">
        <f t="shared" si="1"/>
        <v>2.40845070422535</v>
      </c>
      <c r="J76" s="142">
        <v>120</v>
      </c>
      <c r="K76" s="3">
        <f>SUM($J$56:J76)</f>
        <v>1180</v>
      </c>
    </row>
    <row r="77" ht="16.5" spans="1:13">
      <c r="A77" s="58"/>
      <c r="B77" s="58"/>
      <c r="C77" s="59"/>
      <c r="D77" s="150" t="s">
        <v>55</v>
      </c>
      <c r="E77" s="155">
        <v>22</v>
      </c>
      <c r="F77" s="151">
        <f t="shared" si="0"/>
        <v>0.84</v>
      </c>
      <c r="G77" s="151">
        <f t="shared" si="0"/>
        <v>0.84</v>
      </c>
      <c r="H77" s="152">
        <v>960</v>
      </c>
      <c r="I77" s="153">
        <f t="shared" si="1"/>
        <v>2.53521126760563</v>
      </c>
      <c r="J77" s="142">
        <v>120</v>
      </c>
      <c r="K77" s="3">
        <f>SUM($J$56:J77)</f>
        <v>1300</v>
      </c>
    </row>
    <row r="78" ht="16.5" spans="1:13">
      <c r="A78" s="58"/>
      <c r="B78" s="58"/>
      <c r="C78" s="59"/>
      <c r="D78" s="150" t="s">
        <v>55</v>
      </c>
      <c r="E78" s="155">
        <v>23</v>
      </c>
      <c r="F78" s="151">
        <f t="shared" si="0"/>
        <v>0.88</v>
      </c>
      <c r="G78" s="151">
        <f t="shared" si="0"/>
        <v>0.88</v>
      </c>
      <c r="H78" s="152">
        <v>1008</v>
      </c>
      <c r="I78" s="153">
        <f t="shared" si="1"/>
        <v>2.66197183098592</v>
      </c>
      <c r="J78" s="142">
        <v>120</v>
      </c>
      <c r="K78" s="3">
        <f>SUM($J$56:J78)</f>
        <v>1420</v>
      </c>
    </row>
    <row r="79" ht="16.5" spans="1:13">
      <c r="A79" s="58"/>
      <c r="B79" s="58"/>
      <c r="C79" s="59"/>
      <c r="D79" s="150" t="s">
        <v>55</v>
      </c>
      <c r="E79" s="155">
        <v>24</v>
      </c>
      <c r="F79" s="151">
        <f t="shared" si="0"/>
        <v>0.92</v>
      </c>
      <c r="G79" s="151">
        <f t="shared" si="0"/>
        <v>0.92</v>
      </c>
      <c r="H79" s="152">
        <v>1056</v>
      </c>
      <c r="I79" s="153">
        <f t="shared" si="1"/>
        <v>2.7887323943662</v>
      </c>
      <c r="J79" s="142">
        <v>120</v>
      </c>
      <c r="K79" s="3">
        <f>SUM($J$56:J79)</f>
        <v>1540</v>
      </c>
    </row>
    <row r="80" ht="16.5" spans="1:13">
      <c r="A80" s="58"/>
      <c r="B80" s="58"/>
      <c r="C80" s="59"/>
      <c r="D80" s="150" t="s">
        <v>55</v>
      </c>
      <c r="E80" s="155">
        <v>25</v>
      </c>
      <c r="F80" s="151">
        <f t="shared" si="0"/>
        <v>0.96</v>
      </c>
      <c r="G80" s="151">
        <f t="shared" si="0"/>
        <v>0.96</v>
      </c>
      <c r="H80" s="152">
        <v>1104</v>
      </c>
      <c r="I80" s="153">
        <f t="shared" si="1"/>
        <v>2.91549295774648</v>
      </c>
      <c r="J80" s="142">
        <v>240</v>
      </c>
      <c r="K80" s="3">
        <f>SUM($J$56:J80)</f>
        <v>1780</v>
      </c>
    </row>
    <row r="81" ht="16.5" spans="1:11">
      <c r="A81" s="58"/>
      <c r="B81" s="58"/>
      <c r="C81" s="59"/>
      <c r="D81" s="150" t="s">
        <v>55</v>
      </c>
      <c r="E81" s="155">
        <v>26</v>
      </c>
      <c r="F81" s="151">
        <f t="shared" si="0"/>
        <v>1</v>
      </c>
      <c r="G81" s="151">
        <f t="shared" si="0"/>
        <v>1</v>
      </c>
      <c r="H81" s="152">
        <v>1152</v>
      </c>
      <c r="I81" s="153">
        <f t="shared" si="1"/>
        <v>3.04225352112676</v>
      </c>
      <c r="J81" s="142">
        <v>240</v>
      </c>
      <c r="K81" s="3">
        <f>SUM($J$56:J81)</f>
        <v>2020</v>
      </c>
    </row>
    <row r="82" ht="16.5" spans="1:11">
      <c r="A82" s="58"/>
      <c r="B82" s="58"/>
      <c r="C82" s="59"/>
      <c r="D82" s="150" t="s">
        <v>55</v>
      </c>
      <c r="E82" s="155">
        <v>27</v>
      </c>
      <c r="F82" s="151">
        <f t="shared" si="0"/>
        <v>1.04</v>
      </c>
      <c r="G82" s="151">
        <f t="shared" si="0"/>
        <v>1.04</v>
      </c>
      <c r="H82" s="152">
        <v>1200</v>
      </c>
      <c r="I82" s="153">
        <f t="shared" si="1"/>
        <v>3.16901408450704</v>
      </c>
      <c r="J82" s="142">
        <v>240</v>
      </c>
      <c r="K82" s="3">
        <f>SUM($J$56:J82)</f>
        <v>2260</v>
      </c>
    </row>
    <row r="83" ht="16.5" spans="1:11">
      <c r="A83" s="58"/>
      <c r="B83" s="58"/>
      <c r="C83" s="59"/>
      <c r="D83" s="150" t="s">
        <v>55</v>
      </c>
      <c r="E83" s="155">
        <v>28</v>
      </c>
      <c r="F83" s="151">
        <f t="shared" si="0"/>
        <v>1.08</v>
      </c>
      <c r="G83" s="151">
        <f t="shared" si="0"/>
        <v>1.08</v>
      </c>
      <c r="H83" s="152">
        <v>1248</v>
      </c>
      <c r="I83" s="153">
        <f t="shared" si="1"/>
        <v>3.29577464788732</v>
      </c>
      <c r="J83" s="142">
        <v>240</v>
      </c>
      <c r="K83" s="3">
        <f>SUM($J$56:J83)</f>
        <v>2500</v>
      </c>
    </row>
    <row r="84" ht="16.5" spans="1:11">
      <c r="A84" s="58"/>
      <c r="B84" s="58"/>
      <c r="C84" s="59"/>
      <c r="D84" s="150" t="s">
        <v>55</v>
      </c>
      <c r="E84" s="155">
        <v>29</v>
      </c>
      <c r="F84" s="151">
        <f t="shared" si="0"/>
        <v>1.12</v>
      </c>
      <c r="G84" s="151">
        <f t="shared" si="0"/>
        <v>1.12</v>
      </c>
      <c r="H84" s="152">
        <v>1296</v>
      </c>
      <c r="I84" s="153">
        <f t="shared" si="1"/>
        <v>3.42253521126761</v>
      </c>
      <c r="J84" s="142">
        <v>240</v>
      </c>
      <c r="K84" s="3">
        <f>SUM($J$56:J84)</f>
        <v>2740</v>
      </c>
    </row>
    <row r="85" ht="16.5" spans="1:11">
      <c r="A85" s="58"/>
      <c r="B85" s="58"/>
      <c r="C85" s="59"/>
      <c r="D85" s="150" t="s">
        <v>55</v>
      </c>
      <c r="E85" s="155">
        <v>30</v>
      </c>
      <c r="F85" s="151">
        <f t="shared" si="0"/>
        <v>1.16</v>
      </c>
      <c r="G85" s="151">
        <f t="shared" si="0"/>
        <v>1.16</v>
      </c>
      <c r="H85" s="152">
        <v>1344</v>
      </c>
      <c r="I85" s="153">
        <f t="shared" si="1"/>
        <v>3.54929577464789</v>
      </c>
      <c r="J85" s="142">
        <v>480</v>
      </c>
      <c r="K85" s="3">
        <f>SUM($J$56:J85)</f>
        <v>3220</v>
      </c>
    </row>
    <row r="86" ht="16.5" spans="1:11">
      <c r="A86" s="58"/>
      <c r="B86" s="58"/>
      <c r="C86" s="59"/>
      <c r="D86" s="150" t="s">
        <v>55</v>
      </c>
      <c r="E86" s="155">
        <v>31</v>
      </c>
      <c r="F86" s="151">
        <f t="shared" si="0"/>
        <v>1.2</v>
      </c>
      <c r="G86" s="151">
        <f t="shared" si="0"/>
        <v>1.2</v>
      </c>
      <c r="H86" s="152">
        <v>1392</v>
      </c>
      <c r="I86" s="153">
        <f t="shared" si="1"/>
        <v>3.67605633802817</v>
      </c>
      <c r="J86" s="142">
        <v>480</v>
      </c>
      <c r="K86" s="3">
        <f>SUM($J$56:J86)</f>
        <v>3700</v>
      </c>
    </row>
    <row r="87" ht="16.5" spans="1:11">
      <c r="A87" s="58"/>
      <c r="B87" s="58"/>
      <c r="C87" s="59"/>
      <c r="D87" s="150" t="s">
        <v>55</v>
      </c>
      <c r="E87" s="155">
        <v>32</v>
      </c>
      <c r="F87" s="151">
        <f t="shared" si="0"/>
        <v>1.24</v>
      </c>
      <c r="G87" s="151">
        <f t="shared" si="0"/>
        <v>1.24</v>
      </c>
      <c r="H87" s="152">
        <v>1440</v>
      </c>
      <c r="I87" s="153">
        <f t="shared" si="1"/>
        <v>3.80281690140845</v>
      </c>
      <c r="J87" s="142">
        <v>480</v>
      </c>
      <c r="K87" s="3">
        <f>SUM($J$56:J87)</f>
        <v>4180</v>
      </c>
    </row>
    <row r="88" ht="16.5" spans="1:11">
      <c r="A88" s="58"/>
      <c r="B88" s="58"/>
      <c r="C88" s="59"/>
      <c r="D88" s="150" t="s">
        <v>55</v>
      </c>
      <c r="E88" s="155">
        <v>33</v>
      </c>
      <c r="F88" s="151">
        <f t="shared" ref="F88:G151" si="2">VLOOKUP($D88,$D$38:$E$41,2,0)*($E88-1)</f>
        <v>1.28</v>
      </c>
      <c r="G88" s="151">
        <f t="shared" si="2"/>
        <v>1.28</v>
      </c>
      <c r="H88" s="152">
        <v>1488</v>
      </c>
      <c r="I88" s="153">
        <f t="shared" si="1"/>
        <v>3.92957746478873</v>
      </c>
      <c r="J88" s="142">
        <v>480</v>
      </c>
      <c r="K88" s="3">
        <f>SUM($J$56:J88)</f>
        <v>4660</v>
      </c>
    </row>
    <row r="89" ht="16.5" spans="1:11">
      <c r="A89" s="58"/>
      <c r="B89" s="58"/>
      <c r="C89" s="59"/>
      <c r="D89" s="150" t="s">
        <v>55</v>
      </c>
      <c r="E89" s="155">
        <v>34</v>
      </c>
      <c r="F89" s="151">
        <f t="shared" si="2"/>
        <v>1.32</v>
      </c>
      <c r="G89" s="151">
        <f t="shared" si="2"/>
        <v>1.32</v>
      </c>
      <c r="H89" s="152">
        <v>1536</v>
      </c>
      <c r="I89" s="153">
        <f t="shared" ref="I89:I120" si="3">H89*6/$E$13</f>
        <v>4.05633802816901</v>
      </c>
      <c r="J89" s="142">
        <v>480</v>
      </c>
      <c r="K89" s="3">
        <f>SUM($J$56:J89)</f>
        <v>5140</v>
      </c>
    </row>
    <row r="90" ht="16.5" spans="1:11">
      <c r="A90" s="58"/>
      <c r="B90" s="58"/>
      <c r="C90" s="59"/>
      <c r="D90" s="150" t="s">
        <v>55</v>
      </c>
      <c r="E90" s="155">
        <v>35</v>
      </c>
      <c r="F90" s="151">
        <f t="shared" si="2"/>
        <v>1.36</v>
      </c>
      <c r="G90" s="151">
        <f t="shared" si="2"/>
        <v>1.36</v>
      </c>
      <c r="H90" s="152">
        <v>1584</v>
      </c>
      <c r="I90" s="153">
        <f t="shared" si="3"/>
        <v>4.1830985915493</v>
      </c>
      <c r="J90" s="142">
        <v>720</v>
      </c>
      <c r="K90" s="3">
        <f>SUM($J$56:J90)</f>
        <v>5860</v>
      </c>
    </row>
    <row r="91" ht="16.5" spans="1:11">
      <c r="A91" s="58"/>
      <c r="B91" s="58"/>
      <c r="C91" s="59"/>
      <c r="D91" s="150" t="s">
        <v>55</v>
      </c>
      <c r="E91" s="155">
        <v>36</v>
      </c>
      <c r="F91" s="151">
        <f t="shared" si="2"/>
        <v>1.4</v>
      </c>
      <c r="G91" s="151">
        <f t="shared" si="2"/>
        <v>1.4</v>
      </c>
      <c r="H91" s="152">
        <v>1632</v>
      </c>
      <c r="I91" s="153">
        <f t="shared" si="3"/>
        <v>4.30985915492958</v>
      </c>
      <c r="J91" s="142">
        <v>720</v>
      </c>
      <c r="K91" s="3">
        <f>SUM($J$56:J91)</f>
        <v>6580</v>
      </c>
    </row>
    <row r="92" ht="16.5" spans="1:11">
      <c r="A92" s="58"/>
      <c r="B92" s="58"/>
      <c r="C92" s="59"/>
      <c r="D92" s="150" t="s">
        <v>55</v>
      </c>
      <c r="E92" s="155">
        <v>37</v>
      </c>
      <c r="F92" s="151">
        <f t="shared" si="2"/>
        <v>1.44</v>
      </c>
      <c r="G92" s="151">
        <f t="shared" si="2"/>
        <v>1.44</v>
      </c>
      <c r="H92" s="152">
        <v>1680</v>
      </c>
      <c r="I92" s="153">
        <f t="shared" si="3"/>
        <v>4.43661971830986</v>
      </c>
      <c r="J92" s="142">
        <v>720</v>
      </c>
      <c r="K92" s="3">
        <f>SUM($J$56:J92)</f>
        <v>7300</v>
      </c>
    </row>
    <row r="93" ht="16.5" spans="1:11">
      <c r="A93" s="58"/>
      <c r="B93" s="58"/>
      <c r="C93" s="59"/>
      <c r="D93" s="150" t="s">
        <v>55</v>
      </c>
      <c r="E93" s="155">
        <v>38</v>
      </c>
      <c r="F93" s="151">
        <f t="shared" si="2"/>
        <v>1.48</v>
      </c>
      <c r="G93" s="151">
        <f t="shared" si="2"/>
        <v>1.48</v>
      </c>
      <c r="H93" s="152">
        <v>1728</v>
      </c>
      <c r="I93" s="153">
        <f t="shared" si="3"/>
        <v>4.56338028169014</v>
      </c>
      <c r="J93" s="142">
        <v>720</v>
      </c>
      <c r="K93" s="3">
        <f>SUM($J$56:J93)</f>
        <v>8020</v>
      </c>
    </row>
    <row r="94" ht="16.5" spans="1:11">
      <c r="A94" s="58"/>
      <c r="B94" s="58"/>
      <c r="C94" s="59"/>
      <c r="D94" s="150" t="s">
        <v>55</v>
      </c>
      <c r="E94" s="155">
        <v>39</v>
      </c>
      <c r="F94" s="151">
        <f t="shared" si="2"/>
        <v>1.52</v>
      </c>
      <c r="G94" s="151">
        <f t="shared" si="2"/>
        <v>1.52</v>
      </c>
      <c r="H94" s="152">
        <v>1776</v>
      </c>
      <c r="I94" s="153">
        <f t="shared" si="3"/>
        <v>4.69014084507042</v>
      </c>
      <c r="J94" s="142">
        <v>720</v>
      </c>
      <c r="K94" s="3">
        <f>SUM($J$56:J94)</f>
        <v>8740</v>
      </c>
    </row>
    <row r="95" ht="16.5" spans="1:11">
      <c r="A95" s="58"/>
      <c r="B95" s="58"/>
      <c r="C95" s="59"/>
      <c r="D95" s="150" t="s">
        <v>55</v>
      </c>
      <c r="E95" s="155">
        <v>40</v>
      </c>
      <c r="F95" s="151">
        <f t="shared" si="2"/>
        <v>1.56</v>
      </c>
      <c r="G95" s="151">
        <f t="shared" si="2"/>
        <v>1.56</v>
      </c>
      <c r="H95" s="152">
        <v>1824</v>
      </c>
      <c r="I95" s="153">
        <f t="shared" si="3"/>
        <v>4.8169014084507</v>
      </c>
      <c r="J95" s="142">
        <v>1080</v>
      </c>
      <c r="K95" s="3">
        <f>SUM($J$56:J95)</f>
        <v>9820</v>
      </c>
    </row>
    <row r="96" ht="16.5" spans="1:11">
      <c r="A96" s="58"/>
      <c r="B96" s="58"/>
      <c r="C96" s="59"/>
      <c r="D96" s="150" t="s">
        <v>55</v>
      </c>
      <c r="E96" s="155">
        <v>41</v>
      </c>
      <c r="F96" s="151">
        <f t="shared" si="2"/>
        <v>1.6</v>
      </c>
      <c r="G96" s="151">
        <f t="shared" si="2"/>
        <v>1.6</v>
      </c>
      <c r="H96" s="152">
        <v>1872</v>
      </c>
      <c r="I96" s="153">
        <f t="shared" si="3"/>
        <v>4.94366197183099</v>
      </c>
      <c r="J96" s="142">
        <v>1080</v>
      </c>
      <c r="K96" s="3">
        <f>SUM($J$56:J96)</f>
        <v>10900</v>
      </c>
    </row>
    <row r="97" ht="16.5" spans="1:16">
      <c r="A97" s="58"/>
      <c r="B97" s="58"/>
      <c r="C97" s="59"/>
      <c r="D97" s="150" t="s">
        <v>55</v>
      </c>
      <c r="E97" s="155">
        <v>42</v>
      </c>
      <c r="F97" s="151">
        <f t="shared" si="2"/>
        <v>1.64</v>
      </c>
      <c r="G97" s="151">
        <f t="shared" si="2"/>
        <v>1.64</v>
      </c>
      <c r="H97" s="152">
        <v>1920</v>
      </c>
      <c r="I97" s="153">
        <f t="shared" si="3"/>
        <v>5.07042253521127</v>
      </c>
      <c r="J97" s="142">
        <v>1080</v>
      </c>
      <c r="K97" s="3">
        <f>SUM($J$56:J97)</f>
        <v>11980</v>
      </c>
    </row>
    <row r="98" ht="16.5" spans="1:16">
      <c r="A98" s="58"/>
      <c r="B98" s="58"/>
      <c r="C98" s="59"/>
      <c r="D98" s="150" t="s">
        <v>55</v>
      </c>
      <c r="E98" s="155">
        <v>43</v>
      </c>
      <c r="F98" s="151">
        <f t="shared" si="2"/>
        <v>1.68</v>
      </c>
      <c r="G98" s="151">
        <f t="shared" si="2"/>
        <v>1.68</v>
      </c>
      <c r="H98" s="152">
        <v>1968</v>
      </c>
      <c r="I98" s="153">
        <f t="shared" si="3"/>
        <v>5.19718309859155</v>
      </c>
      <c r="J98" s="142">
        <v>1080</v>
      </c>
      <c r="K98" s="3">
        <f>SUM($J$56:J98)</f>
        <v>13060</v>
      </c>
    </row>
    <row r="99" ht="16.5" spans="1:16">
      <c r="A99" s="58"/>
      <c r="B99" s="58"/>
      <c r="C99" s="59"/>
      <c r="D99" s="150" t="s">
        <v>55</v>
      </c>
      <c r="E99" s="155">
        <v>44</v>
      </c>
      <c r="F99" s="151">
        <f t="shared" si="2"/>
        <v>1.72</v>
      </c>
      <c r="G99" s="151">
        <f t="shared" si="2"/>
        <v>1.72</v>
      </c>
      <c r="H99" s="152">
        <v>2016</v>
      </c>
      <c r="I99" s="153">
        <f t="shared" si="3"/>
        <v>5.32394366197183</v>
      </c>
      <c r="J99" s="142">
        <v>1080</v>
      </c>
      <c r="K99" s="3">
        <f>SUM($J$56:J99)</f>
        <v>14140</v>
      </c>
    </row>
    <row r="100" ht="16.5" spans="1:16">
      <c r="A100" s="58"/>
      <c r="B100" s="58"/>
      <c r="C100" s="59"/>
      <c r="D100" s="150" t="s">
        <v>55</v>
      </c>
      <c r="E100" s="155">
        <v>45</v>
      </c>
      <c r="F100" s="151">
        <f t="shared" si="2"/>
        <v>1.76</v>
      </c>
      <c r="G100" s="151">
        <f t="shared" si="2"/>
        <v>1.76</v>
      </c>
      <c r="H100" s="152">
        <v>2064</v>
      </c>
      <c r="I100" s="153">
        <f t="shared" si="3"/>
        <v>5.45070422535211</v>
      </c>
      <c r="J100" s="142">
        <v>1440</v>
      </c>
      <c r="K100" s="3">
        <f>SUM($J$56:J100)</f>
        <v>15580</v>
      </c>
    </row>
    <row r="101" ht="16.5" spans="1:16">
      <c r="A101" s="58"/>
      <c r="B101" s="58"/>
      <c r="C101" s="59"/>
      <c r="D101" s="150" t="s">
        <v>55</v>
      </c>
      <c r="E101" s="155">
        <v>46</v>
      </c>
      <c r="F101" s="151">
        <f t="shared" si="2"/>
        <v>1.8</v>
      </c>
      <c r="G101" s="151">
        <f t="shared" si="2"/>
        <v>1.8</v>
      </c>
      <c r="H101" s="152">
        <v>2112</v>
      </c>
      <c r="I101" s="153">
        <f t="shared" si="3"/>
        <v>5.57746478873239</v>
      </c>
      <c r="J101" s="142">
        <v>1440</v>
      </c>
      <c r="K101" s="3">
        <f>SUM($J$56:J101)</f>
        <v>17020</v>
      </c>
    </row>
    <row r="102" ht="16.5" spans="1:16">
      <c r="A102" s="58"/>
      <c r="B102" s="58"/>
      <c r="C102" s="59"/>
      <c r="D102" s="150" t="s">
        <v>55</v>
      </c>
      <c r="E102" s="155">
        <v>47</v>
      </c>
      <c r="F102" s="151">
        <f t="shared" si="2"/>
        <v>1.84</v>
      </c>
      <c r="G102" s="151">
        <f t="shared" si="2"/>
        <v>1.84</v>
      </c>
      <c r="H102" s="152">
        <v>2160</v>
      </c>
      <c r="I102" s="153">
        <f t="shared" si="3"/>
        <v>5.70422535211268</v>
      </c>
      <c r="J102" s="142">
        <v>1440</v>
      </c>
      <c r="K102" s="3">
        <f>SUM($J$56:J102)</f>
        <v>18460</v>
      </c>
    </row>
    <row r="103" ht="16.5" spans="1:16">
      <c r="A103" s="58"/>
      <c r="B103" s="58"/>
      <c r="C103" s="59"/>
      <c r="D103" s="150" t="s">
        <v>55</v>
      </c>
      <c r="E103" s="155">
        <v>48</v>
      </c>
      <c r="F103" s="151">
        <f t="shared" si="2"/>
        <v>1.88</v>
      </c>
      <c r="G103" s="151">
        <f t="shared" si="2"/>
        <v>1.88</v>
      </c>
      <c r="H103" s="152">
        <v>2208</v>
      </c>
      <c r="I103" s="153">
        <f t="shared" si="3"/>
        <v>5.83098591549296</v>
      </c>
      <c r="J103" s="142">
        <v>1440</v>
      </c>
      <c r="K103" s="3">
        <f>SUM($J$56:J103)</f>
        <v>19900</v>
      </c>
    </row>
    <row r="104" ht="16.5" spans="1:16">
      <c r="A104" s="58"/>
      <c r="B104" s="58"/>
      <c r="C104" s="59"/>
      <c r="D104" s="150" t="s">
        <v>55</v>
      </c>
      <c r="E104" s="155">
        <v>49</v>
      </c>
      <c r="F104" s="151">
        <f t="shared" si="2"/>
        <v>1.92</v>
      </c>
      <c r="G104" s="151">
        <f t="shared" si="2"/>
        <v>1.92</v>
      </c>
      <c r="H104" s="152">
        <v>2256</v>
      </c>
      <c r="I104" s="153">
        <f t="shared" si="3"/>
        <v>5.95774647887324</v>
      </c>
      <c r="J104" s="142">
        <v>1440</v>
      </c>
      <c r="K104" s="3">
        <f>SUM($J$56:J104)</f>
        <v>21340</v>
      </c>
    </row>
    <row r="105" ht="16.5" spans="1:16">
      <c r="A105" s="58"/>
      <c r="B105" s="58"/>
      <c r="C105" s="59"/>
      <c r="D105" s="150" t="s">
        <v>55</v>
      </c>
      <c r="E105" s="155">
        <v>50</v>
      </c>
      <c r="F105" s="151">
        <f t="shared" si="2"/>
        <v>1.96</v>
      </c>
      <c r="G105" s="151">
        <f t="shared" si="2"/>
        <v>1.96</v>
      </c>
      <c r="H105" s="142"/>
      <c r="I105" s="153">
        <f t="shared" si="3"/>
        <v>0</v>
      </c>
      <c r="J105" s="142"/>
    </row>
    <row r="106" ht="16.5" spans="1:16">
      <c r="A106" s="58"/>
      <c r="B106" s="58"/>
      <c r="C106" s="59"/>
      <c r="D106" s="155" t="s">
        <v>56</v>
      </c>
      <c r="E106" s="155">
        <v>1</v>
      </c>
      <c r="F106" s="151">
        <f t="shared" si="2"/>
        <v>0</v>
      </c>
      <c r="G106" s="151">
        <f t="shared" si="2"/>
        <v>0</v>
      </c>
      <c r="H106" s="152">
        <v>36</v>
      </c>
      <c r="I106" s="153">
        <f t="shared" si="3"/>
        <v>0.0950704225352113</v>
      </c>
      <c r="J106" s="142">
        <v>10</v>
      </c>
      <c r="K106">
        <f>SUM($J$106:J106)</f>
        <v>10</v>
      </c>
      <c r="L106" s="158">
        <v>24</v>
      </c>
      <c r="N106" s="160" t="s">
        <v>57</v>
      </c>
      <c r="O106" s="160">
        <v>1</v>
      </c>
      <c r="P106" s="161">
        <f t="shared" ref="P106:P120" si="4">VLOOKUP($D106,$D$38:$E$41,2,0)*($E106-1)</f>
        <v>0</v>
      </c>
    </row>
    <row r="107" ht="16.5" spans="1:16">
      <c r="A107" s="58"/>
      <c r="B107" s="58"/>
      <c r="C107" s="59"/>
      <c r="D107" s="155" t="s">
        <v>56</v>
      </c>
      <c r="E107" s="123">
        <v>2</v>
      </c>
      <c r="F107" s="151">
        <f t="shared" si="2"/>
        <v>0.05</v>
      </c>
      <c r="G107" s="151">
        <f t="shared" si="2"/>
        <v>0.05</v>
      </c>
      <c r="H107" s="152">
        <v>72</v>
      </c>
      <c r="I107" s="153">
        <f t="shared" si="3"/>
        <v>0.190140845070423</v>
      </c>
      <c r="J107" s="142">
        <v>10</v>
      </c>
      <c r="K107">
        <f>SUM($J$106:J107)</f>
        <v>20</v>
      </c>
      <c r="L107" s="158">
        <v>48</v>
      </c>
      <c r="N107" s="160" t="s">
        <v>57</v>
      </c>
      <c r="O107" s="165">
        <v>2</v>
      </c>
      <c r="P107" s="161">
        <f t="shared" si="4"/>
        <v>0.05</v>
      </c>
    </row>
    <row r="108" ht="16.5" spans="1:16">
      <c r="A108" s="58"/>
      <c r="B108" s="58"/>
      <c r="C108" s="59"/>
      <c r="D108" s="155" t="s">
        <v>56</v>
      </c>
      <c r="E108" s="155">
        <v>3</v>
      </c>
      <c r="F108" s="151">
        <f t="shared" si="2"/>
        <v>0.1</v>
      </c>
      <c r="G108" s="151">
        <f t="shared" si="2"/>
        <v>0.1</v>
      </c>
      <c r="H108" s="152">
        <v>108</v>
      </c>
      <c r="I108" s="153">
        <f t="shared" si="3"/>
        <v>0.285211267605634</v>
      </c>
      <c r="J108" s="142">
        <v>10</v>
      </c>
      <c r="K108">
        <f>SUM($J$106:J108)</f>
        <v>30</v>
      </c>
      <c r="L108" s="158">
        <v>72</v>
      </c>
      <c r="N108" s="160" t="s">
        <v>57</v>
      </c>
      <c r="O108" s="160">
        <v>3</v>
      </c>
      <c r="P108" s="161">
        <f t="shared" si="4"/>
        <v>0.1</v>
      </c>
    </row>
    <row r="109" ht="16.5" spans="1:16">
      <c r="A109" s="58"/>
      <c r="B109" s="58"/>
      <c r="C109" s="59"/>
      <c r="D109" s="155" t="s">
        <v>56</v>
      </c>
      <c r="E109" s="123">
        <v>4</v>
      </c>
      <c r="F109" s="151">
        <f t="shared" si="2"/>
        <v>0.15</v>
      </c>
      <c r="G109" s="151">
        <f t="shared" si="2"/>
        <v>0.15</v>
      </c>
      <c r="H109" s="152">
        <v>144</v>
      </c>
      <c r="I109" s="153">
        <f t="shared" si="3"/>
        <v>0.380281690140845</v>
      </c>
      <c r="J109" s="142">
        <v>10</v>
      </c>
      <c r="K109">
        <f>SUM($J$106:J109)</f>
        <v>40</v>
      </c>
      <c r="L109" s="158">
        <v>96</v>
      </c>
      <c r="N109" s="160" t="s">
        <v>57</v>
      </c>
      <c r="O109" s="165">
        <v>4</v>
      </c>
      <c r="P109" s="161">
        <f t="shared" si="4"/>
        <v>0.15</v>
      </c>
    </row>
    <row r="110" ht="16.5" spans="1:16">
      <c r="A110" s="58"/>
      <c r="B110" s="58"/>
      <c r="C110" s="59"/>
      <c r="D110" s="155" t="s">
        <v>56</v>
      </c>
      <c r="E110" s="155">
        <v>5</v>
      </c>
      <c r="F110" s="151">
        <f t="shared" si="2"/>
        <v>0.2</v>
      </c>
      <c r="G110" s="151">
        <f t="shared" si="2"/>
        <v>0.2</v>
      </c>
      <c r="H110" s="152">
        <v>216</v>
      </c>
      <c r="I110" s="153">
        <f t="shared" si="3"/>
        <v>0.570422535211268</v>
      </c>
      <c r="J110" s="142">
        <v>30</v>
      </c>
      <c r="K110">
        <f>SUM($J$106:J110)</f>
        <v>70</v>
      </c>
      <c r="L110" s="158">
        <v>144</v>
      </c>
      <c r="N110" s="160" t="s">
        <v>57</v>
      </c>
      <c r="O110" s="160">
        <v>5</v>
      </c>
      <c r="P110" s="161">
        <f t="shared" si="4"/>
        <v>0.2</v>
      </c>
    </row>
    <row r="111" ht="16.5" spans="1:16">
      <c r="A111" s="58"/>
      <c r="B111" s="58"/>
      <c r="C111" s="59"/>
      <c r="D111" s="155" t="s">
        <v>56</v>
      </c>
      <c r="E111" s="123">
        <v>6</v>
      </c>
      <c r="F111" s="151">
        <f t="shared" si="2"/>
        <v>0.25</v>
      </c>
      <c r="G111" s="151">
        <f t="shared" si="2"/>
        <v>0.25</v>
      </c>
      <c r="H111" s="152">
        <v>288</v>
      </c>
      <c r="I111" s="153">
        <f t="shared" si="3"/>
        <v>0.76056338028169</v>
      </c>
      <c r="J111" s="142">
        <v>30</v>
      </c>
      <c r="K111">
        <f>SUM($J$106:J111)</f>
        <v>100</v>
      </c>
      <c r="L111" s="158">
        <v>192</v>
      </c>
      <c r="N111" s="160" t="s">
        <v>57</v>
      </c>
      <c r="O111" s="165">
        <v>6</v>
      </c>
      <c r="P111" s="161">
        <f t="shared" si="4"/>
        <v>0.25</v>
      </c>
    </row>
    <row r="112" ht="16.5" spans="1:16">
      <c r="A112" s="58"/>
      <c r="B112" s="58"/>
      <c r="C112" s="59"/>
      <c r="D112" s="155" t="s">
        <v>56</v>
      </c>
      <c r="E112" s="155">
        <v>7</v>
      </c>
      <c r="F112" s="151">
        <f t="shared" si="2"/>
        <v>0.3</v>
      </c>
      <c r="G112" s="151">
        <f t="shared" si="2"/>
        <v>0.3</v>
      </c>
      <c r="H112" s="152">
        <v>360</v>
      </c>
      <c r="I112" s="153">
        <f t="shared" si="3"/>
        <v>0.950704225352113</v>
      </c>
      <c r="J112" s="142">
        <v>30</v>
      </c>
      <c r="K112">
        <f>SUM($J$106:J112)</f>
        <v>130</v>
      </c>
      <c r="L112" s="158">
        <v>240</v>
      </c>
      <c r="N112" s="160" t="s">
        <v>57</v>
      </c>
      <c r="O112" s="160">
        <v>7</v>
      </c>
      <c r="P112" s="161">
        <f t="shared" si="4"/>
        <v>0.3</v>
      </c>
    </row>
    <row r="113" ht="16.5" spans="1:16">
      <c r="A113" s="58"/>
      <c r="B113" s="58"/>
      <c r="C113" s="59"/>
      <c r="D113" s="155" t="s">
        <v>56</v>
      </c>
      <c r="E113" s="123">
        <v>8</v>
      </c>
      <c r="F113" s="151">
        <f t="shared" si="2"/>
        <v>0.35</v>
      </c>
      <c r="G113" s="151">
        <f t="shared" si="2"/>
        <v>0.35</v>
      </c>
      <c r="H113" s="152">
        <v>432</v>
      </c>
      <c r="I113" s="153">
        <f t="shared" si="3"/>
        <v>1.14084507042254</v>
      </c>
      <c r="J113" s="142">
        <v>30</v>
      </c>
      <c r="K113">
        <f>SUM($J$106:J113)</f>
        <v>160</v>
      </c>
      <c r="L113" s="158">
        <v>288</v>
      </c>
      <c r="N113" s="160" t="s">
        <v>57</v>
      </c>
      <c r="O113" s="165">
        <v>8</v>
      </c>
      <c r="P113" s="161">
        <f t="shared" si="4"/>
        <v>0.35</v>
      </c>
    </row>
    <row r="114" ht="16.5" spans="1:16">
      <c r="A114" s="58"/>
      <c r="B114" s="58"/>
      <c r="C114" s="59"/>
      <c r="D114" s="155" t="s">
        <v>56</v>
      </c>
      <c r="E114" s="155">
        <v>9</v>
      </c>
      <c r="F114" s="151">
        <f t="shared" si="2"/>
        <v>0.4</v>
      </c>
      <c r="G114" s="151">
        <f t="shared" si="2"/>
        <v>0.4</v>
      </c>
      <c r="H114" s="152">
        <v>504</v>
      </c>
      <c r="I114" s="153">
        <f t="shared" si="3"/>
        <v>1.33098591549296</v>
      </c>
      <c r="J114" s="142">
        <v>30</v>
      </c>
      <c r="K114">
        <f>SUM($J$106:J114)</f>
        <v>190</v>
      </c>
      <c r="L114" s="158">
        <v>336</v>
      </c>
      <c r="N114" s="160" t="s">
        <v>57</v>
      </c>
      <c r="O114" s="160">
        <v>9</v>
      </c>
      <c r="P114" s="161">
        <f t="shared" si="4"/>
        <v>0.4</v>
      </c>
    </row>
    <row r="115" ht="16.5" spans="1:16">
      <c r="A115" s="58"/>
      <c r="B115" s="58"/>
      <c r="C115" s="59"/>
      <c r="D115" s="155" t="s">
        <v>56</v>
      </c>
      <c r="E115" s="123">
        <v>10</v>
      </c>
      <c r="F115" s="151">
        <f t="shared" si="2"/>
        <v>0.45</v>
      </c>
      <c r="G115" s="151">
        <f t="shared" si="2"/>
        <v>0.45</v>
      </c>
      <c r="H115" s="152">
        <v>576</v>
      </c>
      <c r="I115" s="153">
        <f t="shared" si="3"/>
        <v>1.52112676056338</v>
      </c>
      <c r="J115" s="142">
        <v>60</v>
      </c>
      <c r="K115">
        <f>SUM($J$106:J115)</f>
        <v>250</v>
      </c>
      <c r="L115" s="158">
        <v>384</v>
      </c>
      <c r="N115" s="160" t="s">
        <v>57</v>
      </c>
      <c r="O115" s="165">
        <v>10</v>
      </c>
      <c r="P115" s="161">
        <f t="shared" si="4"/>
        <v>0.45</v>
      </c>
    </row>
    <row r="116" ht="16.5" spans="1:16">
      <c r="A116" s="58"/>
      <c r="B116" s="58"/>
      <c r="C116" s="59"/>
      <c r="D116" s="155" t="s">
        <v>56</v>
      </c>
      <c r="E116" s="155">
        <v>11</v>
      </c>
      <c r="F116" s="151">
        <f t="shared" si="2"/>
        <v>0.5</v>
      </c>
      <c r="G116" s="151">
        <f t="shared" si="2"/>
        <v>0.5</v>
      </c>
      <c r="H116" s="152">
        <v>648</v>
      </c>
      <c r="I116" s="153">
        <f t="shared" si="3"/>
        <v>1.7112676056338</v>
      </c>
      <c r="J116" s="142">
        <v>60</v>
      </c>
      <c r="K116">
        <f>SUM($J$106:J116)</f>
        <v>310</v>
      </c>
      <c r="L116" s="158">
        <v>432</v>
      </c>
      <c r="N116" s="160" t="s">
        <v>57</v>
      </c>
      <c r="O116" s="160">
        <v>11</v>
      </c>
      <c r="P116" s="161">
        <f t="shared" si="4"/>
        <v>0.5</v>
      </c>
    </row>
    <row r="117" ht="16.5" spans="1:16">
      <c r="A117" s="58"/>
      <c r="B117" s="58"/>
      <c r="C117" s="59"/>
      <c r="D117" s="155" t="s">
        <v>56</v>
      </c>
      <c r="E117" s="123">
        <v>12</v>
      </c>
      <c r="F117" s="151">
        <f t="shared" si="2"/>
        <v>0.55</v>
      </c>
      <c r="G117" s="151">
        <f t="shared" si="2"/>
        <v>0.55</v>
      </c>
      <c r="H117" s="152">
        <v>720</v>
      </c>
      <c r="I117" s="153">
        <f t="shared" si="3"/>
        <v>1.90140845070423</v>
      </c>
      <c r="J117" s="142">
        <v>60</v>
      </c>
      <c r="K117">
        <f>SUM($J$106:J117)</f>
        <v>370</v>
      </c>
      <c r="L117" s="158">
        <v>480</v>
      </c>
      <c r="N117" s="160" t="s">
        <v>57</v>
      </c>
      <c r="O117" s="165">
        <v>12</v>
      </c>
      <c r="P117" s="161">
        <f t="shared" si="4"/>
        <v>0.55</v>
      </c>
    </row>
    <row r="118" ht="16.5" spans="1:16">
      <c r="A118" s="58"/>
      <c r="B118" s="58"/>
      <c r="C118" s="59"/>
      <c r="D118" s="155" t="s">
        <v>56</v>
      </c>
      <c r="E118" s="155">
        <v>13</v>
      </c>
      <c r="F118" s="151">
        <f t="shared" si="2"/>
        <v>0.6</v>
      </c>
      <c r="G118" s="151">
        <f t="shared" si="2"/>
        <v>0.6</v>
      </c>
      <c r="H118" s="152">
        <v>792</v>
      </c>
      <c r="I118" s="153">
        <f t="shared" si="3"/>
        <v>2.09154929577465</v>
      </c>
      <c r="J118" s="142">
        <v>60</v>
      </c>
      <c r="K118">
        <f>SUM($J$106:J118)</f>
        <v>430</v>
      </c>
      <c r="L118" s="158">
        <v>528</v>
      </c>
      <c r="N118" s="160" t="s">
        <v>57</v>
      </c>
      <c r="O118" s="160">
        <v>13</v>
      </c>
      <c r="P118" s="161">
        <f t="shared" si="4"/>
        <v>0.6</v>
      </c>
    </row>
    <row r="119" ht="16.5" spans="1:16">
      <c r="A119" s="58"/>
      <c r="B119" s="58"/>
      <c r="C119" s="59"/>
      <c r="D119" s="155" t="s">
        <v>56</v>
      </c>
      <c r="E119" s="123">
        <v>14</v>
      </c>
      <c r="F119" s="151">
        <f t="shared" si="2"/>
        <v>0.65</v>
      </c>
      <c r="G119" s="151">
        <f t="shared" si="2"/>
        <v>0.65</v>
      </c>
      <c r="H119" s="152">
        <v>864</v>
      </c>
      <c r="I119" s="153">
        <f t="shared" si="3"/>
        <v>2.28169014084507</v>
      </c>
      <c r="J119" s="142">
        <v>60</v>
      </c>
      <c r="K119">
        <f>SUM($J$106:J119)</f>
        <v>490</v>
      </c>
      <c r="L119" s="158">
        <v>576</v>
      </c>
      <c r="N119" s="160" t="s">
        <v>57</v>
      </c>
      <c r="O119" s="165">
        <v>14</v>
      </c>
      <c r="P119" s="161">
        <f t="shared" si="4"/>
        <v>0.65</v>
      </c>
    </row>
    <row r="120" ht="16.5" spans="1:16">
      <c r="A120" s="58"/>
      <c r="B120" s="58"/>
      <c r="C120" s="59"/>
      <c r="D120" s="155" t="s">
        <v>56</v>
      </c>
      <c r="E120" s="159">
        <v>15</v>
      </c>
      <c r="F120" s="151">
        <f t="shared" si="2"/>
        <v>0.7</v>
      </c>
      <c r="G120" s="151">
        <f t="shared" si="2"/>
        <v>0.7</v>
      </c>
      <c r="H120" s="152">
        <v>936</v>
      </c>
      <c r="I120" s="153">
        <f t="shared" si="3"/>
        <v>2.47183098591549</v>
      </c>
      <c r="J120" s="142">
        <v>90</v>
      </c>
      <c r="K120">
        <f>SUM($J$106:J120)</f>
        <v>580</v>
      </c>
      <c r="L120" s="158">
        <v>624</v>
      </c>
      <c r="M120" s="14">
        <v>0.5</v>
      </c>
      <c r="N120" s="160" t="s">
        <v>57</v>
      </c>
      <c r="O120" s="166">
        <v>15</v>
      </c>
      <c r="P120" s="161">
        <f t="shared" si="4"/>
        <v>0.7</v>
      </c>
    </row>
    <row r="121" ht="16.5" spans="1:16">
      <c r="A121" s="58"/>
      <c r="B121" s="58"/>
      <c r="C121" s="59"/>
      <c r="D121" s="155" t="s">
        <v>56</v>
      </c>
      <c r="E121" s="123">
        <v>16</v>
      </c>
      <c r="F121" s="151">
        <f t="shared" si="2"/>
        <v>0.75</v>
      </c>
      <c r="G121" s="151">
        <f t="shared" si="2"/>
        <v>0.75</v>
      </c>
      <c r="H121" s="152">
        <v>1008</v>
      </c>
      <c r="I121" s="153">
        <f t="shared" ref="I121:I152" si="5">H121*6/$E$13</f>
        <v>2.66197183098592</v>
      </c>
      <c r="J121" s="142">
        <v>90</v>
      </c>
      <c r="K121">
        <f>SUM($J$106:J121)</f>
        <v>670</v>
      </c>
      <c r="L121" s="158">
        <v>672</v>
      </c>
    </row>
    <row r="122" ht="16.5" spans="1:16">
      <c r="A122" s="58"/>
      <c r="B122" s="58"/>
      <c r="C122" s="59"/>
      <c r="D122" s="155" t="s">
        <v>56</v>
      </c>
      <c r="E122" s="155">
        <v>17</v>
      </c>
      <c r="F122" s="151">
        <f t="shared" si="2"/>
        <v>0.8</v>
      </c>
      <c r="G122" s="151">
        <f t="shared" si="2"/>
        <v>0.8</v>
      </c>
      <c r="H122" s="152">
        <v>1080</v>
      </c>
      <c r="I122" s="153">
        <f t="shared" si="5"/>
        <v>2.85211267605634</v>
      </c>
      <c r="J122" s="142">
        <v>90</v>
      </c>
      <c r="K122">
        <f>SUM($J$106:J122)</f>
        <v>760</v>
      </c>
      <c r="L122" s="158">
        <v>720</v>
      </c>
    </row>
    <row r="123" ht="16.5" spans="1:16">
      <c r="A123" s="58"/>
      <c r="B123" s="58"/>
      <c r="C123" s="59"/>
      <c r="D123" s="155" t="s">
        <v>56</v>
      </c>
      <c r="E123" s="123">
        <v>18</v>
      </c>
      <c r="F123" s="151">
        <f t="shared" si="2"/>
        <v>0.85</v>
      </c>
      <c r="G123" s="151">
        <f t="shared" si="2"/>
        <v>0.85</v>
      </c>
      <c r="H123" s="152">
        <v>1152</v>
      </c>
      <c r="I123" s="153">
        <f t="shared" si="5"/>
        <v>3.04225352112676</v>
      </c>
      <c r="J123" s="142">
        <v>90</v>
      </c>
      <c r="K123">
        <f>SUM($J$106:J123)</f>
        <v>850</v>
      </c>
      <c r="L123" s="158">
        <v>768</v>
      </c>
    </row>
    <row r="124" ht="16.5" spans="1:16">
      <c r="A124" s="58"/>
      <c r="B124" s="58"/>
      <c r="C124" s="59"/>
      <c r="D124" s="155" t="s">
        <v>56</v>
      </c>
      <c r="E124" s="155">
        <v>19</v>
      </c>
      <c r="F124" s="151">
        <f t="shared" si="2"/>
        <v>0.9</v>
      </c>
      <c r="G124" s="151">
        <f t="shared" si="2"/>
        <v>0.9</v>
      </c>
      <c r="H124" s="152">
        <v>1224</v>
      </c>
      <c r="I124" s="153">
        <f t="shared" si="5"/>
        <v>3.23239436619718</v>
      </c>
      <c r="J124" s="142">
        <v>90</v>
      </c>
      <c r="K124">
        <f>SUM($J$106:J124)</f>
        <v>940</v>
      </c>
      <c r="L124" s="158">
        <v>816</v>
      </c>
    </row>
    <row r="125" ht="16.5" spans="1:16">
      <c r="A125" s="58"/>
      <c r="B125" s="58"/>
      <c r="C125" s="59"/>
      <c r="D125" s="155" t="s">
        <v>56</v>
      </c>
      <c r="E125" s="123">
        <v>20</v>
      </c>
      <c r="F125" s="151">
        <f t="shared" si="2"/>
        <v>0.95</v>
      </c>
      <c r="G125" s="151">
        <f t="shared" si="2"/>
        <v>0.95</v>
      </c>
      <c r="H125" s="152">
        <v>1296</v>
      </c>
      <c r="I125" s="153">
        <f t="shared" si="5"/>
        <v>3.42253521126761</v>
      </c>
      <c r="J125" s="142">
        <v>120</v>
      </c>
      <c r="K125">
        <f>SUM($J$106:J125)</f>
        <v>1060</v>
      </c>
      <c r="L125" s="158">
        <v>864</v>
      </c>
    </row>
    <row r="126" ht="16.5" spans="1:16">
      <c r="A126" s="58"/>
      <c r="B126" s="58"/>
      <c r="C126" s="59"/>
      <c r="D126" s="155" t="s">
        <v>56</v>
      </c>
      <c r="E126" s="155">
        <v>21</v>
      </c>
      <c r="F126" s="151">
        <f t="shared" si="2"/>
        <v>1</v>
      </c>
      <c r="G126" s="151">
        <f t="shared" si="2"/>
        <v>1</v>
      </c>
      <c r="H126" s="152">
        <v>1368</v>
      </c>
      <c r="I126" s="153">
        <f t="shared" si="5"/>
        <v>3.61267605633803</v>
      </c>
      <c r="J126" s="142">
        <v>120</v>
      </c>
      <c r="K126">
        <f>SUM($J$106:J126)</f>
        <v>1180</v>
      </c>
      <c r="L126" s="158">
        <v>912</v>
      </c>
    </row>
    <row r="127" ht="16.5" spans="1:16">
      <c r="A127" s="58"/>
      <c r="B127" s="58"/>
      <c r="C127" s="59"/>
      <c r="D127" s="155" t="s">
        <v>56</v>
      </c>
      <c r="E127" s="123">
        <v>22</v>
      </c>
      <c r="F127" s="151">
        <f t="shared" si="2"/>
        <v>1.05</v>
      </c>
      <c r="G127" s="151">
        <f t="shared" si="2"/>
        <v>1.05</v>
      </c>
      <c r="H127" s="152">
        <v>1440</v>
      </c>
      <c r="I127" s="153">
        <f t="shared" si="5"/>
        <v>3.80281690140845</v>
      </c>
      <c r="J127" s="142">
        <v>120</v>
      </c>
      <c r="K127">
        <f>SUM($J$106:J127)</f>
        <v>1300</v>
      </c>
      <c r="L127" s="158">
        <v>960</v>
      </c>
    </row>
    <row r="128" ht="16.5" spans="1:16">
      <c r="A128" s="58"/>
      <c r="B128" s="58"/>
      <c r="C128" s="59"/>
      <c r="D128" s="155" t="s">
        <v>56</v>
      </c>
      <c r="E128" s="155">
        <v>23</v>
      </c>
      <c r="F128" s="151">
        <f t="shared" si="2"/>
        <v>1.1</v>
      </c>
      <c r="G128" s="151">
        <f t="shared" si="2"/>
        <v>1.1</v>
      </c>
      <c r="H128" s="152">
        <v>1512</v>
      </c>
      <c r="I128" s="153">
        <f t="shared" si="5"/>
        <v>3.99295774647887</v>
      </c>
      <c r="J128" s="142">
        <v>120</v>
      </c>
      <c r="K128">
        <f>SUM($J$106:J128)</f>
        <v>1420</v>
      </c>
      <c r="L128" s="158">
        <v>1008</v>
      </c>
    </row>
    <row r="129" ht="16.5" spans="1:12">
      <c r="A129" s="58"/>
      <c r="B129" s="58"/>
      <c r="C129" s="59"/>
      <c r="D129" s="155" t="s">
        <v>56</v>
      </c>
      <c r="E129" s="123">
        <v>24</v>
      </c>
      <c r="F129" s="151">
        <f t="shared" si="2"/>
        <v>1.15</v>
      </c>
      <c r="G129" s="151">
        <f t="shared" si="2"/>
        <v>1.15</v>
      </c>
      <c r="H129" s="152">
        <v>1584</v>
      </c>
      <c r="I129" s="153">
        <f t="shared" si="5"/>
        <v>4.1830985915493</v>
      </c>
      <c r="J129" s="142">
        <v>120</v>
      </c>
      <c r="K129">
        <f>SUM($J$106:J129)</f>
        <v>1540</v>
      </c>
      <c r="L129" s="158">
        <v>1056</v>
      </c>
    </row>
    <row r="130" ht="16.5" spans="1:12">
      <c r="A130" s="58"/>
      <c r="B130" s="58"/>
      <c r="C130" s="59"/>
      <c r="D130" s="155" t="s">
        <v>56</v>
      </c>
      <c r="E130" s="155">
        <v>25</v>
      </c>
      <c r="F130" s="151">
        <f t="shared" si="2"/>
        <v>1.2</v>
      </c>
      <c r="G130" s="151">
        <f t="shared" si="2"/>
        <v>1.2</v>
      </c>
      <c r="H130" s="152">
        <v>1656</v>
      </c>
      <c r="I130" s="153">
        <f t="shared" si="5"/>
        <v>4.37323943661972</v>
      </c>
      <c r="J130" s="142">
        <v>240</v>
      </c>
      <c r="K130">
        <f>SUM($J$106:J130)</f>
        <v>1780</v>
      </c>
      <c r="L130" s="158">
        <v>1104</v>
      </c>
    </row>
    <row r="131" ht="16.5" spans="1:12">
      <c r="A131" s="58"/>
      <c r="B131" s="58"/>
      <c r="C131" s="59"/>
      <c r="D131" s="155" t="s">
        <v>56</v>
      </c>
      <c r="E131" s="123">
        <v>26</v>
      </c>
      <c r="F131" s="151">
        <f t="shared" si="2"/>
        <v>1.25</v>
      </c>
      <c r="G131" s="151">
        <f t="shared" si="2"/>
        <v>1.25</v>
      </c>
      <c r="H131" s="152">
        <v>1728</v>
      </c>
      <c r="I131" s="153">
        <f t="shared" si="5"/>
        <v>4.56338028169014</v>
      </c>
      <c r="J131" s="142">
        <v>240</v>
      </c>
      <c r="K131">
        <f>SUM($J$106:J131)</f>
        <v>2020</v>
      </c>
      <c r="L131" s="158">
        <v>1152</v>
      </c>
    </row>
    <row r="132" ht="16.5" spans="1:12">
      <c r="A132" s="58"/>
      <c r="B132" s="58"/>
      <c r="C132" s="59"/>
      <c r="D132" s="155" t="s">
        <v>56</v>
      </c>
      <c r="E132" s="155">
        <v>27</v>
      </c>
      <c r="F132" s="151">
        <f t="shared" si="2"/>
        <v>1.3</v>
      </c>
      <c r="G132" s="151">
        <f t="shared" si="2"/>
        <v>1.3</v>
      </c>
      <c r="H132" s="152">
        <v>1800</v>
      </c>
      <c r="I132" s="153">
        <f t="shared" si="5"/>
        <v>4.75352112676056</v>
      </c>
      <c r="J132" s="142">
        <v>240</v>
      </c>
      <c r="K132">
        <f>SUM($J$106:J132)</f>
        <v>2260</v>
      </c>
      <c r="L132" s="158">
        <v>1200</v>
      </c>
    </row>
    <row r="133" ht="16.5" spans="1:12">
      <c r="A133" s="58"/>
      <c r="B133" s="58"/>
      <c r="C133" s="59"/>
      <c r="D133" s="155" t="s">
        <v>56</v>
      </c>
      <c r="E133" s="123">
        <v>28</v>
      </c>
      <c r="F133" s="151">
        <f t="shared" si="2"/>
        <v>1.35</v>
      </c>
      <c r="G133" s="151">
        <f t="shared" si="2"/>
        <v>1.35</v>
      </c>
      <c r="H133" s="152">
        <v>1872</v>
      </c>
      <c r="I133" s="153">
        <f t="shared" si="5"/>
        <v>4.94366197183099</v>
      </c>
      <c r="J133" s="142">
        <v>240</v>
      </c>
      <c r="K133">
        <f>SUM($J$106:J133)</f>
        <v>2500</v>
      </c>
      <c r="L133" s="158">
        <v>1248</v>
      </c>
    </row>
    <row r="134" ht="16.5" spans="1:12">
      <c r="A134" s="58"/>
      <c r="B134" s="58"/>
      <c r="C134" s="59"/>
      <c r="D134" s="155" t="s">
        <v>56</v>
      </c>
      <c r="E134" s="155">
        <v>29</v>
      </c>
      <c r="F134" s="151">
        <f t="shared" si="2"/>
        <v>1.4</v>
      </c>
      <c r="G134" s="151">
        <f t="shared" si="2"/>
        <v>1.4</v>
      </c>
      <c r="H134" s="152">
        <v>1944</v>
      </c>
      <c r="I134" s="153">
        <f t="shared" si="5"/>
        <v>5.13380281690141</v>
      </c>
      <c r="J134" s="142">
        <v>240</v>
      </c>
      <c r="K134">
        <f>SUM($J$106:J134)</f>
        <v>2740</v>
      </c>
      <c r="L134" s="158">
        <v>1296</v>
      </c>
    </row>
    <row r="135" ht="16.5" spans="1:12">
      <c r="A135" s="58"/>
      <c r="B135" s="58"/>
      <c r="C135" s="59"/>
      <c r="D135" s="155" t="s">
        <v>56</v>
      </c>
      <c r="E135" s="123">
        <v>30</v>
      </c>
      <c r="F135" s="151">
        <f t="shared" si="2"/>
        <v>1.45</v>
      </c>
      <c r="G135" s="151">
        <f t="shared" si="2"/>
        <v>1.45</v>
      </c>
      <c r="H135" s="152">
        <v>2016</v>
      </c>
      <c r="I135" s="153">
        <f t="shared" si="5"/>
        <v>5.32394366197183</v>
      </c>
      <c r="J135" s="142">
        <v>480</v>
      </c>
      <c r="K135">
        <f>SUM($J$106:J135)</f>
        <v>3220</v>
      </c>
      <c r="L135" s="158">
        <v>1344</v>
      </c>
    </row>
    <row r="136" ht="16.5" spans="1:12">
      <c r="A136" s="58"/>
      <c r="B136" s="58"/>
      <c r="C136" s="59"/>
      <c r="D136" s="155" t="s">
        <v>56</v>
      </c>
      <c r="E136" s="155">
        <v>31</v>
      </c>
      <c r="F136" s="151">
        <f t="shared" si="2"/>
        <v>1.5</v>
      </c>
      <c r="G136" s="151">
        <f t="shared" si="2"/>
        <v>1.5</v>
      </c>
      <c r="H136" s="152">
        <v>2088</v>
      </c>
      <c r="I136" s="153">
        <f t="shared" si="5"/>
        <v>5.51408450704225</v>
      </c>
      <c r="J136" s="142">
        <v>480</v>
      </c>
      <c r="K136">
        <f>SUM($J$106:J136)</f>
        <v>3700</v>
      </c>
      <c r="L136" s="158">
        <v>1392</v>
      </c>
    </row>
    <row r="137" ht="16.5" spans="1:12">
      <c r="A137" s="58"/>
      <c r="B137" s="58"/>
      <c r="C137" s="59"/>
      <c r="D137" s="155" t="s">
        <v>56</v>
      </c>
      <c r="E137" s="123">
        <v>32</v>
      </c>
      <c r="F137" s="151">
        <f t="shared" si="2"/>
        <v>1.55</v>
      </c>
      <c r="G137" s="151">
        <f t="shared" si="2"/>
        <v>1.55</v>
      </c>
      <c r="H137" s="152">
        <v>2160</v>
      </c>
      <c r="I137" s="153">
        <f t="shared" si="5"/>
        <v>5.70422535211268</v>
      </c>
      <c r="J137" s="142">
        <v>480</v>
      </c>
      <c r="K137">
        <f>SUM($J$106:J137)</f>
        <v>4180</v>
      </c>
      <c r="L137" s="158">
        <v>1440</v>
      </c>
    </row>
    <row r="138" ht="16.5" spans="1:12">
      <c r="A138" s="58"/>
      <c r="B138" s="58"/>
      <c r="C138" s="59"/>
      <c r="D138" s="155" t="s">
        <v>56</v>
      </c>
      <c r="E138" s="155">
        <v>33</v>
      </c>
      <c r="F138" s="151">
        <f t="shared" si="2"/>
        <v>1.6</v>
      </c>
      <c r="G138" s="151">
        <f t="shared" si="2"/>
        <v>1.6</v>
      </c>
      <c r="H138" s="152">
        <v>2232</v>
      </c>
      <c r="I138" s="153">
        <f t="shared" si="5"/>
        <v>5.8943661971831</v>
      </c>
      <c r="J138" s="142">
        <v>480</v>
      </c>
      <c r="K138">
        <f>SUM($J$106:J138)</f>
        <v>4660</v>
      </c>
      <c r="L138" s="158">
        <v>1488</v>
      </c>
    </row>
    <row r="139" ht="16.5" spans="1:12">
      <c r="A139" s="58"/>
      <c r="B139" s="58"/>
      <c r="C139" s="59"/>
      <c r="D139" s="155" t="s">
        <v>56</v>
      </c>
      <c r="E139" s="123">
        <v>34</v>
      </c>
      <c r="F139" s="151">
        <f t="shared" si="2"/>
        <v>1.65</v>
      </c>
      <c r="G139" s="151">
        <f t="shared" si="2"/>
        <v>1.65</v>
      </c>
      <c r="H139" s="152">
        <v>2304</v>
      </c>
      <c r="I139" s="153">
        <f t="shared" si="5"/>
        <v>6.08450704225352</v>
      </c>
      <c r="J139" s="142">
        <v>480</v>
      </c>
      <c r="K139">
        <f>SUM($J$106:J139)</f>
        <v>5140</v>
      </c>
      <c r="L139" s="158">
        <v>1536</v>
      </c>
    </row>
    <row r="140" ht="16.5" spans="1:12">
      <c r="A140" s="58"/>
      <c r="B140" s="58"/>
      <c r="C140" s="59"/>
      <c r="D140" s="155" t="s">
        <v>56</v>
      </c>
      <c r="E140" s="155">
        <v>35</v>
      </c>
      <c r="F140" s="151">
        <f t="shared" si="2"/>
        <v>1.7</v>
      </c>
      <c r="G140" s="151">
        <f t="shared" si="2"/>
        <v>1.7</v>
      </c>
      <c r="H140" s="152">
        <v>2376</v>
      </c>
      <c r="I140" s="153">
        <f t="shared" si="5"/>
        <v>6.27464788732394</v>
      </c>
      <c r="J140" s="142">
        <v>720</v>
      </c>
      <c r="K140">
        <f>SUM($J$106:J140)</f>
        <v>5860</v>
      </c>
      <c r="L140" s="158">
        <v>1584</v>
      </c>
    </row>
    <row r="141" ht="16.5" spans="1:12">
      <c r="A141" s="58"/>
      <c r="B141" s="58"/>
      <c r="C141" s="59"/>
      <c r="D141" s="155" t="s">
        <v>56</v>
      </c>
      <c r="E141" s="123">
        <v>36</v>
      </c>
      <c r="F141" s="151">
        <f t="shared" si="2"/>
        <v>1.75</v>
      </c>
      <c r="G141" s="151">
        <f t="shared" si="2"/>
        <v>1.75</v>
      </c>
      <c r="H141" s="152">
        <v>2448</v>
      </c>
      <c r="I141" s="153">
        <f t="shared" si="5"/>
        <v>6.46478873239437</v>
      </c>
      <c r="J141" s="142">
        <v>720</v>
      </c>
      <c r="K141">
        <f>SUM($J$106:J141)</f>
        <v>6580</v>
      </c>
      <c r="L141" s="158">
        <v>1632</v>
      </c>
    </row>
    <row r="142" ht="16.5" spans="1:12">
      <c r="A142" s="58"/>
      <c r="B142" s="58"/>
      <c r="C142" s="59"/>
      <c r="D142" s="155" t="s">
        <v>56</v>
      </c>
      <c r="E142" s="155">
        <v>37</v>
      </c>
      <c r="F142" s="151">
        <f t="shared" si="2"/>
        <v>1.8</v>
      </c>
      <c r="G142" s="151">
        <f t="shared" si="2"/>
        <v>1.8</v>
      </c>
      <c r="H142" s="152">
        <v>2520</v>
      </c>
      <c r="I142" s="153">
        <f t="shared" si="5"/>
        <v>6.65492957746479</v>
      </c>
      <c r="J142" s="142">
        <v>720</v>
      </c>
      <c r="K142">
        <f>SUM($J$106:J142)</f>
        <v>7300</v>
      </c>
      <c r="L142" s="158">
        <v>1680</v>
      </c>
    </row>
    <row r="143" ht="16.5" spans="1:12">
      <c r="A143" s="58"/>
      <c r="B143" s="58"/>
      <c r="C143" s="59"/>
      <c r="D143" s="155" t="s">
        <v>56</v>
      </c>
      <c r="E143" s="123">
        <v>38</v>
      </c>
      <c r="F143" s="151">
        <f t="shared" si="2"/>
        <v>1.85</v>
      </c>
      <c r="G143" s="151">
        <f t="shared" si="2"/>
        <v>1.85</v>
      </c>
      <c r="H143" s="152">
        <v>2592</v>
      </c>
      <c r="I143" s="153">
        <f t="shared" si="5"/>
        <v>6.84507042253521</v>
      </c>
      <c r="J143" s="142">
        <v>720</v>
      </c>
      <c r="K143">
        <f>SUM($J$106:J143)</f>
        <v>8020</v>
      </c>
      <c r="L143" s="158">
        <v>1728</v>
      </c>
    </row>
    <row r="144" ht="16.5" spans="1:12">
      <c r="A144" s="58"/>
      <c r="B144" s="58"/>
      <c r="C144" s="59"/>
      <c r="D144" s="155" t="s">
        <v>56</v>
      </c>
      <c r="E144" s="155">
        <v>39</v>
      </c>
      <c r="F144" s="151">
        <f t="shared" si="2"/>
        <v>1.9</v>
      </c>
      <c r="G144" s="151">
        <f t="shared" si="2"/>
        <v>1.9</v>
      </c>
      <c r="H144" s="152">
        <v>2664</v>
      </c>
      <c r="I144" s="153">
        <f t="shared" si="5"/>
        <v>7.03521126760563</v>
      </c>
      <c r="J144" s="142">
        <v>720</v>
      </c>
      <c r="K144">
        <f>SUM($J$106:J144)</f>
        <v>8740</v>
      </c>
      <c r="L144" s="158">
        <v>1776</v>
      </c>
    </row>
    <row r="145" ht="16.5" spans="1:19">
      <c r="A145" s="58"/>
      <c r="B145" s="58"/>
      <c r="C145" s="59"/>
      <c r="D145" s="155" t="s">
        <v>56</v>
      </c>
      <c r="E145" s="123">
        <v>40</v>
      </c>
      <c r="F145" s="151">
        <f t="shared" si="2"/>
        <v>1.95</v>
      </c>
      <c r="G145" s="151">
        <f t="shared" si="2"/>
        <v>1.95</v>
      </c>
      <c r="H145" s="152">
        <v>2736</v>
      </c>
      <c r="I145" s="153">
        <f t="shared" si="5"/>
        <v>7.22535211267606</v>
      </c>
      <c r="J145" s="142">
        <v>1080</v>
      </c>
      <c r="K145">
        <f>SUM($J$106:J145)</f>
        <v>9820</v>
      </c>
      <c r="L145" s="158">
        <v>1824</v>
      </c>
    </row>
    <row r="146" ht="16.5" spans="1:19">
      <c r="A146" s="58"/>
      <c r="B146" s="58"/>
      <c r="C146" s="59"/>
      <c r="D146" s="155" t="s">
        <v>56</v>
      </c>
      <c r="E146" s="155">
        <v>41</v>
      </c>
      <c r="F146" s="151">
        <f t="shared" si="2"/>
        <v>2</v>
      </c>
      <c r="G146" s="151">
        <f t="shared" si="2"/>
        <v>2</v>
      </c>
      <c r="H146" s="152">
        <v>2808</v>
      </c>
      <c r="I146" s="153">
        <f t="shared" si="5"/>
        <v>7.41549295774648</v>
      </c>
      <c r="J146" s="142">
        <v>1080</v>
      </c>
      <c r="K146">
        <f>SUM($J$106:J146)</f>
        <v>10900</v>
      </c>
      <c r="L146" s="158">
        <v>1872</v>
      </c>
    </row>
    <row r="147" ht="16.5" spans="1:19">
      <c r="A147" s="58"/>
      <c r="B147" s="58"/>
      <c r="C147" s="59"/>
      <c r="D147" s="155" t="s">
        <v>56</v>
      </c>
      <c r="E147" s="123">
        <v>42</v>
      </c>
      <c r="F147" s="151">
        <f t="shared" si="2"/>
        <v>2.05</v>
      </c>
      <c r="G147" s="151">
        <f t="shared" si="2"/>
        <v>2.05</v>
      </c>
      <c r="H147" s="152">
        <v>2880</v>
      </c>
      <c r="I147" s="153">
        <f t="shared" si="5"/>
        <v>7.6056338028169</v>
      </c>
      <c r="J147" s="142">
        <v>1080</v>
      </c>
      <c r="K147">
        <f>SUM($J$106:J147)</f>
        <v>11980</v>
      </c>
      <c r="L147" s="158">
        <v>1920</v>
      </c>
    </row>
    <row r="148" ht="16.5" spans="1:19">
      <c r="A148" s="58"/>
      <c r="B148" s="58"/>
      <c r="C148" s="59"/>
      <c r="D148" s="155" t="s">
        <v>56</v>
      </c>
      <c r="E148" s="155">
        <v>43</v>
      </c>
      <c r="F148" s="151">
        <f t="shared" si="2"/>
        <v>2.1</v>
      </c>
      <c r="G148" s="151">
        <f t="shared" si="2"/>
        <v>2.1</v>
      </c>
      <c r="H148" s="152">
        <v>2952</v>
      </c>
      <c r="I148" s="153">
        <f t="shared" si="5"/>
        <v>7.79577464788732</v>
      </c>
      <c r="J148" s="142">
        <v>1080</v>
      </c>
      <c r="K148">
        <f>SUM($J$106:J148)</f>
        <v>13060</v>
      </c>
      <c r="L148" s="158">
        <v>1968</v>
      </c>
    </row>
    <row r="149" ht="16.5" spans="1:19">
      <c r="A149" s="58"/>
      <c r="B149" s="58"/>
      <c r="C149" s="59"/>
      <c r="D149" s="155" t="s">
        <v>56</v>
      </c>
      <c r="E149" s="123">
        <v>44</v>
      </c>
      <c r="F149" s="151">
        <f t="shared" si="2"/>
        <v>2.15</v>
      </c>
      <c r="G149" s="151">
        <f t="shared" si="2"/>
        <v>2.15</v>
      </c>
      <c r="H149" s="152">
        <v>3024</v>
      </c>
      <c r="I149" s="153">
        <f t="shared" si="5"/>
        <v>7.98591549295775</v>
      </c>
      <c r="J149" s="142">
        <v>1080</v>
      </c>
      <c r="K149">
        <f>SUM($J$106:J149)</f>
        <v>14140</v>
      </c>
      <c r="L149" s="158">
        <v>2016</v>
      </c>
    </row>
    <row r="150" ht="16.5" spans="1:19">
      <c r="A150" s="58"/>
      <c r="B150" s="58"/>
      <c r="C150" s="59"/>
      <c r="D150" s="155" t="s">
        <v>56</v>
      </c>
      <c r="E150" s="155">
        <v>45</v>
      </c>
      <c r="F150" s="151">
        <f t="shared" si="2"/>
        <v>2.2</v>
      </c>
      <c r="G150" s="151">
        <f t="shared" si="2"/>
        <v>2.2</v>
      </c>
      <c r="H150" s="152">
        <v>3096</v>
      </c>
      <c r="I150" s="153">
        <f t="shared" si="5"/>
        <v>8.17605633802817</v>
      </c>
      <c r="J150" s="142">
        <v>1440</v>
      </c>
      <c r="K150">
        <f>SUM($J$106:J150)</f>
        <v>15580</v>
      </c>
      <c r="L150" s="158">
        <v>2064</v>
      </c>
    </row>
    <row r="151" ht="16.5" spans="1:19">
      <c r="A151" s="58"/>
      <c r="B151" s="58"/>
      <c r="C151" s="59"/>
      <c r="D151" s="155" t="s">
        <v>56</v>
      </c>
      <c r="E151" s="123">
        <v>46</v>
      </c>
      <c r="F151" s="151">
        <f t="shared" si="2"/>
        <v>2.25</v>
      </c>
      <c r="G151" s="151">
        <f t="shared" si="2"/>
        <v>2.25</v>
      </c>
      <c r="H151" s="152">
        <v>3168</v>
      </c>
      <c r="I151" s="153">
        <f t="shared" si="5"/>
        <v>8.36619718309859</v>
      </c>
      <c r="J151" s="142">
        <v>1440</v>
      </c>
      <c r="K151">
        <f>SUM($J$106:J151)</f>
        <v>17020</v>
      </c>
      <c r="L151" s="158">
        <v>2112</v>
      </c>
    </row>
    <row r="152" ht="16.5" spans="1:19">
      <c r="A152" s="58"/>
      <c r="B152" s="58"/>
      <c r="C152" s="59"/>
      <c r="D152" s="155" t="s">
        <v>56</v>
      </c>
      <c r="E152" s="155">
        <v>47</v>
      </c>
      <c r="F152" s="151">
        <f t="shared" ref="F152:G215" si="6">VLOOKUP($D152,$D$38:$E$41,2,0)*($E152-1)</f>
        <v>2.3</v>
      </c>
      <c r="G152" s="151">
        <f t="shared" si="6"/>
        <v>2.3</v>
      </c>
      <c r="H152" s="152">
        <v>3240</v>
      </c>
      <c r="I152" s="153">
        <f t="shared" si="5"/>
        <v>8.55633802816901</v>
      </c>
      <c r="J152" s="142">
        <v>1440</v>
      </c>
      <c r="K152">
        <f>SUM($J$106:J152)</f>
        <v>18460</v>
      </c>
      <c r="L152" s="158">
        <v>2160</v>
      </c>
    </row>
    <row r="153" ht="16.5" spans="1:19">
      <c r="A153" s="58"/>
      <c r="B153" s="58"/>
      <c r="C153" s="59"/>
      <c r="D153" s="155" t="s">
        <v>56</v>
      </c>
      <c r="E153" s="123">
        <v>48</v>
      </c>
      <c r="F153" s="151">
        <f t="shared" si="6"/>
        <v>2.35</v>
      </c>
      <c r="G153" s="151">
        <f t="shared" si="6"/>
        <v>2.35</v>
      </c>
      <c r="H153" s="152">
        <v>3312</v>
      </c>
      <c r="I153" s="153">
        <f t="shared" ref="I153:I184" si="7">H153*6/$E$13</f>
        <v>8.74647887323944</v>
      </c>
      <c r="J153" s="142">
        <v>1440</v>
      </c>
      <c r="K153">
        <f>SUM($J$106:J153)</f>
        <v>19900</v>
      </c>
      <c r="L153" s="158">
        <v>2208</v>
      </c>
    </row>
    <row r="154" ht="16.5" spans="1:19">
      <c r="A154" s="58"/>
      <c r="B154" s="58"/>
      <c r="C154" s="59"/>
      <c r="D154" s="155" t="s">
        <v>56</v>
      </c>
      <c r="E154" s="155">
        <v>49</v>
      </c>
      <c r="F154" s="151">
        <f t="shared" si="6"/>
        <v>2.4</v>
      </c>
      <c r="G154" s="151">
        <f t="shared" si="6"/>
        <v>2.4</v>
      </c>
      <c r="H154" s="152">
        <v>3384</v>
      </c>
      <c r="I154" s="153">
        <f t="shared" si="7"/>
        <v>8.93661971830986</v>
      </c>
      <c r="J154" s="142">
        <v>1440</v>
      </c>
      <c r="K154">
        <f>SUM($J$106:J154)</f>
        <v>21340</v>
      </c>
      <c r="L154" s="158">
        <v>2256</v>
      </c>
    </row>
    <row r="155" ht="16.5" spans="1:19">
      <c r="A155" s="58"/>
      <c r="B155" s="58"/>
      <c r="C155" s="59"/>
      <c r="D155" s="155" t="s">
        <v>56</v>
      </c>
      <c r="E155" s="123">
        <v>50</v>
      </c>
      <c r="F155" s="151">
        <f t="shared" si="6"/>
        <v>2.45</v>
      </c>
      <c r="G155" s="151">
        <f t="shared" si="6"/>
        <v>2.45</v>
      </c>
      <c r="H155" s="142">
        <f>梦灵经验产出!I73</f>
        <v>0</v>
      </c>
      <c r="I155" s="153">
        <f t="shared" si="7"/>
        <v>0</v>
      </c>
      <c r="J155" s="142"/>
      <c r="L155" s="158"/>
    </row>
    <row r="156" ht="16.5" spans="1:19">
      <c r="A156" s="58"/>
      <c r="B156" s="58"/>
      <c r="C156" s="59"/>
      <c r="D156" s="155" t="s">
        <v>57</v>
      </c>
      <c r="E156" s="155">
        <v>1</v>
      </c>
      <c r="F156" s="151">
        <f t="shared" si="6"/>
        <v>0</v>
      </c>
      <c r="G156" s="151">
        <f t="shared" si="6"/>
        <v>0</v>
      </c>
      <c r="H156" s="152">
        <v>48</v>
      </c>
      <c r="I156" s="153">
        <f t="shared" si="7"/>
        <v>0.126760563380282</v>
      </c>
      <c r="J156" s="142">
        <v>10</v>
      </c>
      <c r="K156">
        <f>SUM($J$156:J156)</f>
        <v>10</v>
      </c>
      <c r="M156" s="160" t="s">
        <v>56</v>
      </c>
      <c r="N156" s="160">
        <v>1</v>
      </c>
      <c r="O156" s="161">
        <v>0</v>
      </c>
      <c r="P156" s="161">
        <v>0</v>
      </c>
      <c r="Q156" s="162">
        <v>36</v>
      </c>
      <c r="R156" s="163">
        <v>0.0950704225352113</v>
      </c>
      <c r="S156" s="164">
        <v>10</v>
      </c>
    </row>
    <row r="157" ht="16.5" spans="1:19">
      <c r="A157" s="58"/>
      <c r="B157" s="58"/>
      <c r="C157" s="59"/>
      <c r="D157" s="155" t="s">
        <v>57</v>
      </c>
      <c r="E157" s="123">
        <v>2</v>
      </c>
      <c r="F157" s="151">
        <f t="shared" si="6"/>
        <v>0.06</v>
      </c>
      <c r="G157" s="151">
        <f t="shared" si="6"/>
        <v>0.06</v>
      </c>
      <c r="H157" s="152">
        <v>96</v>
      </c>
      <c r="I157" s="153">
        <f t="shared" si="7"/>
        <v>0.253521126760563</v>
      </c>
      <c r="J157" s="142">
        <v>10</v>
      </c>
      <c r="K157">
        <f>SUM($J$156:J157)</f>
        <v>20</v>
      </c>
      <c r="M157" s="160" t="s">
        <v>56</v>
      </c>
      <c r="N157" s="165">
        <v>2</v>
      </c>
      <c r="O157" s="161">
        <v>0.05</v>
      </c>
      <c r="P157" s="161">
        <v>0.05</v>
      </c>
      <c r="Q157" s="162">
        <v>72</v>
      </c>
      <c r="R157" s="163">
        <v>0.190140845070423</v>
      </c>
      <c r="S157" s="164">
        <v>10</v>
      </c>
    </row>
    <row r="158" ht="16.5" spans="1:19">
      <c r="A158" s="58"/>
      <c r="B158" s="58"/>
      <c r="C158" s="59"/>
      <c r="D158" s="155" t="s">
        <v>57</v>
      </c>
      <c r="E158" s="155">
        <v>3</v>
      </c>
      <c r="F158" s="151">
        <f t="shared" si="6"/>
        <v>0.12</v>
      </c>
      <c r="G158" s="151">
        <f t="shared" si="6"/>
        <v>0.12</v>
      </c>
      <c r="H158" s="152">
        <v>144</v>
      </c>
      <c r="I158" s="153">
        <f t="shared" si="7"/>
        <v>0.380281690140845</v>
      </c>
      <c r="J158" s="142">
        <v>10</v>
      </c>
      <c r="K158">
        <f>SUM($J$156:J158)</f>
        <v>30</v>
      </c>
      <c r="M158" s="160" t="s">
        <v>56</v>
      </c>
      <c r="N158" s="160">
        <v>3</v>
      </c>
      <c r="O158" s="161">
        <v>0.1</v>
      </c>
      <c r="P158" s="161">
        <v>0.1</v>
      </c>
      <c r="Q158" s="162">
        <v>108</v>
      </c>
      <c r="R158" s="163">
        <v>0.285211267605634</v>
      </c>
      <c r="S158" s="164">
        <v>10</v>
      </c>
    </row>
    <row r="159" ht="16.5" spans="1:19">
      <c r="A159" s="58"/>
      <c r="B159" s="58"/>
      <c r="C159" s="59"/>
      <c r="D159" s="155" t="s">
        <v>57</v>
      </c>
      <c r="E159" s="123">
        <v>4</v>
      </c>
      <c r="F159" s="151">
        <f t="shared" si="6"/>
        <v>0.18</v>
      </c>
      <c r="G159" s="151">
        <f t="shared" si="6"/>
        <v>0.18</v>
      </c>
      <c r="H159" s="152">
        <v>192</v>
      </c>
      <c r="I159" s="153">
        <f t="shared" si="7"/>
        <v>0.507042253521127</v>
      </c>
      <c r="J159" s="142">
        <v>10</v>
      </c>
      <c r="K159">
        <f>SUM($J$156:J159)</f>
        <v>40</v>
      </c>
      <c r="M159" s="160" t="s">
        <v>56</v>
      </c>
      <c r="N159" s="165">
        <v>4</v>
      </c>
      <c r="O159" s="161">
        <v>0.15</v>
      </c>
      <c r="P159" s="161">
        <v>0.15</v>
      </c>
      <c r="Q159" s="162">
        <v>144</v>
      </c>
      <c r="R159" s="163">
        <v>0.380281690140845</v>
      </c>
      <c r="S159" s="164">
        <v>10</v>
      </c>
    </row>
    <row r="160" ht="16.5" spans="1:19">
      <c r="A160" s="58"/>
      <c r="B160" s="58"/>
      <c r="C160" s="59"/>
      <c r="D160" s="155" t="s">
        <v>57</v>
      </c>
      <c r="E160" s="155">
        <v>5</v>
      </c>
      <c r="F160" s="151">
        <f t="shared" si="6"/>
        <v>0.24</v>
      </c>
      <c r="G160" s="151">
        <f t="shared" si="6"/>
        <v>0.24</v>
      </c>
      <c r="H160" s="152">
        <v>288</v>
      </c>
      <c r="I160" s="153">
        <f t="shared" si="7"/>
        <v>0.76056338028169</v>
      </c>
      <c r="J160" s="142">
        <v>30</v>
      </c>
      <c r="K160">
        <f>SUM($J$156:J160)</f>
        <v>70</v>
      </c>
      <c r="M160" s="160" t="s">
        <v>56</v>
      </c>
      <c r="N160" s="160">
        <v>5</v>
      </c>
      <c r="O160" s="161">
        <v>0.2</v>
      </c>
      <c r="P160" s="161">
        <v>0.2</v>
      </c>
      <c r="Q160" s="162">
        <v>216</v>
      </c>
      <c r="R160" s="163">
        <v>0.570422535211268</v>
      </c>
      <c r="S160" s="164">
        <v>30</v>
      </c>
    </row>
    <row r="161" ht="16.5" spans="1:22">
      <c r="A161" s="58"/>
      <c r="B161" s="58"/>
      <c r="C161" s="59"/>
      <c r="D161" s="155" t="s">
        <v>57</v>
      </c>
      <c r="E161" s="123">
        <v>6</v>
      </c>
      <c r="F161" s="151">
        <f t="shared" si="6"/>
        <v>0.3</v>
      </c>
      <c r="G161" s="151">
        <f t="shared" si="6"/>
        <v>0.3</v>
      </c>
      <c r="H161" s="152">
        <v>384</v>
      </c>
      <c r="I161" s="153">
        <f t="shared" si="7"/>
        <v>1.01408450704225</v>
      </c>
      <c r="J161" s="142">
        <v>30</v>
      </c>
      <c r="K161">
        <f>SUM($J$156:J161)</f>
        <v>100</v>
      </c>
      <c r="M161" s="160" t="s">
        <v>56</v>
      </c>
      <c r="N161" s="165">
        <v>6</v>
      </c>
      <c r="O161" s="161">
        <v>0.25</v>
      </c>
      <c r="P161" s="161">
        <v>0.25</v>
      </c>
      <c r="Q161" s="162">
        <v>288</v>
      </c>
      <c r="R161" s="163">
        <v>0.76056338028169</v>
      </c>
      <c r="S161" s="164">
        <v>30</v>
      </c>
    </row>
    <row r="162" ht="16.5" spans="1:22">
      <c r="A162" s="58"/>
      <c r="B162" s="58"/>
      <c r="C162" s="59"/>
      <c r="D162" s="155" t="s">
        <v>57</v>
      </c>
      <c r="E162" s="155">
        <v>7</v>
      </c>
      <c r="F162" s="151">
        <f t="shared" si="6"/>
        <v>0.36</v>
      </c>
      <c r="G162" s="151">
        <f t="shared" si="6"/>
        <v>0.36</v>
      </c>
      <c r="H162" s="152">
        <v>480</v>
      </c>
      <c r="I162" s="153">
        <f t="shared" si="7"/>
        <v>1.26760563380282</v>
      </c>
      <c r="J162" s="142">
        <v>30</v>
      </c>
      <c r="K162">
        <f>SUM($J$156:J162)</f>
        <v>130</v>
      </c>
      <c r="M162" s="160" t="s">
        <v>56</v>
      </c>
      <c r="N162" s="160">
        <v>7</v>
      </c>
      <c r="O162" s="161">
        <v>0.3</v>
      </c>
      <c r="P162" s="161">
        <v>0.3</v>
      </c>
      <c r="Q162" s="162">
        <v>360</v>
      </c>
      <c r="R162" s="163">
        <v>0.950704225352113</v>
      </c>
      <c r="S162" s="164">
        <v>30</v>
      </c>
    </row>
    <row r="163" ht="16.5" spans="1:22">
      <c r="A163" s="58"/>
      <c r="B163" s="58"/>
      <c r="C163" s="59"/>
      <c r="D163" s="155" t="s">
        <v>57</v>
      </c>
      <c r="E163" s="123">
        <v>8</v>
      </c>
      <c r="F163" s="151">
        <f t="shared" si="6"/>
        <v>0.42</v>
      </c>
      <c r="G163" s="151">
        <f t="shared" si="6"/>
        <v>0.42</v>
      </c>
      <c r="H163" s="152">
        <v>576</v>
      </c>
      <c r="I163" s="153">
        <f t="shared" si="7"/>
        <v>1.52112676056338</v>
      </c>
      <c r="J163" s="142">
        <v>30</v>
      </c>
      <c r="K163">
        <f>SUM($J$156:J163)</f>
        <v>160</v>
      </c>
      <c r="M163" s="160" t="s">
        <v>56</v>
      </c>
      <c r="N163" s="165">
        <v>8</v>
      </c>
      <c r="O163" s="161">
        <v>0.35</v>
      </c>
      <c r="P163" s="161">
        <v>0.35</v>
      </c>
      <c r="Q163" s="162">
        <v>432</v>
      </c>
      <c r="R163" s="163">
        <v>1.14084507042254</v>
      </c>
      <c r="S163" s="164">
        <v>30</v>
      </c>
    </row>
    <row r="164" ht="16.5" spans="1:22">
      <c r="A164" s="58"/>
      <c r="B164" s="58"/>
      <c r="C164" s="59"/>
      <c r="D164" s="155" t="s">
        <v>57</v>
      </c>
      <c r="E164" s="155">
        <v>9</v>
      </c>
      <c r="F164" s="151">
        <f t="shared" si="6"/>
        <v>0.48</v>
      </c>
      <c r="G164" s="151">
        <f t="shared" si="6"/>
        <v>0.48</v>
      </c>
      <c r="H164" s="152">
        <v>672</v>
      </c>
      <c r="I164" s="153">
        <f t="shared" si="7"/>
        <v>1.77464788732394</v>
      </c>
      <c r="J164" s="142">
        <v>30</v>
      </c>
      <c r="K164">
        <f>SUM($J$156:J164)</f>
        <v>190</v>
      </c>
      <c r="M164" s="160" t="s">
        <v>56</v>
      </c>
      <c r="N164" s="160">
        <v>9</v>
      </c>
      <c r="O164" s="161">
        <v>0.4</v>
      </c>
      <c r="P164" s="161">
        <v>0.4</v>
      </c>
      <c r="Q164" s="162">
        <v>504</v>
      </c>
      <c r="R164" s="163">
        <v>1.33098591549296</v>
      </c>
      <c r="S164" s="164">
        <v>30</v>
      </c>
    </row>
    <row r="165" ht="16.5" spans="1:22">
      <c r="A165" s="58"/>
      <c r="B165" s="58"/>
      <c r="C165" s="59"/>
      <c r="D165" s="155" t="s">
        <v>57</v>
      </c>
      <c r="E165" s="123">
        <v>10</v>
      </c>
      <c r="F165" s="151">
        <f t="shared" si="6"/>
        <v>0.54</v>
      </c>
      <c r="G165" s="151">
        <f t="shared" si="6"/>
        <v>0.54</v>
      </c>
      <c r="H165" s="152">
        <v>768</v>
      </c>
      <c r="I165" s="153">
        <f t="shared" si="7"/>
        <v>2.02816901408451</v>
      </c>
      <c r="J165" s="142">
        <v>60</v>
      </c>
      <c r="K165">
        <f>SUM($J$156:J165)</f>
        <v>250</v>
      </c>
      <c r="M165" s="160" t="s">
        <v>56</v>
      </c>
      <c r="N165" s="165">
        <v>10</v>
      </c>
      <c r="O165" s="161">
        <v>0.45</v>
      </c>
      <c r="P165" s="161">
        <v>0.45</v>
      </c>
      <c r="Q165" s="162">
        <v>576</v>
      </c>
      <c r="R165" s="163">
        <v>1.52112676056338</v>
      </c>
      <c r="S165" s="164">
        <v>60</v>
      </c>
    </row>
    <row r="166" ht="16.5" spans="1:22">
      <c r="A166" s="58"/>
      <c r="B166" s="58"/>
      <c r="C166" s="59"/>
      <c r="D166" s="155" t="s">
        <v>57</v>
      </c>
      <c r="E166" s="155">
        <v>11</v>
      </c>
      <c r="F166" s="151">
        <f t="shared" si="6"/>
        <v>0.6</v>
      </c>
      <c r="G166" s="151">
        <f t="shared" si="6"/>
        <v>0.6</v>
      </c>
      <c r="H166" s="152">
        <v>864</v>
      </c>
      <c r="I166" s="153">
        <f t="shared" si="7"/>
        <v>2.28169014084507</v>
      </c>
      <c r="J166" s="142">
        <v>60</v>
      </c>
      <c r="K166">
        <f>SUM($J$156:J166)</f>
        <v>310</v>
      </c>
      <c r="M166" s="160" t="s">
        <v>56</v>
      </c>
      <c r="N166" s="160">
        <v>11</v>
      </c>
      <c r="O166" s="161">
        <v>0.5</v>
      </c>
      <c r="P166" s="161">
        <v>0.5</v>
      </c>
      <c r="Q166" s="162">
        <v>648</v>
      </c>
      <c r="R166" s="163">
        <v>1.7112676056338</v>
      </c>
      <c r="S166" s="164">
        <v>60</v>
      </c>
    </row>
    <row r="167" ht="16.5" spans="1:22">
      <c r="A167" s="58"/>
      <c r="B167" s="58"/>
      <c r="C167" s="59"/>
      <c r="D167" s="155" t="s">
        <v>57</v>
      </c>
      <c r="E167" s="123">
        <v>12</v>
      </c>
      <c r="F167" s="151">
        <f t="shared" si="6"/>
        <v>0.66</v>
      </c>
      <c r="G167" s="151">
        <f t="shared" si="6"/>
        <v>0.66</v>
      </c>
      <c r="H167" s="152">
        <v>960</v>
      </c>
      <c r="I167" s="153">
        <f t="shared" si="7"/>
        <v>2.53521126760563</v>
      </c>
      <c r="J167" s="142">
        <v>60</v>
      </c>
      <c r="K167">
        <f>SUM($J$156:J167)</f>
        <v>370</v>
      </c>
      <c r="M167" s="160" t="s">
        <v>56</v>
      </c>
      <c r="N167" s="165">
        <v>12</v>
      </c>
      <c r="O167" s="161">
        <v>0.55</v>
      </c>
      <c r="P167" s="161">
        <v>0.55</v>
      </c>
      <c r="Q167" s="162">
        <v>720</v>
      </c>
      <c r="R167" s="163">
        <v>1.90140845070423</v>
      </c>
      <c r="S167" s="164">
        <v>60</v>
      </c>
    </row>
    <row r="168" ht="16.5" spans="1:22">
      <c r="A168" s="58"/>
      <c r="B168" s="58"/>
      <c r="C168" s="59"/>
      <c r="D168" s="155" t="s">
        <v>57</v>
      </c>
      <c r="E168" s="155">
        <v>13</v>
      </c>
      <c r="F168" s="151">
        <f t="shared" si="6"/>
        <v>0.72</v>
      </c>
      <c r="G168" s="151">
        <f t="shared" si="6"/>
        <v>0.72</v>
      </c>
      <c r="H168" s="152">
        <v>1056</v>
      </c>
      <c r="I168" s="153">
        <f t="shared" si="7"/>
        <v>2.7887323943662</v>
      </c>
      <c r="J168" s="142">
        <v>60</v>
      </c>
      <c r="K168">
        <f>SUM($J$156:J168)</f>
        <v>430</v>
      </c>
      <c r="M168" s="160" t="s">
        <v>56</v>
      </c>
      <c r="N168" s="160">
        <v>13</v>
      </c>
      <c r="O168" s="161">
        <v>0.6</v>
      </c>
      <c r="P168" s="161">
        <v>0.6</v>
      </c>
      <c r="Q168" s="162">
        <v>792</v>
      </c>
      <c r="R168" s="163">
        <v>2.09154929577465</v>
      </c>
      <c r="S168" s="164">
        <v>60</v>
      </c>
    </row>
    <row r="169" ht="16.5" spans="1:22">
      <c r="A169" s="58"/>
      <c r="B169" s="58"/>
      <c r="C169" s="59"/>
      <c r="D169" s="155" t="s">
        <v>57</v>
      </c>
      <c r="E169" s="123">
        <v>14</v>
      </c>
      <c r="F169" s="151">
        <f t="shared" si="6"/>
        <v>0.78</v>
      </c>
      <c r="G169" s="151">
        <f t="shared" si="6"/>
        <v>0.78</v>
      </c>
      <c r="H169" s="152">
        <v>1152</v>
      </c>
      <c r="I169" s="153">
        <f t="shared" si="7"/>
        <v>3.04225352112676</v>
      </c>
      <c r="J169" s="142">
        <v>60</v>
      </c>
      <c r="K169">
        <f>SUM($J$156:J169)</f>
        <v>490</v>
      </c>
      <c r="M169" s="160" t="s">
        <v>56</v>
      </c>
      <c r="N169" s="165">
        <v>14</v>
      </c>
      <c r="O169" s="161">
        <v>0.65</v>
      </c>
      <c r="P169" s="161">
        <v>0.65</v>
      </c>
      <c r="Q169" s="162">
        <v>864</v>
      </c>
      <c r="R169" s="163">
        <v>2.28169014084507</v>
      </c>
      <c r="S169" s="164">
        <v>60</v>
      </c>
    </row>
    <row r="170" ht="16.5" spans="1:22">
      <c r="A170" s="58"/>
      <c r="B170" s="58"/>
      <c r="C170" s="59"/>
      <c r="D170" s="155" t="s">
        <v>57</v>
      </c>
      <c r="E170" s="159">
        <v>15</v>
      </c>
      <c r="F170" s="151">
        <f t="shared" si="6"/>
        <v>0.84</v>
      </c>
      <c r="G170" s="151">
        <f t="shared" si="6"/>
        <v>0.84</v>
      </c>
      <c r="H170" s="152">
        <v>1248</v>
      </c>
      <c r="I170" s="153">
        <f t="shared" si="7"/>
        <v>3.29577464788732</v>
      </c>
      <c r="J170" s="142">
        <v>90</v>
      </c>
      <c r="K170">
        <f>SUM($J$156:J170)</f>
        <v>580</v>
      </c>
      <c r="M170" s="160" t="s">
        <v>56</v>
      </c>
      <c r="N170" s="166">
        <v>15</v>
      </c>
      <c r="O170" s="161">
        <v>0.7</v>
      </c>
      <c r="P170" s="161">
        <v>0.7</v>
      </c>
      <c r="Q170" s="162">
        <v>936</v>
      </c>
      <c r="R170" s="163">
        <v>2.47183098591549</v>
      </c>
      <c r="S170" s="164">
        <v>90</v>
      </c>
      <c r="T170" t="s">
        <v>86</v>
      </c>
      <c r="U170" s="14">
        <f>F170-O170</f>
        <v>0.14</v>
      </c>
      <c r="V170" s="14">
        <v>0.85</v>
      </c>
    </row>
    <row r="171" ht="16.5" spans="1:22">
      <c r="A171" s="58"/>
      <c r="B171" s="58"/>
      <c r="C171" s="59"/>
      <c r="D171" s="155" t="s">
        <v>57</v>
      </c>
      <c r="E171" s="123">
        <v>16</v>
      </c>
      <c r="F171" s="151">
        <f t="shared" si="6"/>
        <v>0.9</v>
      </c>
      <c r="G171" s="151">
        <f t="shared" si="6"/>
        <v>0.9</v>
      </c>
      <c r="H171" s="152">
        <v>1344</v>
      </c>
      <c r="I171" s="153">
        <f t="shared" si="7"/>
        <v>3.54929577464789</v>
      </c>
      <c r="J171" s="142">
        <v>90</v>
      </c>
      <c r="K171">
        <f>SUM($J$156:J171)</f>
        <v>670</v>
      </c>
      <c r="M171" s="160" t="s">
        <v>56</v>
      </c>
      <c r="N171" s="165">
        <v>16</v>
      </c>
      <c r="O171" s="161">
        <v>0.75</v>
      </c>
      <c r="P171" s="161">
        <v>0.75</v>
      </c>
      <c r="Q171" s="162">
        <v>1008</v>
      </c>
      <c r="R171" s="163">
        <v>2.66197183098592</v>
      </c>
      <c r="S171" s="164">
        <v>90</v>
      </c>
    </row>
    <row r="172" ht="16.5" spans="1:22">
      <c r="A172" s="58"/>
      <c r="B172" s="58"/>
      <c r="C172" s="59"/>
      <c r="D172" s="155" t="s">
        <v>57</v>
      </c>
      <c r="E172" s="155">
        <v>17</v>
      </c>
      <c r="F172" s="151">
        <f t="shared" si="6"/>
        <v>0.96</v>
      </c>
      <c r="G172" s="151">
        <f t="shared" si="6"/>
        <v>0.96</v>
      </c>
      <c r="H172" s="152">
        <v>1440</v>
      </c>
      <c r="I172" s="153">
        <f t="shared" si="7"/>
        <v>3.80281690140845</v>
      </c>
      <c r="J172" s="142">
        <v>90</v>
      </c>
      <c r="K172">
        <f>SUM($J$156:J172)</f>
        <v>760</v>
      </c>
      <c r="M172" s="160" t="s">
        <v>56</v>
      </c>
      <c r="N172" s="160">
        <v>17</v>
      </c>
      <c r="O172" s="161">
        <v>0.8</v>
      </c>
      <c r="P172" s="161">
        <v>0.8</v>
      </c>
      <c r="Q172" s="162">
        <v>1080</v>
      </c>
      <c r="R172" s="163">
        <v>2.85211267605634</v>
      </c>
      <c r="S172" s="164">
        <v>90</v>
      </c>
    </row>
    <row r="173" ht="16.5" spans="1:22">
      <c r="A173" s="58"/>
      <c r="B173" s="58"/>
      <c r="C173" s="59"/>
      <c r="D173" s="155" t="s">
        <v>57</v>
      </c>
      <c r="E173" s="123">
        <v>18</v>
      </c>
      <c r="F173" s="151">
        <f t="shared" si="6"/>
        <v>1.02</v>
      </c>
      <c r="G173" s="151">
        <f t="shared" si="6"/>
        <v>1.02</v>
      </c>
      <c r="H173" s="152">
        <v>1536</v>
      </c>
      <c r="I173" s="153">
        <f t="shared" si="7"/>
        <v>4.05633802816901</v>
      </c>
      <c r="J173" s="142">
        <v>90</v>
      </c>
      <c r="K173">
        <f>SUM($J$156:J173)</f>
        <v>850</v>
      </c>
      <c r="M173" s="160" t="s">
        <v>56</v>
      </c>
      <c r="N173" s="165">
        <v>18</v>
      </c>
      <c r="O173" s="161">
        <v>0.85</v>
      </c>
      <c r="P173" s="161">
        <v>0.85</v>
      </c>
      <c r="Q173" s="162">
        <v>1152</v>
      </c>
      <c r="R173" s="163">
        <v>3.04225352112676</v>
      </c>
      <c r="S173" s="164">
        <v>90</v>
      </c>
    </row>
    <row r="174" ht="16.5" spans="1:22">
      <c r="A174" s="58"/>
      <c r="B174" s="58"/>
      <c r="C174" s="59"/>
      <c r="D174" s="155" t="s">
        <v>57</v>
      </c>
      <c r="E174" s="155">
        <v>19</v>
      </c>
      <c r="F174" s="151">
        <f t="shared" si="6"/>
        <v>1.08</v>
      </c>
      <c r="G174" s="151">
        <f t="shared" si="6"/>
        <v>1.08</v>
      </c>
      <c r="H174" s="152">
        <v>1632</v>
      </c>
      <c r="I174" s="153">
        <f t="shared" si="7"/>
        <v>4.30985915492958</v>
      </c>
      <c r="J174" s="142">
        <v>90</v>
      </c>
      <c r="K174">
        <f>SUM($J$156:J174)</f>
        <v>940</v>
      </c>
      <c r="M174" s="160" t="s">
        <v>56</v>
      </c>
      <c r="N174" s="160">
        <v>19</v>
      </c>
      <c r="O174" s="161">
        <v>0.9</v>
      </c>
      <c r="P174" s="161">
        <v>0.9</v>
      </c>
      <c r="Q174" s="162">
        <v>1224</v>
      </c>
      <c r="R174" s="163">
        <v>3.23239436619718</v>
      </c>
      <c r="S174" s="164">
        <v>90</v>
      </c>
    </row>
    <row r="175" ht="16.5" spans="1:22">
      <c r="A175" s="58"/>
      <c r="B175" s="58"/>
      <c r="C175" s="59"/>
      <c r="D175" s="155" t="s">
        <v>57</v>
      </c>
      <c r="E175" s="123">
        <v>20</v>
      </c>
      <c r="F175" s="151">
        <f t="shared" si="6"/>
        <v>1.14</v>
      </c>
      <c r="G175" s="151">
        <f t="shared" si="6"/>
        <v>1.14</v>
      </c>
      <c r="H175" s="152">
        <v>1728</v>
      </c>
      <c r="I175" s="153">
        <f t="shared" si="7"/>
        <v>4.56338028169014</v>
      </c>
      <c r="J175" s="142">
        <v>120</v>
      </c>
      <c r="K175">
        <f>SUM($J$156:J175)</f>
        <v>1060</v>
      </c>
      <c r="M175" s="160" t="s">
        <v>56</v>
      </c>
      <c r="N175" s="165">
        <v>20</v>
      </c>
      <c r="O175" s="161">
        <v>0.95</v>
      </c>
      <c r="P175" s="161">
        <v>0.95</v>
      </c>
      <c r="Q175" s="162">
        <v>1296</v>
      </c>
      <c r="R175" s="163">
        <v>3.42253521126761</v>
      </c>
      <c r="S175" s="164">
        <v>120</v>
      </c>
    </row>
    <row r="176" ht="16.5" spans="1:22">
      <c r="A176" s="58"/>
      <c r="B176" s="58"/>
      <c r="C176" s="59"/>
      <c r="D176" s="155" t="s">
        <v>57</v>
      </c>
      <c r="E176" s="155">
        <v>21</v>
      </c>
      <c r="F176" s="151">
        <f t="shared" si="6"/>
        <v>1.2</v>
      </c>
      <c r="G176" s="151">
        <f t="shared" si="6"/>
        <v>1.2</v>
      </c>
      <c r="H176" s="152">
        <v>1824</v>
      </c>
      <c r="I176" s="153">
        <f t="shared" si="7"/>
        <v>4.8169014084507</v>
      </c>
      <c r="J176" s="142">
        <v>120</v>
      </c>
      <c r="K176">
        <f>SUM($J$156:J176)</f>
        <v>1180</v>
      </c>
      <c r="M176" s="160" t="s">
        <v>56</v>
      </c>
      <c r="N176" s="160">
        <v>21</v>
      </c>
      <c r="O176" s="161">
        <v>1</v>
      </c>
      <c r="P176" s="161">
        <v>1</v>
      </c>
      <c r="Q176" s="162">
        <v>1368</v>
      </c>
      <c r="R176" s="163">
        <v>3.61267605633803</v>
      </c>
      <c r="S176" s="164">
        <v>120</v>
      </c>
    </row>
    <row r="177" ht="16.5" spans="1:30">
      <c r="A177" s="58"/>
      <c r="B177" s="58"/>
      <c r="C177" s="59"/>
      <c r="D177" s="155" t="s">
        <v>57</v>
      </c>
      <c r="E177" s="123">
        <v>22</v>
      </c>
      <c r="F177" s="151">
        <f t="shared" si="6"/>
        <v>1.26</v>
      </c>
      <c r="G177" s="151">
        <f t="shared" si="6"/>
        <v>1.26</v>
      </c>
      <c r="H177" s="152">
        <v>1920</v>
      </c>
      <c r="I177" s="153">
        <f t="shared" si="7"/>
        <v>5.07042253521127</v>
      </c>
      <c r="J177" s="142">
        <v>120</v>
      </c>
      <c r="K177">
        <f>SUM($J$156:J177)</f>
        <v>1300</v>
      </c>
      <c r="M177" s="160" t="s">
        <v>56</v>
      </c>
      <c r="N177" s="165">
        <v>22</v>
      </c>
      <c r="O177" s="161">
        <v>1.05</v>
      </c>
      <c r="P177" s="161">
        <v>1.05</v>
      </c>
      <c r="Q177" s="162">
        <v>1440</v>
      </c>
      <c r="R177" s="163">
        <v>3.80281690140845</v>
      </c>
      <c r="S177" s="164">
        <v>120</v>
      </c>
    </row>
    <row r="178" ht="16.5" spans="1:30">
      <c r="A178" s="58"/>
      <c r="B178" s="58"/>
      <c r="C178" s="59"/>
      <c r="D178" s="155" t="s">
        <v>57</v>
      </c>
      <c r="E178" s="155">
        <v>23</v>
      </c>
      <c r="F178" s="151">
        <f t="shared" si="6"/>
        <v>1.32</v>
      </c>
      <c r="G178" s="151">
        <f t="shared" si="6"/>
        <v>1.32</v>
      </c>
      <c r="H178" s="152">
        <v>2016</v>
      </c>
      <c r="I178" s="153">
        <f t="shared" si="7"/>
        <v>5.32394366197183</v>
      </c>
      <c r="J178" s="142">
        <v>120</v>
      </c>
      <c r="K178">
        <f>SUM($J$156:J178)</f>
        <v>1420</v>
      </c>
      <c r="M178" s="160" t="s">
        <v>56</v>
      </c>
      <c r="N178" s="160">
        <v>23</v>
      </c>
      <c r="O178" s="161">
        <v>1.1</v>
      </c>
      <c r="P178" s="161">
        <v>1.1</v>
      </c>
      <c r="Q178" s="162">
        <v>1512</v>
      </c>
      <c r="R178" s="163">
        <v>3.99295774647887</v>
      </c>
      <c r="S178" s="164">
        <v>120</v>
      </c>
    </row>
    <row r="179" ht="16.5" spans="1:30">
      <c r="A179" s="58"/>
      <c r="B179" s="58"/>
      <c r="C179" s="59"/>
      <c r="D179" s="155" t="s">
        <v>57</v>
      </c>
      <c r="E179" s="123">
        <v>24</v>
      </c>
      <c r="F179" s="151">
        <f t="shared" si="6"/>
        <v>1.38</v>
      </c>
      <c r="G179" s="151">
        <f t="shared" si="6"/>
        <v>1.38</v>
      </c>
      <c r="H179" s="152">
        <v>2112</v>
      </c>
      <c r="I179" s="153">
        <f t="shared" si="7"/>
        <v>5.57746478873239</v>
      </c>
      <c r="J179" s="142">
        <v>120</v>
      </c>
      <c r="K179">
        <f>SUM($J$156:J179)</f>
        <v>1540</v>
      </c>
      <c r="M179" s="160" t="s">
        <v>56</v>
      </c>
      <c r="N179" s="165">
        <v>24</v>
      </c>
      <c r="O179" s="161">
        <v>1.15</v>
      </c>
      <c r="P179" s="161">
        <v>1.15</v>
      </c>
      <c r="Q179" s="162">
        <v>1584</v>
      </c>
      <c r="R179" s="163">
        <v>4.1830985915493</v>
      </c>
      <c r="S179" s="164">
        <v>120</v>
      </c>
    </row>
    <row r="180" ht="16.5" spans="1:30">
      <c r="A180" s="58"/>
      <c r="B180" s="58"/>
      <c r="C180" s="59"/>
      <c r="D180" s="155" t="s">
        <v>57</v>
      </c>
      <c r="E180" s="155">
        <v>25</v>
      </c>
      <c r="F180" s="151">
        <f t="shared" si="6"/>
        <v>1.44</v>
      </c>
      <c r="G180" s="151">
        <f t="shared" si="6"/>
        <v>1.44</v>
      </c>
      <c r="H180" s="152">
        <v>2208</v>
      </c>
      <c r="I180" s="153">
        <f t="shared" si="7"/>
        <v>5.83098591549296</v>
      </c>
      <c r="J180" s="142">
        <v>180</v>
      </c>
      <c r="K180">
        <f>SUM($J$156:J180)</f>
        <v>1720</v>
      </c>
      <c r="M180" s="160" t="s">
        <v>56</v>
      </c>
      <c r="N180" s="160">
        <v>25</v>
      </c>
      <c r="O180" s="161">
        <v>1.2</v>
      </c>
      <c r="P180" s="161">
        <v>1.2</v>
      </c>
      <c r="Q180" s="162">
        <v>1656</v>
      </c>
      <c r="R180" s="163">
        <v>4.37323943661972</v>
      </c>
      <c r="S180" s="164">
        <v>240</v>
      </c>
    </row>
    <row r="181" ht="16.5" spans="1:30">
      <c r="A181" s="58"/>
      <c r="B181" s="58"/>
      <c r="C181" s="59"/>
      <c r="D181" s="155" t="s">
        <v>57</v>
      </c>
      <c r="E181" s="123">
        <v>26</v>
      </c>
      <c r="F181" s="151">
        <f t="shared" si="6"/>
        <v>1.5</v>
      </c>
      <c r="G181" s="151">
        <f t="shared" si="6"/>
        <v>1.5</v>
      </c>
      <c r="H181" s="152">
        <v>2304</v>
      </c>
      <c r="I181" s="153">
        <f t="shared" si="7"/>
        <v>6.08450704225352</v>
      </c>
      <c r="J181" s="142">
        <v>180</v>
      </c>
      <c r="K181">
        <f>SUM($J$156:J181)</f>
        <v>1900</v>
      </c>
      <c r="M181" s="160" t="s">
        <v>56</v>
      </c>
      <c r="N181" s="165">
        <v>26</v>
      </c>
      <c r="O181" s="161">
        <v>1.25</v>
      </c>
      <c r="P181" s="161">
        <v>1.25</v>
      </c>
      <c r="Q181" s="162">
        <v>1728</v>
      </c>
      <c r="R181" s="163">
        <v>4.56338028169014</v>
      </c>
      <c r="S181" s="164">
        <v>240</v>
      </c>
      <c r="V181" t="s">
        <v>87</v>
      </c>
    </row>
    <row r="182" ht="17.25" spans="1:30">
      <c r="A182" s="58"/>
      <c r="B182" s="58"/>
      <c r="C182" s="59"/>
      <c r="D182" s="155" t="s">
        <v>57</v>
      </c>
      <c r="E182" s="155">
        <v>27</v>
      </c>
      <c r="F182" s="151">
        <f t="shared" si="6"/>
        <v>1.56</v>
      </c>
      <c r="G182" s="151">
        <f t="shared" si="6"/>
        <v>1.56</v>
      </c>
      <c r="H182" s="152">
        <v>2400</v>
      </c>
      <c r="I182" s="153">
        <f t="shared" si="7"/>
        <v>6.33802816901408</v>
      </c>
      <c r="J182" s="142">
        <v>180</v>
      </c>
      <c r="K182">
        <f>SUM($J$156:J182)</f>
        <v>2080</v>
      </c>
      <c r="M182" s="160" t="s">
        <v>56</v>
      </c>
      <c r="N182" s="160">
        <v>27</v>
      </c>
      <c r="O182" s="161">
        <v>1.3</v>
      </c>
      <c r="P182" s="161">
        <v>1.3</v>
      </c>
      <c r="Q182" s="162">
        <v>1800</v>
      </c>
      <c r="R182" s="163">
        <v>4.75352112676056</v>
      </c>
      <c r="S182" s="164">
        <v>240</v>
      </c>
      <c r="V182" s="167" t="s">
        <v>88</v>
      </c>
      <c r="W182" s="167" t="s">
        <v>89</v>
      </c>
      <c r="X182" s="167" t="s">
        <v>90</v>
      </c>
      <c r="Y182" s="167" t="s">
        <v>91</v>
      </c>
      <c r="Z182" s="167" t="s">
        <v>92</v>
      </c>
      <c r="AA182" s="167"/>
      <c r="AB182" s="167" t="s">
        <v>93</v>
      </c>
      <c r="AD182" s="167" t="s">
        <v>94</v>
      </c>
    </row>
    <row r="183" ht="16.5" spans="1:30">
      <c r="A183" s="58"/>
      <c r="B183" s="58"/>
      <c r="C183" s="59"/>
      <c r="D183" s="155" t="s">
        <v>57</v>
      </c>
      <c r="E183" s="123">
        <v>28</v>
      </c>
      <c r="F183" s="151">
        <f t="shared" si="6"/>
        <v>1.62</v>
      </c>
      <c r="G183" s="151">
        <f t="shared" si="6"/>
        <v>1.62</v>
      </c>
      <c r="H183" s="152">
        <v>2496</v>
      </c>
      <c r="I183" s="153">
        <f t="shared" si="7"/>
        <v>6.59154929577465</v>
      </c>
      <c r="J183" s="142">
        <v>180</v>
      </c>
      <c r="K183">
        <f>SUM($J$156:J183)</f>
        <v>2260</v>
      </c>
      <c r="M183" s="160" t="s">
        <v>56</v>
      </c>
      <c r="N183" s="165">
        <v>28</v>
      </c>
      <c r="O183" s="161">
        <v>1.35</v>
      </c>
      <c r="P183" s="161">
        <v>1.35</v>
      </c>
      <c r="Q183" s="162">
        <v>1872</v>
      </c>
      <c r="R183" s="163">
        <v>4.94366197183099</v>
      </c>
      <c r="S183" s="164">
        <v>240</v>
      </c>
      <c r="V183" s="35">
        <v>800</v>
      </c>
      <c r="W183" s="35">
        <v>200</v>
      </c>
      <c r="X183" s="35">
        <f t="shared" ref="X183:X188" si="8">W183*9*1/10000</f>
        <v>0.18</v>
      </c>
      <c r="Y183" s="35">
        <v>1</v>
      </c>
      <c r="Z183" s="35" cm="1">
        <f t="array" ref="Z183">SUMPRODUCT(X183:X184,Y183:Y184)</f>
        <v>0.72</v>
      </c>
      <c r="AA183" s="35" t="s">
        <v>95</v>
      </c>
      <c r="AB183" s="35">
        <f>500*0.025</f>
        <v>12.5</v>
      </c>
      <c r="AD183" s="35">
        <f>Q183-Z183</f>
        <v>1871.28</v>
      </c>
    </row>
    <row r="184" ht="16.5" spans="1:30">
      <c r="A184" s="58"/>
      <c r="B184" s="58"/>
      <c r="C184" s="59"/>
      <c r="D184" s="155" t="s">
        <v>57</v>
      </c>
      <c r="E184" s="155">
        <v>29</v>
      </c>
      <c r="F184" s="151">
        <f t="shared" si="6"/>
        <v>1.68</v>
      </c>
      <c r="G184" s="151">
        <f t="shared" si="6"/>
        <v>1.68</v>
      </c>
      <c r="H184" s="152">
        <v>2592</v>
      </c>
      <c r="I184" s="153">
        <f t="shared" si="7"/>
        <v>6.84507042253521</v>
      </c>
      <c r="J184" s="142">
        <v>180</v>
      </c>
      <c r="K184">
        <f>SUM($J$156:J184)</f>
        <v>2440</v>
      </c>
      <c r="M184" s="160" t="s">
        <v>56</v>
      </c>
      <c r="N184" s="160">
        <v>29</v>
      </c>
      <c r="O184" s="161">
        <v>1.4</v>
      </c>
      <c r="P184" s="161">
        <v>1.4</v>
      </c>
      <c r="Q184" s="162">
        <v>1944</v>
      </c>
      <c r="R184" s="163">
        <v>5.13380281690141</v>
      </c>
      <c r="S184" s="164">
        <v>240</v>
      </c>
      <c r="V184" s="35"/>
      <c r="W184" s="35">
        <v>600</v>
      </c>
      <c r="X184" s="35">
        <f t="shared" si="8"/>
        <v>0.54</v>
      </c>
      <c r="Y184" s="35">
        <v>1</v>
      </c>
      <c r="Z184" s="35"/>
      <c r="AA184" s="35"/>
      <c r="AB184" s="168">
        <f>MAX(Z183,1)/AB183</f>
        <v>0.08</v>
      </c>
      <c r="AD184" s="35"/>
    </row>
    <row r="185" ht="16.5" spans="1:30">
      <c r="A185" s="58"/>
      <c r="B185" s="58"/>
      <c r="C185" s="59"/>
      <c r="D185" s="155" t="s">
        <v>57</v>
      </c>
      <c r="E185" s="123">
        <v>30</v>
      </c>
      <c r="F185" s="151">
        <f t="shared" si="6"/>
        <v>1.74</v>
      </c>
      <c r="G185" s="151">
        <f t="shared" si="6"/>
        <v>1.74</v>
      </c>
      <c r="H185" s="152">
        <v>2688</v>
      </c>
      <c r="I185" s="153">
        <f t="shared" ref="I185:I216" si="9">H185*6/$E$13</f>
        <v>7.09859154929577</v>
      </c>
      <c r="J185" s="142">
        <v>240</v>
      </c>
      <c r="K185">
        <f>SUM($J$156:J185)</f>
        <v>2680</v>
      </c>
      <c r="M185" s="160" t="s">
        <v>56</v>
      </c>
      <c r="N185" s="165">
        <v>30</v>
      </c>
      <c r="O185" s="161">
        <v>1.45</v>
      </c>
      <c r="P185" s="161">
        <v>1.45</v>
      </c>
      <c r="Q185" s="162">
        <v>2016</v>
      </c>
      <c r="R185" s="163">
        <v>5.32394366197183</v>
      </c>
      <c r="S185" s="164">
        <v>480</v>
      </c>
      <c r="V185" s="35"/>
      <c r="W185" s="35"/>
      <c r="X185" s="35"/>
      <c r="Y185" s="35"/>
      <c r="Z185" s="35"/>
      <c r="AA185" s="35"/>
      <c r="AB185" s="35"/>
      <c r="AD185" s="35"/>
    </row>
    <row r="186" ht="16.5" spans="1:30">
      <c r="A186" s="58"/>
      <c r="B186" s="58"/>
      <c r="C186" s="59"/>
      <c r="D186" s="155" t="s">
        <v>57</v>
      </c>
      <c r="E186" s="155">
        <v>31</v>
      </c>
      <c r="F186" s="151">
        <f t="shared" si="6"/>
        <v>1.8</v>
      </c>
      <c r="G186" s="151">
        <f t="shared" si="6"/>
        <v>1.8</v>
      </c>
      <c r="H186" s="152">
        <v>2784</v>
      </c>
      <c r="I186" s="153">
        <f t="shared" si="9"/>
        <v>7.35211267605634</v>
      </c>
      <c r="J186" s="142">
        <v>240</v>
      </c>
      <c r="K186">
        <f>SUM($J$156:J186)</f>
        <v>2920</v>
      </c>
      <c r="M186" s="160" t="s">
        <v>56</v>
      </c>
      <c r="N186" s="160">
        <v>31</v>
      </c>
      <c r="O186" s="161">
        <v>1.5</v>
      </c>
      <c r="P186" s="161">
        <v>1.5</v>
      </c>
      <c r="Q186" s="162">
        <v>2088</v>
      </c>
      <c r="R186" s="163">
        <v>5.51408450704225</v>
      </c>
      <c r="S186" s="164">
        <v>480</v>
      </c>
      <c r="V186" s="35"/>
      <c r="W186" s="35"/>
      <c r="X186" s="35"/>
      <c r="Y186" s="35"/>
      <c r="Z186" s="35"/>
      <c r="AA186" s="35"/>
      <c r="AB186" s="35"/>
      <c r="AD186" s="35"/>
    </row>
    <row r="187" ht="16.5" spans="1:30">
      <c r="A187" s="58"/>
      <c r="B187" s="58"/>
      <c r="C187" s="59"/>
      <c r="D187" s="155" t="s">
        <v>57</v>
      </c>
      <c r="E187" s="123">
        <v>32</v>
      </c>
      <c r="F187" s="151">
        <f t="shared" si="6"/>
        <v>1.86</v>
      </c>
      <c r="G187" s="151">
        <f t="shared" si="6"/>
        <v>1.86</v>
      </c>
      <c r="H187" s="152">
        <v>2880</v>
      </c>
      <c r="I187" s="153">
        <f t="shared" si="9"/>
        <v>7.6056338028169</v>
      </c>
      <c r="J187" s="142">
        <v>240</v>
      </c>
      <c r="K187">
        <f>SUM($J$156:J187)</f>
        <v>3160</v>
      </c>
      <c r="M187" s="160" t="s">
        <v>56</v>
      </c>
      <c r="N187" s="165">
        <v>32</v>
      </c>
      <c r="O187" s="161">
        <v>1.55</v>
      </c>
      <c r="P187" s="161">
        <v>1.55</v>
      </c>
      <c r="Q187" s="162">
        <v>2160</v>
      </c>
      <c r="R187" s="163">
        <v>5.70422535211268</v>
      </c>
      <c r="S187" s="164">
        <v>480</v>
      </c>
      <c r="V187" s="35">
        <v>1600</v>
      </c>
      <c r="W187" s="35">
        <v>400</v>
      </c>
      <c r="X187" s="35">
        <f t="shared" si="8"/>
        <v>0.36</v>
      </c>
      <c r="Y187" s="169">
        <v>2</v>
      </c>
      <c r="Z187" s="35" cm="1">
        <f t="array" ref="Z187">SUMPRODUCT(Y187:Y189,X187:X189)</f>
        <v>1.8</v>
      </c>
      <c r="AA187" s="35" t="s">
        <v>95</v>
      </c>
      <c r="AB187" s="35">
        <f>500*0.05</f>
        <v>25</v>
      </c>
      <c r="AD187" s="35">
        <f>Q187-Z187</f>
        <v>2158.2</v>
      </c>
    </row>
    <row r="188" ht="16.5" spans="1:30">
      <c r="A188" s="58"/>
      <c r="B188" s="58"/>
      <c r="C188" s="59"/>
      <c r="D188" s="155" t="s">
        <v>57</v>
      </c>
      <c r="E188" s="155">
        <v>33</v>
      </c>
      <c r="F188" s="151">
        <f t="shared" si="6"/>
        <v>1.92</v>
      </c>
      <c r="G188" s="151">
        <f t="shared" si="6"/>
        <v>1.92</v>
      </c>
      <c r="H188" s="152">
        <v>2976</v>
      </c>
      <c r="I188" s="153">
        <f t="shared" si="9"/>
        <v>7.85915492957746</v>
      </c>
      <c r="J188" s="142">
        <v>240</v>
      </c>
      <c r="K188">
        <f>SUM($J$156:J188)</f>
        <v>3400</v>
      </c>
      <c r="M188" s="160" t="s">
        <v>56</v>
      </c>
      <c r="N188" s="160">
        <v>33</v>
      </c>
      <c r="O188" s="161">
        <v>1.6</v>
      </c>
      <c r="P188" s="161">
        <v>1.6</v>
      </c>
      <c r="Q188" s="162">
        <v>2232</v>
      </c>
      <c r="R188" s="163">
        <v>5.8943661971831</v>
      </c>
      <c r="S188" s="164">
        <v>480</v>
      </c>
      <c r="V188" s="35"/>
      <c r="W188" s="35">
        <v>1200</v>
      </c>
      <c r="X188" s="35">
        <f t="shared" si="8"/>
        <v>1.08</v>
      </c>
      <c r="Y188" s="35">
        <v>1</v>
      </c>
      <c r="Z188" s="35"/>
      <c r="AA188" s="35"/>
      <c r="AB188" s="168">
        <f>MAX(Z187,1)/AB187</f>
        <v>0.072</v>
      </c>
      <c r="AD188" s="35"/>
    </row>
    <row r="189" ht="16.5" spans="1:30">
      <c r="A189" s="58"/>
      <c r="B189" s="58"/>
      <c r="C189" s="59"/>
      <c r="D189" s="155" t="s">
        <v>57</v>
      </c>
      <c r="E189" s="123">
        <v>34</v>
      </c>
      <c r="F189" s="151">
        <f t="shared" si="6"/>
        <v>1.98</v>
      </c>
      <c r="G189" s="151">
        <f t="shared" si="6"/>
        <v>1.98</v>
      </c>
      <c r="H189" s="152">
        <v>3072</v>
      </c>
      <c r="I189" s="153">
        <f t="shared" si="9"/>
        <v>8.11267605633803</v>
      </c>
      <c r="J189" s="142">
        <v>240</v>
      </c>
      <c r="K189">
        <f>SUM($J$156:J189)</f>
        <v>3640</v>
      </c>
      <c r="M189" s="160" t="s">
        <v>56</v>
      </c>
      <c r="N189" s="165">
        <v>34</v>
      </c>
      <c r="O189" s="161">
        <v>1.65</v>
      </c>
      <c r="P189" s="161">
        <v>1.65</v>
      </c>
      <c r="Q189" s="162">
        <v>2304</v>
      </c>
      <c r="R189" s="163">
        <v>6.08450704225352</v>
      </c>
      <c r="S189" s="164">
        <v>480</v>
      </c>
      <c r="V189" s="35"/>
      <c r="W189" s="35"/>
      <c r="X189" s="35"/>
      <c r="Y189" s="35"/>
      <c r="Z189" s="35"/>
      <c r="AA189" s="35"/>
      <c r="AB189" s="35"/>
      <c r="AD189" s="35"/>
    </row>
    <row r="190" ht="16.5" spans="1:30">
      <c r="A190" s="58"/>
      <c r="B190" s="58"/>
      <c r="C190" s="59"/>
      <c r="D190" s="155" t="s">
        <v>57</v>
      </c>
      <c r="E190" s="155">
        <v>35</v>
      </c>
      <c r="F190" s="151">
        <f t="shared" si="6"/>
        <v>2.04</v>
      </c>
      <c r="G190" s="151">
        <f t="shared" si="6"/>
        <v>2.04</v>
      </c>
      <c r="H190" s="152">
        <v>3168</v>
      </c>
      <c r="I190" s="153">
        <f t="shared" si="9"/>
        <v>8.36619718309859</v>
      </c>
      <c r="J190" s="142">
        <v>360</v>
      </c>
      <c r="K190">
        <f>SUM($J$156:J190)</f>
        <v>4000</v>
      </c>
      <c r="M190" s="160" t="s">
        <v>56</v>
      </c>
      <c r="N190" s="160">
        <v>35</v>
      </c>
      <c r="O190" s="161">
        <v>1.7</v>
      </c>
      <c r="P190" s="161">
        <v>1.7</v>
      </c>
      <c r="Q190" s="162">
        <v>2376</v>
      </c>
      <c r="R190" s="163">
        <v>6.27464788732394</v>
      </c>
      <c r="S190" s="164">
        <v>720</v>
      </c>
      <c r="V190" s="35"/>
      <c r="W190" s="35"/>
      <c r="X190" s="35"/>
      <c r="Y190" s="35"/>
      <c r="Z190" s="35"/>
      <c r="AA190" s="35"/>
      <c r="AB190" s="35"/>
      <c r="AD190" s="35"/>
    </row>
    <row r="191" ht="16.5" spans="1:30">
      <c r="A191" s="58"/>
      <c r="B191" s="58"/>
      <c r="C191" s="59"/>
      <c r="D191" s="155" t="s">
        <v>57</v>
      </c>
      <c r="E191" s="123">
        <v>36</v>
      </c>
      <c r="F191" s="151">
        <f t="shared" si="6"/>
        <v>2.1</v>
      </c>
      <c r="G191" s="151">
        <f t="shared" si="6"/>
        <v>2.1</v>
      </c>
      <c r="H191" s="152">
        <v>3264</v>
      </c>
      <c r="I191" s="153">
        <f t="shared" si="9"/>
        <v>8.61971830985915</v>
      </c>
      <c r="J191" s="142">
        <v>360</v>
      </c>
      <c r="K191">
        <f>SUM($J$156:J191)</f>
        <v>4360</v>
      </c>
      <c r="M191" s="160" t="s">
        <v>56</v>
      </c>
      <c r="N191" s="165">
        <v>36</v>
      </c>
      <c r="O191" s="161">
        <v>1.75</v>
      </c>
      <c r="P191" s="161">
        <v>1.75</v>
      </c>
      <c r="Q191" s="162">
        <v>2448</v>
      </c>
      <c r="R191" s="163">
        <v>6.46478873239437</v>
      </c>
      <c r="S191" s="164">
        <v>720</v>
      </c>
      <c r="V191" s="35">
        <v>400</v>
      </c>
      <c r="W191" s="35">
        <v>300</v>
      </c>
      <c r="X191" s="35">
        <f>W191*9*1/10000</f>
        <v>0.27</v>
      </c>
      <c r="Y191" s="35">
        <v>1</v>
      </c>
      <c r="Z191" s="35" cm="1">
        <f t="array" ref="Z191">SUMPRODUCT(Y191:Y193,X191:X193)</f>
        <v>0.36</v>
      </c>
      <c r="AA191" s="35" t="s">
        <v>96</v>
      </c>
      <c r="AB191" s="35">
        <f>500*0.0157</f>
        <v>7.85</v>
      </c>
      <c r="AD191" s="35">
        <f>Q191-Z191</f>
        <v>2447.64</v>
      </c>
    </row>
    <row r="192" ht="16.5" spans="1:30">
      <c r="A192" s="58"/>
      <c r="B192" s="58"/>
      <c r="C192" s="59"/>
      <c r="D192" s="155" t="s">
        <v>57</v>
      </c>
      <c r="E192" s="155">
        <v>37</v>
      </c>
      <c r="F192" s="151">
        <f t="shared" si="6"/>
        <v>2.16</v>
      </c>
      <c r="G192" s="151">
        <f t="shared" si="6"/>
        <v>2.16</v>
      </c>
      <c r="H192" s="152">
        <v>3360</v>
      </c>
      <c r="I192" s="153">
        <f t="shared" si="9"/>
        <v>8.87323943661972</v>
      </c>
      <c r="J192" s="142">
        <v>360</v>
      </c>
      <c r="K192">
        <f>SUM($J$156:J192)</f>
        <v>4720</v>
      </c>
      <c r="M192" s="160" t="s">
        <v>56</v>
      </c>
      <c r="N192" s="160">
        <v>37</v>
      </c>
      <c r="O192" s="161">
        <v>1.8</v>
      </c>
      <c r="P192" s="161">
        <v>1.8</v>
      </c>
      <c r="Q192" s="162">
        <v>2520</v>
      </c>
      <c r="R192" s="163">
        <v>6.65492957746479</v>
      </c>
      <c r="S192" s="164">
        <v>720</v>
      </c>
      <c r="V192" s="35"/>
      <c r="W192" s="35">
        <v>100</v>
      </c>
      <c r="X192" s="35">
        <f t="shared" ref="X192:X197" si="10">W192*9*1/10000</f>
        <v>0.09</v>
      </c>
      <c r="Y192" s="35">
        <v>1</v>
      </c>
      <c r="Z192" s="35"/>
      <c r="AA192" s="35"/>
      <c r="AB192" s="168">
        <f>MAX(Z191,1)/AB191</f>
        <v>0.127388535031847</v>
      </c>
      <c r="AD192" s="35"/>
    </row>
    <row r="193" ht="16.5" spans="1:30">
      <c r="A193" s="58"/>
      <c r="B193" s="58"/>
      <c r="C193" s="59"/>
      <c r="D193" s="155" t="s">
        <v>57</v>
      </c>
      <c r="E193" s="123">
        <v>38</v>
      </c>
      <c r="F193" s="151">
        <f t="shared" si="6"/>
        <v>2.22</v>
      </c>
      <c r="G193" s="151">
        <f t="shared" si="6"/>
        <v>2.22</v>
      </c>
      <c r="H193" s="152">
        <v>3456</v>
      </c>
      <c r="I193" s="153">
        <f t="shared" si="9"/>
        <v>9.12676056338028</v>
      </c>
      <c r="J193" s="142">
        <v>360</v>
      </c>
      <c r="K193">
        <f>SUM($J$156:J193)</f>
        <v>5080</v>
      </c>
      <c r="M193" s="160" t="s">
        <v>56</v>
      </c>
      <c r="N193" s="165">
        <v>38</v>
      </c>
      <c r="O193" s="161">
        <v>1.85</v>
      </c>
      <c r="P193" s="161">
        <v>1.85</v>
      </c>
      <c r="Q193" s="162">
        <v>2592</v>
      </c>
      <c r="R193" s="163">
        <v>6.84507042253521</v>
      </c>
      <c r="S193" s="164">
        <v>720</v>
      </c>
      <c r="V193" s="35"/>
      <c r="W193" s="35"/>
      <c r="X193" s="35"/>
      <c r="Y193" s="35"/>
      <c r="Z193" s="35"/>
      <c r="AA193" s="35"/>
      <c r="AB193" s="35"/>
      <c r="AD193" s="35"/>
    </row>
    <row r="194" ht="16.5" spans="1:30">
      <c r="A194" s="58"/>
      <c r="B194" s="58"/>
      <c r="C194" s="59"/>
      <c r="D194" s="155" t="s">
        <v>57</v>
      </c>
      <c r="E194" s="155">
        <v>39</v>
      </c>
      <c r="F194" s="151">
        <f t="shared" si="6"/>
        <v>2.28</v>
      </c>
      <c r="G194" s="151">
        <f t="shared" si="6"/>
        <v>2.28</v>
      </c>
      <c r="H194" s="152">
        <v>3552</v>
      </c>
      <c r="I194" s="153">
        <f t="shared" si="9"/>
        <v>9.38028169014085</v>
      </c>
      <c r="J194" s="142">
        <v>360</v>
      </c>
      <c r="K194">
        <f>SUM($J$156:J194)</f>
        <v>5440</v>
      </c>
      <c r="M194" s="160" t="s">
        <v>56</v>
      </c>
      <c r="N194" s="160">
        <v>39</v>
      </c>
      <c r="O194" s="161">
        <v>1.9</v>
      </c>
      <c r="P194" s="161">
        <v>1.9</v>
      </c>
      <c r="Q194" s="162">
        <v>2664</v>
      </c>
      <c r="R194" s="163">
        <v>7.03521126760563</v>
      </c>
      <c r="S194" s="164">
        <v>720</v>
      </c>
      <c r="V194" s="35"/>
      <c r="W194" s="35"/>
      <c r="X194" s="35"/>
      <c r="Y194" s="35"/>
      <c r="Z194" s="35"/>
      <c r="AA194" s="35"/>
      <c r="AB194" s="35"/>
      <c r="AD194" s="35"/>
    </row>
    <row r="195" ht="16.5" spans="1:30">
      <c r="A195" s="58"/>
      <c r="B195" s="58"/>
      <c r="C195" s="59"/>
      <c r="D195" s="155" t="s">
        <v>57</v>
      </c>
      <c r="E195" s="123">
        <v>40</v>
      </c>
      <c r="F195" s="151">
        <f t="shared" si="6"/>
        <v>2.34</v>
      </c>
      <c r="G195" s="151">
        <f t="shared" si="6"/>
        <v>2.34</v>
      </c>
      <c r="H195" s="152">
        <v>3648</v>
      </c>
      <c r="I195" s="153">
        <f t="shared" si="9"/>
        <v>9.63380281690141</v>
      </c>
      <c r="J195" s="142">
        <v>480</v>
      </c>
      <c r="K195">
        <f>SUM($J$156:J195)</f>
        <v>5920</v>
      </c>
      <c r="M195" s="160" t="s">
        <v>56</v>
      </c>
      <c r="N195" s="165">
        <v>40</v>
      </c>
      <c r="O195" s="161">
        <v>1.95</v>
      </c>
      <c r="P195" s="161">
        <v>1.95</v>
      </c>
      <c r="Q195" s="162">
        <v>2736</v>
      </c>
      <c r="R195" s="163">
        <v>7.22535211267606</v>
      </c>
      <c r="S195" s="164">
        <v>1080</v>
      </c>
      <c r="V195" s="35">
        <v>800</v>
      </c>
      <c r="W195" s="35">
        <v>50</v>
      </c>
      <c r="X195" s="35">
        <f>W195*9*1/10000</f>
        <v>0.045</v>
      </c>
      <c r="Y195" s="35">
        <v>2</v>
      </c>
      <c r="Z195" s="35" cm="1">
        <f t="array" ref="Z195">SUMPRODUCT(X195:X197,Y195:Y197)</f>
        <v>0.765</v>
      </c>
      <c r="AA195" s="35" t="s">
        <v>96</v>
      </c>
      <c r="AB195" s="35">
        <f>500*0.023</f>
        <v>11.5</v>
      </c>
      <c r="AD195" s="35">
        <f>Q195-Z195</f>
        <v>2735.235</v>
      </c>
    </row>
    <row r="196" ht="16.5" spans="1:30">
      <c r="A196" s="58"/>
      <c r="B196" s="58"/>
      <c r="C196" s="59"/>
      <c r="D196" s="155" t="s">
        <v>57</v>
      </c>
      <c r="E196" s="155">
        <v>41</v>
      </c>
      <c r="F196" s="151">
        <f t="shared" si="6"/>
        <v>2.4</v>
      </c>
      <c r="G196" s="151">
        <f t="shared" si="6"/>
        <v>2.4</v>
      </c>
      <c r="H196" s="152">
        <v>3744</v>
      </c>
      <c r="I196" s="153">
        <f t="shared" si="9"/>
        <v>9.88732394366197</v>
      </c>
      <c r="J196" s="142">
        <v>480</v>
      </c>
      <c r="K196">
        <f>SUM($J$156:J196)</f>
        <v>6400</v>
      </c>
      <c r="M196" s="160" t="s">
        <v>56</v>
      </c>
      <c r="N196" s="160">
        <v>41</v>
      </c>
      <c r="O196" s="161">
        <v>2</v>
      </c>
      <c r="P196" s="161">
        <v>2</v>
      </c>
      <c r="Q196" s="162">
        <v>2808</v>
      </c>
      <c r="R196" s="163">
        <v>7.41549295774648</v>
      </c>
      <c r="S196" s="164">
        <v>1080</v>
      </c>
      <c r="V196" s="35"/>
      <c r="W196" s="35">
        <v>150</v>
      </c>
      <c r="X196" s="35">
        <f t="shared" si="10"/>
        <v>0.135</v>
      </c>
      <c r="Y196" s="35">
        <v>1</v>
      </c>
      <c r="Z196" s="35"/>
      <c r="AA196" s="35"/>
      <c r="AB196" s="168">
        <f>MAX(Z195,1)/AB195</f>
        <v>0.0869565217391304</v>
      </c>
      <c r="AD196" s="35"/>
    </row>
    <row r="197" ht="16.5" spans="1:30">
      <c r="A197" s="58"/>
      <c r="B197" s="58"/>
      <c r="C197" s="59"/>
      <c r="D197" s="155" t="s">
        <v>57</v>
      </c>
      <c r="E197" s="123">
        <v>42</v>
      </c>
      <c r="F197" s="151">
        <f t="shared" si="6"/>
        <v>2.46</v>
      </c>
      <c r="G197" s="151">
        <f t="shared" si="6"/>
        <v>2.46</v>
      </c>
      <c r="H197" s="152">
        <v>3840</v>
      </c>
      <c r="I197" s="153">
        <f t="shared" si="9"/>
        <v>10.1408450704225</v>
      </c>
      <c r="J197" s="142">
        <v>480</v>
      </c>
      <c r="K197">
        <f>SUM($J$156:J197)</f>
        <v>6880</v>
      </c>
      <c r="M197" s="160" t="s">
        <v>56</v>
      </c>
      <c r="N197" s="165">
        <v>42</v>
      </c>
      <c r="O197" s="161">
        <v>2.05</v>
      </c>
      <c r="P197" s="161">
        <v>2.05</v>
      </c>
      <c r="Q197" s="162">
        <v>2880</v>
      </c>
      <c r="R197" s="163">
        <v>7.6056338028169</v>
      </c>
      <c r="S197" s="164">
        <v>1080</v>
      </c>
      <c r="V197" s="35"/>
      <c r="W197" s="35">
        <v>600</v>
      </c>
      <c r="X197" s="35">
        <f t="shared" si="10"/>
        <v>0.54</v>
      </c>
      <c r="Y197" s="35">
        <v>1</v>
      </c>
      <c r="Z197" s="35"/>
      <c r="AA197" s="35"/>
      <c r="AB197" s="35"/>
      <c r="AD197" s="35"/>
    </row>
    <row r="198" ht="16.5" spans="1:30">
      <c r="A198" s="58"/>
      <c r="B198" s="58"/>
      <c r="C198" s="59"/>
      <c r="D198" s="155" t="s">
        <v>57</v>
      </c>
      <c r="E198" s="155">
        <v>43</v>
      </c>
      <c r="F198" s="151">
        <f t="shared" si="6"/>
        <v>2.52</v>
      </c>
      <c r="G198" s="151">
        <f t="shared" si="6"/>
        <v>2.52</v>
      </c>
      <c r="H198" s="152">
        <v>3936</v>
      </c>
      <c r="I198" s="153">
        <f t="shared" si="9"/>
        <v>10.3943661971831</v>
      </c>
      <c r="J198" s="142">
        <v>480</v>
      </c>
      <c r="K198">
        <f>SUM($J$156:J198)</f>
        <v>7360</v>
      </c>
      <c r="M198" s="160" t="s">
        <v>56</v>
      </c>
      <c r="N198" s="160">
        <v>43</v>
      </c>
      <c r="O198" s="161">
        <v>2.1</v>
      </c>
      <c r="P198" s="161">
        <v>2.1</v>
      </c>
      <c r="Q198" s="162">
        <v>2952</v>
      </c>
      <c r="R198" s="163">
        <v>7.79577464788732</v>
      </c>
      <c r="S198" s="164">
        <v>1080</v>
      </c>
      <c r="V198" s="35"/>
      <c r="W198" s="35"/>
      <c r="X198" s="35"/>
      <c r="Y198" s="35"/>
      <c r="Z198" s="35"/>
      <c r="AA198" s="35"/>
      <c r="AB198" s="35"/>
      <c r="AD198" s="35"/>
    </row>
    <row r="199" ht="16.5" spans="1:30">
      <c r="A199" s="58"/>
      <c r="B199" s="58"/>
      <c r="C199" s="59"/>
      <c r="D199" s="155" t="s">
        <v>57</v>
      </c>
      <c r="E199" s="123">
        <v>44</v>
      </c>
      <c r="F199" s="151">
        <f t="shared" si="6"/>
        <v>2.58</v>
      </c>
      <c r="G199" s="151">
        <f t="shared" si="6"/>
        <v>2.58</v>
      </c>
      <c r="H199" s="152">
        <v>4032</v>
      </c>
      <c r="I199" s="153">
        <f t="shared" si="9"/>
        <v>10.6478873239437</v>
      </c>
      <c r="J199" s="142">
        <v>480</v>
      </c>
      <c r="K199">
        <f>SUM($J$156:J199)</f>
        <v>7840</v>
      </c>
      <c r="M199" s="160" t="s">
        <v>56</v>
      </c>
      <c r="N199" s="165">
        <v>44</v>
      </c>
      <c r="O199" s="161">
        <v>2.15</v>
      </c>
      <c r="P199" s="161">
        <v>2.15</v>
      </c>
      <c r="Q199" s="162">
        <v>3024</v>
      </c>
      <c r="R199" s="163">
        <v>7.98591549295775</v>
      </c>
      <c r="S199" s="164">
        <v>1080</v>
      </c>
      <c r="V199" s="35">
        <v>1200</v>
      </c>
      <c r="W199" s="35">
        <v>100</v>
      </c>
      <c r="X199" s="35">
        <f>W199*9*1/10000</f>
        <v>0.09</v>
      </c>
      <c r="Y199" s="35">
        <v>2</v>
      </c>
      <c r="Z199" s="35" cm="1">
        <f t="array" ref="Z199">SUMPRODUCT(X199:X201,Y199:Y201)</f>
        <v>1.17</v>
      </c>
      <c r="AA199" s="35" t="s">
        <v>96</v>
      </c>
      <c r="AB199" s="35">
        <f>500*0.0315</f>
        <v>15.75</v>
      </c>
      <c r="AD199" s="35">
        <f>Q199-Z199</f>
        <v>3022.83</v>
      </c>
    </row>
    <row r="200" ht="16.5" spans="1:30">
      <c r="A200" s="58"/>
      <c r="B200" s="58"/>
      <c r="C200" s="59"/>
      <c r="D200" s="155" t="s">
        <v>57</v>
      </c>
      <c r="E200" s="155">
        <v>45</v>
      </c>
      <c r="F200" s="151">
        <f t="shared" si="6"/>
        <v>2.64</v>
      </c>
      <c r="G200" s="151">
        <f t="shared" si="6"/>
        <v>2.64</v>
      </c>
      <c r="H200" s="152">
        <v>4128</v>
      </c>
      <c r="I200" s="153">
        <f t="shared" si="9"/>
        <v>10.9014084507042</v>
      </c>
      <c r="J200" s="142">
        <v>720</v>
      </c>
      <c r="K200">
        <f>SUM($J$156:J200)</f>
        <v>8560</v>
      </c>
      <c r="M200" s="160" t="s">
        <v>56</v>
      </c>
      <c r="N200" s="160">
        <v>45</v>
      </c>
      <c r="O200" s="161">
        <v>2.2</v>
      </c>
      <c r="P200" s="161">
        <v>2.2</v>
      </c>
      <c r="Q200" s="162">
        <v>3096</v>
      </c>
      <c r="R200" s="163">
        <v>8.17605633802817</v>
      </c>
      <c r="S200" s="164">
        <v>1440</v>
      </c>
      <c r="V200" s="35"/>
      <c r="W200" s="35">
        <v>300</v>
      </c>
      <c r="X200" s="35">
        <f>W200*9*1/10000</f>
        <v>0.27</v>
      </c>
      <c r="Y200" s="35">
        <v>1</v>
      </c>
      <c r="Z200" s="35"/>
      <c r="AA200" s="35"/>
      <c r="AB200" s="168">
        <f>MAX(Z199,1)/AB199</f>
        <v>0.0742857142857143</v>
      </c>
      <c r="AD200" s="35"/>
    </row>
    <row r="201" ht="16.5" spans="1:30">
      <c r="A201" s="58"/>
      <c r="B201" s="58"/>
      <c r="C201" s="59"/>
      <c r="D201" s="155" t="s">
        <v>57</v>
      </c>
      <c r="E201" s="123">
        <v>46</v>
      </c>
      <c r="F201" s="151">
        <f t="shared" si="6"/>
        <v>2.7</v>
      </c>
      <c r="G201" s="151">
        <f t="shared" si="6"/>
        <v>2.7</v>
      </c>
      <c r="H201" s="152">
        <v>4224</v>
      </c>
      <c r="I201" s="153">
        <f t="shared" si="9"/>
        <v>11.1549295774648</v>
      </c>
      <c r="J201" s="142">
        <v>720</v>
      </c>
      <c r="K201">
        <f>SUM($J$156:J201)</f>
        <v>9280</v>
      </c>
      <c r="M201" s="160" t="s">
        <v>56</v>
      </c>
      <c r="N201" s="165">
        <v>46</v>
      </c>
      <c r="O201" s="161">
        <v>2.25</v>
      </c>
      <c r="P201" s="161">
        <v>2.25</v>
      </c>
      <c r="Q201" s="162">
        <v>3168</v>
      </c>
      <c r="R201" s="163">
        <v>8.36619718309859</v>
      </c>
      <c r="S201" s="164">
        <v>1440</v>
      </c>
      <c r="V201" s="35"/>
      <c r="W201" s="35">
        <v>800</v>
      </c>
      <c r="X201" s="35">
        <f>W201*9*1/10000</f>
        <v>0.72</v>
      </c>
      <c r="Y201" s="35">
        <v>1</v>
      </c>
      <c r="Z201" s="35"/>
      <c r="AA201" s="35"/>
      <c r="AB201" s="35"/>
      <c r="AD201" s="35"/>
    </row>
    <row r="202" ht="16.5" spans="1:30">
      <c r="A202" s="58"/>
      <c r="B202" s="58"/>
      <c r="C202" s="59"/>
      <c r="D202" s="155" t="s">
        <v>57</v>
      </c>
      <c r="E202" s="155">
        <v>47</v>
      </c>
      <c r="F202" s="151">
        <f t="shared" si="6"/>
        <v>2.76</v>
      </c>
      <c r="G202" s="151">
        <f t="shared" si="6"/>
        <v>2.76</v>
      </c>
      <c r="H202" s="152">
        <v>4320</v>
      </c>
      <c r="I202" s="153">
        <f t="shared" si="9"/>
        <v>11.4084507042254</v>
      </c>
      <c r="J202" s="142">
        <v>720</v>
      </c>
      <c r="K202">
        <f>SUM($J$156:J202)</f>
        <v>10000</v>
      </c>
      <c r="M202" s="160" t="s">
        <v>56</v>
      </c>
      <c r="N202" s="160">
        <v>47</v>
      </c>
      <c r="O202" s="161">
        <v>2.3</v>
      </c>
      <c r="P202" s="161">
        <v>2.3</v>
      </c>
      <c r="Q202" s="162">
        <v>3240</v>
      </c>
      <c r="R202" s="163">
        <v>8.55633802816901</v>
      </c>
      <c r="S202" s="164">
        <v>1440</v>
      </c>
    </row>
    <row r="203" ht="16.5" spans="1:30">
      <c r="A203" s="58"/>
      <c r="B203" s="58"/>
      <c r="C203" s="59"/>
      <c r="D203" s="155" t="s">
        <v>57</v>
      </c>
      <c r="E203" s="123">
        <v>48</v>
      </c>
      <c r="F203" s="151">
        <f t="shared" si="6"/>
        <v>2.82</v>
      </c>
      <c r="G203" s="151">
        <f t="shared" si="6"/>
        <v>2.82</v>
      </c>
      <c r="H203" s="152">
        <v>4416</v>
      </c>
      <c r="I203" s="153">
        <f t="shared" si="9"/>
        <v>11.6619718309859</v>
      </c>
      <c r="J203" s="142">
        <v>720</v>
      </c>
      <c r="K203">
        <f>SUM($J$156:J203)</f>
        <v>10720</v>
      </c>
      <c r="M203" s="160" t="s">
        <v>56</v>
      </c>
      <c r="N203" s="165">
        <v>48</v>
      </c>
      <c r="O203" s="161">
        <v>2.35</v>
      </c>
      <c r="P203" s="161">
        <v>2.35</v>
      </c>
      <c r="Q203" s="162">
        <v>3312</v>
      </c>
      <c r="R203" s="163">
        <v>8.74647887323944</v>
      </c>
      <c r="S203" s="164">
        <v>1440</v>
      </c>
    </row>
    <row r="204" ht="16.5" spans="1:30">
      <c r="A204" s="58"/>
      <c r="B204" s="58"/>
      <c r="C204" s="59"/>
      <c r="D204" s="155" t="s">
        <v>57</v>
      </c>
      <c r="E204" s="155">
        <v>49</v>
      </c>
      <c r="F204" s="151">
        <f t="shared" si="6"/>
        <v>2.88</v>
      </c>
      <c r="G204" s="151">
        <f t="shared" si="6"/>
        <v>2.88</v>
      </c>
      <c r="H204" s="152">
        <v>4512</v>
      </c>
      <c r="I204" s="153">
        <f t="shared" si="9"/>
        <v>11.9154929577465</v>
      </c>
      <c r="J204" s="142">
        <v>720</v>
      </c>
      <c r="K204">
        <f>SUM($J$156:J204)</f>
        <v>11440</v>
      </c>
      <c r="M204" s="160" t="s">
        <v>56</v>
      </c>
      <c r="N204" s="160">
        <v>49</v>
      </c>
      <c r="O204" s="161">
        <v>2.4</v>
      </c>
      <c r="P204" s="161">
        <v>2.4</v>
      </c>
      <c r="Q204" s="162">
        <v>3384</v>
      </c>
      <c r="R204" s="163">
        <v>8.93661971830986</v>
      </c>
      <c r="S204" s="164">
        <v>1440</v>
      </c>
    </row>
    <row r="205" ht="16.5" spans="1:30">
      <c r="A205" s="58"/>
      <c r="B205" s="58"/>
      <c r="C205" s="59"/>
      <c r="D205" s="155" t="s">
        <v>57</v>
      </c>
      <c r="E205" s="123">
        <v>50</v>
      </c>
      <c r="F205" s="151">
        <f t="shared" si="6"/>
        <v>2.94</v>
      </c>
      <c r="G205" s="151">
        <f t="shared" si="6"/>
        <v>2.94</v>
      </c>
      <c r="H205" s="142">
        <f>梦灵经验产出!J73</f>
        <v>0</v>
      </c>
      <c r="I205" s="153">
        <f t="shared" si="9"/>
        <v>0</v>
      </c>
      <c r="J205" s="142">
        <f>J200*2</f>
        <v>1440</v>
      </c>
      <c r="K205">
        <f>SUM($J$156:J205)</f>
        <v>12880</v>
      </c>
    </row>
    <row r="206" ht="16.5" spans="1:30">
      <c r="A206" s="58"/>
      <c r="B206" s="58"/>
      <c r="C206" s="59"/>
      <c r="D206" s="123" t="s">
        <v>58</v>
      </c>
      <c r="E206" s="123">
        <v>1</v>
      </c>
      <c r="F206" s="151">
        <f t="shared" si="6"/>
        <v>0</v>
      </c>
      <c r="G206" s="151">
        <f t="shared" si="6"/>
        <v>0</v>
      </c>
      <c r="H206" s="152">
        <v>60</v>
      </c>
      <c r="I206" s="153">
        <f t="shared" si="9"/>
        <v>0.158450704225352</v>
      </c>
      <c r="J206" s="142">
        <v>10</v>
      </c>
    </row>
    <row r="207" ht="16.5" spans="1:30">
      <c r="A207" s="58"/>
      <c r="B207" s="58"/>
      <c r="C207" s="59"/>
      <c r="D207" s="123" t="s">
        <v>58</v>
      </c>
      <c r="E207" s="123">
        <v>2</v>
      </c>
      <c r="F207" s="151">
        <f t="shared" si="6"/>
        <v>0.1</v>
      </c>
      <c r="G207" s="151">
        <f t="shared" si="6"/>
        <v>0.1</v>
      </c>
      <c r="H207" s="152">
        <v>120</v>
      </c>
      <c r="I207" s="153">
        <f t="shared" si="9"/>
        <v>0.316901408450704</v>
      </c>
      <c r="J207" s="142">
        <v>10</v>
      </c>
      <c r="K207">
        <f>SUM($J$207:J207)</f>
        <v>10</v>
      </c>
    </row>
    <row r="208" ht="16.5" spans="1:30">
      <c r="A208" s="58"/>
      <c r="B208" s="58"/>
      <c r="C208" s="59"/>
      <c r="D208" s="123" t="s">
        <v>58</v>
      </c>
      <c r="E208" s="123">
        <v>3</v>
      </c>
      <c r="F208" s="151">
        <f t="shared" si="6"/>
        <v>0.2</v>
      </c>
      <c r="G208" s="151">
        <f t="shared" si="6"/>
        <v>0.2</v>
      </c>
      <c r="H208" s="152">
        <v>180</v>
      </c>
      <c r="I208" s="153">
        <f t="shared" si="9"/>
        <v>0.475352112676056</v>
      </c>
      <c r="J208" s="142">
        <v>10</v>
      </c>
      <c r="K208">
        <f>SUM($J$207:J208)</f>
        <v>20</v>
      </c>
    </row>
    <row r="209" ht="16.5" spans="1:11">
      <c r="A209" s="58"/>
      <c r="B209" s="58"/>
      <c r="C209" s="59"/>
      <c r="D209" s="123" t="s">
        <v>58</v>
      </c>
      <c r="E209" s="123">
        <v>4</v>
      </c>
      <c r="F209" s="151">
        <f t="shared" si="6"/>
        <v>0.3</v>
      </c>
      <c r="G209" s="151">
        <f t="shared" si="6"/>
        <v>0.3</v>
      </c>
      <c r="H209" s="152">
        <v>240</v>
      </c>
      <c r="I209" s="153">
        <f t="shared" si="9"/>
        <v>0.633802816901408</v>
      </c>
      <c r="J209" s="142">
        <v>10</v>
      </c>
      <c r="K209">
        <f>SUM($J$207:J209)</f>
        <v>30</v>
      </c>
    </row>
    <row r="210" ht="16.5" spans="1:11">
      <c r="A210" s="58"/>
      <c r="B210" s="58"/>
      <c r="C210" s="59"/>
      <c r="D210" s="123" t="s">
        <v>58</v>
      </c>
      <c r="E210" s="123">
        <v>5</v>
      </c>
      <c r="F210" s="151">
        <f t="shared" si="6"/>
        <v>0.4</v>
      </c>
      <c r="G210" s="151">
        <f t="shared" si="6"/>
        <v>0.4</v>
      </c>
      <c r="H210" s="152">
        <v>360</v>
      </c>
      <c r="I210" s="153">
        <f t="shared" si="9"/>
        <v>0.950704225352113</v>
      </c>
      <c r="J210" s="142">
        <v>30</v>
      </c>
      <c r="K210">
        <f>SUM($J$207:J210)</f>
        <v>60</v>
      </c>
    </row>
    <row r="211" ht="16.5" spans="1:11">
      <c r="A211" s="58"/>
      <c r="B211" s="58"/>
      <c r="C211" s="59"/>
      <c r="D211" s="123" t="s">
        <v>58</v>
      </c>
      <c r="E211" s="123">
        <v>6</v>
      </c>
      <c r="F211" s="151">
        <f t="shared" si="6"/>
        <v>0.5</v>
      </c>
      <c r="G211" s="151">
        <f t="shared" si="6"/>
        <v>0.5</v>
      </c>
      <c r="H211" s="152">
        <v>480</v>
      </c>
      <c r="I211" s="153">
        <f t="shared" si="9"/>
        <v>1.26760563380282</v>
      </c>
      <c r="J211" s="142">
        <v>30</v>
      </c>
      <c r="K211">
        <f>SUM($J$207:J211)</f>
        <v>90</v>
      </c>
    </row>
    <row r="212" ht="16.5" spans="1:11">
      <c r="A212" s="58"/>
      <c r="B212" s="58"/>
      <c r="C212" s="59"/>
      <c r="D212" s="123" t="s">
        <v>58</v>
      </c>
      <c r="E212" s="123">
        <v>7</v>
      </c>
      <c r="F212" s="151">
        <f t="shared" si="6"/>
        <v>0.6</v>
      </c>
      <c r="G212" s="151">
        <f t="shared" si="6"/>
        <v>0.6</v>
      </c>
      <c r="H212" s="152">
        <v>600</v>
      </c>
      <c r="I212" s="153">
        <f t="shared" si="9"/>
        <v>1.58450704225352</v>
      </c>
      <c r="J212" s="142">
        <v>30</v>
      </c>
      <c r="K212">
        <f>SUM($J$207:J212)</f>
        <v>120</v>
      </c>
    </row>
    <row r="213" ht="16.5" spans="1:11">
      <c r="A213" s="58"/>
      <c r="B213" s="58"/>
      <c r="C213" s="59"/>
      <c r="D213" s="123" t="s">
        <v>58</v>
      </c>
      <c r="E213" s="123">
        <v>8</v>
      </c>
      <c r="F213" s="151">
        <f t="shared" si="6"/>
        <v>0.7</v>
      </c>
      <c r="G213" s="151">
        <f t="shared" si="6"/>
        <v>0.7</v>
      </c>
      <c r="H213" s="152">
        <v>720</v>
      </c>
      <c r="I213" s="153">
        <f t="shared" si="9"/>
        <v>1.90140845070423</v>
      </c>
      <c r="J213" s="142">
        <v>30</v>
      </c>
      <c r="K213">
        <f>SUM($J$207:J213)</f>
        <v>150</v>
      </c>
    </row>
    <row r="214" ht="16.5" spans="1:11">
      <c r="A214" s="58"/>
      <c r="B214" s="58"/>
      <c r="C214" s="59"/>
      <c r="D214" s="123" t="s">
        <v>58</v>
      </c>
      <c r="E214" s="123">
        <v>9</v>
      </c>
      <c r="F214" s="151">
        <f t="shared" si="6"/>
        <v>0.8</v>
      </c>
      <c r="G214" s="151">
        <f t="shared" si="6"/>
        <v>0.8</v>
      </c>
      <c r="H214" s="152">
        <v>840</v>
      </c>
      <c r="I214" s="153">
        <f t="shared" si="9"/>
        <v>2.21830985915493</v>
      </c>
      <c r="J214" s="142">
        <v>30</v>
      </c>
      <c r="K214">
        <f>SUM($J$207:J214)</f>
        <v>180</v>
      </c>
    </row>
    <row r="215" ht="16.5" spans="1:11">
      <c r="A215" s="58"/>
      <c r="B215" s="58"/>
      <c r="C215" s="59"/>
      <c r="D215" s="123" t="s">
        <v>58</v>
      </c>
      <c r="E215" s="123">
        <v>10</v>
      </c>
      <c r="F215" s="151">
        <f t="shared" si="6"/>
        <v>0.9</v>
      </c>
      <c r="G215" s="151">
        <f t="shared" si="6"/>
        <v>0.9</v>
      </c>
      <c r="H215" s="152">
        <v>960</v>
      </c>
      <c r="I215" s="153">
        <f t="shared" si="9"/>
        <v>2.53521126760563</v>
      </c>
      <c r="J215" s="142">
        <v>50</v>
      </c>
      <c r="K215">
        <f>SUM($J$207:J215)</f>
        <v>230</v>
      </c>
    </row>
    <row r="216" ht="16.5" spans="1:11">
      <c r="A216" s="58"/>
      <c r="B216" s="58"/>
      <c r="C216" s="59"/>
      <c r="D216" s="123" t="s">
        <v>58</v>
      </c>
      <c r="E216" s="170">
        <v>11</v>
      </c>
      <c r="F216" s="151">
        <f t="shared" ref="F216:G255" si="11">VLOOKUP($D216,$D$38:$E$41,2,0)*($E216-1)</f>
        <v>1</v>
      </c>
      <c r="G216" s="151">
        <f t="shared" si="11"/>
        <v>1</v>
      </c>
      <c r="H216" s="152">
        <v>1080</v>
      </c>
      <c r="I216" s="153">
        <f t="shared" si="9"/>
        <v>2.85211267605634</v>
      </c>
      <c r="J216" s="142">
        <v>50</v>
      </c>
      <c r="K216">
        <f>SUM($J$207:J216)</f>
        <v>280</v>
      </c>
    </row>
    <row r="217" ht="16.5" spans="1:11">
      <c r="A217" s="58"/>
      <c r="B217" s="58"/>
      <c r="C217" s="59"/>
      <c r="D217" s="123" t="s">
        <v>58</v>
      </c>
      <c r="E217" s="170">
        <v>12</v>
      </c>
      <c r="F217" s="151">
        <f t="shared" si="11"/>
        <v>1.1</v>
      </c>
      <c r="G217" s="151">
        <f t="shared" si="11"/>
        <v>1.1</v>
      </c>
      <c r="H217" s="152">
        <v>1200</v>
      </c>
      <c r="I217" s="153">
        <f t="shared" ref="I217:I255" si="12">H217*6/$E$13</f>
        <v>3.16901408450704</v>
      </c>
      <c r="J217" s="142">
        <v>50</v>
      </c>
      <c r="K217">
        <f>SUM($J$207:J217)</f>
        <v>330</v>
      </c>
    </row>
    <row r="218" ht="16.5" spans="1:11">
      <c r="A218" s="58"/>
      <c r="B218" s="58"/>
      <c r="C218" s="59"/>
      <c r="D218" s="123" t="s">
        <v>58</v>
      </c>
      <c r="E218" s="170">
        <v>13</v>
      </c>
      <c r="F218" s="151">
        <f t="shared" si="11"/>
        <v>1.2</v>
      </c>
      <c r="G218" s="151">
        <f t="shared" si="11"/>
        <v>1.2</v>
      </c>
      <c r="H218" s="152">
        <v>1320</v>
      </c>
      <c r="I218" s="153">
        <f t="shared" si="12"/>
        <v>3.48591549295775</v>
      </c>
      <c r="J218" s="142">
        <v>50</v>
      </c>
      <c r="K218">
        <f>SUM($J$207:J218)</f>
        <v>380</v>
      </c>
    </row>
    <row r="219" ht="16.5" spans="1:11">
      <c r="A219" s="58"/>
      <c r="B219" s="58"/>
      <c r="C219" s="59"/>
      <c r="D219" s="123" t="s">
        <v>58</v>
      </c>
      <c r="E219" s="170">
        <v>14</v>
      </c>
      <c r="F219" s="151">
        <f t="shared" si="11"/>
        <v>1.3</v>
      </c>
      <c r="G219" s="151">
        <f t="shared" si="11"/>
        <v>1.3</v>
      </c>
      <c r="H219" s="152">
        <v>1440</v>
      </c>
      <c r="I219" s="153">
        <f t="shared" si="12"/>
        <v>3.80281690140845</v>
      </c>
      <c r="J219" s="142">
        <v>50</v>
      </c>
      <c r="K219">
        <f>SUM($J$207:J219)</f>
        <v>430</v>
      </c>
    </row>
    <row r="220" ht="16.5" spans="1:11">
      <c r="A220" s="58"/>
      <c r="B220" s="58"/>
      <c r="C220" s="59"/>
      <c r="D220" s="123" t="s">
        <v>58</v>
      </c>
      <c r="E220" s="170">
        <v>15</v>
      </c>
      <c r="F220" s="151">
        <f t="shared" si="11"/>
        <v>1.4</v>
      </c>
      <c r="G220" s="151">
        <f t="shared" si="11"/>
        <v>1.4</v>
      </c>
      <c r="H220" s="152">
        <v>1560</v>
      </c>
      <c r="I220" s="153">
        <f t="shared" si="12"/>
        <v>4.11971830985915</v>
      </c>
      <c r="J220" s="142">
        <v>70</v>
      </c>
      <c r="K220">
        <f>SUM($J$207:J220)</f>
        <v>500</v>
      </c>
    </row>
    <row r="221" ht="16.5" spans="1:11">
      <c r="A221" s="58"/>
      <c r="B221" s="58"/>
      <c r="C221" s="59"/>
      <c r="D221" s="123" t="s">
        <v>58</v>
      </c>
      <c r="E221" s="170">
        <v>16</v>
      </c>
      <c r="F221" s="151">
        <f t="shared" si="11"/>
        <v>1.5</v>
      </c>
      <c r="G221" s="151">
        <f t="shared" si="11"/>
        <v>1.5</v>
      </c>
      <c r="H221" s="152">
        <v>1680</v>
      </c>
      <c r="I221" s="153">
        <f t="shared" si="12"/>
        <v>4.43661971830986</v>
      </c>
      <c r="J221" s="142">
        <v>70</v>
      </c>
      <c r="K221">
        <f>SUM($J$207:J221)</f>
        <v>570</v>
      </c>
    </row>
    <row r="222" ht="16.5" spans="1:11">
      <c r="A222" s="58"/>
      <c r="B222" s="58"/>
      <c r="C222" s="59"/>
      <c r="D222" s="123" t="s">
        <v>58</v>
      </c>
      <c r="E222" s="170">
        <v>17</v>
      </c>
      <c r="F222" s="151">
        <f t="shared" si="11"/>
        <v>1.6</v>
      </c>
      <c r="G222" s="151">
        <f t="shared" si="11"/>
        <v>1.6</v>
      </c>
      <c r="H222" s="152">
        <v>1800</v>
      </c>
      <c r="I222" s="153">
        <f t="shared" si="12"/>
        <v>4.75352112676056</v>
      </c>
      <c r="J222" s="142">
        <v>70</v>
      </c>
      <c r="K222">
        <f>SUM($J$207:J222)</f>
        <v>640</v>
      </c>
    </row>
    <row r="223" ht="16.5" spans="1:11">
      <c r="A223" s="58"/>
      <c r="B223" s="58"/>
      <c r="C223" s="59"/>
      <c r="D223" s="123" t="s">
        <v>58</v>
      </c>
      <c r="E223" s="170">
        <v>18</v>
      </c>
      <c r="F223" s="151">
        <f t="shared" si="11"/>
        <v>1.7</v>
      </c>
      <c r="G223" s="151">
        <f t="shared" si="11"/>
        <v>1.7</v>
      </c>
      <c r="H223" s="152">
        <v>1920</v>
      </c>
      <c r="I223" s="153">
        <f t="shared" si="12"/>
        <v>5.07042253521127</v>
      </c>
      <c r="J223" s="142">
        <v>70</v>
      </c>
      <c r="K223">
        <f>SUM($J$207:J223)</f>
        <v>710</v>
      </c>
    </row>
    <row r="224" ht="16.5" spans="1:11">
      <c r="A224" s="58"/>
      <c r="B224" s="58"/>
      <c r="C224" s="59"/>
      <c r="D224" s="123" t="s">
        <v>58</v>
      </c>
      <c r="E224" s="170">
        <v>19</v>
      </c>
      <c r="F224" s="151">
        <f t="shared" si="11"/>
        <v>1.8</v>
      </c>
      <c r="G224" s="151">
        <f t="shared" si="11"/>
        <v>1.8</v>
      </c>
      <c r="H224" s="152">
        <v>2040</v>
      </c>
      <c r="I224" s="153">
        <f t="shared" si="12"/>
        <v>5.38732394366197</v>
      </c>
      <c r="J224" s="142">
        <v>70</v>
      </c>
      <c r="K224">
        <f>SUM($J$207:J224)</f>
        <v>780</v>
      </c>
    </row>
    <row r="225" ht="16.5" spans="1:13">
      <c r="A225" s="58"/>
      <c r="B225" s="58"/>
      <c r="C225" s="59"/>
      <c r="D225" s="123" t="s">
        <v>58</v>
      </c>
      <c r="E225" s="170">
        <v>20</v>
      </c>
      <c r="F225" s="151">
        <f t="shared" si="11"/>
        <v>1.9</v>
      </c>
      <c r="G225" s="151">
        <f t="shared" si="11"/>
        <v>1.9</v>
      </c>
      <c r="H225" s="152">
        <v>2160</v>
      </c>
      <c r="I225" s="153">
        <f t="shared" si="12"/>
        <v>5.70422535211268</v>
      </c>
      <c r="J225" s="142">
        <v>90</v>
      </c>
      <c r="K225">
        <f>SUM($J$207:J225)</f>
        <v>870</v>
      </c>
    </row>
    <row r="226" ht="16.5" spans="1:13">
      <c r="A226" s="58"/>
      <c r="B226" s="58"/>
      <c r="C226" s="59"/>
      <c r="D226" s="123" t="s">
        <v>58</v>
      </c>
      <c r="E226" s="170">
        <v>21</v>
      </c>
      <c r="F226" s="151">
        <f t="shared" si="11"/>
        <v>2</v>
      </c>
      <c r="G226" s="151">
        <f t="shared" si="11"/>
        <v>2</v>
      </c>
      <c r="H226" s="152">
        <v>2280</v>
      </c>
      <c r="I226" s="153">
        <f t="shared" si="12"/>
        <v>6.02112676056338</v>
      </c>
      <c r="J226" s="142">
        <v>90</v>
      </c>
      <c r="K226">
        <f>SUM($J$207:J226)</f>
        <v>960</v>
      </c>
      <c r="M226">
        <f>K234/2.2</f>
        <v>831.818181818182</v>
      </c>
    </row>
    <row r="227" ht="16.5" spans="1:13">
      <c r="A227" s="58"/>
      <c r="B227" s="58"/>
      <c r="C227" s="59"/>
      <c r="D227" s="123" t="s">
        <v>58</v>
      </c>
      <c r="E227" s="170">
        <v>22</v>
      </c>
      <c r="F227" s="151">
        <f t="shared" si="11"/>
        <v>2.1</v>
      </c>
      <c r="G227" s="151">
        <f t="shared" si="11"/>
        <v>2.1</v>
      </c>
      <c r="H227" s="152">
        <v>2400</v>
      </c>
      <c r="I227" s="153">
        <f t="shared" si="12"/>
        <v>6.33802816901408</v>
      </c>
      <c r="J227" s="142">
        <v>90</v>
      </c>
      <c r="K227">
        <f>SUM($J$207:J227)</f>
        <v>1050</v>
      </c>
    </row>
    <row r="228" ht="16.5" spans="1:13">
      <c r="A228" s="58"/>
      <c r="B228" s="58"/>
      <c r="C228" s="59"/>
      <c r="D228" s="123" t="s">
        <v>58</v>
      </c>
      <c r="E228" s="170">
        <v>23</v>
      </c>
      <c r="F228" s="151">
        <f t="shared" si="11"/>
        <v>2.2</v>
      </c>
      <c r="G228" s="151">
        <f t="shared" si="11"/>
        <v>2.2</v>
      </c>
      <c r="H228" s="152">
        <v>2520</v>
      </c>
      <c r="I228" s="153">
        <f t="shared" si="12"/>
        <v>6.65492957746479</v>
      </c>
      <c r="J228" s="142">
        <v>90</v>
      </c>
      <c r="K228">
        <f>SUM($J$207:J228)</f>
        <v>1140</v>
      </c>
    </row>
    <row r="229" ht="16.5" spans="1:13">
      <c r="A229" s="58"/>
      <c r="B229" s="58"/>
      <c r="C229" s="59"/>
      <c r="D229" s="123" t="s">
        <v>58</v>
      </c>
      <c r="E229" s="170">
        <v>24</v>
      </c>
      <c r="F229" s="151">
        <f t="shared" si="11"/>
        <v>2.3</v>
      </c>
      <c r="G229" s="151">
        <f t="shared" si="11"/>
        <v>2.3</v>
      </c>
      <c r="H229" s="152">
        <v>2640</v>
      </c>
      <c r="I229" s="153">
        <f t="shared" si="12"/>
        <v>6.97183098591549</v>
      </c>
      <c r="J229" s="142">
        <v>90</v>
      </c>
      <c r="K229">
        <f>SUM($J$207:J229)</f>
        <v>1230</v>
      </c>
    </row>
    <row r="230" ht="16.5" spans="1:13">
      <c r="A230" s="58"/>
      <c r="B230" s="58"/>
      <c r="C230" s="59"/>
      <c r="D230" s="123" t="s">
        <v>58</v>
      </c>
      <c r="E230" s="170">
        <v>25</v>
      </c>
      <c r="F230" s="151">
        <f t="shared" si="11"/>
        <v>2.4</v>
      </c>
      <c r="G230" s="151">
        <f t="shared" si="11"/>
        <v>2.4</v>
      </c>
      <c r="H230" s="152">
        <v>2760</v>
      </c>
      <c r="I230" s="153">
        <f t="shared" si="12"/>
        <v>7.2887323943662</v>
      </c>
      <c r="J230" s="142">
        <v>120</v>
      </c>
      <c r="K230">
        <f>SUM($J$207:J230)</f>
        <v>1350</v>
      </c>
    </row>
    <row r="231" ht="16.5" spans="1:13">
      <c r="A231" s="58"/>
      <c r="B231" s="58"/>
      <c r="C231" s="59"/>
      <c r="D231" s="123" t="s">
        <v>58</v>
      </c>
      <c r="E231" s="170">
        <v>26</v>
      </c>
      <c r="F231" s="151">
        <f t="shared" si="11"/>
        <v>2.5</v>
      </c>
      <c r="G231" s="151">
        <f t="shared" si="11"/>
        <v>2.5</v>
      </c>
      <c r="H231" s="152">
        <v>2880</v>
      </c>
      <c r="I231" s="153">
        <f t="shared" si="12"/>
        <v>7.6056338028169</v>
      </c>
      <c r="J231" s="142">
        <v>120</v>
      </c>
      <c r="K231">
        <f>SUM($J$207:J231)</f>
        <v>1470</v>
      </c>
    </row>
    <row r="232" ht="16.5" spans="1:13">
      <c r="A232" s="58"/>
      <c r="B232" s="58"/>
      <c r="C232" s="59"/>
      <c r="D232" s="123" t="s">
        <v>58</v>
      </c>
      <c r="E232" s="170">
        <v>27</v>
      </c>
      <c r="F232" s="151">
        <f t="shared" si="11"/>
        <v>2.6</v>
      </c>
      <c r="G232" s="151">
        <f t="shared" si="11"/>
        <v>2.6</v>
      </c>
      <c r="H232" s="152">
        <v>3000</v>
      </c>
      <c r="I232" s="153">
        <f t="shared" si="12"/>
        <v>7.92253521126761</v>
      </c>
      <c r="J232" s="142">
        <v>120</v>
      </c>
      <c r="K232">
        <f>SUM($J$207:J232)</f>
        <v>1590</v>
      </c>
    </row>
    <row r="233" ht="16.5" spans="1:13">
      <c r="A233" s="58"/>
      <c r="B233" s="58"/>
      <c r="C233" s="59"/>
      <c r="D233" s="123" t="s">
        <v>58</v>
      </c>
      <c r="E233" s="170">
        <v>28</v>
      </c>
      <c r="F233" s="151">
        <f t="shared" si="11"/>
        <v>2.7</v>
      </c>
      <c r="G233" s="151">
        <f t="shared" si="11"/>
        <v>2.7</v>
      </c>
      <c r="H233" s="152">
        <v>3120</v>
      </c>
      <c r="I233" s="153">
        <f t="shared" si="12"/>
        <v>8.23943661971831</v>
      </c>
      <c r="J233" s="142">
        <v>120</v>
      </c>
      <c r="K233">
        <f>SUM($J$207:J233)</f>
        <v>1710</v>
      </c>
    </row>
    <row r="234" ht="16.5" spans="1:13">
      <c r="A234" s="58"/>
      <c r="B234" s="58"/>
      <c r="C234" s="59"/>
      <c r="D234" s="123" t="s">
        <v>58</v>
      </c>
      <c r="E234" s="170">
        <v>29</v>
      </c>
      <c r="F234" s="151">
        <f t="shared" si="11"/>
        <v>2.8</v>
      </c>
      <c r="G234" s="151">
        <f t="shared" si="11"/>
        <v>2.8</v>
      </c>
      <c r="H234" s="152">
        <v>3240</v>
      </c>
      <c r="I234" s="153">
        <f t="shared" si="12"/>
        <v>8.55633802816901</v>
      </c>
      <c r="J234" s="142">
        <v>120</v>
      </c>
      <c r="K234">
        <f>SUM($J$207:J234)</f>
        <v>1830</v>
      </c>
    </row>
    <row r="235" ht="16.5" spans="1:13">
      <c r="A235" s="58"/>
      <c r="B235" s="58"/>
      <c r="C235" s="59"/>
      <c r="D235" s="123" t="s">
        <v>58</v>
      </c>
      <c r="E235" s="170">
        <v>30</v>
      </c>
      <c r="F235" s="151">
        <f t="shared" si="11"/>
        <v>2.9</v>
      </c>
      <c r="G235" s="151">
        <f t="shared" si="11"/>
        <v>2.9</v>
      </c>
      <c r="H235" s="152">
        <v>3360</v>
      </c>
      <c r="I235" s="153">
        <f t="shared" si="12"/>
        <v>8.87323943661972</v>
      </c>
      <c r="J235" s="142">
        <v>150</v>
      </c>
      <c r="K235">
        <f>SUM($J$207:J235)</f>
        <v>1980</v>
      </c>
    </row>
    <row r="236" ht="16.5" spans="1:13">
      <c r="A236" s="58"/>
      <c r="B236" s="58"/>
      <c r="C236" s="59"/>
      <c r="D236" s="123" t="s">
        <v>58</v>
      </c>
      <c r="E236" s="170">
        <v>31</v>
      </c>
      <c r="F236" s="151">
        <f t="shared" si="11"/>
        <v>3</v>
      </c>
      <c r="G236" s="151">
        <f t="shared" si="11"/>
        <v>3</v>
      </c>
      <c r="H236" s="152">
        <v>3480</v>
      </c>
      <c r="I236" s="153">
        <f t="shared" si="12"/>
        <v>9.19014084507042</v>
      </c>
      <c r="J236" s="142">
        <v>150</v>
      </c>
      <c r="K236">
        <f>SUM($J$207:J236)</f>
        <v>2130</v>
      </c>
    </row>
    <row r="237" ht="16.5" spans="1:13">
      <c r="A237" s="58"/>
      <c r="B237" s="58"/>
      <c r="C237" s="59"/>
      <c r="D237" s="123" t="s">
        <v>58</v>
      </c>
      <c r="E237" s="170">
        <v>32</v>
      </c>
      <c r="F237" s="151">
        <f t="shared" si="11"/>
        <v>3.1</v>
      </c>
      <c r="G237" s="151">
        <f t="shared" si="11"/>
        <v>3.1</v>
      </c>
      <c r="H237" s="152">
        <v>3600</v>
      </c>
      <c r="I237" s="153">
        <f t="shared" si="12"/>
        <v>9.50704225352113</v>
      </c>
      <c r="J237" s="142">
        <v>150</v>
      </c>
      <c r="K237">
        <f>SUM($J$207:J237)</f>
        <v>2280</v>
      </c>
    </row>
    <row r="238" ht="16.5" spans="1:13">
      <c r="A238" s="58"/>
      <c r="B238" s="58"/>
      <c r="C238" s="59"/>
      <c r="D238" s="123" t="s">
        <v>58</v>
      </c>
      <c r="E238" s="170">
        <v>33</v>
      </c>
      <c r="F238" s="151">
        <f t="shared" si="11"/>
        <v>3.2</v>
      </c>
      <c r="G238" s="151">
        <f t="shared" si="11"/>
        <v>3.2</v>
      </c>
      <c r="H238" s="152">
        <v>3720</v>
      </c>
      <c r="I238" s="153">
        <f t="shared" si="12"/>
        <v>9.82394366197183</v>
      </c>
      <c r="J238" s="142">
        <v>150</v>
      </c>
      <c r="K238">
        <f>SUM($J$207:J238)</f>
        <v>2430</v>
      </c>
    </row>
    <row r="239" ht="16.5" spans="1:13">
      <c r="A239" s="58"/>
      <c r="B239" s="58"/>
      <c r="C239" s="59"/>
      <c r="D239" s="123" t="s">
        <v>58</v>
      </c>
      <c r="E239" s="170">
        <v>34</v>
      </c>
      <c r="F239" s="151">
        <f t="shared" si="11"/>
        <v>3.3</v>
      </c>
      <c r="G239" s="151">
        <f t="shared" si="11"/>
        <v>3.3</v>
      </c>
      <c r="H239" s="152">
        <v>3840</v>
      </c>
      <c r="I239" s="153">
        <f t="shared" si="12"/>
        <v>10.1408450704225</v>
      </c>
      <c r="J239" s="142">
        <v>150</v>
      </c>
      <c r="K239">
        <f>SUM($J$207:J239)</f>
        <v>2580</v>
      </c>
    </row>
    <row r="240" ht="16.5" spans="1:13">
      <c r="A240" s="58"/>
      <c r="B240" s="58"/>
      <c r="C240" s="59"/>
      <c r="D240" s="123" t="s">
        <v>58</v>
      </c>
      <c r="E240" s="170">
        <v>35</v>
      </c>
      <c r="F240" s="151">
        <f t="shared" si="11"/>
        <v>3.4</v>
      </c>
      <c r="G240" s="151">
        <f t="shared" si="11"/>
        <v>3.4</v>
      </c>
      <c r="H240" s="152">
        <v>3960</v>
      </c>
      <c r="I240" s="153">
        <f t="shared" si="12"/>
        <v>10.4577464788732</v>
      </c>
      <c r="J240" s="142">
        <v>180</v>
      </c>
      <c r="K240">
        <f>SUM($J$207:J240)</f>
        <v>2760</v>
      </c>
    </row>
    <row r="241" ht="16.5" spans="1:12">
      <c r="A241" s="58"/>
      <c r="B241" s="58"/>
      <c r="C241" s="59"/>
      <c r="D241" s="123" t="s">
        <v>58</v>
      </c>
      <c r="E241" s="170">
        <v>36</v>
      </c>
      <c r="F241" s="151">
        <f t="shared" si="11"/>
        <v>3.5</v>
      </c>
      <c r="G241" s="151">
        <f t="shared" si="11"/>
        <v>3.5</v>
      </c>
      <c r="H241" s="152">
        <v>4080</v>
      </c>
      <c r="I241" s="153">
        <f t="shared" si="12"/>
        <v>10.7746478873239</v>
      </c>
      <c r="J241" s="142">
        <v>180</v>
      </c>
      <c r="K241">
        <f>SUM($J$207:J241)</f>
        <v>2940</v>
      </c>
    </row>
    <row r="242" ht="16.5" spans="1:12">
      <c r="A242" s="58"/>
      <c r="B242" s="58"/>
      <c r="C242" s="59"/>
      <c r="D242" s="123" t="s">
        <v>58</v>
      </c>
      <c r="E242" s="170">
        <v>37</v>
      </c>
      <c r="F242" s="151">
        <f t="shared" si="11"/>
        <v>3.6</v>
      </c>
      <c r="G242" s="151">
        <f t="shared" si="11"/>
        <v>3.6</v>
      </c>
      <c r="H242" s="152">
        <v>4200</v>
      </c>
      <c r="I242" s="153">
        <f t="shared" si="12"/>
        <v>11.0915492957746</v>
      </c>
      <c r="J242" s="142">
        <v>180</v>
      </c>
      <c r="K242">
        <f>SUM($J$207:J242)</f>
        <v>3120</v>
      </c>
    </row>
    <row r="243" ht="16.5" spans="1:12">
      <c r="A243" s="58"/>
      <c r="B243" s="58"/>
      <c r="C243" s="59"/>
      <c r="D243" s="123" t="s">
        <v>58</v>
      </c>
      <c r="E243" s="170">
        <v>38</v>
      </c>
      <c r="F243" s="151">
        <f t="shared" si="11"/>
        <v>3.7</v>
      </c>
      <c r="G243" s="151">
        <f t="shared" si="11"/>
        <v>3.7</v>
      </c>
      <c r="H243" s="152">
        <v>4320</v>
      </c>
      <c r="I243" s="153">
        <f t="shared" si="12"/>
        <v>11.4084507042254</v>
      </c>
      <c r="J243" s="142">
        <v>180</v>
      </c>
      <c r="K243">
        <f>SUM($J$207:J243)</f>
        <v>3300</v>
      </c>
    </row>
    <row r="244" ht="16.5" spans="1:12">
      <c r="A244" s="58"/>
      <c r="B244" s="58"/>
      <c r="C244" s="59"/>
      <c r="D244" s="123" t="s">
        <v>58</v>
      </c>
      <c r="E244" s="170">
        <v>39</v>
      </c>
      <c r="F244" s="151">
        <f t="shared" si="11"/>
        <v>3.8</v>
      </c>
      <c r="G244" s="151">
        <f t="shared" si="11"/>
        <v>3.8</v>
      </c>
      <c r="H244" s="152">
        <v>4440</v>
      </c>
      <c r="I244" s="153">
        <f t="shared" si="12"/>
        <v>11.7253521126761</v>
      </c>
      <c r="J244" s="142">
        <v>180</v>
      </c>
      <c r="K244">
        <f>SUM($J$207:J244)</f>
        <v>3480</v>
      </c>
    </row>
    <row r="245" ht="16.5" spans="1:12">
      <c r="A245" s="58"/>
      <c r="B245" s="58"/>
      <c r="C245" s="59"/>
      <c r="D245" s="123" t="s">
        <v>58</v>
      </c>
      <c r="E245" s="170">
        <v>40</v>
      </c>
      <c r="F245" s="151">
        <f t="shared" si="11"/>
        <v>3.9</v>
      </c>
      <c r="G245" s="151">
        <f t="shared" si="11"/>
        <v>3.9</v>
      </c>
      <c r="H245" s="152">
        <v>4560</v>
      </c>
      <c r="I245" s="153">
        <f t="shared" si="12"/>
        <v>12.0422535211268</v>
      </c>
      <c r="J245" s="142">
        <v>240</v>
      </c>
      <c r="K245">
        <f>SUM($J$207:J245)</f>
        <v>3720</v>
      </c>
    </row>
    <row r="246" ht="16.5" spans="1:12">
      <c r="A246" s="58"/>
      <c r="B246" s="58"/>
      <c r="C246" s="59"/>
      <c r="D246" s="123" t="s">
        <v>58</v>
      </c>
      <c r="E246" s="170">
        <v>41</v>
      </c>
      <c r="F246" s="151">
        <f t="shared" si="11"/>
        <v>4</v>
      </c>
      <c r="G246" s="151">
        <f t="shared" si="11"/>
        <v>4</v>
      </c>
      <c r="H246" s="152">
        <v>4680</v>
      </c>
      <c r="I246" s="153">
        <f t="shared" si="12"/>
        <v>12.3591549295775</v>
      </c>
      <c r="J246" s="142">
        <v>240</v>
      </c>
      <c r="K246">
        <f>SUM($J$207:J246)</f>
        <v>3960</v>
      </c>
    </row>
    <row r="247" ht="16.5" spans="1:12">
      <c r="A247" s="58"/>
      <c r="B247" s="58"/>
      <c r="C247" s="59"/>
      <c r="D247" s="123" t="s">
        <v>58</v>
      </c>
      <c r="E247" s="170">
        <v>42</v>
      </c>
      <c r="F247" s="151">
        <f t="shared" si="11"/>
        <v>4.1</v>
      </c>
      <c r="G247" s="151">
        <f t="shared" si="11"/>
        <v>4.1</v>
      </c>
      <c r="H247" s="152">
        <v>4800</v>
      </c>
      <c r="I247" s="153">
        <f t="shared" si="12"/>
        <v>12.6760563380282</v>
      </c>
      <c r="J247" s="142">
        <v>240</v>
      </c>
      <c r="K247">
        <f>SUM($J$207:J247)</f>
        <v>4200</v>
      </c>
    </row>
    <row r="248" ht="16.5" spans="1:12">
      <c r="A248" s="58"/>
      <c r="B248" s="58"/>
      <c r="C248" s="59"/>
      <c r="D248" s="123" t="s">
        <v>58</v>
      </c>
      <c r="E248" s="170">
        <v>43</v>
      </c>
      <c r="F248" s="151">
        <f t="shared" si="11"/>
        <v>4.2</v>
      </c>
      <c r="G248" s="151">
        <f t="shared" si="11"/>
        <v>4.2</v>
      </c>
      <c r="H248" s="152">
        <v>4920</v>
      </c>
      <c r="I248" s="153">
        <f t="shared" si="12"/>
        <v>12.9929577464789</v>
      </c>
      <c r="J248" s="142">
        <v>240</v>
      </c>
      <c r="K248">
        <f>SUM($J$207:J248)</f>
        <v>4440</v>
      </c>
    </row>
    <row r="249" ht="16.5" spans="1:12">
      <c r="A249" s="58"/>
      <c r="B249" s="58"/>
      <c r="C249" s="59"/>
      <c r="D249" s="123" t="s">
        <v>58</v>
      </c>
      <c r="E249" s="170">
        <v>44</v>
      </c>
      <c r="F249" s="151">
        <f t="shared" si="11"/>
        <v>4.3</v>
      </c>
      <c r="G249" s="151">
        <f t="shared" si="11"/>
        <v>4.3</v>
      </c>
      <c r="H249" s="152">
        <v>5040</v>
      </c>
      <c r="I249" s="153">
        <f t="shared" si="12"/>
        <v>13.3098591549296</v>
      </c>
      <c r="J249" s="142">
        <v>240</v>
      </c>
      <c r="K249">
        <f>SUM($J$207:J249)</f>
        <v>4680</v>
      </c>
    </row>
    <row r="250" ht="16.5" spans="1:12">
      <c r="A250" s="58"/>
      <c r="B250" s="58"/>
      <c r="C250" s="59"/>
      <c r="D250" s="123" t="s">
        <v>58</v>
      </c>
      <c r="E250" s="170">
        <v>45</v>
      </c>
      <c r="F250" s="151">
        <f t="shared" si="11"/>
        <v>4.4</v>
      </c>
      <c r="G250" s="151">
        <f t="shared" si="11"/>
        <v>4.4</v>
      </c>
      <c r="H250" s="152">
        <v>5160</v>
      </c>
      <c r="I250" s="153">
        <f t="shared" si="12"/>
        <v>13.6267605633803</v>
      </c>
      <c r="J250" s="142">
        <v>360</v>
      </c>
      <c r="K250">
        <f>SUM($J$207:J250)</f>
        <v>5040</v>
      </c>
    </row>
    <row r="251" ht="16.5" spans="1:12">
      <c r="A251" s="58"/>
      <c r="B251" s="58"/>
      <c r="C251" s="59"/>
      <c r="D251" s="123" t="s">
        <v>58</v>
      </c>
      <c r="E251" s="170">
        <v>46</v>
      </c>
      <c r="F251" s="151">
        <f t="shared" si="11"/>
        <v>4.5</v>
      </c>
      <c r="G251" s="151">
        <f t="shared" si="11"/>
        <v>4.5</v>
      </c>
      <c r="H251" s="152">
        <v>5280</v>
      </c>
      <c r="I251" s="153">
        <f t="shared" si="12"/>
        <v>13.943661971831</v>
      </c>
      <c r="J251" s="142">
        <v>360</v>
      </c>
      <c r="K251">
        <f>SUM($J$207:J251)</f>
        <v>5400</v>
      </c>
    </row>
    <row r="252" ht="16.5" spans="1:12">
      <c r="A252" s="58"/>
      <c r="B252" s="58"/>
      <c r="C252" s="59"/>
      <c r="D252" s="123" t="s">
        <v>58</v>
      </c>
      <c r="E252" s="170">
        <v>47</v>
      </c>
      <c r="F252" s="151">
        <f t="shared" si="11"/>
        <v>4.6</v>
      </c>
      <c r="G252" s="151">
        <f t="shared" si="11"/>
        <v>4.6</v>
      </c>
      <c r="H252" s="152">
        <v>5400</v>
      </c>
      <c r="I252" s="153">
        <f t="shared" si="12"/>
        <v>14.2605633802817</v>
      </c>
      <c r="J252" s="142">
        <v>360</v>
      </c>
      <c r="K252">
        <f>SUM($J$207:J252)</f>
        <v>5760</v>
      </c>
    </row>
    <row r="253" ht="16.5" spans="1:12">
      <c r="A253" s="58"/>
      <c r="B253" s="58"/>
      <c r="C253" s="59"/>
      <c r="D253" s="123" t="s">
        <v>58</v>
      </c>
      <c r="E253" s="170">
        <v>48</v>
      </c>
      <c r="F253" s="151">
        <f t="shared" si="11"/>
        <v>4.7</v>
      </c>
      <c r="G253" s="151">
        <f t="shared" si="11"/>
        <v>4.7</v>
      </c>
      <c r="H253" s="152">
        <v>5520</v>
      </c>
      <c r="I253" s="153">
        <f t="shared" si="12"/>
        <v>14.5774647887324</v>
      </c>
      <c r="J253" s="142">
        <v>360</v>
      </c>
      <c r="K253">
        <f>SUM($J$207:J253)</f>
        <v>6120</v>
      </c>
    </row>
    <row r="254" ht="16.5" spans="1:12">
      <c r="A254" s="58"/>
      <c r="B254" s="58"/>
      <c r="C254" s="59"/>
      <c r="D254" s="123" t="s">
        <v>58</v>
      </c>
      <c r="E254" s="170">
        <v>49</v>
      </c>
      <c r="F254" s="151">
        <f t="shared" si="11"/>
        <v>4.8</v>
      </c>
      <c r="G254" s="151">
        <f t="shared" si="11"/>
        <v>4.8</v>
      </c>
      <c r="H254" s="152">
        <v>5640</v>
      </c>
      <c r="I254" s="153">
        <f t="shared" si="12"/>
        <v>14.8943661971831</v>
      </c>
      <c r="J254" s="142">
        <v>360</v>
      </c>
      <c r="K254">
        <f>SUM($J$207:J254)</f>
        <v>6480</v>
      </c>
    </row>
    <row r="255" ht="16.5" spans="1:12">
      <c r="A255" s="58"/>
      <c r="B255" s="58"/>
      <c r="C255" s="59"/>
      <c r="D255" s="123" t="s">
        <v>58</v>
      </c>
      <c r="E255" s="170">
        <v>50</v>
      </c>
      <c r="F255" s="151">
        <f t="shared" si="11"/>
        <v>4.9</v>
      </c>
      <c r="G255" s="151">
        <f t="shared" si="11"/>
        <v>4.9</v>
      </c>
      <c r="H255" s="142">
        <f>梦灵经验产出!K73</f>
        <v>0</v>
      </c>
      <c r="I255" s="153">
        <f t="shared" si="12"/>
        <v>0</v>
      </c>
      <c r="J255" s="142">
        <f>J250*2</f>
        <v>720</v>
      </c>
      <c r="K255">
        <f>SUM($J$207:J255)</f>
        <v>7200</v>
      </c>
    </row>
    <row r="256" ht="15.75" spans="1:12">
      <c r="A256" s="58"/>
      <c r="B256" s="58"/>
      <c r="C256" s="59"/>
      <c r="D256" s="71"/>
      <c r="E256" s="71"/>
      <c r="F256" s="171"/>
      <c r="G256" s="171"/>
      <c r="H256" s="58"/>
      <c r="I256" s="58"/>
      <c r="J256" s="58"/>
      <c r="K256" s="58"/>
      <c r="L256" s="58"/>
    </row>
    <row r="257" ht="15.75" spans="1:13">
      <c r="A257" s="58"/>
      <c r="B257" s="58"/>
      <c r="C257" s="59"/>
      <c r="D257" s="71"/>
      <c r="E257" s="71"/>
      <c r="F257" s="171"/>
      <c r="G257" s="171"/>
      <c r="H257" s="58"/>
      <c r="I257" s="58"/>
      <c r="J257" s="58"/>
      <c r="K257" s="58"/>
      <c r="L257" s="58"/>
    </row>
    <row r="258" ht="15.75" spans="1:13">
      <c r="A258" s="58"/>
      <c r="B258" s="58"/>
      <c r="C258" s="59"/>
      <c r="D258" s="58"/>
      <c r="E258" s="58"/>
      <c r="F258" s="58"/>
      <c r="G258" s="58"/>
      <c r="H258" s="58"/>
      <c r="I258" s="58"/>
      <c r="J258" s="58"/>
      <c r="K258" s="58"/>
      <c r="L258" s="58"/>
      <c r="M258" s="58"/>
    </row>
    <row r="259" ht="15.75" spans="1:13">
      <c r="A259" s="58"/>
      <c r="B259" s="58"/>
      <c r="C259" s="59"/>
      <c r="D259" s="58"/>
      <c r="E259" s="58"/>
      <c r="F259" s="58"/>
      <c r="G259" s="58"/>
      <c r="H259" s="58"/>
      <c r="I259" s="58"/>
      <c r="J259" s="58"/>
      <c r="K259" s="58"/>
      <c r="L259" s="58"/>
      <c r="M259" s="58"/>
    </row>
    <row r="260" ht="15.75" spans="1:13">
      <c r="A260" s="57" t="s">
        <v>19</v>
      </c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</sheetData>
  <mergeCells count="2">
    <mergeCell ref="F54:G54"/>
    <mergeCell ref="H54:J54"/>
  </mergeCells>
  <pageMargins left="0.75" right="0.75" top="1" bottom="1" header="0.5" footer="0.5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D260"/>
  <sheetViews>
    <sheetView showGridLines="0" tabSelected="1" zoomScale="115" zoomScaleNormal="115" topLeftCell="A91" workbookViewId="0">
      <selection activeCell="M170" sqref="D160:G160 M170:P170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14" customWidth="1"/>
    <col min="5" max="5" width="13" customWidth="1"/>
    <col min="6" max="6" width="13.5714285714286" customWidth="1"/>
    <col min="7" max="7" width="14.2857142857143" customWidth="1"/>
    <col min="8" max="8" width="13.7142857142857" customWidth="1"/>
    <col min="9" max="10" width="14.1428571428571" customWidth="1"/>
    <col min="11" max="11" width="15.647619047619" customWidth="1"/>
    <col min="12" max="12" width="11.8571428571429" customWidth="1"/>
    <col min="13" max="28" width="9.14285714285714" customWidth="1"/>
    <col min="29" max="29" width="16" customWidth="1"/>
    <col min="30" max="30" width="12.8571428571429"/>
    <col min="31" max="33" width="16" customWidth="1"/>
    <col min="34" max="34" width="18.5714285714286" customWidth="1"/>
    <col min="35" max="35" width="10.8571428571429" customWidth="1"/>
    <col min="36" max="36" width="16" customWidth="1"/>
    <col min="37" max="37" width="13.4285714285714" customWidth="1"/>
  </cols>
  <sheetData>
    <row r="1" ht="15.75" spans="1:13">
      <c r="A1" s="57" t="s">
        <v>31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ht="15.75" spans="1:13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ht="15.75" spans="1:13">
      <c r="A3" s="60"/>
      <c r="B3" s="61"/>
      <c r="C3" s="62" t="s">
        <v>21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ht="15.75" spans="1:13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ht="15.75" spans="1:13">
      <c r="A5" s="58"/>
      <c r="B5" s="58"/>
      <c r="C5" s="59"/>
      <c r="D5" s="64" t="s">
        <v>22</v>
      </c>
      <c r="E5" s="64" t="s">
        <v>23</v>
      </c>
      <c r="F5" s="64" t="s">
        <v>24</v>
      </c>
      <c r="G5" s="58"/>
      <c r="H5" s="58"/>
      <c r="I5" s="58"/>
      <c r="J5" s="58"/>
      <c r="K5" s="58"/>
      <c r="L5" s="58"/>
    </row>
    <row r="6" ht="15.75" spans="1:13">
      <c r="A6" s="58"/>
      <c r="B6" s="58"/>
      <c r="C6" s="59"/>
      <c r="D6" s="65" t="s">
        <v>32</v>
      </c>
      <c r="E6" s="66">
        <v>4.2</v>
      </c>
      <c r="F6" s="66">
        <v>4.2</v>
      </c>
      <c r="G6" s="58"/>
      <c r="H6" s="58"/>
      <c r="I6" s="58"/>
      <c r="J6" s="58"/>
      <c r="K6" s="58"/>
      <c r="L6" s="58"/>
    </row>
    <row r="7" ht="15.75" spans="1:13">
      <c r="A7" s="58"/>
      <c r="B7" s="58"/>
      <c r="C7" s="59"/>
      <c r="D7" s="58"/>
      <c r="E7" s="58"/>
      <c r="F7" s="58"/>
      <c r="G7" s="58"/>
      <c r="H7" s="58"/>
      <c r="K7" s="58"/>
      <c r="L7" s="58"/>
      <c r="M7" s="58"/>
    </row>
    <row r="8" ht="15.75" spans="1:13">
      <c r="A8" s="60"/>
      <c r="B8" s="61"/>
      <c r="C8" s="62" t="s">
        <v>33</v>
      </c>
      <c r="D8" s="58"/>
      <c r="E8" s="58"/>
      <c r="F8" s="58"/>
      <c r="G8" s="58"/>
      <c r="H8" s="58"/>
      <c r="K8" s="58"/>
      <c r="L8" s="58"/>
      <c r="M8" s="58"/>
    </row>
    <row r="9" ht="15.75" spans="1:13">
      <c r="A9" s="58"/>
      <c r="B9" s="58"/>
      <c r="C9" s="59"/>
      <c r="D9" s="58"/>
      <c r="E9" s="58"/>
      <c r="F9" s="58"/>
      <c r="G9" s="58"/>
      <c r="H9" s="58"/>
      <c r="K9" s="58"/>
      <c r="L9" s="58"/>
      <c r="M9" s="58"/>
    </row>
    <row r="10" ht="15.75" spans="1:13">
      <c r="A10" s="58"/>
      <c r="B10" s="58"/>
      <c r="C10" s="59"/>
      <c r="D10" s="71" t="s">
        <v>34</v>
      </c>
      <c r="E10" s="71"/>
      <c r="F10" s="58"/>
      <c r="G10" s="58"/>
      <c r="H10" s="58"/>
      <c r="K10" s="58"/>
      <c r="L10" s="58"/>
      <c r="M10" s="58"/>
    </row>
    <row r="11" ht="15.75" spans="1:13">
      <c r="A11" s="58"/>
      <c r="B11" s="58"/>
      <c r="C11" s="59"/>
      <c r="D11" s="71" t="s">
        <v>35</v>
      </c>
      <c r="E11" s="71">
        <v>180</v>
      </c>
      <c r="F11" s="58" t="s">
        <v>36</v>
      </c>
      <c r="G11" s="58"/>
      <c r="H11" s="58"/>
      <c r="I11" s="58"/>
      <c r="J11" s="58"/>
      <c r="K11" s="58"/>
      <c r="L11" s="58"/>
      <c r="M11" s="58"/>
    </row>
    <row r="12" ht="15.75" spans="1:13">
      <c r="A12" s="58"/>
      <c r="B12" s="58"/>
      <c r="C12" s="59"/>
      <c r="D12" s="71" t="s">
        <v>37</v>
      </c>
      <c r="E12" s="71">
        <v>240000</v>
      </c>
      <c r="F12" s="58" t="s">
        <v>36</v>
      </c>
      <c r="G12" s="58"/>
      <c r="H12" s="58"/>
      <c r="I12" s="58"/>
      <c r="J12" s="58"/>
      <c r="K12" s="58"/>
      <c r="L12" s="58"/>
      <c r="M12" s="58"/>
    </row>
    <row r="13" ht="15.75" spans="1:13">
      <c r="A13" s="58"/>
      <c r="B13" s="58"/>
      <c r="C13" s="59"/>
      <c r="D13" s="71" t="s">
        <v>38</v>
      </c>
      <c r="E13" s="71">
        <f>40*46+18*24</f>
        <v>2272</v>
      </c>
      <c r="F13" s="58"/>
      <c r="G13" s="58"/>
      <c r="H13" s="58"/>
      <c r="I13" s="58"/>
      <c r="J13" s="58"/>
      <c r="K13" s="58"/>
      <c r="L13" s="58"/>
      <c r="M13" s="58"/>
    </row>
    <row r="14" ht="15.75" spans="1:13">
      <c r="A14" s="58"/>
      <c r="B14" s="58"/>
      <c r="C14" s="59"/>
      <c r="D14" s="71"/>
      <c r="E14" s="71"/>
      <c r="F14" s="58"/>
      <c r="G14" s="58"/>
      <c r="H14" s="58"/>
      <c r="I14" s="58"/>
      <c r="J14" s="58"/>
      <c r="K14" s="58"/>
      <c r="L14" s="58"/>
      <c r="M14" s="58"/>
    </row>
    <row r="15" ht="15.75" spans="1:13">
      <c r="A15" s="58"/>
      <c r="B15" s="58"/>
      <c r="C15" s="59"/>
      <c r="D15" s="71"/>
      <c r="E15" s="71"/>
      <c r="F15" s="58"/>
      <c r="G15" s="58"/>
      <c r="H15" s="58"/>
      <c r="I15" s="58"/>
      <c r="J15" s="58"/>
      <c r="K15" s="58"/>
      <c r="L15" s="58"/>
      <c r="M15" s="58"/>
    </row>
    <row r="16" ht="15.75" spans="1:13">
      <c r="A16" s="58"/>
      <c r="B16" s="58"/>
      <c r="C16" s="59"/>
      <c r="D16" s="71" t="s">
        <v>39</v>
      </c>
      <c r="E16" s="71" t="s">
        <v>40</v>
      </c>
      <c r="F16" s="58"/>
      <c r="G16" s="58"/>
      <c r="H16" s="58"/>
      <c r="I16" s="58"/>
      <c r="J16" s="58"/>
      <c r="K16" s="58"/>
      <c r="L16" s="58"/>
      <c r="M16" s="58"/>
    </row>
    <row r="17" ht="15.75" spans="1:13">
      <c r="A17" s="58"/>
      <c r="B17" s="58"/>
      <c r="C17" s="59"/>
      <c r="D17" s="71" t="s">
        <v>41</v>
      </c>
      <c r="E17" s="71">
        <v>600</v>
      </c>
      <c r="F17" s="58"/>
      <c r="G17" s="58"/>
      <c r="H17" s="58"/>
      <c r="I17" s="58"/>
      <c r="J17" s="58"/>
      <c r="K17" s="58"/>
      <c r="L17" s="58"/>
      <c r="M17" s="58"/>
    </row>
    <row r="18" ht="15.75" spans="1:13">
      <c r="A18" s="58"/>
      <c r="B18" s="58"/>
      <c r="C18" s="59"/>
      <c r="D18" s="71" t="s">
        <v>42</v>
      </c>
      <c r="E18" s="71">
        <v>1200</v>
      </c>
      <c r="F18" s="58"/>
      <c r="G18" s="58"/>
      <c r="H18" s="58"/>
      <c r="I18" s="58"/>
      <c r="J18" s="58"/>
      <c r="K18" s="58"/>
      <c r="L18" s="58"/>
      <c r="M18" s="58"/>
    </row>
    <row r="19" ht="15.75" spans="1:13">
      <c r="A19" s="58"/>
      <c r="B19" s="58"/>
      <c r="C19" s="59"/>
      <c r="D19" s="71" t="s">
        <v>43</v>
      </c>
      <c r="E19" s="71">
        <v>2400</v>
      </c>
      <c r="F19" s="58"/>
      <c r="G19" s="58"/>
      <c r="H19" s="58"/>
      <c r="I19" s="58"/>
      <c r="J19" s="58"/>
      <c r="K19" s="58"/>
      <c r="L19" s="58"/>
      <c r="M19" s="58"/>
    </row>
    <row r="20" ht="15.75" spans="1:13">
      <c r="A20" s="58"/>
      <c r="B20" s="58"/>
      <c r="C20" s="59"/>
      <c r="D20" s="71" t="s">
        <v>44</v>
      </c>
      <c r="E20" s="71">
        <v>4800</v>
      </c>
      <c r="F20" s="58"/>
      <c r="G20" s="58"/>
      <c r="H20" s="58"/>
      <c r="I20" s="58"/>
      <c r="J20" s="58"/>
      <c r="K20" s="58"/>
      <c r="L20" s="58"/>
      <c r="M20" s="58"/>
    </row>
    <row r="21" ht="15.75" spans="1:13">
      <c r="A21" s="58"/>
      <c r="B21" s="58"/>
      <c r="C21" s="59"/>
      <c r="D21" s="71"/>
      <c r="E21" s="71"/>
      <c r="F21" s="58"/>
      <c r="G21" s="58"/>
      <c r="H21" s="58"/>
      <c r="I21" s="58"/>
      <c r="J21" s="58"/>
      <c r="K21" s="58"/>
      <c r="L21" s="58"/>
      <c r="M21" s="58"/>
    </row>
    <row r="22" ht="15.75" spans="1:13">
      <c r="A22" s="58"/>
      <c r="B22" s="58"/>
      <c r="C22" s="59"/>
      <c r="D22" s="71"/>
      <c r="E22" s="71"/>
      <c r="F22" s="58"/>
      <c r="G22" s="58"/>
      <c r="H22" s="58"/>
      <c r="I22" s="58"/>
      <c r="J22" s="58"/>
      <c r="K22" s="58"/>
      <c r="L22" s="58"/>
      <c r="M22" s="58"/>
    </row>
    <row r="23" ht="15.75" spans="1:13">
      <c r="A23" s="58"/>
      <c r="B23" s="61"/>
      <c r="C23" s="62" t="s">
        <v>45</v>
      </c>
      <c r="D23" s="58"/>
      <c r="E23" s="71"/>
      <c r="F23" s="58"/>
      <c r="G23" s="58"/>
      <c r="H23" s="58"/>
      <c r="I23" s="58"/>
      <c r="J23" s="58"/>
      <c r="K23" s="58"/>
      <c r="L23" s="58"/>
      <c r="M23" s="58"/>
    </row>
    <row r="24" ht="15.75" spans="1:13">
      <c r="A24" s="58"/>
      <c r="B24" s="58"/>
      <c r="C24" s="59"/>
      <c r="D24" s="71"/>
      <c r="E24" s="71" t="s">
        <v>46</v>
      </c>
      <c r="F24" s="58"/>
      <c r="G24" s="58"/>
      <c r="H24" s="58"/>
      <c r="I24" s="58"/>
      <c r="J24" s="58"/>
      <c r="K24" s="58"/>
      <c r="L24" s="58"/>
      <c r="M24" s="58"/>
    </row>
    <row r="25" ht="15.75" spans="1:13">
      <c r="A25" s="58"/>
      <c r="B25" s="58"/>
      <c r="C25" s="59"/>
      <c r="D25" s="64" t="s">
        <v>47</v>
      </c>
      <c r="E25" s="64" t="s">
        <v>48</v>
      </c>
      <c r="F25" s="64" t="s">
        <v>49</v>
      </c>
      <c r="G25" s="64" t="s">
        <v>50</v>
      </c>
      <c r="H25" s="64" t="s">
        <v>51</v>
      </c>
      <c r="I25" s="64" t="s">
        <v>52</v>
      </c>
      <c r="J25" s="64" t="s">
        <v>53</v>
      </c>
      <c r="K25" s="64" t="s">
        <v>54</v>
      </c>
      <c r="L25" s="58"/>
      <c r="M25" s="58"/>
    </row>
    <row r="26" ht="15.75" spans="1:13">
      <c r="A26" s="58"/>
      <c r="B26" s="58"/>
      <c r="C26" s="59"/>
      <c r="D26" s="71" t="s">
        <v>55</v>
      </c>
      <c r="E26" s="71"/>
      <c r="F26" s="71">
        <v>1</v>
      </c>
      <c r="G26" s="71">
        <v>1</v>
      </c>
      <c r="H26" s="71">
        <v>1</v>
      </c>
      <c r="I26" s="71"/>
      <c r="J26" s="71"/>
      <c r="K26" s="71">
        <f t="shared" ref="K26:K29" si="0">SUM(E26:J26)</f>
        <v>3</v>
      </c>
      <c r="L26" s="58"/>
      <c r="M26" s="58"/>
    </row>
    <row r="27" ht="15.75" spans="1:13">
      <c r="A27" s="58"/>
      <c r="B27" s="58"/>
      <c r="C27" s="59"/>
      <c r="D27" s="71" t="s">
        <v>56</v>
      </c>
      <c r="E27" s="71">
        <v>2</v>
      </c>
      <c r="F27" s="71">
        <v>1</v>
      </c>
      <c r="G27" s="71">
        <v>1</v>
      </c>
      <c r="H27" s="71">
        <v>1</v>
      </c>
      <c r="I27" s="71"/>
      <c r="J27" s="71">
        <v>1</v>
      </c>
      <c r="K27" s="71">
        <f t="shared" si="0"/>
        <v>6</v>
      </c>
      <c r="L27" s="58"/>
      <c r="M27" s="58"/>
    </row>
    <row r="28" ht="15.75" spans="1:13">
      <c r="A28" s="58"/>
      <c r="B28" s="58"/>
      <c r="C28" s="59"/>
      <c r="D28" s="71" t="s">
        <v>57</v>
      </c>
      <c r="E28" s="71">
        <v>1</v>
      </c>
      <c r="F28" s="71">
        <v>1</v>
      </c>
      <c r="G28" s="71">
        <v>1</v>
      </c>
      <c r="H28" s="71">
        <v>1</v>
      </c>
      <c r="I28" s="71">
        <v>1</v>
      </c>
      <c r="J28" s="71">
        <v>1</v>
      </c>
      <c r="K28" s="71">
        <f t="shared" si="0"/>
        <v>6</v>
      </c>
      <c r="L28" s="58"/>
      <c r="M28" s="58"/>
    </row>
    <row r="29" ht="15.75" spans="1:13">
      <c r="A29" s="58"/>
      <c r="B29" s="58"/>
      <c r="C29" s="59"/>
      <c r="D29" s="71" t="s">
        <v>58</v>
      </c>
      <c r="E29" s="71">
        <v>1</v>
      </c>
      <c r="F29" s="71">
        <v>1</v>
      </c>
      <c r="G29" s="71">
        <v>1</v>
      </c>
      <c r="H29" s="71">
        <v>1</v>
      </c>
      <c r="I29" s="71">
        <v>1</v>
      </c>
      <c r="J29" s="71">
        <v>1</v>
      </c>
      <c r="K29" s="71">
        <f t="shared" si="0"/>
        <v>6</v>
      </c>
      <c r="L29" s="58"/>
      <c r="M29" s="58"/>
    </row>
    <row r="30" ht="15.75" spans="1:13">
      <c r="A30" s="58"/>
      <c r="B30" s="58"/>
      <c r="C30" s="59"/>
      <c r="D30" s="71"/>
      <c r="E30" s="71"/>
      <c r="F30" s="58"/>
      <c r="G30" s="58"/>
      <c r="H30" s="58"/>
      <c r="I30" s="58"/>
      <c r="J30" s="58"/>
      <c r="K30" s="58"/>
      <c r="L30" s="58"/>
      <c r="M30" s="58"/>
    </row>
    <row r="31" ht="15.75" spans="1:13">
      <c r="A31" s="58"/>
      <c r="B31" s="58"/>
      <c r="C31" s="59"/>
      <c r="D31" s="71"/>
      <c r="E31" s="71"/>
      <c r="F31" s="58"/>
      <c r="G31" s="58"/>
      <c r="H31" s="58"/>
      <c r="I31" s="58"/>
      <c r="J31" s="58"/>
      <c r="K31" s="58"/>
      <c r="L31" s="58"/>
      <c r="M31" s="58"/>
    </row>
    <row r="32" ht="15.75" spans="1:13">
      <c r="A32" s="58"/>
      <c r="B32" s="58"/>
      <c r="C32" s="59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ht="15.75" spans="1:16">
      <c r="A33" s="139" t="s">
        <v>59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ht="15.75" spans="1:16">
      <c r="A34" s="58"/>
      <c r="B34" s="58"/>
      <c r="C34" s="59"/>
      <c r="D34" s="58"/>
      <c r="E34" s="58"/>
      <c r="F34" s="58"/>
      <c r="G34" s="58"/>
      <c r="H34" s="58"/>
      <c r="I34" s="58"/>
      <c r="J34" s="58"/>
      <c r="K34" s="58"/>
      <c r="L34" s="58"/>
      <c r="M34" s="58"/>
    </row>
    <row r="35" ht="15.75" spans="1:16">
      <c r="A35" s="60"/>
      <c r="B35" s="61"/>
      <c r="C35" s="62" t="s">
        <v>60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ht="15.75" spans="1:16">
      <c r="A36" s="60"/>
      <c r="B36" s="58"/>
      <c r="C36" s="62"/>
      <c r="D36" s="58" t="s">
        <v>61</v>
      </c>
      <c r="E36" s="58"/>
      <c r="F36" s="58"/>
      <c r="G36" s="58"/>
      <c r="H36" s="58"/>
      <c r="I36" s="58"/>
      <c r="J36" s="58"/>
      <c r="K36" s="58"/>
      <c r="L36" s="58"/>
      <c r="M36" s="58"/>
    </row>
    <row r="37" ht="15.75" spans="1:16">
      <c r="A37" s="60"/>
      <c r="B37" s="58"/>
      <c r="C37" s="62"/>
      <c r="D37" s="64" t="s">
        <v>62</v>
      </c>
      <c r="E37" s="140" t="s">
        <v>63</v>
      </c>
      <c r="F37" s="64" t="s">
        <v>62</v>
      </c>
      <c r="G37" s="64" t="s">
        <v>64</v>
      </c>
      <c r="H37" s="64" t="s">
        <v>65</v>
      </c>
      <c r="I37" s="64" t="s">
        <v>66</v>
      </c>
      <c r="J37" s="64" t="s">
        <v>67</v>
      </c>
      <c r="K37" s="64" t="s">
        <v>68</v>
      </c>
      <c r="L37" s="64" t="s">
        <v>69</v>
      </c>
      <c r="M37" s="64" t="s">
        <v>70</v>
      </c>
      <c r="N37" s="64" t="s">
        <v>71</v>
      </c>
    </row>
    <row r="38" ht="16.5" spans="1:16">
      <c r="A38" s="60"/>
      <c r="B38" s="58"/>
      <c r="C38" s="62"/>
      <c r="D38" s="141" t="s">
        <v>55</v>
      </c>
      <c r="E38" s="141">
        <v>0.04</v>
      </c>
      <c r="F38" s="142">
        <v>3</v>
      </c>
      <c r="G38" s="141"/>
      <c r="H38" s="141"/>
      <c r="I38" s="141">
        <v>0.7</v>
      </c>
      <c r="J38" s="142">
        <f t="shared" ref="J38:J42" si="1">SUMIFS($J$56:$J$255,$D$56:$D$255,D38,$E$56:$E$255,"&lt;"&amp;E46)/10</f>
        <v>2134</v>
      </c>
      <c r="K38" s="142">
        <v>60</v>
      </c>
      <c r="L38" s="143">
        <f>梦灵本体产出!$J$41*梦灵本体产出!$E$69*$K38</f>
        <v>1643.61374800955</v>
      </c>
      <c r="M38" s="143">
        <v>60</v>
      </c>
      <c r="N38" s="144">
        <f t="shared" ref="N38:N42" si="2">M38*L38</f>
        <v>98616.824880573</v>
      </c>
      <c r="P38">
        <v>1</v>
      </c>
    </row>
    <row r="39" ht="16.5" spans="1:16">
      <c r="A39" s="60"/>
      <c r="B39" s="58"/>
      <c r="C39" s="62"/>
      <c r="D39" s="141" t="s">
        <v>56</v>
      </c>
      <c r="E39" s="141">
        <v>0.05</v>
      </c>
      <c r="F39" s="142">
        <v>4</v>
      </c>
      <c r="G39" s="142">
        <v>60</v>
      </c>
      <c r="H39" s="142">
        <v>600</v>
      </c>
      <c r="I39" s="141">
        <v>0.8</v>
      </c>
      <c r="J39" s="142">
        <f t="shared" si="1"/>
        <v>874</v>
      </c>
      <c r="K39" s="142">
        <v>60</v>
      </c>
      <c r="L39" s="143">
        <f>梦灵本体产出!$K$41*梦灵本体产出!$E$69*$K39</f>
        <v>975.183673469383</v>
      </c>
      <c r="M39" s="143">
        <v>120</v>
      </c>
      <c r="N39" s="144">
        <f t="shared" si="2"/>
        <v>117022.040816326</v>
      </c>
      <c r="P39">
        <v>1.2</v>
      </c>
    </row>
    <row r="40" ht="16.5" spans="1:16">
      <c r="A40" s="60"/>
      <c r="B40" s="58"/>
      <c r="C40" s="62"/>
      <c r="D40" s="141" t="s">
        <v>57</v>
      </c>
      <c r="E40" s="141">
        <v>0.06</v>
      </c>
      <c r="F40" s="142">
        <v>5</v>
      </c>
      <c r="G40" s="142">
        <v>120</v>
      </c>
      <c r="H40" s="142">
        <v>1200</v>
      </c>
      <c r="I40" s="141">
        <v>1.05</v>
      </c>
      <c r="J40" s="142">
        <f t="shared" si="1"/>
        <v>244</v>
      </c>
      <c r="K40" s="142">
        <v>60</v>
      </c>
      <c r="L40" s="143">
        <f>梦灵本体产出!$L$41*梦灵本体产出!$E$69*$K40</f>
        <v>744.685714285711</v>
      </c>
      <c r="M40" s="143">
        <v>240</v>
      </c>
      <c r="N40" s="144">
        <f t="shared" si="2"/>
        <v>178724.571428571</v>
      </c>
      <c r="P40">
        <f>P38*1.2*1.2</f>
        <v>1.44</v>
      </c>
    </row>
    <row r="41" ht="16.5" spans="1:16">
      <c r="A41" s="60"/>
      <c r="B41" s="58"/>
      <c r="C41" s="62"/>
      <c r="D41" s="141" t="s">
        <v>58</v>
      </c>
      <c r="E41" s="141">
        <v>0.1</v>
      </c>
      <c r="F41" s="142">
        <v>6</v>
      </c>
      <c r="G41" s="142">
        <v>180</v>
      </c>
      <c r="H41" s="142">
        <v>1800</v>
      </c>
      <c r="I41" s="141">
        <v>1.4</v>
      </c>
      <c r="J41" s="142">
        <f t="shared" si="1"/>
        <v>184</v>
      </c>
      <c r="K41" s="142">
        <v>60</v>
      </c>
      <c r="L41" s="143">
        <f>梦灵本体产出!$M$41*梦灵本体产出!$E$69*$K41</f>
        <v>282.080134946073</v>
      </c>
      <c r="M41" s="143">
        <v>480</v>
      </c>
      <c r="N41" s="144">
        <f t="shared" si="2"/>
        <v>135398.464774115</v>
      </c>
      <c r="P41">
        <f>P38*1.2^3</f>
        <v>1.728</v>
      </c>
    </row>
    <row r="42" ht="16.5" spans="1:16">
      <c r="A42" s="60"/>
      <c r="B42" s="58"/>
      <c r="C42" s="62"/>
      <c r="D42" s="141" t="s">
        <v>72</v>
      </c>
      <c r="E42" s="141">
        <v>0.14</v>
      </c>
      <c r="F42" s="142">
        <v>7</v>
      </c>
      <c r="G42" s="142">
        <v>240</v>
      </c>
      <c r="H42" s="142">
        <v>2400</v>
      </c>
      <c r="I42" s="141">
        <v>1.6</v>
      </c>
      <c r="J42" s="142">
        <f t="shared" si="1"/>
        <v>0</v>
      </c>
      <c r="K42" s="142">
        <v>60</v>
      </c>
      <c r="L42" s="142"/>
      <c r="M42" s="142">
        <v>960</v>
      </c>
      <c r="N42" s="144">
        <f t="shared" si="2"/>
        <v>0</v>
      </c>
      <c r="P42">
        <f>P39*1.2^4</f>
        <v>2.48832</v>
      </c>
    </row>
    <row r="43" ht="15.75" spans="1:16">
      <c r="A43" s="60"/>
      <c r="B43" s="58"/>
      <c r="C43" s="62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cm="1">
        <f t="array" ref="N43">SUMPRODUCT(N38:N41,K26:K29)</f>
        <v>2882720.93675579</v>
      </c>
    </row>
    <row r="44" ht="15.75" spans="1:16">
      <c r="A44" s="60"/>
      <c r="B44" s="58"/>
      <c r="C44" s="62"/>
      <c r="D44" s="58" t="s">
        <v>73</v>
      </c>
      <c r="E44" s="58"/>
      <c r="F44" s="58"/>
      <c r="G44" s="58"/>
      <c r="H44" s="58"/>
      <c r="I44" s="58"/>
      <c r="J44" s="58"/>
      <c r="K44" s="58"/>
      <c r="L44" s="58"/>
      <c r="M44" s="58"/>
    </row>
    <row r="45" ht="15.75" spans="1:16">
      <c r="A45" s="60"/>
      <c r="B45" s="58"/>
      <c r="C45" s="62"/>
      <c r="D45" s="64" t="s">
        <v>62</v>
      </c>
      <c r="E45" s="64" t="s">
        <v>74</v>
      </c>
      <c r="F45" s="64" t="s">
        <v>67</v>
      </c>
    </row>
    <row r="46" ht="16.5" spans="1:16">
      <c r="A46" s="60"/>
      <c r="B46" s="58"/>
      <c r="C46" s="62"/>
      <c r="D46" s="141" t="s">
        <v>55</v>
      </c>
      <c r="E46" s="142">
        <v>50</v>
      </c>
      <c r="F46" s="142">
        <f t="shared" ref="F46:F50" si="3">SUMIFS($H$56:$H$255,$D$56:$D$255,D46,$E$56:$E$255,"&lt;"&amp;E46)</f>
        <v>54240</v>
      </c>
    </row>
    <row r="47" ht="16.5" spans="1:16">
      <c r="A47" s="60"/>
      <c r="B47" s="58"/>
      <c r="C47" s="62"/>
      <c r="D47" s="141" t="s">
        <v>56</v>
      </c>
      <c r="E47" s="142">
        <v>40</v>
      </c>
      <c r="F47" s="142">
        <f t="shared" si="3"/>
        <v>50760</v>
      </c>
    </row>
    <row r="48" ht="16.5" spans="1:16">
      <c r="A48" s="60"/>
      <c r="B48" s="58"/>
      <c r="C48" s="62"/>
      <c r="D48" s="141" t="s">
        <v>57</v>
      </c>
      <c r="E48" s="142">
        <v>30</v>
      </c>
      <c r="F48" s="142">
        <f t="shared" si="3"/>
        <v>36480</v>
      </c>
    </row>
    <row r="49" ht="16.5" spans="1:14">
      <c r="A49" s="60"/>
      <c r="B49" s="58"/>
      <c r="C49" s="62"/>
      <c r="D49" s="141" t="s">
        <v>58</v>
      </c>
      <c r="E49" s="142">
        <v>30</v>
      </c>
      <c r="F49" s="142">
        <f t="shared" si="3"/>
        <v>45600</v>
      </c>
    </row>
    <row r="50" ht="16.5" spans="1:14">
      <c r="A50" s="60"/>
      <c r="B50" s="58"/>
      <c r="C50" s="62"/>
      <c r="D50" s="141" t="s">
        <v>72</v>
      </c>
      <c r="E50" s="142">
        <v>30</v>
      </c>
      <c r="F50" s="142">
        <f t="shared" si="3"/>
        <v>0</v>
      </c>
    </row>
    <row r="51" ht="15.75" spans="1:14">
      <c r="A51" s="60"/>
      <c r="B51" s="58"/>
      <c r="C51" s="62"/>
      <c r="D51" s="58"/>
      <c r="E51" s="58"/>
      <c r="F51" s="71" cm="1">
        <f t="array" ref="F51">SUMPRODUCT(F46:F49,K26:K29)</f>
        <v>959760</v>
      </c>
      <c r="G51" s="58"/>
    </row>
    <row r="52" ht="15.75" spans="1:14">
      <c r="A52" s="60"/>
      <c r="B52" s="58"/>
      <c r="C52" s="62"/>
      <c r="D52" s="58"/>
      <c r="E52" s="58"/>
      <c r="F52" s="58"/>
      <c r="G52" s="58"/>
      <c r="H52" s="58"/>
      <c r="I52" s="58"/>
      <c r="J52" s="58"/>
      <c r="K52" s="58"/>
      <c r="L52" s="58"/>
      <c r="M52" s="58"/>
    </row>
    <row r="53" ht="15.75" spans="1:14">
      <c r="A53" s="58"/>
      <c r="B53" s="58"/>
      <c r="C53" s="59"/>
      <c r="D53" s="58" t="s">
        <v>75</v>
      </c>
      <c r="G53" s="58"/>
      <c r="H53" s="58" t="s">
        <v>76</v>
      </c>
      <c r="I53" s="58"/>
      <c r="J53" s="58"/>
    </row>
    <row r="54" ht="15.75" spans="1:14">
      <c r="A54" s="58"/>
      <c r="B54" s="58"/>
      <c r="C54" s="59"/>
      <c r="D54" s="58"/>
      <c r="F54" s="145" t="s">
        <v>77</v>
      </c>
      <c r="G54" s="145"/>
      <c r="H54" s="146" t="s">
        <v>67</v>
      </c>
      <c r="I54" s="147"/>
      <c r="J54" s="148"/>
    </row>
    <row r="55" ht="15.75" spans="1:14">
      <c r="A55" s="58"/>
      <c r="B55" s="58"/>
      <c r="C55" s="59"/>
      <c r="D55" s="64" t="s">
        <v>62</v>
      </c>
      <c r="E55" s="64" t="s">
        <v>78</v>
      </c>
      <c r="F55" s="149" t="s">
        <v>79</v>
      </c>
      <c r="G55" s="149" t="s">
        <v>80</v>
      </c>
      <c r="H55" s="149" t="s">
        <v>81</v>
      </c>
      <c r="I55" s="149" t="s">
        <v>82</v>
      </c>
      <c r="J55" s="149" t="s">
        <v>83</v>
      </c>
      <c r="K55" s="149" t="s">
        <v>97</v>
      </c>
      <c r="L55" t="s">
        <v>84</v>
      </c>
    </row>
    <row r="56" ht="16.5" spans="1:14">
      <c r="A56" s="58"/>
      <c r="B56" s="58"/>
      <c r="C56" s="59"/>
      <c r="D56" s="150" t="s">
        <v>55</v>
      </c>
      <c r="E56" s="150">
        <v>1</v>
      </c>
      <c r="F56" s="151">
        <f t="shared" ref="F56:F119" si="4">VLOOKUP($D56,$D$38:$E$41,2,0)*($E56-1)</f>
        <v>0</v>
      </c>
      <c r="G56" s="151">
        <f t="shared" ref="G56:G119" si="5">VLOOKUP($D56,$D$38:$E$41,2,0)*($E56-1)</f>
        <v>0</v>
      </c>
      <c r="H56" s="152">
        <v>24</v>
      </c>
      <c r="I56" s="153">
        <f t="shared" ref="I56:I119" si="6">H56*6/$E$13</f>
        <v>0.0633802816901408</v>
      </c>
      <c r="J56" s="142">
        <v>10</v>
      </c>
      <c r="K56" s="154">
        <f>SUM($J$56:J56)</f>
        <v>10</v>
      </c>
      <c r="N56" t="s">
        <v>98</v>
      </c>
    </row>
    <row r="57" ht="16.5" spans="1:14">
      <c r="A57" s="58"/>
      <c r="B57" s="58"/>
      <c r="C57" s="59"/>
      <c r="D57" s="150" t="s">
        <v>55</v>
      </c>
      <c r="E57" s="155">
        <v>2</v>
      </c>
      <c r="F57" s="151">
        <f t="shared" si="4"/>
        <v>0.04</v>
      </c>
      <c r="G57" s="151">
        <f t="shared" si="5"/>
        <v>0.04</v>
      </c>
      <c r="H57" s="152">
        <v>48</v>
      </c>
      <c r="I57" s="153">
        <f t="shared" si="6"/>
        <v>0.126760563380282</v>
      </c>
      <c r="J57" s="142">
        <v>10</v>
      </c>
      <c r="K57" s="156">
        <f>SUM($J$56:J57)</f>
        <v>20</v>
      </c>
    </row>
    <row r="58" ht="16.5" spans="1:14">
      <c r="A58" s="58"/>
      <c r="B58" s="58"/>
      <c r="C58" s="59"/>
      <c r="D58" s="150" t="s">
        <v>55</v>
      </c>
      <c r="E58" s="155">
        <v>3</v>
      </c>
      <c r="F58" s="151">
        <f t="shared" si="4"/>
        <v>0.08</v>
      </c>
      <c r="G58" s="151">
        <f t="shared" si="5"/>
        <v>0.08</v>
      </c>
      <c r="H58" s="152">
        <v>72</v>
      </c>
      <c r="I58" s="153">
        <f t="shared" si="6"/>
        <v>0.190140845070423</v>
      </c>
      <c r="J58" s="142">
        <v>10</v>
      </c>
      <c r="K58" s="156">
        <f>SUM($J$56:J58)</f>
        <v>30</v>
      </c>
    </row>
    <row r="59" ht="16.5" spans="1:14">
      <c r="A59" s="58"/>
      <c r="B59" s="58"/>
      <c r="C59" s="59"/>
      <c r="D59" s="150" t="s">
        <v>55</v>
      </c>
      <c r="E59" s="155">
        <v>4</v>
      </c>
      <c r="F59" s="151">
        <f t="shared" si="4"/>
        <v>0.12</v>
      </c>
      <c r="G59" s="151">
        <f t="shared" si="5"/>
        <v>0.12</v>
      </c>
      <c r="H59" s="152">
        <v>96</v>
      </c>
      <c r="I59" s="153">
        <f t="shared" si="6"/>
        <v>0.253521126760563</v>
      </c>
      <c r="J59" s="142">
        <v>10</v>
      </c>
      <c r="K59" s="156">
        <f>SUM($J$56:J59)</f>
        <v>40</v>
      </c>
    </row>
    <row r="60" ht="16.5" spans="1:14">
      <c r="A60" s="58"/>
      <c r="B60" s="58"/>
      <c r="C60" s="59"/>
      <c r="D60" s="150" t="s">
        <v>55</v>
      </c>
      <c r="E60" s="155">
        <v>5</v>
      </c>
      <c r="F60" s="151">
        <f t="shared" si="4"/>
        <v>0.16</v>
      </c>
      <c r="G60" s="151">
        <f t="shared" si="5"/>
        <v>0.16</v>
      </c>
      <c r="H60" s="152">
        <v>144</v>
      </c>
      <c r="I60" s="153">
        <f t="shared" si="6"/>
        <v>0.380281690140845</v>
      </c>
      <c r="J60" s="142">
        <v>30</v>
      </c>
      <c r="K60" s="156">
        <f>SUM($J$56:J60)</f>
        <v>70</v>
      </c>
    </row>
    <row r="61" ht="16.5" spans="1:14">
      <c r="A61" s="58"/>
      <c r="B61" s="58"/>
      <c r="C61" s="59"/>
      <c r="D61" s="150" t="s">
        <v>55</v>
      </c>
      <c r="E61" s="155">
        <v>6</v>
      </c>
      <c r="F61" s="151">
        <f t="shared" si="4"/>
        <v>0.2</v>
      </c>
      <c r="G61" s="151">
        <f t="shared" si="5"/>
        <v>0.2</v>
      </c>
      <c r="H61" s="152">
        <v>192</v>
      </c>
      <c r="I61" s="153">
        <f t="shared" si="6"/>
        <v>0.507042253521127</v>
      </c>
      <c r="J61" s="142">
        <v>30</v>
      </c>
      <c r="K61" s="156">
        <f>SUM($J$56:J61)</f>
        <v>100</v>
      </c>
    </row>
    <row r="62" ht="16.5" spans="1:14">
      <c r="A62" s="58"/>
      <c r="B62" s="58"/>
      <c r="C62" s="59"/>
      <c r="D62" s="150" t="s">
        <v>55</v>
      </c>
      <c r="E62" s="155">
        <v>7</v>
      </c>
      <c r="F62" s="151">
        <f t="shared" si="4"/>
        <v>0.24</v>
      </c>
      <c r="G62" s="151">
        <f t="shared" si="5"/>
        <v>0.24</v>
      </c>
      <c r="H62" s="152">
        <v>240</v>
      </c>
      <c r="I62" s="153">
        <f t="shared" si="6"/>
        <v>0.633802816901408</v>
      </c>
      <c r="J62" s="142">
        <v>30</v>
      </c>
      <c r="K62" s="156">
        <f>SUM($J$56:J62)</f>
        <v>130</v>
      </c>
    </row>
    <row r="63" ht="16.5" spans="1:14">
      <c r="A63" s="58"/>
      <c r="B63" s="58"/>
      <c r="C63" s="59"/>
      <c r="D63" s="150" t="s">
        <v>55</v>
      </c>
      <c r="E63" s="155">
        <v>8</v>
      </c>
      <c r="F63" s="151">
        <f t="shared" si="4"/>
        <v>0.28</v>
      </c>
      <c r="G63" s="151">
        <f t="shared" si="5"/>
        <v>0.28</v>
      </c>
      <c r="H63" s="152">
        <v>288</v>
      </c>
      <c r="I63" s="153">
        <f t="shared" si="6"/>
        <v>0.76056338028169</v>
      </c>
      <c r="J63" s="142">
        <v>30</v>
      </c>
      <c r="K63" s="156">
        <f>SUM($J$56:J63)</f>
        <v>160</v>
      </c>
    </row>
    <row r="64" ht="16.5" spans="1:14">
      <c r="A64" s="58"/>
      <c r="B64" s="58"/>
      <c r="C64" s="59"/>
      <c r="D64" s="150" t="s">
        <v>55</v>
      </c>
      <c r="E64" s="155">
        <v>9</v>
      </c>
      <c r="F64" s="151">
        <f t="shared" si="4"/>
        <v>0.32</v>
      </c>
      <c r="G64" s="151">
        <f t="shared" si="5"/>
        <v>0.32</v>
      </c>
      <c r="H64" s="152">
        <v>336</v>
      </c>
      <c r="I64" s="153">
        <f t="shared" si="6"/>
        <v>0.887323943661972</v>
      </c>
      <c r="J64" s="142">
        <v>30</v>
      </c>
      <c r="K64" s="156">
        <f>SUM($J$56:J64)</f>
        <v>190</v>
      </c>
    </row>
    <row r="65" ht="16.5" spans="1:13">
      <c r="A65" s="58"/>
      <c r="B65" s="58"/>
      <c r="C65" s="59"/>
      <c r="D65" s="150" t="s">
        <v>55</v>
      </c>
      <c r="E65" s="155">
        <v>10</v>
      </c>
      <c r="F65" s="151">
        <f t="shared" si="4"/>
        <v>0.36</v>
      </c>
      <c r="G65" s="151">
        <f t="shared" si="5"/>
        <v>0.36</v>
      </c>
      <c r="H65" s="152">
        <v>384</v>
      </c>
      <c r="I65" s="153">
        <f t="shared" si="6"/>
        <v>1.01408450704225</v>
      </c>
      <c r="J65" s="142">
        <v>60</v>
      </c>
      <c r="K65" s="156">
        <f>SUM($J$56:J65)</f>
        <v>250</v>
      </c>
    </row>
    <row r="66" ht="16.5" spans="1:13">
      <c r="A66" s="58"/>
      <c r="B66" s="58"/>
      <c r="C66" s="59"/>
      <c r="D66" s="150" t="s">
        <v>55</v>
      </c>
      <c r="E66" s="155">
        <v>11</v>
      </c>
      <c r="F66" s="151">
        <f t="shared" si="4"/>
        <v>0.4</v>
      </c>
      <c r="G66" s="151">
        <f t="shared" si="5"/>
        <v>0.4</v>
      </c>
      <c r="H66" s="152">
        <v>432</v>
      </c>
      <c r="I66" s="153">
        <f t="shared" si="6"/>
        <v>1.14084507042254</v>
      </c>
      <c r="J66" s="142">
        <v>60</v>
      </c>
      <c r="K66" s="156">
        <f>SUM($J$56:J66)</f>
        <v>310</v>
      </c>
    </row>
    <row r="67" ht="16.5" spans="1:13">
      <c r="A67" s="58"/>
      <c r="B67" s="58"/>
      <c r="C67" s="59"/>
      <c r="D67" s="150" t="s">
        <v>55</v>
      </c>
      <c r="E67" s="155">
        <v>12</v>
      </c>
      <c r="F67" s="151">
        <f t="shared" si="4"/>
        <v>0.44</v>
      </c>
      <c r="G67" s="151">
        <f t="shared" si="5"/>
        <v>0.44</v>
      </c>
      <c r="H67" s="152">
        <v>480</v>
      </c>
      <c r="I67" s="153">
        <f t="shared" si="6"/>
        <v>1.26760563380282</v>
      </c>
      <c r="J67" s="142">
        <v>60</v>
      </c>
      <c r="K67" s="156">
        <f>SUM($J$56:J67)</f>
        <v>370</v>
      </c>
    </row>
    <row r="68" ht="16.5" spans="1:13">
      <c r="A68" s="58"/>
      <c r="B68" s="58"/>
      <c r="C68" s="59"/>
      <c r="D68" s="150" t="s">
        <v>55</v>
      </c>
      <c r="E68" s="155">
        <v>13</v>
      </c>
      <c r="F68" s="151">
        <f t="shared" si="4"/>
        <v>0.48</v>
      </c>
      <c r="G68" s="151">
        <f t="shared" si="5"/>
        <v>0.48</v>
      </c>
      <c r="H68" s="152">
        <v>528</v>
      </c>
      <c r="I68" s="153">
        <f t="shared" si="6"/>
        <v>1.3943661971831</v>
      </c>
      <c r="J68" s="142">
        <v>60</v>
      </c>
      <c r="K68" s="156">
        <f>SUM($J$56:J68)</f>
        <v>430</v>
      </c>
    </row>
    <row r="69" ht="16.5" spans="1:13">
      <c r="A69" s="58"/>
      <c r="B69" s="58"/>
      <c r="C69" s="59"/>
      <c r="D69" s="150" t="s">
        <v>55</v>
      </c>
      <c r="E69" s="155">
        <v>14</v>
      </c>
      <c r="F69" s="151">
        <f t="shared" si="4"/>
        <v>0.52</v>
      </c>
      <c r="G69" s="151">
        <f t="shared" si="5"/>
        <v>0.52</v>
      </c>
      <c r="H69" s="152">
        <v>576</v>
      </c>
      <c r="I69" s="153">
        <f t="shared" si="6"/>
        <v>1.52112676056338</v>
      </c>
      <c r="J69" s="142">
        <v>60</v>
      </c>
      <c r="K69" s="156">
        <f>SUM($J$56:J69)</f>
        <v>490</v>
      </c>
    </row>
    <row r="70" ht="16.5" spans="1:13">
      <c r="A70" s="58"/>
      <c r="B70" s="58"/>
      <c r="C70" s="59"/>
      <c r="D70" s="150" t="s">
        <v>55</v>
      </c>
      <c r="E70" s="155">
        <v>15</v>
      </c>
      <c r="F70" s="151">
        <f t="shared" si="4"/>
        <v>0.56</v>
      </c>
      <c r="G70" s="151">
        <f t="shared" si="5"/>
        <v>0.56</v>
      </c>
      <c r="H70" s="152">
        <v>624</v>
      </c>
      <c r="I70" s="153">
        <f t="shared" si="6"/>
        <v>1.64788732394366</v>
      </c>
      <c r="J70" s="142">
        <v>90</v>
      </c>
      <c r="K70" s="156">
        <f>SUM($J$56:J70)</f>
        <v>580</v>
      </c>
      <c r="M70" s="14"/>
    </row>
    <row r="71" ht="16.5" spans="1:13">
      <c r="A71" s="58"/>
      <c r="B71" s="58"/>
      <c r="C71" s="59"/>
      <c r="D71" s="150" t="s">
        <v>55</v>
      </c>
      <c r="E71" s="155">
        <v>16</v>
      </c>
      <c r="F71" s="151">
        <f t="shared" si="4"/>
        <v>0.6</v>
      </c>
      <c r="G71" s="151">
        <f t="shared" si="5"/>
        <v>0.6</v>
      </c>
      <c r="H71" s="152">
        <v>672</v>
      </c>
      <c r="I71" s="153">
        <f t="shared" si="6"/>
        <v>1.77464788732394</v>
      </c>
      <c r="J71" s="142">
        <v>90</v>
      </c>
      <c r="K71" s="156">
        <f>SUM($J$56:J71)</f>
        <v>670</v>
      </c>
    </row>
    <row r="72" ht="16.5" spans="1:13">
      <c r="A72" s="58"/>
      <c r="B72" s="58"/>
      <c r="C72" s="59"/>
      <c r="D72" s="150" t="s">
        <v>55</v>
      </c>
      <c r="E72" s="155">
        <v>17</v>
      </c>
      <c r="F72" s="151">
        <f t="shared" si="4"/>
        <v>0.64</v>
      </c>
      <c r="G72" s="151">
        <f t="shared" si="5"/>
        <v>0.64</v>
      </c>
      <c r="H72" s="152">
        <v>720</v>
      </c>
      <c r="I72" s="153">
        <f t="shared" si="6"/>
        <v>1.90140845070423</v>
      </c>
      <c r="J72" s="142">
        <v>90</v>
      </c>
      <c r="K72" s="156">
        <f>SUM($J$56:J72)</f>
        <v>760</v>
      </c>
    </row>
    <row r="73" ht="16.5" spans="1:13">
      <c r="A73" s="58"/>
      <c r="B73" s="58"/>
      <c r="C73" s="59"/>
      <c r="D73" s="150" t="s">
        <v>55</v>
      </c>
      <c r="E73" s="155">
        <v>18</v>
      </c>
      <c r="F73" s="151">
        <f t="shared" si="4"/>
        <v>0.68</v>
      </c>
      <c r="G73" s="151">
        <f t="shared" si="5"/>
        <v>0.68</v>
      </c>
      <c r="H73" s="152">
        <v>768</v>
      </c>
      <c r="I73" s="153">
        <f t="shared" si="6"/>
        <v>2.02816901408451</v>
      </c>
      <c r="J73" s="142">
        <v>90</v>
      </c>
      <c r="K73" s="156">
        <f>SUM($J$56:J73)</f>
        <v>850</v>
      </c>
    </row>
    <row r="74" ht="16.5" spans="1:13">
      <c r="A74" s="58"/>
      <c r="B74" s="58"/>
      <c r="C74" s="59"/>
      <c r="D74" s="150" t="s">
        <v>55</v>
      </c>
      <c r="E74" s="155">
        <v>19</v>
      </c>
      <c r="F74" s="151">
        <f t="shared" si="4"/>
        <v>0.72</v>
      </c>
      <c r="G74" s="151">
        <f t="shared" si="5"/>
        <v>0.72</v>
      </c>
      <c r="H74" s="152">
        <v>816</v>
      </c>
      <c r="I74" s="153">
        <f t="shared" si="6"/>
        <v>2.15492957746479</v>
      </c>
      <c r="J74" s="142">
        <v>90</v>
      </c>
      <c r="K74" s="156">
        <f>SUM($J$56:J74)</f>
        <v>940</v>
      </c>
    </row>
    <row r="75" ht="16.5" spans="1:13">
      <c r="A75" s="58"/>
      <c r="B75" s="58"/>
      <c r="C75" s="59"/>
      <c r="D75" s="150" t="s">
        <v>55</v>
      </c>
      <c r="E75" s="155">
        <v>20</v>
      </c>
      <c r="F75" s="151">
        <f t="shared" si="4"/>
        <v>0.76</v>
      </c>
      <c r="G75" s="151">
        <f t="shared" si="5"/>
        <v>0.76</v>
      </c>
      <c r="H75" s="152">
        <v>864</v>
      </c>
      <c r="I75" s="153">
        <f t="shared" si="6"/>
        <v>2.28169014084507</v>
      </c>
      <c r="J75" s="142">
        <v>120</v>
      </c>
      <c r="K75" s="156">
        <f>SUM($J$56:J75)</f>
        <v>1060</v>
      </c>
    </row>
    <row r="76" ht="16.5" spans="1:13">
      <c r="A76" s="58"/>
      <c r="B76" s="58"/>
      <c r="C76" s="59"/>
      <c r="D76" s="150" t="s">
        <v>55</v>
      </c>
      <c r="E76" s="155">
        <v>21</v>
      </c>
      <c r="F76" s="151">
        <f t="shared" si="4"/>
        <v>0.8</v>
      </c>
      <c r="G76" s="151">
        <f t="shared" si="5"/>
        <v>0.8</v>
      </c>
      <c r="H76" s="152">
        <v>912</v>
      </c>
      <c r="I76" s="153">
        <f t="shared" si="6"/>
        <v>2.40845070422535</v>
      </c>
      <c r="J76" s="142">
        <v>120</v>
      </c>
      <c r="K76" s="156">
        <f>SUM($J$56:J76)</f>
        <v>1180</v>
      </c>
    </row>
    <row r="77" ht="16.5" spans="1:13">
      <c r="A77" s="58"/>
      <c r="B77" s="58"/>
      <c r="C77" s="59"/>
      <c r="D77" s="150" t="s">
        <v>55</v>
      </c>
      <c r="E77" s="155">
        <v>22</v>
      </c>
      <c r="F77" s="151">
        <f t="shared" si="4"/>
        <v>0.84</v>
      </c>
      <c r="G77" s="151">
        <f t="shared" si="5"/>
        <v>0.84</v>
      </c>
      <c r="H77" s="152">
        <v>960</v>
      </c>
      <c r="I77" s="153">
        <f t="shared" si="6"/>
        <v>2.53521126760563</v>
      </c>
      <c r="J77" s="142">
        <v>120</v>
      </c>
      <c r="K77" s="156">
        <f>SUM($J$56:J77)</f>
        <v>1300</v>
      </c>
    </row>
    <row r="78" ht="16.5" spans="1:13">
      <c r="A78" s="58"/>
      <c r="B78" s="58"/>
      <c r="C78" s="59"/>
      <c r="D78" s="150" t="s">
        <v>55</v>
      </c>
      <c r="E78" s="155">
        <v>23</v>
      </c>
      <c r="F78" s="151">
        <f t="shared" si="4"/>
        <v>0.88</v>
      </c>
      <c r="G78" s="151">
        <f t="shared" si="5"/>
        <v>0.88</v>
      </c>
      <c r="H78" s="152">
        <v>1008</v>
      </c>
      <c r="I78" s="153">
        <f t="shared" si="6"/>
        <v>2.66197183098592</v>
      </c>
      <c r="J78" s="142">
        <v>120</v>
      </c>
      <c r="K78" s="156">
        <f>SUM($J$56:J78)</f>
        <v>1420</v>
      </c>
    </row>
    <row r="79" ht="16.5" spans="1:13">
      <c r="A79" s="58"/>
      <c r="B79" s="58"/>
      <c r="C79" s="59"/>
      <c r="D79" s="150" t="s">
        <v>55</v>
      </c>
      <c r="E79" s="155">
        <v>24</v>
      </c>
      <c r="F79" s="151">
        <f t="shared" si="4"/>
        <v>0.92</v>
      </c>
      <c r="G79" s="151">
        <f t="shared" si="5"/>
        <v>0.92</v>
      </c>
      <c r="H79" s="152">
        <v>1056</v>
      </c>
      <c r="I79" s="153">
        <f t="shared" si="6"/>
        <v>2.7887323943662</v>
      </c>
      <c r="J79" s="142">
        <v>120</v>
      </c>
      <c r="K79" s="156">
        <f>SUM($J$56:J79)</f>
        <v>1540</v>
      </c>
    </row>
    <row r="80" ht="16.5" spans="1:13">
      <c r="A80" s="58"/>
      <c r="B80" s="58"/>
      <c r="C80" s="59"/>
      <c r="D80" s="150" t="s">
        <v>55</v>
      </c>
      <c r="E80" s="155">
        <v>25</v>
      </c>
      <c r="F80" s="151">
        <f t="shared" si="4"/>
        <v>0.96</v>
      </c>
      <c r="G80" s="151">
        <f t="shared" si="5"/>
        <v>0.96</v>
      </c>
      <c r="H80" s="152">
        <v>1104</v>
      </c>
      <c r="I80" s="153">
        <f t="shared" si="6"/>
        <v>2.91549295774648</v>
      </c>
      <c r="J80" s="142">
        <v>240</v>
      </c>
      <c r="K80" s="156">
        <f>SUM($J$56:J80)</f>
        <v>1780</v>
      </c>
    </row>
    <row r="81" ht="16.5" spans="1:11">
      <c r="A81" s="58"/>
      <c r="B81" s="58"/>
      <c r="C81" s="59"/>
      <c r="D81" s="150" t="s">
        <v>55</v>
      </c>
      <c r="E81" s="155">
        <v>26</v>
      </c>
      <c r="F81" s="151">
        <f t="shared" si="4"/>
        <v>1</v>
      </c>
      <c r="G81" s="151">
        <f t="shared" si="5"/>
        <v>1</v>
      </c>
      <c r="H81" s="152">
        <v>1152</v>
      </c>
      <c r="I81" s="153">
        <f t="shared" si="6"/>
        <v>3.04225352112676</v>
      </c>
      <c r="J81" s="142">
        <v>240</v>
      </c>
      <c r="K81" s="156">
        <f>SUM($J$56:J81)</f>
        <v>2020</v>
      </c>
    </row>
    <row r="82" ht="16.5" spans="1:11">
      <c r="A82" s="58"/>
      <c r="B82" s="58"/>
      <c r="C82" s="59"/>
      <c r="D82" s="150" t="s">
        <v>55</v>
      </c>
      <c r="E82" s="155">
        <v>27</v>
      </c>
      <c r="F82" s="151">
        <f t="shared" si="4"/>
        <v>1.04</v>
      </c>
      <c r="G82" s="151">
        <f t="shared" si="5"/>
        <v>1.04</v>
      </c>
      <c r="H82" s="152">
        <v>1200</v>
      </c>
      <c r="I82" s="153">
        <f t="shared" si="6"/>
        <v>3.16901408450704</v>
      </c>
      <c r="J82" s="142">
        <v>240</v>
      </c>
      <c r="K82" s="156">
        <f>SUM($J$56:J82)</f>
        <v>2260</v>
      </c>
    </row>
    <row r="83" ht="16.5" spans="1:11">
      <c r="A83" s="58"/>
      <c r="B83" s="58"/>
      <c r="C83" s="59"/>
      <c r="D83" s="150" t="s">
        <v>55</v>
      </c>
      <c r="E83" s="155">
        <v>28</v>
      </c>
      <c r="F83" s="151">
        <f t="shared" si="4"/>
        <v>1.08</v>
      </c>
      <c r="G83" s="151">
        <f t="shared" si="5"/>
        <v>1.08</v>
      </c>
      <c r="H83" s="152">
        <v>1248</v>
      </c>
      <c r="I83" s="153">
        <f t="shared" si="6"/>
        <v>3.29577464788732</v>
      </c>
      <c r="J83" s="142">
        <v>240</v>
      </c>
      <c r="K83" s="156">
        <f>SUM($J$56:J83)</f>
        <v>2500</v>
      </c>
    </row>
    <row r="84" ht="16.5" spans="1:11">
      <c r="A84" s="58"/>
      <c r="B84" s="58"/>
      <c r="C84" s="59"/>
      <c r="D84" s="150" t="s">
        <v>55</v>
      </c>
      <c r="E84" s="155">
        <v>29</v>
      </c>
      <c r="F84" s="151">
        <f t="shared" si="4"/>
        <v>1.12</v>
      </c>
      <c r="G84" s="151">
        <f t="shared" si="5"/>
        <v>1.12</v>
      </c>
      <c r="H84" s="152">
        <v>1296</v>
      </c>
      <c r="I84" s="153">
        <f t="shared" si="6"/>
        <v>3.42253521126761</v>
      </c>
      <c r="J84" s="142">
        <v>240</v>
      </c>
      <c r="K84" s="156">
        <f>SUM($J$56:J84)</f>
        <v>2740</v>
      </c>
    </row>
    <row r="85" ht="16.5" spans="1:11">
      <c r="A85" s="58"/>
      <c r="B85" s="58"/>
      <c r="C85" s="59"/>
      <c r="D85" s="150" t="s">
        <v>55</v>
      </c>
      <c r="E85" s="155">
        <v>30</v>
      </c>
      <c r="F85" s="151">
        <f t="shared" si="4"/>
        <v>1.16</v>
      </c>
      <c r="G85" s="151">
        <f t="shared" si="5"/>
        <v>1.16</v>
      </c>
      <c r="H85" s="152">
        <v>1344</v>
      </c>
      <c r="I85" s="153">
        <f t="shared" si="6"/>
        <v>3.54929577464789</v>
      </c>
      <c r="J85" s="142">
        <v>480</v>
      </c>
      <c r="K85" s="156">
        <f>SUM($J$56:J85)</f>
        <v>3220</v>
      </c>
    </row>
    <row r="86" ht="16.5" spans="1:11">
      <c r="A86" s="58"/>
      <c r="B86" s="58"/>
      <c r="C86" s="59"/>
      <c r="D86" s="150" t="s">
        <v>55</v>
      </c>
      <c r="E86" s="155">
        <v>31</v>
      </c>
      <c r="F86" s="151">
        <f t="shared" si="4"/>
        <v>1.2</v>
      </c>
      <c r="G86" s="151">
        <f t="shared" si="5"/>
        <v>1.2</v>
      </c>
      <c r="H86" s="152">
        <v>1392</v>
      </c>
      <c r="I86" s="153">
        <f t="shared" si="6"/>
        <v>3.67605633802817</v>
      </c>
      <c r="J86" s="142">
        <v>480</v>
      </c>
      <c r="K86" s="156">
        <f>SUM($J$56:J86)</f>
        <v>3700</v>
      </c>
    </row>
    <row r="87" ht="16.5" spans="1:11">
      <c r="A87" s="58"/>
      <c r="B87" s="58"/>
      <c r="C87" s="59"/>
      <c r="D87" s="150" t="s">
        <v>55</v>
      </c>
      <c r="E87" s="155">
        <v>32</v>
      </c>
      <c r="F87" s="151">
        <f t="shared" si="4"/>
        <v>1.24</v>
      </c>
      <c r="G87" s="151">
        <f t="shared" si="5"/>
        <v>1.24</v>
      </c>
      <c r="H87" s="152">
        <v>1440</v>
      </c>
      <c r="I87" s="153">
        <f t="shared" si="6"/>
        <v>3.80281690140845</v>
      </c>
      <c r="J87" s="142">
        <v>480</v>
      </c>
      <c r="K87" s="156">
        <f>SUM($J$56:J87)</f>
        <v>4180</v>
      </c>
    </row>
    <row r="88" ht="16.5" spans="1:11">
      <c r="A88" s="58"/>
      <c r="B88" s="58"/>
      <c r="C88" s="59"/>
      <c r="D88" s="150" t="s">
        <v>55</v>
      </c>
      <c r="E88" s="155">
        <v>33</v>
      </c>
      <c r="F88" s="151">
        <f t="shared" si="4"/>
        <v>1.28</v>
      </c>
      <c r="G88" s="151">
        <f t="shared" si="5"/>
        <v>1.28</v>
      </c>
      <c r="H88" s="152">
        <v>1488</v>
      </c>
      <c r="I88" s="153">
        <f t="shared" si="6"/>
        <v>3.92957746478873</v>
      </c>
      <c r="J88" s="142">
        <v>480</v>
      </c>
      <c r="K88" s="156">
        <f>SUM($J$56:J88)</f>
        <v>4660</v>
      </c>
    </row>
    <row r="89" ht="16.5" spans="1:11">
      <c r="A89" s="58"/>
      <c r="B89" s="58"/>
      <c r="C89" s="59"/>
      <c r="D89" s="150" t="s">
        <v>55</v>
      </c>
      <c r="E89" s="155">
        <v>34</v>
      </c>
      <c r="F89" s="151">
        <f t="shared" si="4"/>
        <v>1.32</v>
      </c>
      <c r="G89" s="151">
        <f t="shared" si="5"/>
        <v>1.32</v>
      </c>
      <c r="H89" s="152">
        <v>1536</v>
      </c>
      <c r="I89" s="153">
        <f t="shared" si="6"/>
        <v>4.05633802816901</v>
      </c>
      <c r="J89" s="142">
        <v>480</v>
      </c>
      <c r="K89" s="156">
        <f>SUM($J$56:J89)</f>
        <v>5140</v>
      </c>
    </row>
    <row r="90" ht="16.5" spans="1:11">
      <c r="A90" s="58"/>
      <c r="B90" s="58"/>
      <c r="C90" s="59"/>
      <c r="D90" s="150" t="s">
        <v>55</v>
      </c>
      <c r="E90" s="155">
        <v>35</v>
      </c>
      <c r="F90" s="151">
        <f t="shared" si="4"/>
        <v>1.36</v>
      </c>
      <c r="G90" s="151">
        <f t="shared" si="5"/>
        <v>1.36</v>
      </c>
      <c r="H90" s="152">
        <v>1584</v>
      </c>
      <c r="I90" s="153">
        <f t="shared" si="6"/>
        <v>4.1830985915493</v>
      </c>
      <c r="J90" s="142">
        <v>720</v>
      </c>
      <c r="K90" s="156">
        <f>SUM($J$56:J90)</f>
        <v>5860</v>
      </c>
    </row>
    <row r="91" ht="16.5" spans="1:11">
      <c r="A91" s="58"/>
      <c r="B91" s="58"/>
      <c r="C91" s="59"/>
      <c r="D91" s="150" t="s">
        <v>55</v>
      </c>
      <c r="E91" s="155">
        <v>36</v>
      </c>
      <c r="F91" s="151">
        <f t="shared" si="4"/>
        <v>1.4</v>
      </c>
      <c r="G91" s="151">
        <f t="shared" si="5"/>
        <v>1.4</v>
      </c>
      <c r="H91" s="152">
        <v>1632</v>
      </c>
      <c r="I91" s="153">
        <f t="shared" si="6"/>
        <v>4.30985915492958</v>
      </c>
      <c r="J91" s="142">
        <v>720</v>
      </c>
      <c r="K91" s="156">
        <f>SUM($J$56:J91)</f>
        <v>6580</v>
      </c>
    </row>
    <row r="92" ht="16.5" spans="1:11">
      <c r="A92" s="58"/>
      <c r="B92" s="58"/>
      <c r="C92" s="59"/>
      <c r="D92" s="150" t="s">
        <v>55</v>
      </c>
      <c r="E92" s="155">
        <v>37</v>
      </c>
      <c r="F92" s="151">
        <f t="shared" si="4"/>
        <v>1.44</v>
      </c>
      <c r="G92" s="151">
        <f t="shared" si="5"/>
        <v>1.44</v>
      </c>
      <c r="H92" s="152">
        <v>1680</v>
      </c>
      <c r="I92" s="153">
        <f t="shared" si="6"/>
        <v>4.43661971830986</v>
      </c>
      <c r="J92" s="142">
        <v>720</v>
      </c>
      <c r="K92" s="156">
        <f>SUM($J$56:J92)</f>
        <v>7300</v>
      </c>
    </row>
    <row r="93" ht="16.5" spans="1:11">
      <c r="A93" s="58"/>
      <c r="B93" s="58"/>
      <c r="C93" s="59"/>
      <c r="D93" s="150" t="s">
        <v>55</v>
      </c>
      <c r="E93" s="155">
        <v>38</v>
      </c>
      <c r="F93" s="151">
        <f t="shared" si="4"/>
        <v>1.48</v>
      </c>
      <c r="G93" s="151">
        <f t="shared" si="5"/>
        <v>1.48</v>
      </c>
      <c r="H93" s="152">
        <v>1728</v>
      </c>
      <c r="I93" s="153">
        <f t="shared" si="6"/>
        <v>4.56338028169014</v>
      </c>
      <c r="J93" s="142">
        <v>720</v>
      </c>
      <c r="K93" s="156">
        <f>SUM($J$56:J93)</f>
        <v>8020</v>
      </c>
    </row>
    <row r="94" ht="16.5" spans="1:11">
      <c r="A94" s="58"/>
      <c r="B94" s="58"/>
      <c r="C94" s="59"/>
      <c r="D94" s="150" t="s">
        <v>55</v>
      </c>
      <c r="E94" s="155">
        <v>39</v>
      </c>
      <c r="F94" s="151">
        <f t="shared" si="4"/>
        <v>1.52</v>
      </c>
      <c r="G94" s="151">
        <f t="shared" si="5"/>
        <v>1.52</v>
      </c>
      <c r="H94" s="152">
        <v>1776</v>
      </c>
      <c r="I94" s="153">
        <f t="shared" si="6"/>
        <v>4.69014084507042</v>
      </c>
      <c r="J94" s="142">
        <v>720</v>
      </c>
      <c r="K94" s="156">
        <f>SUM($J$56:J94)</f>
        <v>8740</v>
      </c>
    </row>
    <row r="95" ht="16.5" spans="1:11">
      <c r="A95" s="58"/>
      <c r="B95" s="58"/>
      <c r="C95" s="59"/>
      <c r="D95" s="150" t="s">
        <v>55</v>
      </c>
      <c r="E95" s="155">
        <v>40</v>
      </c>
      <c r="F95" s="151">
        <f t="shared" si="4"/>
        <v>1.56</v>
      </c>
      <c r="G95" s="151">
        <f t="shared" si="5"/>
        <v>1.56</v>
      </c>
      <c r="H95" s="152">
        <v>1824</v>
      </c>
      <c r="I95" s="153">
        <f t="shared" si="6"/>
        <v>4.8169014084507</v>
      </c>
      <c r="J95" s="142">
        <v>1080</v>
      </c>
      <c r="K95" s="156">
        <f>SUM($J$56:J95)</f>
        <v>9820</v>
      </c>
    </row>
    <row r="96" ht="16.5" spans="1:11">
      <c r="A96" s="58"/>
      <c r="B96" s="58"/>
      <c r="C96" s="59"/>
      <c r="D96" s="150" t="s">
        <v>55</v>
      </c>
      <c r="E96" s="155">
        <v>41</v>
      </c>
      <c r="F96" s="151">
        <f t="shared" si="4"/>
        <v>1.6</v>
      </c>
      <c r="G96" s="151">
        <f t="shared" si="5"/>
        <v>1.6</v>
      </c>
      <c r="H96" s="152">
        <v>1872</v>
      </c>
      <c r="I96" s="153">
        <f t="shared" si="6"/>
        <v>4.94366197183099</v>
      </c>
      <c r="J96" s="142">
        <v>1080</v>
      </c>
      <c r="K96" s="156">
        <f>SUM($J$56:J96)</f>
        <v>10900</v>
      </c>
    </row>
    <row r="97" ht="16.5" spans="1:12">
      <c r="A97" s="58"/>
      <c r="B97" s="58"/>
      <c r="C97" s="59"/>
      <c r="D97" s="150" t="s">
        <v>55</v>
      </c>
      <c r="E97" s="155">
        <v>42</v>
      </c>
      <c r="F97" s="151">
        <f t="shared" si="4"/>
        <v>1.64</v>
      </c>
      <c r="G97" s="151">
        <f t="shared" si="5"/>
        <v>1.64</v>
      </c>
      <c r="H97" s="152">
        <v>1920</v>
      </c>
      <c r="I97" s="153">
        <f t="shared" si="6"/>
        <v>5.07042253521127</v>
      </c>
      <c r="J97" s="142">
        <v>1080</v>
      </c>
      <c r="K97" s="156">
        <f>SUM($J$56:J97)</f>
        <v>11980</v>
      </c>
    </row>
    <row r="98" ht="16.5" spans="1:12">
      <c r="A98" s="58"/>
      <c r="B98" s="58"/>
      <c r="C98" s="59"/>
      <c r="D98" s="150" t="s">
        <v>55</v>
      </c>
      <c r="E98" s="155">
        <v>43</v>
      </c>
      <c r="F98" s="151">
        <f t="shared" si="4"/>
        <v>1.68</v>
      </c>
      <c r="G98" s="151">
        <f t="shared" si="5"/>
        <v>1.68</v>
      </c>
      <c r="H98" s="152">
        <v>1968</v>
      </c>
      <c r="I98" s="153">
        <f t="shared" si="6"/>
        <v>5.19718309859155</v>
      </c>
      <c r="J98" s="142">
        <v>1080</v>
      </c>
      <c r="K98" s="156">
        <f>SUM($J$56:J98)</f>
        <v>13060</v>
      </c>
    </row>
    <row r="99" ht="16.5" spans="1:12">
      <c r="A99" s="58"/>
      <c r="B99" s="58"/>
      <c r="C99" s="59"/>
      <c r="D99" s="150" t="s">
        <v>55</v>
      </c>
      <c r="E99" s="155">
        <v>44</v>
      </c>
      <c r="F99" s="151">
        <f t="shared" si="4"/>
        <v>1.72</v>
      </c>
      <c r="G99" s="151">
        <f t="shared" si="5"/>
        <v>1.72</v>
      </c>
      <c r="H99" s="152">
        <v>2016</v>
      </c>
      <c r="I99" s="153">
        <f t="shared" si="6"/>
        <v>5.32394366197183</v>
      </c>
      <c r="J99" s="142">
        <v>1080</v>
      </c>
      <c r="K99" s="156">
        <f>SUM($J$56:J99)</f>
        <v>14140</v>
      </c>
    </row>
    <row r="100" ht="16.5" spans="1:12">
      <c r="A100" s="58"/>
      <c r="B100" s="58"/>
      <c r="C100" s="59"/>
      <c r="D100" s="150" t="s">
        <v>55</v>
      </c>
      <c r="E100" s="155">
        <v>45</v>
      </c>
      <c r="F100" s="151">
        <f t="shared" si="4"/>
        <v>1.76</v>
      </c>
      <c r="G100" s="151">
        <f t="shared" si="5"/>
        <v>1.76</v>
      </c>
      <c r="H100" s="152">
        <v>2064</v>
      </c>
      <c r="I100" s="153">
        <f t="shared" si="6"/>
        <v>5.45070422535211</v>
      </c>
      <c r="J100" s="142">
        <v>1440</v>
      </c>
      <c r="K100" s="156">
        <f>SUM($J$56:J100)</f>
        <v>15580</v>
      </c>
    </row>
    <row r="101" ht="16.5" spans="1:12">
      <c r="A101" s="58"/>
      <c r="B101" s="58"/>
      <c r="C101" s="59"/>
      <c r="D101" s="150" t="s">
        <v>55</v>
      </c>
      <c r="E101" s="155">
        <v>46</v>
      </c>
      <c r="F101" s="151">
        <f t="shared" si="4"/>
        <v>1.8</v>
      </c>
      <c r="G101" s="151">
        <f t="shared" si="5"/>
        <v>1.8</v>
      </c>
      <c r="H101" s="152">
        <v>2112</v>
      </c>
      <c r="I101" s="153">
        <f t="shared" si="6"/>
        <v>5.57746478873239</v>
      </c>
      <c r="J101" s="142">
        <v>1440</v>
      </c>
      <c r="K101" s="156">
        <f>SUM($J$56:J101)</f>
        <v>17020</v>
      </c>
    </row>
    <row r="102" ht="16.5" spans="1:12">
      <c r="A102" s="58"/>
      <c r="B102" s="58"/>
      <c r="C102" s="59"/>
      <c r="D102" s="150" t="s">
        <v>55</v>
      </c>
      <c r="E102" s="155">
        <v>47</v>
      </c>
      <c r="F102" s="151">
        <f t="shared" si="4"/>
        <v>1.84</v>
      </c>
      <c r="G102" s="151">
        <f t="shared" si="5"/>
        <v>1.84</v>
      </c>
      <c r="H102" s="152">
        <v>2160</v>
      </c>
      <c r="I102" s="153">
        <f t="shared" si="6"/>
        <v>5.70422535211268</v>
      </c>
      <c r="J102" s="142">
        <v>1440</v>
      </c>
      <c r="K102" s="156">
        <f>SUM($J$56:J102)</f>
        <v>18460</v>
      </c>
    </row>
    <row r="103" ht="16.5" spans="1:12">
      <c r="A103" s="58"/>
      <c r="B103" s="58"/>
      <c r="C103" s="59"/>
      <c r="D103" s="150" t="s">
        <v>55</v>
      </c>
      <c r="E103" s="155">
        <v>48</v>
      </c>
      <c r="F103" s="151">
        <f t="shared" si="4"/>
        <v>1.88</v>
      </c>
      <c r="G103" s="151">
        <f t="shared" si="5"/>
        <v>1.88</v>
      </c>
      <c r="H103" s="152">
        <v>2208</v>
      </c>
      <c r="I103" s="153">
        <f t="shared" si="6"/>
        <v>5.83098591549296</v>
      </c>
      <c r="J103" s="142">
        <v>1440</v>
      </c>
      <c r="K103" s="156">
        <f>SUM($J$56:J103)</f>
        <v>19900</v>
      </c>
    </row>
    <row r="104" ht="16.5" spans="1:12">
      <c r="A104" s="58"/>
      <c r="B104" s="58"/>
      <c r="C104" s="59"/>
      <c r="D104" s="150" t="s">
        <v>55</v>
      </c>
      <c r="E104" s="155">
        <v>49</v>
      </c>
      <c r="F104" s="151">
        <f t="shared" si="4"/>
        <v>1.92</v>
      </c>
      <c r="G104" s="151">
        <f t="shared" si="5"/>
        <v>1.92</v>
      </c>
      <c r="H104" s="152">
        <v>2256</v>
      </c>
      <c r="I104" s="153">
        <f t="shared" si="6"/>
        <v>5.95774647887324</v>
      </c>
      <c r="J104" s="142">
        <v>1440</v>
      </c>
      <c r="K104" s="156">
        <f>SUM($J$56:J104)</f>
        <v>21340</v>
      </c>
    </row>
    <row r="105" ht="16.5" spans="1:12">
      <c r="A105" s="58"/>
      <c r="B105" s="58"/>
      <c r="C105" s="59"/>
      <c r="D105" s="150" t="s">
        <v>55</v>
      </c>
      <c r="E105" s="155">
        <v>50</v>
      </c>
      <c r="F105" s="151">
        <f t="shared" si="4"/>
        <v>1.96</v>
      </c>
      <c r="G105" s="151">
        <f t="shared" si="5"/>
        <v>1.96</v>
      </c>
      <c r="H105" s="142"/>
      <c r="I105" s="153">
        <f t="shared" si="6"/>
        <v>0</v>
      </c>
      <c r="J105" s="142"/>
      <c r="K105" s="157"/>
    </row>
    <row r="106" ht="16.5" spans="1:12">
      <c r="A106" s="58"/>
      <c r="B106" s="58"/>
      <c r="C106" s="59"/>
      <c r="D106" s="155" t="s">
        <v>56</v>
      </c>
      <c r="E106" s="155">
        <v>1</v>
      </c>
      <c r="F106" s="151">
        <f t="shared" si="4"/>
        <v>0</v>
      </c>
      <c r="G106" s="151">
        <f t="shared" si="5"/>
        <v>0</v>
      </c>
      <c r="H106" s="152">
        <v>36</v>
      </c>
      <c r="I106" s="153">
        <f t="shared" si="6"/>
        <v>0.0950704225352113</v>
      </c>
      <c r="J106" s="142">
        <v>10</v>
      </c>
      <c r="K106" s="157">
        <f>SUM($J$106:J106)</f>
        <v>10</v>
      </c>
      <c r="L106" s="158"/>
    </row>
    <row r="107" ht="16.5" spans="1:12">
      <c r="A107" s="58"/>
      <c r="B107" s="58"/>
      <c r="C107" s="59"/>
      <c r="D107" s="155" t="s">
        <v>56</v>
      </c>
      <c r="E107" s="123">
        <v>2</v>
      </c>
      <c r="F107" s="151">
        <f t="shared" si="4"/>
        <v>0.05</v>
      </c>
      <c r="G107" s="151">
        <f t="shared" si="5"/>
        <v>0.05</v>
      </c>
      <c r="H107" s="152">
        <v>72</v>
      </c>
      <c r="I107" s="153">
        <f t="shared" si="6"/>
        <v>0.190140845070423</v>
      </c>
      <c r="J107" s="142">
        <v>10</v>
      </c>
      <c r="K107" s="157">
        <f>SUM($J$106:J107)</f>
        <v>20</v>
      </c>
      <c r="L107" s="158"/>
    </row>
    <row r="108" ht="16.5" spans="1:12">
      <c r="A108" s="58"/>
      <c r="B108" s="58"/>
      <c r="C108" s="59"/>
      <c r="D108" s="155" t="s">
        <v>56</v>
      </c>
      <c r="E108" s="155">
        <v>3</v>
      </c>
      <c r="F108" s="151">
        <f t="shared" si="4"/>
        <v>0.1</v>
      </c>
      <c r="G108" s="151">
        <f t="shared" si="5"/>
        <v>0.1</v>
      </c>
      <c r="H108" s="152">
        <v>108</v>
      </c>
      <c r="I108" s="153">
        <f t="shared" si="6"/>
        <v>0.285211267605634</v>
      </c>
      <c r="J108" s="142">
        <v>10</v>
      </c>
      <c r="K108" s="157">
        <f>SUM($J$106:J108)</f>
        <v>30</v>
      </c>
      <c r="L108" s="158"/>
    </row>
    <row r="109" ht="16.5" spans="1:12">
      <c r="A109" s="58"/>
      <c r="B109" s="58"/>
      <c r="C109" s="59"/>
      <c r="D109" s="155" t="s">
        <v>56</v>
      </c>
      <c r="E109" s="123">
        <v>4</v>
      </c>
      <c r="F109" s="151">
        <f t="shared" si="4"/>
        <v>0.15</v>
      </c>
      <c r="G109" s="151">
        <f t="shared" si="5"/>
        <v>0.15</v>
      </c>
      <c r="H109" s="152">
        <v>144</v>
      </c>
      <c r="I109" s="153">
        <f t="shared" si="6"/>
        <v>0.380281690140845</v>
      </c>
      <c r="J109" s="142">
        <v>10</v>
      </c>
      <c r="K109" s="157">
        <f>SUM($J$106:J109)</f>
        <v>40</v>
      </c>
      <c r="L109" s="158"/>
    </row>
    <row r="110" ht="16.5" spans="1:12">
      <c r="A110" s="58"/>
      <c r="B110" s="58"/>
      <c r="C110" s="59"/>
      <c r="D110" s="155" t="s">
        <v>56</v>
      </c>
      <c r="E110" s="155">
        <v>5</v>
      </c>
      <c r="F110" s="151">
        <f t="shared" si="4"/>
        <v>0.2</v>
      </c>
      <c r="G110" s="151">
        <f t="shared" si="5"/>
        <v>0.2</v>
      </c>
      <c r="H110" s="152">
        <v>216</v>
      </c>
      <c r="I110" s="153">
        <f t="shared" si="6"/>
        <v>0.570422535211268</v>
      </c>
      <c r="J110" s="142">
        <v>30</v>
      </c>
      <c r="K110" s="157">
        <f>SUM($J$106:J110)</f>
        <v>70</v>
      </c>
      <c r="L110" s="158"/>
    </row>
    <row r="111" ht="16.5" spans="1:12">
      <c r="A111" s="58"/>
      <c r="B111" s="58"/>
      <c r="C111" s="59"/>
      <c r="D111" s="155" t="s">
        <v>56</v>
      </c>
      <c r="E111" s="123">
        <v>6</v>
      </c>
      <c r="F111" s="151">
        <f t="shared" si="4"/>
        <v>0.25</v>
      </c>
      <c r="G111" s="151">
        <f t="shared" si="5"/>
        <v>0.25</v>
      </c>
      <c r="H111" s="152">
        <v>288</v>
      </c>
      <c r="I111" s="153">
        <f t="shared" si="6"/>
        <v>0.76056338028169</v>
      </c>
      <c r="J111" s="142">
        <v>30</v>
      </c>
      <c r="K111" s="157">
        <f>SUM($J$106:J111)</f>
        <v>100</v>
      </c>
      <c r="L111" s="158"/>
    </row>
    <row r="112" ht="16.5" spans="1:12">
      <c r="A112" s="58"/>
      <c r="B112" s="58"/>
      <c r="C112" s="59"/>
      <c r="D112" s="155" t="s">
        <v>56</v>
      </c>
      <c r="E112" s="155">
        <v>7</v>
      </c>
      <c r="F112" s="151">
        <f t="shared" si="4"/>
        <v>0.3</v>
      </c>
      <c r="G112" s="151">
        <f t="shared" si="5"/>
        <v>0.3</v>
      </c>
      <c r="H112" s="152">
        <v>360</v>
      </c>
      <c r="I112" s="153">
        <f t="shared" si="6"/>
        <v>0.950704225352113</v>
      </c>
      <c r="J112" s="142">
        <v>30</v>
      </c>
      <c r="K112" s="157">
        <f>SUM($J$106:J112)</f>
        <v>130</v>
      </c>
      <c r="L112" s="158"/>
    </row>
    <row r="113" ht="16.5" spans="1:13">
      <c r="A113" s="58"/>
      <c r="B113" s="58"/>
      <c r="C113" s="59"/>
      <c r="D113" s="155" t="s">
        <v>56</v>
      </c>
      <c r="E113" s="123">
        <v>8</v>
      </c>
      <c r="F113" s="151">
        <f t="shared" si="4"/>
        <v>0.35</v>
      </c>
      <c r="G113" s="151">
        <f t="shared" si="5"/>
        <v>0.35</v>
      </c>
      <c r="H113" s="152">
        <v>432</v>
      </c>
      <c r="I113" s="153">
        <f t="shared" si="6"/>
        <v>1.14084507042254</v>
      </c>
      <c r="J113" s="142">
        <v>30</v>
      </c>
      <c r="K113" s="157">
        <f>SUM($J$106:J113)</f>
        <v>160</v>
      </c>
      <c r="L113" s="158"/>
    </row>
    <row r="114" ht="16.5" spans="1:13">
      <c r="A114" s="58"/>
      <c r="B114" s="58"/>
      <c r="C114" s="59"/>
      <c r="D114" s="155" t="s">
        <v>56</v>
      </c>
      <c r="E114" s="155">
        <v>9</v>
      </c>
      <c r="F114" s="151">
        <f t="shared" si="4"/>
        <v>0.4</v>
      </c>
      <c r="G114" s="151">
        <f t="shared" si="5"/>
        <v>0.4</v>
      </c>
      <c r="H114" s="152">
        <v>504</v>
      </c>
      <c r="I114" s="153">
        <f t="shared" si="6"/>
        <v>1.33098591549296</v>
      </c>
      <c r="J114" s="142">
        <v>30</v>
      </c>
      <c r="K114" s="157">
        <f>SUM($J$106:J114)</f>
        <v>190</v>
      </c>
      <c r="L114" s="158"/>
    </row>
    <row r="115" ht="16.5" spans="1:13">
      <c r="A115" s="58"/>
      <c r="B115" s="58"/>
      <c r="C115" s="59"/>
      <c r="D115" s="155" t="s">
        <v>56</v>
      </c>
      <c r="E115" s="123">
        <v>10</v>
      </c>
      <c r="F115" s="151">
        <f t="shared" si="4"/>
        <v>0.45</v>
      </c>
      <c r="G115" s="151">
        <f t="shared" si="5"/>
        <v>0.45</v>
      </c>
      <c r="H115" s="152">
        <v>576</v>
      </c>
      <c r="I115" s="153">
        <f t="shared" si="6"/>
        <v>1.52112676056338</v>
      </c>
      <c r="J115" s="142">
        <v>60</v>
      </c>
      <c r="K115" s="157">
        <f>SUM($J$106:J115)</f>
        <v>250</v>
      </c>
      <c r="L115" s="158"/>
    </row>
    <row r="116" ht="16.5" spans="1:13">
      <c r="A116" s="58"/>
      <c r="B116" s="58"/>
      <c r="C116" s="59"/>
      <c r="D116" s="155" t="s">
        <v>56</v>
      </c>
      <c r="E116" s="155">
        <v>11</v>
      </c>
      <c r="F116" s="151">
        <f t="shared" si="4"/>
        <v>0.5</v>
      </c>
      <c r="G116" s="151">
        <f t="shared" si="5"/>
        <v>0.5</v>
      </c>
      <c r="H116" s="152">
        <v>648</v>
      </c>
      <c r="I116" s="153">
        <f t="shared" si="6"/>
        <v>1.7112676056338</v>
      </c>
      <c r="J116" s="142">
        <v>60</v>
      </c>
      <c r="K116" s="157">
        <f>SUM($J$106:J116)</f>
        <v>310</v>
      </c>
      <c r="L116" s="158"/>
    </row>
    <row r="117" ht="16.5" spans="1:13">
      <c r="A117" s="58"/>
      <c r="B117" s="58"/>
      <c r="C117" s="59"/>
      <c r="D117" s="155" t="s">
        <v>56</v>
      </c>
      <c r="E117" s="123">
        <v>12</v>
      </c>
      <c r="F117" s="151">
        <f t="shared" si="4"/>
        <v>0.55</v>
      </c>
      <c r="G117" s="151">
        <f t="shared" si="5"/>
        <v>0.55</v>
      </c>
      <c r="H117" s="152">
        <v>720</v>
      </c>
      <c r="I117" s="153">
        <f t="shared" si="6"/>
        <v>1.90140845070423</v>
      </c>
      <c r="J117" s="142">
        <v>60</v>
      </c>
      <c r="K117" s="157">
        <f>SUM($J$106:J117)</f>
        <v>370</v>
      </c>
      <c r="L117" s="158"/>
    </row>
    <row r="118" ht="16.5" spans="1:13">
      <c r="A118" s="58"/>
      <c r="B118" s="58"/>
      <c r="C118" s="59"/>
      <c r="D118" s="155" t="s">
        <v>56</v>
      </c>
      <c r="E118" s="155">
        <v>13</v>
      </c>
      <c r="F118" s="151">
        <f t="shared" si="4"/>
        <v>0.6</v>
      </c>
      <c r="G118" s="151">
        <f t="shared" si="5"/>
        <v>0.6</v>
      </c>
      <c r="H118" s="152">
        <v>792</v>
      </c>
      <c r="I118" s="153">
        <f t="shared" si="6"/>
        <v>2.09154929577465</v>
      </c>
      <c r="J118" s="142">
        <v>60</v>
      </c>
      <c r="K118" s="157">
        <f>SUM($J$106:J118)</f>
        <v>430</v>
      </c>
      <c r="L118" s="158"/>
    </row>
    <row r="119" ht="16.5" spans="1:13">
      <c r="A119" s="58"/>
      <c r="B119" s="58"/>
      <c r="C119" s="59"/>
      <c r="D119" s="155" t="s">
        <v>56</v>
      </c>
      <c r="E119" s="123">
        <v>14</v>
      </c>
      <c r="F119" s="151">
        <f t="shared" si="4"/>
        <v>0.65</v>
      </c>
      <c r="G119" s="151">
        <f t="shared" si="5"/>
        <v>0.65</v>
      </c>
      <c r="H119" s="152">
        <v>864</v>
      </c>
      <c r="I119" s="153">
        <f t="shared" si="6"/>
        <v>2.28169014084507</v>
      </c>
      <c r="J119" s="142">
        <v>60</v>
      </c>
      <c r="K119" s="157">
        <f>SUM($J$106:J119)</f>
        <v>490</v>
      </c>
      <c r="L119" s="158"/>
    </row>
    <row r="120" ht="16.5" spans="1:13">
      <c r="A120" s="58"/>
      <c r="B120" s="58"/>
      <c r="C120" s="59"/>
      <c r="D120" s="155" t="s">
        <v>56</v>
      </c>
      <c r="E120" s="159">
        <v>15</v>
      </c>
      <c r="F120" s="151">
        <f t="shared" ref="F120:F183" si="7">VLOOKUP($D120,$D$38:$E$41,2,0)*($E120-1)</f>
        <v>0.7</v>
      </c>
      <c r="G120" s="151">
        <f t="shared" ref="G120:G183" si="8">VLOOKUP($D120,$D$38:$E$41,2,0)*($E120-1)</f>
        <v>0.7</v>
      </c>
      <c r="H120" s="152">
        <v>936</v>
      </c>
      <c r="I120" s="153">
        <f t="shared" ref="I120:I183" si="9">H120*6/$E$13</f>
        <v>2.47183098591549</v>
      </c>
      <c r="J120" s="142">
        <v>90</v>
      </c>
      <c r="K120" s="157">
        <f>SUM($J$106:J120)</f>
        <v>580</v>
      </c>
      <c r="L120" s="158"/>
      <c r="M120" s="14"/>
    </row>
    <row r="121" ht="16.5" spans="1:13">
      <c r="A121" s="58"/>
      <c r="B121" s="58"/>
      <c r="C121" s="59"/>
      <c r="D121" s="155" t="s">
        <v>56</v>
      </c>
      <c r="E121" s="123">
        <v>16</v>
      </c>
      <c r="F121" s="151">
        <f t="shared" si="7"/>
        <v>0.75</v>
      </c>
      <c r="G121" s="151">
        <f t="shared" si="8"/>
        <v>0.75</v>
      </c>
      <c r="H121" s="152">
        <v>1008</v>
      </c>
      <c r="I121" s="153">
        <f t="shared" si="9"/>
        <v>2.66197183098592</v>
      </c>
      <c r="J121" s="142">
        <v>90</v>
      </c>
      <c r="K121" s="157">
        <f>SUM($J$106:J121)</f>
        <v>670</v>
      </c>
      <c r="L121" s="158"/>
    </row>
    <row r="122" ht="16.5" spans="1:13">
      <c r="A122" s="58"/>
      <c r="B122" s="58"/>
      <c r="C122" s="59"/>
      <c r="D122" s="155" t="s">
        <v>56</v>
      </c>
      <c r="E122" s="155">
        <v>17</v>
      </c>
      <c r="F122" s="151">
        <f t="shared" si="7"/>
        <v>0.8</v>
      </c>
      <c r="G122" s="151">
        <f t="shared" si="8"/>
        <v>0.8</v>
      </c>
      <c r="H122" s="152">
        <v>1080</v>
      </c>
      <c r="I122" s="153">
        <f t="shared" si="9"/>
        <v>2.85211267605634</v>
      </c>
      <c r="J122" s="142">
        <v>90</v>
      </c>
      <c r="K122" s="157">
        <f>SUM($J$106:J122)</f>
        <v>760</v>
      </c>
      <c r="L122" s="158"/>
    </row>
    <row r="123" ht="16.5" spans="1:13">
      <c r="A123" s="58"/>
      <c r="B123" s="58"/>
      <c r="C123" s="59"/>
      <c r="D123" s="155" t="s">
        <v>56</v>
      </c>
      <c r="E123" s="123">
        <v>18</v>
      </c>
      <c r="F123" s="151">
        <f t="shared" si="7"/>
        <v>0.85</v>
      </c>
      <c r="G123" s="151">
        <f t="shared" si="8"/>
        <v>0.85</v>
      </c>
      <c r="H123" s="152">
        <v>1152</v>
      </c>
      <c r="I123" s="153">
        <f t="shared" si="9"/>
        <v>3.04225352112676</v>
      </c>
      <c r="J123" s="142">
        <v>90</v>
      </c>
      <c r="K123" s="157">
        <f>SUM($J$106:J123)</f>
        <v>850</v>
      </c>
      <c r="L123" s="158"/>
    </row>
    <row r="124" ht="16.5" spans="1:13">
      <c r="A124" s="58"/>
      <c r="B124" s="58"/>
      <c r="C124" s="59"/>
      <c r="D124" s="155" t="s">
        <v>56</v>
      </c>
      <c r="E124" s="155">
        <v>19</v>
      </c>
      <c r="F124" s="151">
        <f t="shared" si="7"/>
        <v>0.9</v>
      </c>
      <c r="G124" s="151">
        <f t="shared" si="8"/>
        <v>0.9</v>
      </c>
      <c r="H124" s="152">
        <v>1224</v>
      </c>
      <c r="I124" s="153">
        <f t="shared" si="9"/>
        <v>3.23239436619718</v>
      </c>
      <c r="J124" s="142">
        <v>90</v>
      </c>
      <c r="K124" s="157">
        <f>SUM($J$106:J124)</f>
        <v>940</v>
      </c>
      <c r="L124" s="158"/>
    </row>
    <row r="125" ht="16.5" spans="1:13">
      <c r="A125" s="58"/>
      <c r="B125" s="58"/>
      <c r="C125" s="59"/>
      <c r="D125" s="155" t="s">
        <v>56</v>
      </c>
      <c r="E125" s="123">
        <v>20</v>
      </c>
      <c r="F125" s="151">
        <f t="shared" si="7"/>
        <v>0.95</v>
      </c>
      <c r="G125" s="151">
        <f t="shared" si="8"/>
        <v>0.95</v>
      </c>
      <c r="H125" s="152">
        <v>1296</v>
      </c>
      <c r="I125" s="153">
        <f t="shared" si="9"/>
        <v>3.42253521126761</v>
      </c>
      <c r="J125" s="142">
        <v>120</v>
      </c>
      <c r="K125" s="157">
        <f>SUM($J$106:J125)</f>
        <v>1060</v>
      </c>
      <c r="L125" s="158"/>
    </row>
    <row r="126" ht="16.5" spans="1:13">
      <c r="A126" s="58"/>
      <c r="B126" s="58"/>
      <c r="C126" s="59"/>
      <c r="D126" s="155" t="s">
        <v>56</v>
      </c>
      <c r="E126" s="155">
        <v>21</v>
      </c>
      <c r="F126" s="151">
        <f t="shared" si="7"/>
        <v>1</v>
      </c>
      <c r="G126" s="151">
        <f t="shared" si="8"/>
        <v>1</v>
      </c>
      <c r="H126" s="152">
        <v>1368</v>
      </c>
      <c r="I126" s="153">
        <f t="shared" si="9"/>
        <v>3.61267605633803</v>
      </c>
      <c r="J126" s="142">
        <v>120</v>
      </c>
      <c r="K126" s="157">
        <f>SUM($J$106:J126)</f>
        <v>1180</v>
      </c>
      <c r="L126" s="158"/>
    </row>
    <row r="127" ht="16.5" spans="1:13">
      <c r="A127" s="58"/>
      <c r="B127" s="58"/>
      <c r="C127" s="59"/>
      <c r="D127" s="155" t="s">
        <v>56</v>
      </c>
      <c r="E127" s="123">
        <v>22</v>
      </c>
      <c r="F127" s="151">
        <f t="shared" si="7"/>
        <v>1.05</v>
      </c>
      <c r="G127" s="151">
        <f t="shared" si="8"/>
        <v>1.05</v>
      </c>
      <c r="H127" s="152">
        <v>1440</v>
      </c>
      <c r="I127" s="153">
        <f t="shared" si="9"/>
        <v>3.80281690140845</v>
      </c>
      <c r="J127" s="142">
        <v>120</v>
      </c>
      <c r="K127" s="157">
        <f>SUM($J$106:J127)</f>
        <v>1300</v>
      </c>
      <c r="L127" s="158"/>
    </row>
    <row r="128" ht="16.5" spans="1:13">
      <c r="A128" s="58"/>
      <c r="B128" s="58"/>
      <c r="C128" s="59"/>
      <c r="D128" s="155" t="s">
        <v>56</v>
      </c>
      <c r="E128" s="155">
        <v>23</v>
      </c>
      <c r="F128" s="151">
        <f t="shared" si="7"/>
        <v>1.1</v>
      </c>
      <c r="G128" s="151">
        <f t="shared" si="8"/>
        <v>1.1</v>
      </c>
      <c r="H128" s="152">
        <v>1512</v>
      </c>
      <c r="I128" s="153">
        <f t="shared" si="9"/>
        <v>3.99295774647887</v>
      </c>
      <c r="J128" s="142">
        <v>120</v>
      </c>
      <c r="K128" s="157">
        <f>SUM($J$106:J128)</f>
        <v>1420</v>
      </c>
      <c r="L128" s="158"/>
    </row>
    <row r="129" ht="16.5" spans="1:12">
      <c r="A129" s="58"/>
      <c r="B129" s="58"/>
      <c r="C129" s="59"/>
      <c r="D129" s="155" t="s">
        <v>56</v>
      </c>
      <c r="E129" s="123">
        <v>24</v>
      </c>
      <c r="F129" s="151">
        <f t="shared" si="7"/>
        <v>1.15</v>
      </c>
      <c r="G129" s="151">
        <f t="shared" si="8"/>
        <v>1.15</v>
      </c>
      <c r="H129" s="152">
        <v>1584</v>
      </c>
      <c r="I129" s="153">
        <f t="shared" si="9"/>
        <v>4.1830985915493</v>
      </c>
      <c r="J129" s="142">
        <v>120</v>
      </c>
      <c r="K129" s="157">
        <f>SUM($J$106:J129)</f>
        <v>1540</v>
      </c>
      <c r="L129" s="158"/>
    </row>
    <row r="130" ht="16.5" spans="1:12">
      <c r="A130" s="58"/>
      <c r="B130" s="58"/>
      <c r="C130" s="59"/>
      <c r="D130" s="155" t="s">
        <v>56</v>
      </c>
      <c r="E130" s="155">
        <v>25</v>
      </c>
      <c r="F130" s="151">
        <f t="shared" si="7"/>
        <v>1.2</v>
      </c>
      <c r="G130" s="151">
        <f t="shared" si="8"/>
        <v>1.2</v>
      </c>
      <c r="H130" s="152">
        <v>1656</v>
      </c>
      <c r="I130" s="153">
        <f t="shared" si="9"/>
        <v>4.37323943661972</v>
      </c>
      <c r="J130" s="142">
        <v>240</v>
      </c>
      <c r="K130" s="157">
        <f>SUM($J$106:J130)</f>
        <v>1780</v>
      </c>
      <c r="L130" s="158"/>
    </row>
    <row r="131" ht="16.5" spans="1:12">
      <c r="A131" s="58"/>
      <c r="B131" s="58"/>
      <c r="C131" s="59"/>
      <c r="D131" s="155" t="s">
        <v>56</v>
      </c>
      <c r="E131" s="123">
        <v>26</v>
      </c>
      <c r="F131" s="151">
        <f t="shared" si="7"/>
        <v>1.25</v>
      </c>
      <c r="G131" s="151">
        <f t="shared" si="8"/>
        <v>1.25</v>
      </c>
      <c r="H131" s="152">
        <v>1728</v>
      </c>
      <c r="I131" s="153">
        <f t="shared" si="9"/>
        <v>4.56338028169014</v>
      </c>
      <c r="J131" s="142">
        <v>240</v>
      </c>
      <c r="K131" s="157">
        <f>SUM($J$106:J131)</f>
        <v>2020</v>
      </c>
      <c r="L131" s="158"/>
    </row>
    <row r="132" ht="16.5" spans="1:12">
      <c r="A132" s="58"/>
      <c r="B132" s="58"/>
      <c r="C132" s="59"/>
      <c r="D132" s="155" t="s">
        <v>56</v>
      </c>
      <c r="E132" s="155">
        <v>27</v>
      </c>
      <c r="F132" s="151">
        <f t="shared" si="7"/>
        <v>1.3</v>
      </c>
      <c r="G132" s="151">
        <f t="shared" si="8"/>
        <v>1.3</v>
      </c>
      <c r="H132" s="152">
        <v>1800</v>
      </c>
      <c r="I132" s="153">
        <f t="shared" si="9"/>
        <v>4.75352112676056</v>
      </c>
      <c r="J132" s="142">
        <v>240</v>
      </c>
      <c r="K132" s="157">
        <f>SUM($J$106:J132)</f>
        <v>2260</v>
      </c>
      <c r="L132" s="158"/>
    </row>
    <row r="133" ht="16.5" spans="1:12">
      <c r="A133" s="58"/>
      <c r="B133" s="58"/>
      <c r="C133" s="59"/>
      <c r="D133" s="155" t="s">
        <v>56</v>
      </c>
      <c r="E133" s="123">
        <v>28</v>
      </c>
      <c r="F133" s="151">
        <f t="shared" si="7"/>
        <v>1.35</v>
      </c>
      <c r="G133" s="151">
        <f t="shared" si="8"/>
        <v>1.35</v>
      </c>
      <c r="H133" s="152">
        <v>1872</v>
      </c>
      <c r="I133" s="153">
        <f t="shared" si="9"/>
        <v>4.94366197183099</v>
      </c>
      <c r="J133" s="142">
        <v>240</v>
      </c>
      <c r="K133" s="157">
        <f>SUM($J$106:J133)</f>
        <v>2500</v>
      </c>
      <c r="L133" s="158"/>
    </row>
    <row r="134" ht="16.5" spans="1:12">
      <c r="A134" s="58"/>
      <c r="B134" s="58"/>
      <c r="C134" s="59"/>
      <c r="D134" s="155" t="s">
        <v>56</v>
      </c>
      <c r="E134" s="155">
        <v>29</v>
      </c>
      <c r="F134" s="151">
        <f t="shared" si="7"/>
        <v>1.4</v>
      </c>
      <c r="G134" s="151">
        <f t="shared" si="8"/>
        <v>1.4</v>
      </c>
      <c r="H134" s="152">
        <v>1944</v>
      </c>
      <c r="I134" s="153">
        <f t="shared" si="9"/>
        <v>5.13380281690141</v>
      </c>
      <c r="J134" s="142">
        <v>240</v>
      </c>
      <c r="K134" s="157">
        <f>SUM($J$106:J134)</f>
        <v>2740</v>
      </c>
      <c r="L134" s="158"/>
    </row>
    <row r="135" ht="16.5" spans="1:12">
      <c r="A135" s="58"/>
      <c r="B135" s="58"/>
      <c r="C135" s="59"/>
      <c r="D135" s="155" t="s">
        <v>56</v>
      </c>
      <c r="E135" s="123">
        <v>30</v>
      </c>
      <c r="F135" s="151">
        <f t="shared" si="7"/>
        <v>1.45</v>
      </c>
      <c r="G135" s="151">
        <f t="shared" si="8"/>
        <v>1.45</v>
      </c>
      <c r="H135" s="152">
        <v>2016</v>
      </c>
      <c r="I135" s="153">
        <f t="shared" si="9"/>
        <v>5.32394366197183</v>
      </c>
      <c r="J135" s="142">
        <v>480</v>
      </c>
      <c r="K135" s="157">
        <f>SUM($J$106:J135)</f>
        <v>3220</v>
      </c>
      <c r="L135" s="158"/>
    </row>
    <row r="136" ht="16.5" spans="1:12">
      <c r="A136" s="58"/>
      <c r="B136" s="58"/>
      <c r="C136" s="59"/>
      <c r="D136" s="155" t="s">
        <v>56</v>
      </c>
      <c r="E136" s="155">
        <v>31</v>
      </c>
      <c r="F136" s="151">
        <f t="shared" si="7"/>
        <v>1.5</v>
      </c>
      <c r="G136" s="151">
        <f t="shared" si="8"/>
        <v>1.5</v>
      </c>
      <c r="H136" s="152">
        <v>2088</v>
      </c>
      <c r="I136" s="153">
        <f t="shared" si="9"/>
        <v>5.51408450704225</v>
      </c>
      <c r="J136" s="142">
        <v>480</v>
      </c>
      <c r="K136" s="157">
        <f>SUM($J$106:J136)</f>
        <v>3700</v>
      </c>
      <c r="L136" s="158"/>
    </row>
    <row r="137" ht="16.5" spans="1:12">
      <c r="A137" s="58"/>
      <c r="B137" s="58"/>
      <c r="C137" s="59"/>
      <c r="D137" s="155" t="s">
        <v>56</v>
      </c>
      <c r="E137" s="123">
        <v>32</v>
      </c>
      <c r="F137" s="151">
        <f t="shared" si="7"/>
        <v>1.55</v>
      </c>
      <c r="G137" s="151">
        <f t="shared" si="8"/>
        <v>1.55</v>
      </c>
      <c r="H137" s="152">
        <v>2160</v>
      </c>
      <c r="I137" s="153">
        <f t="shared" si="9"/>
        <v>5.70422535211268</v>
      </c>
      <c r="J137" s="142">
        <v>480</v>
      </c>
      <c r="K137" s="157">
        <f>SUM($J$106:J137)</f>
        <v>4180</v>
      </c>
      <c r="L137" s="158"/>
    </row>
    <row r="138" ht="16.5" spans="1:12">
      <c r="A138" s="58"/>
      <c r="B138" s="58"/>
      <c r="C138" s="59"/>
      <c r="D138" s="155" t="s">
        <v>56</v>
      </c>
      <c r="E138" s="155">
        <v>33</v>
      </c>
      <c r="F138" s="151">
        <f t="shared" si="7"/>
        <v>1.6</v>
      </c>
      <c r="G138" s="151">
        <f t="shared" si="8"/>
        <v>1.6</v>
      </c>
      <c r="H138" s="152">
        <v>2232</v>
      </c>
      <c r="I138" s="153">
        <f t="shared" si="9"/>
        <v>5.8943661971831</v>
      </c>
      <c r="J138" s="142">
        <v>480</v>
      </c>
      <c r="K138" s="157">
        <f>SUM($J$106:J138)</f>
        <v>4660</v>
      </c>
      <c r="L138" s="158"/>
    </row>
    <row r="139" ht="16.5" spans="1:12">
      <c r="A139" s="58"/>
      <c r="B139" s="58"/>
      <c r="C139" s="59"/>
      <c r="D139" s="155" t="s">
        <v>56</v>
      </c>
      <c r="E139" s="123">
        <v>34</v>
      </c>
      <c r="F139" s="151">
        <f t="shared" si="7"/>
        <v>1.65</v>
      </c>
      <c r="G139" s="151">
        <f t="shared" si="8"/>
        <v>1.65</v>
      </c>
      <c r="H139" s="152">
        <v>2304</v>
      </c>
      <c r="I139" s="153">
        <f t="shared" si="9"/>
        <v>6.08450704225352</v>
      </c>
      <c r="J139" s="142">
        <v>480</v>
      </c>
      <c r="K139" s="157">
        <f>SUM($J$106:J139)</f>
        <v>5140</v>
      </c>
      <c r="L139" s="158"/>
    </row>
    <row r="140" ht="16.5" spans="1:12">
      <c r="A140" s="58"/>
      <c r="B140" s="58"/>
      <c r="C140" s="59"/>
      <c r="D140" s="155" t="s">
        <v>56</v>
      </c>
      <c r="E140" s="155">
        <v>35</v>
      </c>
      <c r="F140" s="151">
        <f t="shared" si="7"/>
        <v>1.7</v>
      </c>
      <c r="G140" s="151">
        <f t="shared" si="8"/>
        <v>1.7</v>
      </c>
      <c r="H140" s="152">
        <v>2376</v>
      </c>
      <c r="I140" s="153">
        <f t="shared" si="9"/>
        <v>6.27464788732394</v>
      </c>
      <c r="J140" s="142">
        <v>720</v>
      </c>
      <c r="K140" s="157">
        <f>SUM($J$106:J140)</f>
        <v>5860</v>
      </c>
      <c r="L140" s="158"/>
    </row>
    <row r="141" ht="16.5" spans="1:12">
      <c r="A141" s="58"/>
      <c r="B141" s="58"/>
      <c r="C141" s="59"/>
      <c r="D141" s="155" t="s">
        <v>56</v>
      </c>
      <c r="E141" s="123">
        <v>36</v>
      </c>
      <c r="F141" s="151">
        <f t="shared" si="7"/>
        <v>1.75</v>
      </c>
      <c r="G141" s="151">
        <f t="shared" si="8"/>
        <v>1.75</v>
      </c>
      <c r="H141" s="152">
        <v>2448</v>
      </c>
      <c r="I141" s="153">
        <f t="shared" si="9"/>
        <v>6.46478873239437</v>
      </c>
      <c r="J141" s="142">
        <v>720</v>
      </c>
      <c r="K141" s="157">
        <f>SUM($J$106:J141)</f>
        <v>6580</v>
      </c>
      <c r="L141" s="158"/>
    </row>
    <row r="142" ht="16.5" spans="1:12">
      <c r="A142" s="58"/>
      <c r="B142" s="58"/>
      <c r="C142" s="59"/>
      <c r="D142" s="155" t="s">
        <v>56</v>
      </c>
      <c r="E142" s="155">
        <v>37</v>
      </c>
      <c r="F142" s="151">
        <f t="shared" si="7"/>
        <v>1.8</v>
      </c>
      <c r="G142" s="151">
        <f t="shared" si="8"/>
        <v>1.8</v>
      </c>
      <c r="H142" s="152">
        <v>2520</v>
      </c>
      <c r="I142" s="153">
        <f t="shared" si="9"/>
        <v>6.65492957746479</v>
      </c>
      <c r="J142" s="142">
        <v>720</v>
      </c>
      <c r="K142" s="157">
        <f>SUM($J$106:J142)</f>
        <v>7300</v>
      </c>
      <c r="L142" s="158"/>
    </row>
    <row r="143" ht="16.5" spans="1:12">
      <c r="A143" s="58"/>
      <c r="B143" s="58"/>
      <c r="C143" s="59"/>
      <c r="D143" s="155" t="s">
        <v>56</v>
      </c>
      <c r="E143" s="123">
        <v>38</v>
      </c>
      <c r="F143" s="151">
        <f t="shared" si="7"/>
        <v>1.85</v>
      </c>
      <c r="G143" s="151">
        <f t="shared" si="8"/>
        <v>1.85</v>
      </c>
      <c r="H143" s="152">
        <v>2592</v>
      </c>
      <c r="I143" s="153">
        <f t="shared" si="9"/>
        <v>6.84507042253521</v>
      </c>
      <c r="J143" s="142">
        <v>720</v>
      </c>
      <c r="K143" s="157">
        <f>SUM($J$106:J143)</f>
        <v>8020</v>
      </c>
      <c r="L143" s="158"/>
    </row>
    <row r="144" ht="16.5" spans="1:12">
      <c r="A144" s="58"/>
      <c r="B144" s="58"/>
      <c r="C144" s="59"/>
      <c r="D144" s="155" t="s">
        <v>56</v>
      </c>
      <c r="E144" s="155">
        <v>39</v>
      </c>
      <c r="F144" s="151">
        <f t="shared" si="7"/>
        <v>1.9</v>
      </c>
      <c r="G144" s="151">
        <f t="shared" si="8"/>
        <v>1.9</v>
      </c>
      <c r="H144" s="152">
        <v>2664</v>
      </c>
      <c r="I144" s="153">
        <f t="shared" si="9"/>
        <v>7.03521126760563</v>
      </c>
      <c r="J144" s="142">
        <v>720</v>
      </c>
      <c r="K144" s="157">
        <f>SUM($J$106:J144)</f>
        <v>8740</v>
      </c>
      <c r="L144" s="158"/>
    </row>
    <row r="145" ht="16.5" spans="1:19">
      <c r="A145" s="58"/>
      <c r="B145" s="58"/>
      <c r="C145" s="59"/>
      <c r="D145" s="155" t="s">
        <v>56</v>
      </c>
      <c r="E145" s="123">
        <v>40</v>
      </c>
      <c r="F145" s="151">
        <f t="shared" si="7"/>
        <v>1.95</v>
      </c>
      <c r="G145" s="151">
        <f t="shared" si="8"/>
        <v>1.95</v>
      </c>
      <c r="H145" s="152">
        <v>2736</v>
      </c>
      <c r="I145" s="153">
        <f t="shared" si="9"/>
        <v>7.22535211267606</v>
      </c>
      <c r="J145" s="142">
        <v>1080</v>
      </c>
      <c r="K145" s="157">
        <f>SUM($J$106:J145)</f>
        <v>9820</v>
      </c>
      <c r="L145" s="158"/>
    </row>
    <row r="146" ht="16.5" spans="1:19">
      <c r="A146" s="58"/>
      <c r="B146" s="58"/>
      <c r="C146" s="59"/>
      <c r="D146" s="155" t="s">
        <v>56</v>
      </c>
      <c r="E146" s="155">
        <v>41</v>
      </c>
      <c r="F146" s="151">
        <f t="shared" si="7"/>
        <v>2</v>
      </c>
      <c r="G146" s="151">
        <f t="shared" si="8"/>
        <v>2</v>
      </c>
      <c r="H146" s="152">
        <v>2808</v>
      </c>
      <c r="I146" s="153">
        <f t="shared" si="9"/>
        <v>7.41549295774648</v>
      </c>
      <c r="J146" s="142">
        <v>1080</v>
      </c>
      <c r="K146" s="157">
        <f>SUM($J$106:J146)</f>
        <v>10900</v>
      </c>
      <c r="L146" s="158"/>
    </row>
    <row r="147" ht="16.5" spans="1:19">
      <c r="A147" s="58"/>
      <c r="B147" s="58"/>
      <c r="C147" s="59"/>
      <c r="D147" s="155" t="s">
        <v>56</v>
      </c>
      <c r="E147" s="123">
        <v>42</v>
      </c>
      <c r="F147" s="151">
        <f t="shared" si="7"/>
        <v>2.05</v>
      </c>
      <c r="G147" s="151">
        <f t="shared" si="8"/>
        <v>2.05</v>
      </c>
      <c r="H147" s="152">
        <v>2880</v>
      </c>
      <c r="I147" s="153">
        <f t="shared" si="9"/>
        <v>7.6056338028169</v>
      </c>
      <c r="J147" s="142">
        <v>1080</v>
      </c>
      <c r="K147" s="157">
        <f>SUM($J$106:J147)</f>
        <v>11980</v>
      </c>
      <c r="L147" s="158"/>
    </row>
    <row r="148" ht="16.5" spans="1:19">
      <c r="A148" s="58"/>
      <c r="B148" s="58"/>
      <c r="C148" s="59"/>
      <c r="D148" s="155" t="s">
        <v>56</v>
      </c>
      <c r="E148" s="155">
        <v>43</v>
      </c>
      <c r="F148" s="151">
        <f t="shared" si="7"/>
        <v>2.1</v>
      </c>
      <c r="G148" s="151">
        <f t="shared" si="8"/>
        <v>2.1</v>
      </c>
      <c r="H148" s="152">
        <v>2952</v>
      </c>
      <c r="I148" s="153">
        <f t="shared" si="9"/>
        <v>7.79577464788732</v>
      </c>
      <c r="J148" s="142">
        <v>1080</v>
      </c>
      <c r="K148" s="157">
        <f>SUM($J$106:J148)</f>
        <v>13060</v>
      </c>
      <c r="L148" s="158"/>
    </row>
    <row r="149" ht="16.5" spans="1:19">
      <c r="A149" s="58"/>
      <c r="B149" s="58"/>
      <c r="C149" s="59"/>
      <c r="D149" s="155" t="s">
        <v>56</v>
      </c>
      <c r="E149" s="123">
        <v>44</v>
      </c>
      <c r="F149" s="151">
        <f t="shared" si="7"/>
        <v>2.15</v>
      </c>
      <c r="G149" s="151">
        <f t="shared" si="8"/>
        <v>2.15</v>
      </c>
      <c r="H149" s="152">
        <v>3024</v>
      </c>
      <c r="I149" s="153">
        <f t="shared" si="9"/>
        <v>7.98591549295775</v>
      </c>
      <c r="J149" s="142">
        <v>1080</v>
      </c>
      <c r="K149" s="157">
        <f>SUM($J$106:J149)</f>
        <v>14140</v>
      </c>
      <c r="L149" s="158"/>
    </row>
    <row r="150" ht="16.5" spans="1:19">
      <c r="A150" s="58"/>
      <c r="B150" s="58"/>
      <c r="C150" s="59"/>
      <c r="D150" s="155" t="s">
        <v>56</v>
      </c>
      <c r="E150" s="155">
        <v>45</v>
      </c>
      <c r="F150" s="151">
        <f t="shared" si="7"/>
        <v>2.2</v>
      </c>
      <c r="G150" s="151">
        <f t="shared" si="8"/>
        <v>2.2</v>
      </c>
      <c r="H150" s="152">
        <v>3096</v>
      </c>
      <c r="I150" s="153">
        <f t="shared" si="9"/>
        <v>8.17605633802817</v>
      </c>
      <c r="J150" s="142">
        <v>1440</v>
      </c>
      <c r="K150" s="157">
        <f>SUM($J$106:J150)</f>
        <v>15580</v>
      </c>
      <c r="L150" s="158"/>
    </row>
    <row r="151" ht="16.5" spans="1:19">
      <c r="A151" s="58"/>
      <c r="B151" s="58"/>
      <c r="C151" s="59"/>
      <c r="D151" s="155" t="s">
        <v>56</v>
      </c>
      <c r="E151" s="123">
        <v>46</v>
      </c>
      <c r="F151" s="151">
        <f t="shared" si="7"/>
        <v>2.25</v>
      </c>
      <c r="G151" s="151">
        <f t="shared" si="8"/>
        <v>2.25</v>
      </c>
      <c r="H151" s="152">
        <v>3168</v>
      </c>
      <c r="I151" s="153">
        <f t="shared" si="9"/>
        <v>8.36619718309859</v>
      </c>
      <c r="J151" s="142">
        <v>1440</v>
      </c>
      <c r="K151" s="157">
        <f>SUM($J$106:J151)</f>
        <v>17020</v>
      </c>
      <c r="L151" s="158"/>
    </row>
    <row r="152" ht="16.5" spans="1:19">
      <c r="A152" s="58"/>
      <c r="B152" s="58"/>
      <c r="C152" s="59"/>
      <c r="D152" s="155" t="s">
        <v>56</v>
      </c>
      <c r="E152" s="155">
        <v>47</v>
      </c>
      <c r="F152" s="151">
        <f t="shared" si="7"/>
        <v>2.3</v>
      </c>
      <c r="G152" s="151">
        <f t="shared" si="8"/>
        <v>2.3</v>
      </c>
      <c r="H152" s="152">
        <v>3240</v>
      </c>
      <c r="I152" s="153">
        <f t="shared" si="9"/>
        <v>8.55633802816901</v>
      </c>
      <c r="J152" s="142">
        <v>1440</v>
      </c>
      <c r="K152" s="157">
        <f>SUM($J$106:J152)</f>
        <v>18460</v>
      </c>
      <c r="L152" s="158"/>
    </row>
    <row r="153" ht="16.5" spans="1:19">
      <c r="A153" s="58"/>
      <c r="B153" s="58"/>
      <c r="C153" s="59"/>
      <c r="D153" s="155" t="s">
        <v>56</v>
      </c>
      <c r="E153" s="123">
        <v>48</v>
      </c>
      <c r="F153" s="151">
        <f t="shared" si="7"/>
        <v>2.35</v>
      </c>
      <c r="G153" s="151">
        <f t="shared" si="8"/>
        <v>2.35</v>
      </c>
      <c r="H153" s="152">
        <v>3312</v>
      </c>
      <c r="I153" s="153">
        <f t="shared" si="9"/>
        <v>8.74647887323944</v>
      </c>
      <c r="J153" s="142">
        <v>1440</v>
      </c>
      <c r="K153" s="157">
        <f>SUM($J$106:J153)</f>
        <v>19900</v>
      </c>
      <c r="L153" s="158"/>
    </row>
    <row r="154" ht="16.5" spans="1:19">
      <c r="A154" s="58"/>
      <c r="B154" s="58"/>
      <c r="C154" s="59"/>
      <c r="D154" s="155" t="s">
        <v>56</v>
      </c>
      <c r="E154" s="155">
        <v>49</v>
      </c>
      <c r="F154" s="151">
        <f t="shared" si="7"/>
        <v>2.4</v>
      </c>
      <c r="G154" s="151">
        <f t="shared" si="8"/>
        <v>2.4</v>
      </c>
      <c r="H154" s="152">
        <v>3384</v>
      </c>
      <c r="I154" s="153">
        <f t="shared" si="9"/>
        <v>8.93661971830986</v>
      </c>
      <c r="J154" s="142">
        <v>1440</v>
      </c>
      <c r="K154" s="157">
        <f>SUM($J$106:J154)</f>
        <v>21340</v>
      </c>
      <c r="L154" s="158"/>
    </row>
    <row r="155" ht="16.5" spans="1:19">
      <c r="A155" s="58"/>
      <c r="B155" s="58"/>
      <c r="C155" s="59"/>
      <c r="D155" s="155" t="s">
        <v>56</v>
      </c>
      <c r="E155" s="123">
        <v>50</v>
      </c>
      <c r="F155" s="151">
        <f t="shared" si="7"/>
        <v>2.45</v>
      </c>
      <c r="G155" s="151">
        <f t="shared" si="8"/>
        <v>2.45</v>
      </c>
      <c r="H155" s="142">
        <f>梦灵经验产出!I73</f>
        <v>0</v>
      </c>
      <c r="I155" s="153">
        <f t="shared" si="9"/>
        <v>0</v>
      </c>
      <c r="J155" s="142"/>
      <c r="K155" s="157"/>
      <c r="L155" s="158"/>
    </row>
    <row r="156" ht="16.5" spans="1:19">
      <c r="A156" s="58"/>
      <c r="B156" s="58"/>
      <c r="C156" s="59"/>
      <c r="D156" s="155" t="s">
        <v>57</v>
      </c>
      <c r="E156" s="155">
        <v>1</v>
      </c>
      <c r="F156" s="151">
        <f t="shared" si="7"/>
        <v>0</v>
      </c>
      <c r="G156" s="151">
        <f t="shared" si="8"/>
        <v>0</v>
      </c>
      <c r="H156" s="152">
        <v>48</v>
      </c>
      <c r="I156" s="153">
        <f t="shared" si="9"/>
        <v>0.126760563380282</v>
      </c>
      <c r="J156" s="142">
        <v>10</v>
      </c>
      <c r="K156" s="157">
        <f>SUM($J$156:J156)</f>
        <v>10</v>
      </c>
      <c r="M156" s="160" t="s">
        <v>56</v>
      </c>
      <c r="N156" s="160">
        <v>1</v>
      </c>
      <c r="O156" s="161">
        <v>0</v>
      </c>
      <c r="P156" s="161">
        <v>0</v>
      </c>
      <c r="Q156" s="162">
        <v>36</v>
      </c>
      <c r="R156" s="163">
        <v>0.0950704225352113</v>
      </c>
      <c r="S156" s="164">
        <v>10</v>
      </c>
    </row>
    <row r="157" ht="16.5" spans="1:19">
      <c r="A157" s="58"/>
      <c r="B157" s="58"/>
      <c r="C157" s="59"/>
      <c r="D157" s="155" t="s">
        <v>57</v>
      </c>
      <c r="E157" s="123">
        <v>2</v>
      </c>
      <c r="F157" s="151">
        <f t="shared" si="7"/>
        <v>0.06</v>
      </c>
      <c r="G157" s="151">
        <f t="shared" si="8"/>
        <v>0.06</v>
      </c>
      <c r="H157" s="152">
        <v>96</v>
      </c>
      <c r="I157" s="153">
        <f t="shared" si="9"/>
        <v>0.253521126760563</v>
      </c>
      <c r="J157" s="142">
        <v>10</v>
      </c>
      <c r="K157" s="157">
        <f>SUM($J$156:J157)</f>
        <v>20</v>
      </c>
      <c r="M157" s="160" t="s">
        <v>56</v>
      </c>
      <c r="N157" s="165">
        <v>2</v>
      </c>
      <c r="O157" s="161">
        <v>0.05</v>
      </c>
      <c r="P157" s="161">
        <v>0.05</v>
      </c>
      <c r="Q157" s="162">
        <v>72</v>
      </c>
      <c r="R157" s="163">
        <v>0.190140845070423</v>
      </c>
      <c r="S157" s="164">
        <v>10</v>
      </c>
    </row>
    <row r="158" ht="16.5" spans="1:19">
      <c r="A158" s="58"/>
      <c r="B158" s="58"/>
      <c r="C158" s="59"/>
      <c r="D158" s="155" t="s">
        <v>57</v>
      </c>
      <c r="E158" s="155">
        <v>3</v>
      </c>
      <c r="F158" s="151">
        <f t="shared" si="7"/>
        <v>0.12</v>
      </c>
      <c r="G158" s="151">
        <f t="shared" si="8"/>
        <v>0.12</v>
      </c>
      <c r="H158" s="152">
        <v>144</v>
      </c>
      <c r="I158" s="153">
        <f t="shared" si="9"/>
        <v>0.380281690140845</v>
      </c>
      <c r="J158" s="142">
        <v>10</v>
      </c>
      <c r="K158" s="157">
        <f>SUM($J$156:J158)</f>
        <v>30</v>
      </c>
      <c r="M158" s="160" t="s">
        <v>56</v>
      </c>
      <c r="N158" s="160">
        <v>3</v>
      </c>
      <c r="O158" s="161">
        <v>0.1</v>
      </c>
      <c r="P158" s="161">
        <v>0.1</v>
      </c>
      <c r="Q158" s="162">
        <v>108</v>
      </c>
      <c r="R158" s="163">
        <v>0.285211267605634</v>
      </c>
      <c r="S158" s="164">
        <v>10</v>
      </c>
    </row>
    <row r="159" ht="16.5" spans="1:19">
      <c r="A159" s="58"/>
      <c r="B159" s="58"/>
      <c r="C159" s="59"/>
      <c r="D159" s="155" t="s">
        <v>57</v>
      </c>
      <c r="E159" s="123">
        <v>4</v>
      </c>
      <c r="F159" s="151">
        <f t="shared" si="7"/>
        <v>0.18</v>
      </c>
      <c r="G159" s="151">
        <f t="shared" si="8"/>
        <v>0.18</v>
      </c>
      <c r="H159" s="152">
        <v>192</v>
      </c>
      <c r="I159" s="153">
        <f t="shared" si="9"/>
        <v>0.507042253521127</v>
      </c>
      <c r="J159" s="142">
        <v>10</v>
      </c>
      <c r="K159" s="157">
        <f>SUM($J$156:J159)</f>
        <v>40</v>
      </c>
      <c r="M159" s="160" t="s">
        <v>56</v>
      </c>
      <c r="N159" s="165">
        <v>4</v>
      </c>
      <c r="O159" s="161">
        <v>0.15</v>
      </c>
      <c r="P159" s="161">
        <v>0.15</v>
      </c>
      <c r="Q159" s="162">
        <v>144</v>
      </c>
      <c r="R159" s="163">
        <v>0.380281690140845</v>
      </c>
      <c r="S159" s="164">
        <v>10</v>
      </c>
    </row>
    <row r="160" ht="16.5" spans="1:19">
      <c r="A160" s="58"/>
      <c r="B160" s="58"/>
      <c r="C160" s="59"/>
      <c r="D160" s="155" t="s">
        <v>57</v>
      </c>
      <c r="E160" s="155">
        <v>5</v>
      </c>
      <c r="F160" s="151">
        <f t="shared" si="7"/>
        <v>0.24</v>
      </c>
      <c r="G160" s="151">
        <f t="shared" si="8"/>
        <v>0.24</v>
      </c>
      <c r="H160" s="152">
        <v>288</v>
      </c>
      <c r="I160" s="153">
        <f t="shared" si="9"/>
        <v>0.76056338028169</v>
      </c>
      <c r="J160" s="142">
        <v>30</v>
      </c>
      <c r="K160" s="157">
        <f>SUM($J$156:J160)</f>
        <v>70</v>
      </c>
      <c r="M160" s="160" t="s">
        <v>56</v>
      </c>
      <c r="N160" s="160">
        <v>5</v>
      </c>
      <c r="O160" s="161">
        <v>0.2</v>
      </c>
      <c r="P160" s="161">
        <v>0.2</v>
      </c>
      <c r="Q160" s="162">
        <v>216</v>
      </c>
      <c r="R160" s="163">
        <v>0.570422535211268</v>
      </c>
      <c r="S160" s="164">
        <v>30</v>
      </c>
    </row>
    <row r="161" ht="16.5" spans="1:22">
      <c r="A161" s="58"/>
      <c r="B161" s="58"/>
      <c r="C161" s="59"/>
      <c r="D161" s="155" t="s">
        <v>57</v>
      </c>
      <c r="E161" s="123">
        <v>6</v>
      </c>
      <c r="F161" s="151">
        <f t="shared" si="7"/>
        <v>0.3</v>
      </c>
      <c r="G161" s="151">
        <f t="shared" si="8"/>
        <v>0.3</v>
      </c>
      <c r="H161" s="152">
        <v>384</v>
      </c>
      <c r="I161" s="153">
        <f t="shared" si="9"/>
        <v>1.01408450704225</v>
      </c>
      <c r="J161" s="142">
        <v>30</v>
      </c>
      <c r="K161" s="157">
        <f>SUM($J$156:J161)</f>
        <v>100</v>
      </c>
      <c r="M161" s="160" t="s">
        <v>56</v>
      </c>
      <c r="N161" s="165">
        <v>6</v>
      </c>
      <c r="O161" s="161">
        <v>0.25</v>
      </c>
      <c r="P161" s="161">
        <v>0.25</v>
      </c>
      <c r="Q161" s="162">
        <v>288</v>
      </c>
      <c r="R161" s="163">
        <v>0.76056338028169</v>
      </c>
      <c r="S161" s="164">
        <v>30</v>
      </c>
    </row>
    <row r="162" ht="16.5" spans="1:22">
      <c r="A162" s="58"/>
      <c r="B162" s="58"/>
      <c r="C162" s="59"/>
      <c r="D162" s="155" t="s">
        <v>57</v>
      </c>
      <c r="E162" s="155">
        <v>7</v>
      </c>
      <c r="F162" s="151">
        <f t="shared" si="7"/>
        <v>0.36</v>
      </c>
      <c r="G162" s="151">
        <f t="shared" si="8"/>
        <v>0.36</v>
      </c>
      <c r="H162" s="152">
        <v>480</v>
      </c>
      <c r="I162" s="153">
        <f t="shared" si="9"/>
        <v>1.26760563380282</v>
      </c>
      <c r="J162" s="142">
        <v>30</v>
      </c>
      <c r="K162" s="157">
        <f>SUM($J$156:J162)</f>
        <v>130</v>
      </c>
      <c r="M162" s="160" t="s">
        <v>56</v>
      </c>
      <c r="N162" s="160">
        <v>7</v>
      </c>
      <c r="O162" s="161">
        <v>0.3</v>
      </c>
      <c r="P162" s="161">
        <v>0.3</v>
      </c>
      <c r="Q162" s="162">
        <v>360</v>
      </c>
      <c r="R162" s="163">
        <v>0.950704225352113</v>
      </c>
      <c r="S162" s="164">
        <v>30</v>
      </c>
    </row>
    <row r="163" ht="16.5" spans="1:22">
      <c r="A163" s="58"/>
      <c r="B163" s="58"/>
      <c r="C163" s="59"/>
      <c r="D163" s="155" t="s">
        <v>57</v>
      </c>
      <c r="E163" s="123">
        <v>8</v>
      </c>
      <c r="F163" s="151">
        <f t="shared" si="7"/>
        <v>0.42</v>
      </c>
      <c r="G163" s="151">
        <f t="shared" si="8"/>
        <v>0.42</v>
      </c>
      <c r="H163" s="152">
        <v>576</v>
      </c>
      <c r="I163" s="153">
        <f t="shared" si="9"/>
        <v>1.52112676056338</v>
      </c>
      <c r="J163" s="142">
        <v>30</v>
      </c>
      <c r="K163" s="157">
        <f>SUM($J$156:J163)</f>
        <v>160</v>
      </c>
      <c r="M163" s="160" t="s">
        <v>56</v>
      </c>
      <c r="N163" s="165">
        <v>8</v>
      </c>
      <c r="O163" s="161">
        <v>0.35</v>
      </c>
      <c r="P163" s="161">
        <v>0.35</v>
      </c>
      <c r="Q163" s="162">
        <v>432</v>
      </c>
      <c r="R163" s="163">
        <v>1.14084507042254</v>
      </c>
      <c r="S163" s="164">
        <v>30</v>
      </c>
    </row>
    <row r="164" ht="16.5" spans="1:22">
      <c r="A164" s="58"/>
      <c r="B164" s="58"/>
      <c r="C164" s="59"/>
      <c r="D164" s="155" t="s">
        <v>57</v>
      </c>
      <c r="E164" s="155">
        <v>9</v>
      </c>
      <c r="F164" s="151">
        <f t="shared" si="7"/>
        <v>0.48</v>
      </c>
      <c r="G164" s="151">
        <f t="shared" si="8"/>
        <v>0.48</v>
      </c>
      <c r="H164" s="152">
        <v>672</v>
      </c>
      <c r="I164" s="153">
        <f t="shared" si="9"/>
        <v>1.77464788732394</v>
      </c>
      <c r="J164" s="142">
        <v>30</v>
      </c>
      <c r="K164" s="157">
        <f>SUM($J$156:J164)</f>
        <v>190</v>
      </c>
      <c r="M164" s="160" t="s">
        <v>56</v>
      </c>
      <c r="N164" s="160">
        <v>9</v>
      </c>
      <c r="O164" s="161">
        <v>0.4</v>
      </c>
      <c r="P164" s="161">
        <v>0.4</v>
      </c>
      <c r="Q164" s="162">
        <v>504</v>
      </c>
      <c r="R164" s="163">
        <v>1.33098591549296</v>
      </c>
      <c r="S164" s="164">
        <v>30</v>
      </c>
    </row>
    <row r="165" ht="16.5" spans="1:22">
      <c r="A165" s="58"/>
      <c r="B165" s="58"/>
      <c r="C165" s="59"/>
      <c r="D165" s="155" t="s">
        <v>57</v>
      </c>
      <c r="E165" s="123">
        <v>10</v>
      </c>
      <c r="F165" s="151">
        <f t="shared" si="7"/>
        <v>0.54</v>
      </c>
      <c r="G165" s="151">
        <f t="shared" si="8"/>
        <v>0.54</v>
      </c>
      <c r="H165" s="152">
        <v>768</v>
      </c>
      <c r="I165" s="153">
        <f t="shared" si="9"/>
        <v>2.02816901408451</v>
      </c>
      <c r="J165" s="142">
        <v>60</v>
      </c>
      <c r="K165" s="157">
        <f>SUM($J$156:J165)</f>
        <v>250</v>
      </c>
      <c r="M165" s="160" t="s">
        <v>56</v>
      </c>
      <c r="N165" s="165">
        <v>10</v>
      </c>
      <c r="O165" s="161">
        <v>0.45</v>
      </c>
      <c r="P165" s="161">
        <v>0.45</v>
      </c>
      <c r="Q165" s="162">
        <v>576</v>
      </c>
      <c r="R165" s="163">
        <v>1.52112676056338</v>
      </c>
      <c r="S165" s="164">
        <v>60</v>
      </c>
    </row>
    <row r="166" ht="16.5" spans="1:22">
      <c r="A166" s="58"/>
      <c r="B166" s="58"/>
      <c r="C166" s="59"/>
      <c r="D166" s="155" t="s">
        <v>57</v>
      </c>
      <c r="E166" s="155">
        <v>11</v>
      </c>
      <c r="F166" s="151">
        <f t="shared" si="7"/>
        <v>0.6</v>
      </c>
      <c r="G166" s="151">
        <f t="shared" si="8"/>
        <v>0.6</v>
      </c>
      <c r="H166" s="152">
        <v>864</v>
      </c>
      <c r="I166" s="153">
        <f t="shared" si="9"/>
        <v>2.28169014084507</v>
      </c>
      <c r="J166" s="142">
        <v>60</v>
      </c>
      <c r="K166" s="157">
        <f>SUM($J$156:J166)</f>
        <v>310</v>
      </c>
      <c r="M166" s="160" t="s">
        <v>56</v>
      </c>
      <c r="N166" s="160">
        <v>11</v>
      </c>
      <c r="O166" s="161">
        <v>0.5</v>
      </c>
      <c r="P166" s="161">
        <v>0.5</v>
      </c>
      <c r="Q166" s="162">
        <v>648</v>
      </c>
      <c r="R166" s="163">
        <v>1.7112676056338</v>
      </c>
      <c r="S166" s="164">
        <v>60</v>
      </c>
    </row>
    <row r="167" ht="16.5" spans="1:22">
      <c r="A167" s="58"/>
      <c r="B167" s="58"/>
      <c r="C167" s="59"/>
      <c r="D167" s="155" t="s">
        <v>57</v>
      </c>
      <c r="E167" s="123">
        <v>12</v>
      </c>
      <c r="F167" s="151">
        <f t="shared" si="7"/>
        <v>0.66</v>
      </c>
      <c r="G167" s="151">
        <f t="shared" si="8"/>
        <v>0.66</v>
      </c>
      <c r="H167" s="152">
        <v>960</v>
      </c>
      <c r="I167" s="153">
        <f t="shared" si="9"/>
        <v>2.53521126760563</v>
      </c>
      <c r="J167" s="142">
        <v>60</v>
      </c>
      <c r="K167" s="157">
        <f>SUM($J$156:J167)</f>
        <v>370</v>
      </c>
      <c r="M167" s="160" t="s">
        <v>56</v>
      </c>
      <c r="N167" s="165">
        <v>12</v>
      </c>
      <c r="O167" s="161">
        <v>0.55</v>
      </c>
      <c r="P167" s="161">
        <v>0.55</v>
      </c>
      <c r="Q167" s="162">
        <v>720</v>
      </c>
      <c r="R167" s="163">
        <v>1.90140845070423</v>
      </c>
      <c r="S167" s="164">
        <v>60</v>
      </c>
    </row>
    <row r="168" ht="16.5" spans="1:22">
      <c r="A168" s="58"/>
      <c r="B168" s="58"/>
      <c r="C168" s="59"/>
      <c r="D168" s="155" t="s">
        <v>57</v>
      </c>
      <c r="E168" s="155">
        <v>13</v>
      </c>
      <c r="F168" s="151">
        <f t="shared" si="7"/>
        <v>0.72</v>
      </c>
      <c r="G168" s="151">
        <f t="shared" si="8"/>
        <v>0.72</v>
      </c>
      <c r="H168" s="152">
        <v>1056</v>
      </c>
      <c r="I168" s="153">
        <f t="shared" si="9"/>
        <v>2.7887323943662</v>
      </c>
      <c r="J168" s="142">
        <v>60</v>
      </c>
      <c r="K168" s="157">
        <f>SUM($J$156:J168)</f>
        <v>430</v>
      </c>
      <c r="M168" s="160" t="s">
        <v>56</v>
      </c>
      <c r="N168" s="160">
        <v>13</v>
      </c>
      <c r="O168" s="161">
        <v>0.6</v>
      </c>
      <c r="P168" s="161">
        <v>0.6</v>
      </c>
      <c r="Q168" s="162">
        <v>792</v>
      </c>
      <c r="R168" s="163">
        <v>2.09154929577465</v>
      </c>
      <c r="S168" s="164">
        <v>60</v>
      </c>
      <c r="T168">
        <f>1.5*1.25</f>
        <v>1.875</v>
      </c>
    </row>
    <row r="169" ht="16.5" spans="1:22">
      <c r="A169" s="58"/>
      <c r="B169" s="58"/>
      <c r="C169" s="59"/>
      <c r="D169" s="155" t="s">
        <v>57</v>
      </c>
      <c r="E169" s="123">
        <v>14</v>
      </c>
      <c r="F169" s="151">
        <f t="shared" si="7"/>
        <v>0.78</v>
      </c>
      <c r="G169" s="151">
        <f t="shared" si="8"/>
        <v>0.78</v>
      </c>
      <c r="H169" s="152">
        <v>1152</v>
      </c>
      <c r="I169" s="153">
        <f t="shared" si="9"/>
        <v>3.04225352112676</v>
      </c>
      <c r="J169" s="142">
        <v>60</v>
      </c>
      <c r="K169" s="157">
        <f>SUM($J$156:J169)</f>
        <v>490</v>
      </c>
      <c r="M169" s="160" t="s">
        <v>56</v>
      </c>
      <c r="N169" s="165">
        <v>14</v>
      </c>
      <c r="O169" s="161">
        <v>0.65</v>
      </c>
      <c r="P169" s="161">
        <v>0.65</v>
      </c>
      <c r="Q169" s="162">
        <v>864</v>
      </c>
      <c r="R169" s="163">
        <v>2.28169014084507</v>
      </c>
      <c r="S169" s="164">
        <v>60</v>
      </c>
      <c r="T169">
        <f>A170/H170</f>
        <v>0</v>
      </c>
    </row>
    <row r="170" ht="16.5" spans="1:22">
      <c r="A170" s="58"/>
      <c r="B170" s="58"/>
      <c r="C170" s="59"/>
      <c r="D170" s="155" t="s">
        <v>57</v>
      </c>
      <c r="E170" s="159">
        <v>15</v>
      </c>
      <c r="F170" s="151">
        <f t="shared" si="7"/>
        <v>0.84</v>
      </c>
      <c r="G170" s="151">
        <f t="shared" si="8"/>
        <v>0.84</v>
      </c>
      <c r="H170" s="152">
        <v>1248</v>
      </c>
      <c r="I170" s="153">
        <f t="shared" si="9"/>
        <v>3.29577464788732</v>
      </c>
      <c r="J170" s="142">
        <v>90</v>
      </c>
      <c r="K170" s="157">
        <f>SUM($J$156:J170)</f>
        <v>580</v>
      </c>
      <c r="M170" s="160" t="s">
        <v>56</v>
      </c>
      <c r="N170" s="166">
        <v>15</v>
      </c>
      <c r="O170" s="161">
        <v>0.7</v>
      </c>
      <c r="P170" s="161">
        <v>0.7</v>
      </c>
      <c r="Q170" s="162">
        <v>936</v>
      </c>
      <c r="R170" s="163">
        <v>2.47183098591549</v>
      </c>
      <c r="S170" s="164">
        <v>90</v>
      </c>
      <c r="T170" t="s">
        <v>86</v>
      </c>
      <c r="U170" s="14">
        <f>F170-O170</f>
        <v>0.14</v>
      </c>
      <c r="V170" s="14">
        <v>0.85</v>
      </c>
    </row>
    <row r="171" ht="16.5" spans="1:22">
      <c r="A171" s="58"/>
      <c r="B171" s="58"/>
      <c r="C171" s="59"/>
      <c r="D171" s="155" t="s">
        <v>57</v>
      </c>
      <c r="E171" s="123">
        <v>16</v>
      </c>
      <c r="F171" s="151">
        <f t="shared" si="7"/>
        <v>0.9</v>
      </c>
      <c r="G171" s="151">
        <f t="shared" si="8"/>
        <v>0.9</v>
      </c>
      <c r="H171" s="152">
        <v>1344</v>
      </c>
      <c r="I171" s="153">
        <f t="shared" si="9"/>
        <v>3.54929577464789</v>
      </c>
      <c r="J171" s="142">
        <v>90</v>
      </c>
      <c r="K171" s="157">
        <f>SUM($J$156:J171)</f>
        <v>670</v>
      </c>
      <c r="M171" s="160" t="s">
        <v>56</v>
      </c>
      <c r="N171" s="165">
        <v>16</v>
      </c>
      <c r="O171" s="161">
        <v>0.75</v>
      </c>
      <c r="P171" s="161">
        <v>0.75</v>
      </c>
      <c r="Q171" s="162">
        <v>1008</v>
      </c>
      <c r="R171" s="163">
        <v>2.66197183098592</v>
      </c>
      <c r="S171" s="164">
        <v>90</v>
      </c>
    </row>
    <row r="172" ht="16.5" spans="1:22">
      <c r="A172" s="58"/>
      <c r="B172" s="58"/>
      <c r="C172" s="59"/>
      <c r="D172" s="155" t="s">
        <v>57</v>
      </c>
      <c r="E172" s="155">
        <v>17</v>
      </c>
      <c r="F172" s="151">
        <f t="shared" si="7"/>
        <v>0.96</v>
      </c>
      <c r="G172" s="151">
        <f t="shared" si="8"/>
        <v>0.96</v>
      </c>
      <c r="H172" s="152">
        <v>1440</v>
      </c>
      <c r="I172" s="153">
        <f t="shared" si="9"/>
        <v>3.80281690140845</v>
      </c>
      <c r="J172" s="142">
        <v>90</v>
      </c>
      <c r="K172" s="157">
        <f>SUM($J$156:J172)</f>
        <v>760</v>
      </c>
      <c r="M172" s="160" t="s">
        <v>56</v>
      </c>
      <c r="N172" s="160">
        <v>17</v>
      </c>
      <c r="O172" s="161">
        <v>0.8</v>
      </c>
      <c r="P172" s="161">
        <v>0.8</v>
      </c>
      <c r="Q172" s="162">
        <v>1080</v>
      </c>
      <c r="R172" s="163">
        <v>2.85211267605634</v>
      </c>
      <c r="S172" s="164">
        <v>90</v>
      </c>
    </row>
    <row r="173" ht="16.5" spans="1:22">
      <c r="A173" s="58"/>
      <c r="B173" s="58"/>
      <c r="C173" s="59"/>
      <c r="D173" s="155" t="s">
        <v>57</v>
      </c>
      <c r="E173" s="123">
        <v>18</v>
      </c>
      <c r="F173" s="151">
        <f t="shared" si="7"/>
        <v>1.02</v>
      </c>
      <c r="G173" s="151">
        <f t="shared" si="8"/>
        <v>1.02</v>
      </c>
      <c r="H173" s="152">
        <v>1536</v>
      </c>
      <c r="I173" s="153">
        <f t="shared" si="9"/>
        <v>4.05633802816901</v>
      </c>
      <c r="J173" s="142">
        <v>90</v>
      </c>
      <c r="K173" s="157">
        <f>SUM($J$156:J173)</f>
        <v>850</v>
      </c>
      <c r="M173" s="160" t="s">
        <v>56</v>
      </c>
      <c r="N173" s="165">
        <v>18</v>
      </c>
      <c r="O173" s="161">
        <v>0.85</v>
      </c>
      <c r="P173" s="161">
        <v>0.85</v>
      </c>
      <c r="Q173" s="162">
        <v>1152</v>
      </c>
      <c r="R173" s="163">
        <v>3.04225352112676</v>
      </c>
      <c r="S173" s="164">
        <v>90</v>
      </c>
    </row>
    <row r="174" ht="16.5" spans="1:22">
      <c r="A174" s="58"/>
      <c r="B174" s="58"/>
      <c r="C174" s="59"/>
      <c r="D174" s="155" t="s">
        <v>57</v>
      </c>
      <c r="E174" s="155">
        <v>19</v>
      </c>
      <c r="F174" s="151">
        <f t="shared" si="7"/>
        <v>1.08</v>
      </c>
      <c r="G174" s="151">
        <f t="shared" si="8"/>
        <v>1.08</v>
      </c>
      <c r="H174" s="152">
        <v>1632</v>
      </c>
      <c r="I174" s="153">
        <f t="shared" si="9"/>
        <v>4.30985915492958</v>
      </c>
      <c r="J174" s="142">
        <v>90</v>
      </c>
      <c r="K174" s="157">
        <f>SUM($J$156:J174)</f>
        <v>940</v>
      </c>
      <c r="M174" s="160" t="s">
        <v>56</v>
      </c>
      <c r="N174" s="160">
        <v>19</v>
      </c>
      <c r="O174" s="161">
        <v>0.9</v>
      </c>
      <c r="P174" s="161">
        <v>0.9</v>
      </c>
      <c r="Q174" s="162">
        <v>1224</v>
      </c>
      <c r="R174" s="163">
        <v>3.23239436619718</v>
      </c>
      <c r="S174" s="164">
        <v>90</v>
      </c>
    </row>
    <row r="175" ht="16.5" spans="1:22">
      <c r="A175" s="58"/>
      <c r="B175" s="58"/>
      <c r="C175" s="59"/>
      <c r="D175" s="155" t="s">
        <v>57</v>
      </c>
      <c r="E175" s="123">
        <v>20</v>
      </c>
      <c r="F175" s="151">
        <f t="shared" si="7"/>
        <v>1.14</v>
      </c>
      <c r="G175" s="151">
        <f t="shared" si="8"/>
        <v>1.14</v>
      </c>
      <c r="H175" s="152">
        <v>1728</v>
      </c>
      <c r="I175" s="153">
        <f t="shared" si="9"/>
        <v>4.56338028169014</v>
      </c>
      <c r="J175" s="142">
        <v>120</v>
      </c>
      <c r="K175" s="157">
        <f>SUM($J$156:J175)</f>
        <v>1060</v>
      </c>
      <c r="M175" s="160" t="s">
        <v>56</v>
      </c>
      <c r="N175" s="165">
        <v>20</v>
      </c>
      <c r="O175" s="161">
        <v>0.95</v>
      </c>
      <c r="P175" s="161">
        <v>0.95</v>
      </c>
      <c r="Q175" s="162">
        <v>1296</v>
      </c>
      <c r="R175" s="163">
        <v>3.42253521126761</v>
      </c>
      <c r="S175" s="164">
        <v>120</v>
      </c>
    </row>
    <row r="176" ht="16.5" spans="1:22">
      <c r="A176" s="58"/>
      <c r="B176" s="58"/>
      <c r="C176" s="59"/>
      <c r="D176" s="155" t="s">
        <v>57</v>
      </c>
      <c r="E176" s="155">
        <v>21</v>
      </c>
      <c r="F176" s="151">
        <f t="shared" si="7"/>
        <v>1.2</v>
      </c>
      <c r="G176" s="151">
        <f t="shared" si="8"/>
        <v>1.2</v>
      </c>
      <c r="H176" s="152">
        <v>1824</v>
      </c>
      <c r="I176" s="153">
        <f t="shared" si="9"/>
        <v>4.8169014084507</v>
      </c>
      <c r="J176" s="142">
        <v>120</v>
      </c>
      <c r="K176" s="157">
        <f>SUM($J$156:J176)</f>
        <v>1180</v>
      </c>
      <c r="M176" s="160" t="s">
        <v>56</v>
      </c>
      <c r="N176" s="160">
        <v>21</v>
      </c>
      <c r="O176" s="161">
        <v>1</v>
      </c>
      <c r="P176" s="161">
        <v>1</v>
      </c>
      <c r="Q176" s="162">
        <v>1368</v>
      </c>
      <c r="R176" s="163">
        <v>3.61267605633803</v>
      </c>
      <c r="S176" s="164">
        <v>120</v>
      </c>
    </row>
    <row r="177" ht="16.5" spans="1:30">
      <c r="A177" s="58"/>
      <c r="B177" s="58"/>
      <c r="C177" s="59"/>
      <c r="D177" s="155" t="s">
        <v>57</v>
      </c>
      <c r="E177" s="123">
        <v>22</v>
      </c>
      <c r="F177" s="151">
        <f t="shared" si="7"/>
        <v>1.26</v>
      </c>
      <c r="G177" s="151">
        <f t="shared" si="8"/>
        <v>1.26</v>
      </c>
      <c r="H177" s="152">
        <v>1920</v>
      </c>
      <c r="I177" s="153">
        <f t="shared" si="9"/>
        <v>5.07042253521127</v>
      </c>
      <c r="J177" s="142">
        <v>120</v>
      </c>
      <c r="K177" s="157">
        <f>SUM($J$156:J177)</f>
        <v>1300</v>
      </c>
      <c r="M177" s="160" t="s">
        <v>56</v>
      </c>
      <c r="N177" s="165">
        <v>22</v>
      </c>
      <c r="O177" s="161">
        <v>1.05</v>
      </c>
      <c r="P177" s="161">
        <v>1.05</v>
      </c>
      <c r="Q177" s="162">
        <v>1440</v>
      </c>
      <c r="R177" s="163">
        <v>3.80281690140845</v>
      </c>
      <c r="S177" s="164">
        <v>120</v>
      </c>
    </row>
    <row r="178" ht="16.5" spans="1:30">
      <c r="A178" s="58"/>
      <c r="B178" s="58"/>
      <c r="C178" s="59"/>
      <c r="D178" s="155" t="s">
        <v>57</v>
      </c>
      <c r="E178" s="155">
        <v>23</v>
      </c>
      <c r="F178" s="151">
        <f t="shared" si="7"/>
        <v>1.32</v>
      </c>
      <c r="G178" s="151">
        <f t="shared" si="8"/>
        <v>1.32</v>
      </c>
      <c r="H178" s="152">
        <v>2016</v>
      </c>
      <c r="I178" s="153">
        <f t="shared" si="9"/>
        <v>5.32394366197183</v>
      </c>
      <c r="J178" s="142">
        <v>120</v>
      </c>
      <c r="K178" s="157">
        <f>SUM($J$156:J178)</f>
        <v>1420</v>
      </c>
      <c r="M178" s="160" t="s">
        <v>56</v>
      </c>
      <c r="N178" s="160">
        <v>23</v>
      </c>
      <c r="O178" s="161">
        <v>1.1</v>
      </c>
      <c r="P178" s="161">
        <v>1.1</v>
      </c>
      <c r="Q178" s="162">
        <v>1512</v>
      </c>
      <c r="R178" s="163">
        <v>3.99295774647887</v>
      </c>
      <c r="S178" s="164">
        <v>120</v>
      </c>
    </row>
    <row r="179" ht="16.5" spans="1:30">
      <c r="A179" s="58"/>
      <c r="B179" s="58"/>
      <c r="C179" s="59"/>
      <c r="D179" s="155" t="s">
        <v>57</v>
      </c>
      <c r="E179" s="123">
        <v>24</v>
      </c>
      <c r="F179" s="151">
        <f t="shared" si="7"/>
        <v>1.38</v>
      </c>
      <c r="G179" s="151">
        <f t="shared" si="8"/>
        <v>1.38</v>
      </c>
      <c r="H179" s="152">
        <v>2112</v>
      </c>
      <c r="I179" s="153">
        <f t="shared" si="9"/>
        <v>5.57746478873239</v>
      </c>
      <c r="J179" s="142">
        <v>120</v>
      </c>
      <c r="K179" s="157">
        <f>SUM($J$156:J179)</f>
        <v>1540</v>
      </c>
      <c r="M179" s="160" t="s">
        <v>56</v>
      </c>
      <c r="N179" s="165">
        <v>24</v>
      </c>
      <c r="O179" s="161">
        <v>1.15</v>
      </c>
      <c r="P179" s="161">
        <v>1.15</v>
      </c>
      <c r="Q179" s="162">
        <v>1584</v>
      </c>
      <c r="R179" s="163">
        <v>4.1830985915493</v>
      </c>
      <c r="S179" s="164">
        <v>120</v>
      </c>
    </row>
    <row r="180" ht="16.5" spans="1:30">
      <c r="A180" s="58"/>
      <c r="B180" s="58"/>
      <c r="C180" s="59"/>
      <c r="D180" s="155" t="s">
        <v>57</v>
      </c>
      <c r="E180" s="155">
        <v>25</v>
      </c>
      <c r="F180" s="151">
        <f t="shared" si="7"/>
        <v>1.44</v>
      </c>
      <c r="G180" s="151">
        <f t="shared" si="8"/>
        <v>1.44</v>
      </c>
      <c r="H180" s="152">
        <v>2208</v>
      </c>
      <c r="I180" s="153">
        <f t="shared" si="9"/>
        <v>5.83098591549296</v>
      </c>
      <c r="J180" s="142">
        <v>180</v>
      </c>
      <c r="K180" s="157">
        <f>SUM($J$156:J180)</f>
        <v>1720</v>
      </c>
      <c r="M180" s="160" t="s">
        <v>56</v>
      </c>
      <c r="N180" s="160">
        <v>25</v>
      </c>
      <c r="O180" s="161">
        <v>1.2</v>
      </c>
      <c r="P180" s="161">
        <v>1.2</v>
      </c>
      <c r="Q180" s="162">
        <v>1656</v>
      </c>
      <c r="R180" s="163">
        <v>4.37323943661972</v>
      </c>
      <c r="S180" s="164">
        <v>240</v>
      </c>
    </row>
    <row r="181" ht="16.5" spans="1:30">
      <c r="A181" s="58"/>
      <c r="B181" s="58"/>
      <c r="C181" s="59"/>
      <c r="D181" s="155" t="s">
        <v>57</v>
      </c>
      <c r="E181" s="123">
        <v>26</v>
      </c>
      <c r="F181" s="151">
        <f t="shared" si="7"/>
        <v>1.5</v>
      </c>
      <c r="G181" s="151">
        <f t="shared" si="8"/>
        <v>1.5</v>
      </c>
      <c r="H181" s="152">
        <v>2304</v>
      </c>
      <c r="I181" s="153">
        <f t="shared" si="9"/>
        <v>6.08450704225352</v>
      </c>
      <c r="J181" s="142">
        <v>180</v>
      </c>
      <c r="K181" s="157">
        <f>SUM($J$156:J181)</f>
        <v>1900</v>
      </c>
      <c r="M181" s="160" t="s">
        <v>56</v>
      </c>
      <c r="N181" s="165">
        <v>26</v>
      </c>
      <c r="O181" s="161">
        <v>1.25</v>
      </c>
      <c r="P181" s="161">
        <v>1.25</v>
      </c>
      <c r="Q181" s="162">
        <v>1728</v>
      </c>
      <c r="R181" s="163">
        <v>4.56338028169014</v>
      </c>
      <c r="S181" s="164">
        <v>240</v>
      </c>
      <c r="V181" t="s">
        <v>87</v>
      </c>
    </row>
    <row r="182" ht="17.25" spans="1:30">
      <c r="A182" s="58"/>
      <c r="B182" s="58"/>
      <c r="C182" s="59"/>
      <c r="D182" s="155" t="s">
        <v>57</v>
      </c>
      <c r="E182" s="155">
        <v>27</v>
      </c>
      <c r="F182" s="151">
        <f t="shared" si="7"/>
        <v>1.56</v>
      </c>
      <c r="G182" s="151">
        <f t="shared" si="8"/>
        <v>1.56</v>
      </c>
      <c r="H182" s="152">
        <v>2400</v>
      </c>
      <c r="I182" s="153">
        <f t="shared" si="9"/>
        <v>6.33802816901408</v>
      </c>
      <c r="J182" s="142">
        <v>180</v>
      </c>
      <c r="K182" s="157">
        <f>SUM($J$156:J182)</f>
        <v>2080</v>
      </c>
      <c r="M182" s="160" t="s">
        <v>56</v>
      </c>
      <c r="N182" s="160">
        <v>27</v>
      </c>
      <c r="O182" s="161">
        <v>1.3</v>
      </c>
      <c r="P182" s="161">
        <v>1.3</v>
      </c>
      <c r="Q182" s="162">
        <v>1800</v>
      </c>
      <c r="R182" s="163">
        <v>4.75352112676056</v>
      </c>
      <c r="S182" s="164">
        <v>240</v>
      </c>
      <c r="V182" s="167" t="s">
        <v>88</v>
      </c>
      <c r="W182" s="167" t="s">
        <v>89</v>
      </c>
      <c r="X182" s="167" t="s">
        <v>90</v>
      </c>
      <c r="Y182" s="167" t="s">
        <v>91</v>
      </c>
      <c r="Z182" s="167" t="s">
        <v>92</v>
      </c>
      <c r="AA182" s="167"/>
      <c r="AB182" s="167" t="s">
        <v>93</v>
      </c>
      <c r="AD182" s="167" t="s">
        <v>94</v>
      </c>
    </row>
    <row r="183" ht="16.5" spans="1:30">
      <c r="A183" s="58"/>
      <c r="B183" s="58"/>
      <c r="C183" s="59"/>
      <c r="D183" s="155" t="s">
        <v>57</v>
      </c>
      <c r="E183" s="123">
        <v>28</v>
      </c>
      <c r="F183" s="151">
        <f t="shared" si="7"/>
        <v>1.62</v>
      </c>
      <c r="G183" s="151">
        <f t="shared" si="8"/>
        <v>1.62</v>
      </c>
      <c r="H183" s="152">
        <v>2496</v>
      </c>
      <c r="I183" s="153">
        <f t="shared" si="9"/>
        <v>6.59154929577465</v>
      </c>
      <c r="J183" s="142">
        <v>180</v>
      </c>
      <c r="K183" s="157">
        <f>SUM($J$156:J183)</f>
        <v>2260</v>
      </c>
      <c r="M183" s="160" t="s">
        <v>56</v>
      </c>
      <c r="N183" s="165">
        <v>28</v>
      </c>
      <c r="O183" s="161">
        <v>1.35</v>
      </c>
      <c r="P183" s="161">
        <v>1.35</v>
      </c>
      <c r="Q183" s="162">
        <v>1872</v>
      </c>
      <c r="R183" s="163">
        <v>4.94366197183099</v>
      </c>
      <c r="S183" s="164">
        <v>240</v>
      </c>
      <c r="V183" s="35">
        <v>800</v>
      </c>
      <c r="W183" s="35">
        <v>200</v>
      </c>
      <c r="X183" s="35">
        <f t="shared" ref="X183:X188" si="10">W183*9*1/10000</f>
        <v>0.18</v>
      </c>
      <c r="Y183" s="35">
        <v>1</v>
      </c>
      <c r="Z183" s="35" cm="1">
        <f t="array" ref="Z183">SUMPRODUCT(X183:X184,Y183:Y184)</f>
        <v>0.72</v>
      </c>
      <c r="AA183" s="35" t="s">
        <v>95</v>
      </c>
      <c r="AB183" s="35">
        <f>500*0.025</f>
        <v>12.5</v>
      </c>
      <c r="AD183" s="35">
        <f>Q183-Z183</f>
        <v>1871.28</v>
      </c>
    </row>
    <row r="184" ht="16.5" spans="1:30">
      <c r="A184" s="58"/>
      <c r="B184" s="58"/>
      <c r="C184" s="59"/>
      <c r="D184" s="155" t="s">
        <v>57</v>
      </c>
      <c r="E184" s="155">
        <v>29</v>
      </c>
      <c r="F184" s="151">
        <f t="shared" ref="F184:F247" si="11">VLOOKUP($D184,$D$38:$E$41,2,0)*($E184-1)</f>
        <v>1.68</v>
      </c>
      <c r="G184" s="151">
        <f t="shared" ref="G184:G247" si="12">VLOOKUP($D184,$D$38:$E$41,2,0)*($E184-1)</f>
        <v>1.68</v>
      </c>
      <c r="H184" s="152">
        <v>2592</v>
      </c>
      <c r="I184" s="153">
        <f t="shared" ref="I184:I247" si="13">H184*6/$E$13</f>
        <v>6.84507042253521</v>
      </c>
      <c r="J184" s="142">
        <v>180</v>
      </c>
      <c r="K184" s="157">
        <f>SUM($J$156:J184)</f>
        <v>2440</v>
      </c>
      <c r="M184" s="160" t="s">
        <v>56</v>
      </c>
      <c r="N184" s="160">
        <v>29</v>
      </c>
      <c r="O184" s="161">
        <v>1.4</v>
      </c>
      <c r="P184" s="161">
        <v>1.4</v>
      </c>
      <c r="Q184" s="162">
        <v>1944</v>
      </c>
      <c r="R184" s="163">
        <v>5.13380281690141</v>
      </c>
      <c r="S184" s="164">
        <v>240</v>
      </c>
      <c r="V184" s="35"/>
      <c r="W184" s="35">
        <v>600</v>
      </c>
      <c r="X184" s="35">
        <f t="shared" si="10"/>
        <v>0.54</v>
      </c>
      <c r="Y184" s="35">
        <v>1</v>
      </c>
      <c r="Z184" s="35"/>
      <c r="AA184" s="35"/>
      <c r="AB184" s="168">
        <f>MAX(Z183,1)/AB183</f>
        <v>0.08</v>
      </c>
      <c r="AD184" s="35"/>
    </row>
    <row r="185" ht="16.5" spans="1:30">
      <c r="A185" s="58"/>
      <c r="B185" s="58"/>
      <c r="C185" s="59"/>
      <c r="D185" s="155" t="s">
        <v>57</v>
      </c>
      <c r="E185" s="123">
        <v>30</v>
      </c>
      <c r="F185" s="151">
        <f t="shared" si="11"/>
        <v>1.74</v>
      </c>
      <c r="G185" s="151">
        <f t="shared" si="12"/>
        <v>1.74</v>
      </c>
      <c r="H185" s="152">
        <v>2688</v>
      </c>
      <c r="I185" s="153">
        <f t="shared" si="13"/>
        <v>7.09859154929577</v>
      </c>
      <c r="J185" s="142">
        <v>240</v>
      </c>
      <c r="K185" s="157">
        <f>SUM($J$156:J185)</f>
        <v>2680</v>
      </c>
      <c r="M185" s="160" t="s">
        <v>56</v>
      </c>
      <c r="N185" s="165">
        <v>30</v>
      </c>
      <c r="O185" s="161">
        <v>1.45</v>
      </c>
      <c r="P185" s="161">
        <v>1.45</v>
      </c>
      <c r="Q185" s="162">
        <v>2016</v>
      </c>
      <c r="R185" s="163">
        <v>5.32394366197183</v>
      </c>
      <c r="S185" s="164">
        <v>480</v>
      </c>
      <c r="V185" s="35"/>
      <c r="W185" s="35"/>
      <c r="X185" s="35"/>
      <c r="Y185" s="35"/>
      <c r="Z185" s="35"/>
      <c r="AA185" s="35"/>
      <c r="AB185" s="35"/>
      <c r="AD185" s="35"/>
    </row>
    <row r="186" ht="16.5" spans="1:30">
      <c r="A186" s="58"/>
      <c r="B186" s="58"/>
      <c r="C186" s="59"/>
      <c r="D186" s="155" t="s">
        <v>57</v>
      </c>
      <c r="E186" s="155">
        <v>31</v>
      </c>
      <c r="F186" s="151">
        <f t="shared" si="11"/>
        <v>1.8</v>
      </c>
      <c r="G186" s="151">
        <f t="shared" si="12"/>
        <v>1.8</v>
      </c>
      <c r="H186" s="152">
        <v>2784</v>
      </c>
      <c r="I186" s="153">
        <f t="shared" si="13"/>
        <v>7.35211267605634</v>
      </c>
      <c r="J186" s="142">
        <v>240</v>
      </c>
      <c r="K186" s="157">
        <f>SUM($J$156:J186)</f>
        <v>2920</v>
      </c>
      <c r="M186" s="160" t="s">
        <v>56</v>
      </c>
      <c r="N186" s="160">
        <v>31</v>
      </c>
      <c r="O186" s="161">
        <v>1.5</v>
      </c>
      <c r="P186" s="161">
        <v>1.5</v>
      </c>
      <c r="Q186" s="162">
        <v>2088</v>
      </c>
      <c r="R186" s="163">
        <v>5.51408450704225</v>
      </c>
      <c r="S186" s="164">
        <v>480</v>
      </c>
      <c r="V186" s="35"/>
      <c r="W186" s="35"/>
      <c r="X186" s="35"/>
      <c r="Y186" s="35"/>
      <c r="Z186" s="35"/>
      <c r="AA186" s="35"/>
      <c r="AB186" s="35"/>
      <c r="AD186" s="35"/>
    </row>
    <row r="187" ht="16.5" spans="1:30">
      <c r="A187" s="58"/>
      <c r="B187" s="58"/>
      <c r="C187" s="59"/>
      <c r="D187" s="155" t="s">
        <v>57</v>
      </c>
      <c r="E187" s="123">
        <v>32</v>
      </c>
      <c r="F187" s="151">
        <f t="shared" si="11"/>
        <v>1.86</v>
      </c>
      <c r="G187" s="151">
        <f t="shared" si="12"/>
        <v>1.86</v>
      </c>
      <c r="H187" s="152">
        <v>2880</v>
      </c>
      <c r="I187" s="153">
        <f t="shared" si="13"/>
        <v>7.6056338028169</v>
      </c>
      <c r="J187" s="142">
        <v>240</v>
      </c>
      <c r="K187" s="157">
        <f>SUM($J$156:J187)</f>
        <v>3160</v>
      </c>
      <c r="M187" s="160" t="s">
        <v>56</v>
      </c>
      <c r="N187" s="165">
        <v>32</v>
      </c>
      <c r="O187" s="161">
        <v>1.55</v>
      </c>
      <c r="P187" s="161">
        <v>1.55</v>
      </c>
      <c r="Q187" s="162">
        <v>2160</v>
      </c>
      <c r="R187" s="163">
        <v>5.70422535211268</v>
      </c>
      <c r="S187" s="164">
        <v>480</v>
      </c>
      <c r="V187" s="35">
        <v>1600</v>
      </c>
      <c r="W187" s="35">
        <v>400</v>
      </c>
      <c r="X187" s="35">
        <f t="shared" si="10"/>
        <v>0.36</v>
      </c>
      <c r="Y187" s="169">
        <v>2</v>
      </c>
      <c r="Z187" s="35" cm="1">
        <f t="array" ref="Z187">SUMPRODUCT(Y187:Y189,X187:X189)</f>
        <v>1.8</v>
      </c>
      <c r="AA187" s="35" t="s">
        <v>95</v>
      </c>
      <c r="AB187" s="35">
        <f>500*0.05</f>
        <v>25</v>
      </c>
      <c r="AD187" s="35">
        <f>Q187-Z187</f>
        <v>2158.2</v>
      </c>
    </row>
    <row r="188" ht="16.5" spans="1:30">
      <c r="A188" s="58"/>
      <c r="B188" s="58"/>
      <c r="C188" s="59"/>
      <c r="D188" s="155" t="s">
        <v>57</v>
      </c>
      <c r="E188" s="155">
        <v>33</v>
      </c>
      <c r="F188" s="151">
        <f t="shared" si="11"/>
        <v>1.92</v>
      </c>
      <c r="G188" s="151">
        <f t="shared" si="12"/>
        <v>1.92</v>
      </c>
      <c r="H188" s="152">
        <v>2976</v>
      </c>
      <c r="I188" s="153">
        <f t="shared" si="13"/>
        <v>7.85915492957746</v>
      </c>
      <c r="J188" s="142">
        <v>240</v>
      </c>
      <c r="K188" s="157">
        <f>SUM($J$156:J188)</f>
        <v>3400</v>
      </c>
      <c r="M188" s="160" t="s">
        <v>56</v>
      </c>
      <c r="N188" s="160">
        <v>33</v>
      </c>
      <c r="O188" s="161">
        <v>1.6</v>
      </c>
      <c r="P188" s="161">
        <v>1.6</v>
      </c>
      <c r="Q188" s="162">
        <v>2232</v>
      </c>
      <c r="R188" s="163">
        <v>5.8943661971831</v>
      </c>
      <c r="S188" s="164">
        <v>480</v>
      </c>
      <c r="V188" s="35"/>
      <c r="W188" s="35">
        <v>1200</v>
      </c>
      <c r="X188" s="35">
        <f t="shared" si="10"/>
        <v>1.08</v>
      </c>
      <c r="Y188" s="35">
        <v>1</v>
      </c>
      <c r="Z188" s="35"/>
      <c r="AA188" s="35"/>
      <c r="AB188" s="168">
        <f>MAX(Z187,1)/AB187</f>
        <v>0.072</v>
      </c>
      <c r="AD188" s="35"/>
    </row>
    <row r="189" ht="16.5" spans="1:30">
      <c r="A189" s="58"/>
      <c r="B189" s="58"/>
      <c r="C189" s="59"/>
      <c r="D189" s="155" t="s">
        <v>57</v>
      </c>
      <c r="E189" s="123">
        <v>34</v>
      </c>
      <c r="F189" s="151">
        <f t="shared" si="11"/>
        <v>1.98</v>
      </c>
      <c r="G189" s="151">
        <f t="shared" si="12"/>
        <v>1.98</v>
      </c>
      <c r="H189" s="152">
        <v>3072</v>
      </c>
      <c r="I189" s="153">
        <f t="shared" si="13"/>
        <v>8.11267605633803</v>
      </c>
      <c r="J189" s="142">
        <v>240</v>
      </c>
      <c r="K189" s="157">
        <f>SUM($J$156:J189)</f>
        <v>3640</v>
      </c>
      <c r="M189" s="160" t="s">
        <v>56</v>
      </c>
      <c r="N189" s="165">
        <v>34</v>
      </c>
      <c r="O189" s="161">
        <v>1.65</v>
      </c>
      <c r="P189" s="161">
        <v>1.65</v>
      </c>
      <c r="Q189" s="162">
        <v>2304</v>
      </c>
      <c r="R189" s="163">
        <v>6.08450704225352</v>
      </c>
      <c r="S189" s="164">
        <v>480</v>
      </c>
      <c r="V189" s="35"/>
      <c r="W189" s="35"/>
      <c r="X189" s="35"/>
      <c r="Y189" s="35"/>
      <c r="Z189" s="35"/>
      <c r="AA189" s="35"/>
      <c r="AB189" s="35"/>
      <c r="AD189" s="35"/>
    </row>
    <row r="190" ht="16.5" spans="1:30">
      <c r="A190" s="58"/>
      <c r="B190" s="58"/>
      <c r="C190" s="59"/>
      <c r="D190" s="155" t="s">
        <v>57</v>
      </c>
      <c r="E190" s="155">
        <v>35</v>
      </c>
      <c r="F190" s="151">
        <f t="shared" si="11"/>
        <v>2.04</v>
      </c>
      <c r="G190" s="151">
        <f t="shared" si="12"/>
        <v>2.04</v>
      </c>
      <c r="H190" s="152">
        <v>3168</v>
      </c>
      <c r="I190" s="153">
        <f t="shared" si="13"/>
        <v>8.36619718309859</v>
      </c>
      <c r="J190" s="142">
        <v>360</v>
      </c>
      <c r="K190" s="157">
        <f>SUM($J$156:J190)</f>
        <v>4000</v>
      </c>
      <c r="M190" s="160" t="s">
        <v>56</v>
      </c>
      <c r="N190" s="160">
        <v>35</v>
      </c>
      <c r="O190" s="161">
        <v>1.7</v>
      </c>
      <c r="P190" s="161">
        <v>1.7</v>
      </c>
      <c r="Q190" s="162">
        <v>2376</v>
      </c>
      <c r="R190" s="163">
        <v>6.27464788732394</v>
      </c>
      <c r="S190" s="164">
        <v>720</v>
      </c>
      <c r="V190" s="35"/>
      <c r="W190" s="35"/>
      <c r="X190" s="35"/>
      <c r="Y190" s="35"/>
      <c r="Z190" s="35"/>
      <c r="AA190" s="35"/>
      <c r="AB190" s="35"/>
      <c r="AD190" s="35"/>
    </row>
    <row r="191" ht="16.5" spans="1:30">
      <c r="A191" s="58"/>
      <c r="B191" s="58"/>
      <c r="C191" s="59"/>
      <c r="D191" s="155" t="s">
        <v>57</v>
      </c>
      <c r="E191" s="123">
        <v>36</v>
      </c>
      <c r="F191" s="151">
        <f t="shared" si="11"/>
        <v>2.1</v>
      </c>
      <c r="G191" s="151">
        <f t="shared" si="12"/>
        <v>2.1</v>
      </c>
      <c r="H191" s="152">
        <v>3264</v>
      </c>
      <c r="I191" s="153">
        <f t="shared" si="13"/>
        <v>8.61971830985915</v>
      </c>
      <c r="J191" s="142">
        <v>360</v>
      </c>
      <c r="K191" s="157">
        <f>SUM($J$156:J191)</f>
        <v>4360</v>
      </c>
      <c r="M191" s="160" t="s">
        <v>56</v>
      </c>
      <c r="N191" s="165">
        <v>36</v>
      </c>
      <c r="O191" s="161">
        <v>1.75</v>
      </c>
      <c r="P191" s="161">
        <v>1.75</v>
      </c>
      <c r="Q191" s="162">
        <v>2448</v>
      </c>
      <c r="R191" s="163">
        <v>6.46478873239437</v>
      </c>
      <c r="S191" s="164">
        <v>720</v>
      </c>
      <c r="V191" s="35">
        <v>400</v>
      </c>
      <c r="W191" s="35">
        <v>300</v>
      </c>
      <c r="X191" s="35">
        <f t="shared" ref="X191:X197" si="14">W191*9*1/10000</f>
        <v>0.27</v>
      </c>
      <c r="Y191" s="35">
        <v>1</v>
      </c>
      <c r="Z191" s="35" cm="1">
        <f t="array" ref="Z191">SUMPRODUCT(Y191:Y193,X191:X193)</f>
        <v>0.36</v>
      </c>
      <c r="AA191" s="35" t="s">
        <v>96</v>
      </c>
      <c r="AB191" s="35">
        <f>500*0.0157</f>
        <v>7.85</v>
      </c>
      <c r="AD191" s="35">
        <f>Q191-Z191</f>
        <v>2447.64</v>
      </c>
    </row>
    <row r="192" ht="16.5" spans="1:30">
      <c r="A192" s="58"/>
      <c r="B192" s="58"/>
      <c r="C192" s="59"/>
      <c r="D192" s="155" t="s">
        <v>57</v>
      </c>
      <c r="E192" s="155">
        <v>37</v>
      </c>
      <c r="F192" s="151">
        <f t="shared" si="11"/>
        <v>2.16</v>
      </c>
      <c r="G192" s="151">
        <f t="shared" si="12"/>
        <v>2.16</v>
      </c>
      <c r="H192" s="152">
        <v>3360</v>
      </c>
      <c r="I192" s="153">
        <f t="shared" si="13"/>
        <v>8.87323943661972</v>
      </c>
      <c r="J192" s="142">
        <v>360</v>
      </c>
      <c r="K192" s="157">
        <f>SUM($J$156:J192)</f>
        <v>4720</v>
      </c>
      <c r="M192" s="160" t="s">
        <v>56</v>
      </c>
      <c r="N192" s="160">
        <v>37</v>
      </c>
      <c r="O192" s="161">
        <v>1.8</v>
      </c>
      <c r="P192" s="161">
        <v>1.8</v>
      </c>
      <c r="Q192" s="162">
        <v>2520</v>
      </c>
      <c r="R192" s="163">
        <v>6.65492957746479</v>
      </c>
      <c r="S192" s="164">
        <v>720</v>
      </c>
      <c r="V192" s="35"/>
      <c r="W192" s="35">
        <v>100</v>
      </c>
      <c r="X192" s="35">
        <f t="shared" si="14"/>
        <v>0.09</v>
      </c>
      <c r="Y192" s="35">
        <v>1</v>
      </c>
      <c r="Z192" s="35"/>
      <c r="AA192" s="35"/>
      <c r="AB192" s="168">
        <f>MAX(Z191,1)/AB191</f>
        <v>0.127388535031847</v>
      </c>
      <c r="AD192" s="35"/>
    </row>
    <row r="193" ht="16.5" spans="1:30">
      <c r="A193" s="58"/>
      <c r="B193" s="58"/>
      <c r="C193" s="59"/>
      <c r="D193" s="155" t="s">
        <v>57</v>
      </c>
      <c r="E193" s="123">
        <v>38</v>
      </c>
      <c r="F193" s="151">
        <f t="shared" si="11"/>
        <v>2.22</v>
      </c>
      <c r="G193" s="151">
        <f t="shared" si="12"/>
        <v>2.22</v>
      </c>
      <c r="H193" s="152">
        <v>3456</v>
      </c>
      <c r="I193" s="153">
        <f t="shared" si="13"/>
        <v>9.12676056338028</v>
      </c>
      <c r="J193" s="142">
        <v>360</v>
      </c>
      <c r="K193" s="157">
        <f>SUM($J$156:J193)</f>
        <v>5080</v>
      </c>
      <c r="M193" s="160" t="s">
        <v>56</v>
      </c>
      <c r="N193" s="165">
        <v>38</v>
      </c>
      <c r="O193" s="161">
        <v>1.85</v>
      </c>
      <c r="P193" s="161">
        <v>1.85</v>
      </c>
      <c r="Q193" s="162">
        <v>2592</v>
      </c>
      <c r="R193" s="163">
        <v>6.84507042253521</v>
      </c>
      <c r="S193" s="164">
        <v>720</v>
      </c>
      <c r="V193" s="35"/>
      <c r="W193" s="35"/>
      <c r="X193" s="35"/>
      <c r="Y193" s="35"/>
      <c r="Z193" s="35"/>
      <c r="AA193" s="35"/>
      <c r="AB193" s="35"/>
      <c r="AD193" s="35"/>
    </row>
    <row r="194" ht="16.5" spans="1:30">
      <c r="A194" s="58"/>
      <c r="B194" s="58"/>
      <c r="C194" s="59"/>
      <c r="D194" s="155" t="s">
        <v>57</v>
      </c>
      <c r="E194" s="155">
        <v>39</v>
      </c>
      <c r="F194" s="151">
        <f t="shared" si="11"/>
        <v>2.28</v>
      </c>
      <c r="G194" s="151">
        <f t="shared" si="12"/>
        <v>2.28</v>
      </c>
      <c r="H194" s="152">
        <v>3552</v>
      </c>
      <c r="I194" s="153">
        <f t="shared" si="13"/>
        <v>9.38028169014085</v>
      </c>
      <c r="J194" s="142">
        <v>360</v>
      </c>
      <c r="K194" s="157">
        <f>SUM($J$156:J194)</f>
        <v>5440</v>
      </c>
      <c r="M194" s="160" t="s">
        <v>56</v>
      </c>
      <c r="N194" s="160">
        <v>39</v>
      </c>
      <c r="O194" s="161">
        <v>1.9</v>
      </c>
      <c r="P194" s="161">
        <v>1.9</v>
      </c>
      <c r="Q194" s="162">
        <v>2664</v>
      </c>
      <c r="R194" s="163">
        <v>7.03521126760563</v>
      </c>
      <c r="S194" s="164">
        <v>720</v>
      </c>
      <c r="V194" s="35"/>
      <c r="W194" s="35"/>
      <c r="X194" s="35"/>
      <c r="Y194" s="35"/>
      <c r="Z194" s="35"/>
      <c r="AA194" s="35"/>
      <c r="AB194" s="35"/>
      <c r="AD194" s="35"/>
    </row>
    <row r="195" ht="16.5" spans="1:30">
      <c r="A195" s="58"/>
      <c r="B195" s="58"/>
      <c r="C195" s="59"/>
      <c r="D195" s="155" t="s">
        <v>57</v>
      </c>
      <c r="E195" s="123">
        <v>40</v>
      </c>
      <c r="F195" s="151">
        <f t="shared" si="11"/>
        <v>2.34</v>
      </c>
      <c r="G195" s="151">
        <f t="shared" si="12"/>
        <v>2.34</v>
      </c>
      <c r="H195" s="152">
        <v>3648</v>
      </c>
      <c r="I195" s="153">
        <f t="shared" si="13"/>
        <v>9.63380281690141</v>
      </c>
      <c r="J195" s="142">
        <v>480</v>
      </c>
      <c r="K195" s="157">
        <f>SUM($J$156:J195)</f>
        <v>5920</v>
      </c>
      <c r="M195" s="160" t="s">
        <v>56</v>
      </c>
      <c r="N195" s="165">
        <v>40</v>
      </c>
      <c r="O195" s="161">
        <v>1.95</v>
      </c>
      <c r="P195" s="161">
        <v>1.95</v>
      </c>
      <c r="Q195" s="162">
        <v>2736</v>
      </c>
      <c r="R195" s="163">
        <v>7.22535211267606</v>
      </c>
      <c r="S195" s="164">
        <v>1080</v>
      </c>
      <c r="V195" s="35">
        <v>800</v>
      </c>
      <c r="W195" s="35">
        <v>50</v>
      </c>
      <c r="X195" s="35">
        <f t="shared" si="14"/>
        <v>0.045</v>
      </c>
      <c r="Y195" s="35">
        <v>2</v>
      </c>
      <c r="Z195" s="35" cm="1">
        <f t="array" ref="Z195">SUMPRODUCT(X195:X197,Y195:Y197)</f>
        <v>0.765</v>
      </c>
      <c r="AA195" s="35" t="s">
        <v>96</v>
      </c>
      <c r="AB195" s="35">
        <f>500*0.023</f>
        <v>11.5</v>
      </c>
      <c r="AD195" s="35">
        <f>Q195-Z195</f>
        <v>2735.235</v>
      </c>
    </row>
    <row r="196" ht="16.5" spans="1:30">
      <c r="A196" s="58"/>
      <c r="B196" s="58"/>
      <c r="C196" s="59"/>
      <c r="D196" s="155" t="s">
        <v>57</v>
      </c>
      <c r="E196" s="155">
        <v>41</v>
      </c>
      <c r="F196" s="151">
        <f t="shared" si="11"/>
        <v>2.4</v>
      </c>
      <c r="G196" s="151">
        <f t="shared" si="12"/>
        <v>2.4</v>
      </c>
      <c r="H196" s="152">
        <v>3744</v>
      </c>
      <c r="I196" s="153">
        <f t="shared" si="13"/>
        <v>9.88732394366197</v>
      </c>
      <c r="J196" s="142">
        <v>480</v>
      </c>
      <c r="K196" s="157">
        <f>SUM($J$156:J196)</f>
        <v>6400</v>
      </c>
      <c r="M196" s="160" t="s">
        <v>56</v>
      </c>
      <c r="N196" s="160">
        <v>41</v>
      </c>
      <c r="O196" s="161">
        <v>2</v>
      </c>
      <c r="P196" s="161">
        <v>2</v>
      </c>
      <c r="Q196" s="162">
        <v>2808</v>
      </c>
      <c r="R196" s="163">
        <v>7.41549295774648</v>
      </c>
      <c r="S196" s="164">
        <v>1080</v>
      </c>
      <c r="V196" s="35"/>
      <c r="W196" s="35">
        <v>150</v>
      </c>
      <c r="X196" s="35">
        <f t="shared" si="14"/>
        <v>0.135</v>
      </c>
      <c r="Y196" s="35">
        <v>1</v>
      </c>
      <c r="Z196" s="35"/>
      <c r="AA196" s="35"/>
      <c r="AB196" s="168">
        <f>MAX(Z195,1)/AB195</f>
        <v>0.0869565217391304</v>
      </c>
      <c r="AD196" s="35"/>
    </row>
    <row r="197" ht="16.5" spans="1:30">
      <c r="A197" s="58"/>
      <c r="B197" s="58"/>
      <c r="C197" s="59"/>
      <c r="D197" s="155" t="s">
        <v>57</v>
      </c>
      <c r="E197" s="123">
        <v>42</v>
      </c>
      <c r="F197" s="151">
        <f t="shared" si="11"/>
        <v>2.46</v>
      </c>
      <c r="G197" s="151">
        <f t="shared" si="12"/>
        <v>2.46</v>
      </c>
      <c r="H197" s="152">
        <v>3840</v>
      </c>
      <c r="I197" s="153">
        <f t="shared" si="13"/>
        <v>10.1408450704225</v>
      </c>
      <c r="J197" s="142">
        <v>480</v>
      </c>
      <c r="K197" s="157">
        <f>SUM($J$156:J197)</f>
        <v>6880</v>
      </c>
      <c r="M197" s="160" t="s">
        <v>56</v>
      </c>
      <c r="N197" s="165">
        <v>42</v>
      </c>
      <c r="O197" s="161">
        <v>2.05</v>
      </c>
      <c r="P197" s="161">
        <v>2.05</v>
      </c>
      <c r="Q197" s="162">
        <v>2880</v>
      </c>
      <c r="R197" s="163">
        <v>7.6056338028169</v>
      </c>
      <c r="S197" s="164">
        <v>1080</v>
      </c>
      <c r="V197" s="35"/>
      <c r="W197" s="35">
        <v>600</v>
      </c>
      <c r="X197" s="35">
        <f t="shared" si="14"/>
        <v>0.54</v>
      </c>
      <c r="Y197" s="35">
        <v>1</v>
      </c>
      <c r="Z197" s="35"/>
      <c r="AA197" s="35"/>
      <c r="AB197" s="35"/>
      <c r="AD197" s="35"/>
    </row>
    <row r="198" ht="16.5" spans="1:30">
      <c r="A198" s="58"/>
      <c r="B198" s="58"/>
      <c r="C198" s="59"/>
      <c r="D198" s="155" t="s">
        <v>57</v>
      </c>
      <c r="E198" s="155">
        <v>43</v>
      </c>
      <c r="F198" s="151">
        <f t="shared" si="11"/>
        <v>2.52</v>
      </c>
      <c r="G198" s="151">
        <f t="shared" si="12"/>
        <v>2.52</v>
      </c>
      <c r="H198" s="152">
        <v>3936</v>
      </c>
      <c r="I198" s="153">
        <f t="shared" si="13"/>
        <v>10.3943661971831</v>
      </c>
      <c r="J198" s="142">
        <v>480</v>
      </c>
      <c r="K198" s="157">
        <f>SUM($J$156:J198)</f>
        <v>7360</v>
      </c>
      <c r="M198" s="160" t="s">
        <v>56</v>
      </c>
      <c r="N198" s="160">
        <v>43</v>
      </c>
      <c r="O198" s="161">
        <v>2.1</v>
      </c>
      <c r="P198" s="161">
        <v>2.1</v>
      </c>
      <c r="Q198" s="162">
        <v>2952</v>
      </c>
      <c r="R198" s="163">
        <v>7.79577464788732</v>
      </c>
      <c r="S198" s="164">
        <v>1080</v>
      </c>
      <c r="V198" s="35"/>
      <c r="W198" s="35"/>
      <c r="X198" s="35"/>
      <c r="Y198" s="35"/>
      <c r="Z198" s="35"/>
      <c r="AA198" s="35"/>
      <c r="AB198" s="35"/>
      <c r="AD198" s="35"/>
    </row>
    <row r="199" ht="16.5" spans="1:30">
      <c r="A199" s="58"/>
      <c r="B199" s="58"/>
      <c r="C199" s="59"/>
      <c r="D199" s="155" t="s">
        <v>57</v>
      </c>
      <c r="E199" s="123">
        <v>44</v>
      </c>
      <c r="F199" s="151">
        <f t="shared" si="11"/>
        <v>2.58</v>
      </c>
      <c r="G199" s="151">
        <f t="shared" si="12"/>
        <v>2.58</v>
      </c>
      <c r="H199" s="152">
        <v>4032</v>
      </c>
      <c r="I199" s="153">
        <f t="shared" si="13"/>
        <v>10.6478873239437</v>
      </c>
      <c r="J199" s="142">
        <v>480</v>
      </c>
      <c r="K199" s="157">
        <f>SUM($J$156:J199)</f>
        <v>7840</v>
      </c>
      <c r="M199" s="160" t="s">
        <v>56</v>
      </c>
      <c r="N199" s="165">
        <v>44</v>
      </c>
      <c r="O199" s="161">
        <v>2.15</v>
      </c>
      <c r="P199" s="161">
        <v>2.15</v>
      </c>
      <c r="Q199" s="162">
        <v>3024</v>
      </c>
      <c r="R199" s="163">
        <v>7.98591549295775</v>
      </c>
      <c r="S199" s="164">
        <v>1080</v>
      </c>
      <c r="V199" s="35">
        <v>1200</v>
      </c>
      <c r="W199" s="35">
        <v>100</v>
      </c>
      <c r="X199" s="35">
        <f t="shared" ref="X199:X201" si="15">W199*9*1/10000</f>
        <v>0.09</v>
      </c>
      <c r="Y199" s="35">
        <v>2</v>
      </c>
      <c r="Z199" s="35" cm="1">
        <f t="array" ref="Z199">SUMPRODUCT(X199:X201,Y199:Y201)</f>
        <v>1.17</v>
      </c>
      <c r="AA199" s="35" t="s">
        <v>96</v>
      </c>
      <c r="AB199" s="35">
        <f>500*0.0315</f>
        <v>15.75</v>
      </c>
      <c r="AD199" s="35">
        <f>Q199-Z199</f>
        <v>3022.83</v>
      </c>
    </row>
    <row r="200" ht="16.5" spans="1:30">
      <c r="A200" s="58"/>
      <c r="B200" s="58"/>
      <c r="C200" s="59"/>
      <c r="D200" s="155" t="s">
        <v>57</v>
      </c>
      <c r="E200" s="155">
        <v>45</v>
      </c>
      <c r="F200" s="151">
        <f t="shared" si="11"/>
        <v>2.64</v>
      </c>
      <c r="G200" s="151">
        <f t="shared" si="12"/>
        <v>2.64</v>
      </c>
      <c r="H200" s="152">
        <v>4128</v>
      </c>
      <c r="I200" s="153">
        <f t="shared" si="13"/>
        <v>10.9014084507042</v>
      </c>
      <c r="J200" s="142">
        <v>720</v>
      </c>
      <c r="K200" s="157">
        <f>SUM($J$156:J200)</f>
        <v>8560</v>
      </c>
      <c r="M200" s="160" t="s">
        <v>56</v>
      </c>
      <c r="N200" s="160">
        <v>45</v>
      </c>
      <c r="O200" s="161">
        <v>2.2</v>
      </c>
      <c r="P200" s="161">
        <v>2.2</v>
      </c>
      <c r="Q200" s="162">
        <v>3096</v>
      </c>
      <c r="R200" s="163">
        <v>8.17605633802817</v>
      </c>
      <c r="S200" s="164">
        <v>1440</v>
      </c>
      <c r="V200" s="35"/>
      <c r="W200" s="35">
        <v>300</v>
      </c>
      <c r="X200" s="35">
        <f t="shared" si="15"/>
        <v>0.27</v>
      </c>
      <c r="Y200" s="35">
        <v>1</v>
      </c>
      <c r="Z200" s="35"/>
      <c r="AA200" s="35"/>
      <c r="AB200" s="168">
        <f>MAX(Z199,1)/AB199</f>
        <v>0.0742857142857143</v>
      </c>
      <c r="AD200" s="35"/>
    </row>
    <row r="201" ht="16.5" spans="1:30">
      <c r="A201" s="58"/>
      <c r="B201" s="58"/>
      <c r="C201" s="59"/>
      <c r="D201" s="155" t="s">
        <v>57</v>
      </c>
      <c r="E201" s="123">
        <v>46</v>
      </c>
      <c r="F201" s="151">
        <f t="shared" si="11"/>
        <v>2.7</v>
      </c>
      <c r="G201" s="151">
        <f t="shared" si="12"/>
        <v>2.7</v>
      </c>
      <c r="H201" s="152">
        <v>4224</v>
      </c>
      <c r="I201" s="153">
        <f t="shared" si="13"/>
        <v>11.1549295774648</v>
      </c>
      <c r="J201" s="142">
        <v>720</v>
      </c>
      <c r="K201" s="157">
        <f>SUM($J$156:J201)</f>
        <v>9280</v>
      </c>
      <c r="M201" s="160" t="s">
        <v>56</v>
      </c>
      <c r="N201" s="165">
        <v>46</v>
      </c>
      <c r="O201" s="161">
        <v>2.25</v>
      </c>
      <c r="P201" s="161">
        <v>2.25</v>
      </c>
      <c r="Q201" s="162">
        <v>3168</v>
      </c>
      <c r="R201" s="163">
        <v>8.36619718309859</v>
      </c>
      <c r="S201" s="164">
        <v>1440</v>
      </c>
      <c r="V201" s="35"/>
      <c r="W201" s="35">
        <v>800</v>
      </c>
      <c r="X201" s="35">
        <f t="shared" si="15"/>
        <v>0.72</v>
      </c>
      <c r="Y201" s="35">
        <v>1</v>
      </c>
      <c r="Z201" s="35"/>
      <c r="AA201" s="35"/>
      <c r="AB201" s="35"/>
      <c r="AD201" s="35"/>
    </row>
    <row r="202" ht="16.5" spans="1:30">
      <c r="A202" s="58"/>
      <c r="B202" s="58"/>
      <c r="C202" s="59"/>
      <c r="D202" s="155" t="s">
        <v>57</v>
      </c>
      <c r="E202" s="155">
        <v>47</v>
      </c>
      <c r="F202" s="151">
        <f t="shared" si="11"/>
        <v>2.76</v>
      </c>
      <c r="G202" s="151">
        <f t="shared" si="12"/>
        <v>2.76</v>
      </c>
      <c r="H202" s="152">
        <v>4320</v>
      </c>
      <c r="I202" s="153">
        <f t="shared" si="13"/>
        <v>11.4084507042254</v>
      </c>
      <c r="J202" s="142">
        <v>720</v>
      </c>
      <c r="K202" s="157">
        <f>SUM($J$156:J202)</f>
        <v>10000</v>
      </c>
      <c r="M202" s="160" t="s">
        <v>56</v>
      </c>
      <c r="N202" s="160">
        <v>47</v>
      </c>
      <c r="O202" s="161">
        <v>2.3</v>
      </c>
      <c r="P202" s="161">
        <v>2.3</v>
      </c>
      <c r="Q202" s="162">
        <v>3240</v>
      </c>
      <c r="R202" s="163">
        <v>8.55633802816901</v>
      </c>
      <c r="S202" s="164">
        <v>1440</v>
      </c>
    </row>
    <row r="203" ht="16.5" spans="1:30">
      <c r="A203" s="58"/>
      <c r="B203" s="58"/>
      <c r="C203" s="59"/>
      <c r="D203" s="155" t="s">
        <v>57</v>
      </c>
      <c r="E203" s="123">
        <v>48</v>
      </c>
      <c r="F203" s="151">
        <f t="shared" si="11"/>
        <v>2.82</v>
      </c>
      <c r="G203" s="151">
        <f t="shared" si="12"/>
        <v>2.82</v>
      </c>
      <c r="H203" s="152">
        <v>4416</v>
      </c>
      <c r="I203" s="153">
        <f t="shared" si="13"/>
        <v>11.6619718309859</v>
      </c>
      <c r="J203" s="142">
        <v>720</v>
      </c>
      <c r="K203" s="157">
        <f>SUM($J$156:J203)</f>
        <v>10720</v>
      </c>
      <c r="M203" s="160" t="s">
        <v>56</v>
      </c>
      <c r="N203" s="165">
        <v>48</v>
      </c>
      <c r="O203" s="161">
        <v>2.35</v>
      </c>
      <c r="P203" s="161">
        <v>2.35</v>
      </c>
      <c r="Q203" s="162">
        <v>3312</v>
      </c>
      <c r="R203" s="163">
        <v>8.74647887323944</v>
      </c>
      <c r="S203" s="164">
        <v>1440</v>
      </c>
    </row>
    <row r="204" ht="16.5" spans="1:30">
      <c r="A204" s="58"/>
      <c r="B204" s="58"/>
      <c r="C204" s="59"/>
      <c r="D204" s="155" t="s">
        <v>57</v>
      </c>
      <c r="E204" s="155">
        <v>49</v>
      </c>
      <c r="F204" s="151">
        <f t="shared" si="11"/>
        <v>2.88</v>
      </c>
      <c r="G204" s="151">
        <f t="shared" si="12"/>
        <v>2.88</v>
      </c>
      <c r="H204" s="152">
        <v>4512</v>
      </c>
      <c r="I204" s="153">
        <f t="shared" si="13"/>
        <v>11.9154929577465</v>
      </c>
      <c r="J204" s="142">
        <v>720</v>
      </c>
      <c r="K204" s="157">
        <f>SUM($J$156:J204)</f>
        <v>11440</v>
      </c>
      <c r="M204" s="160" t="s">
        <v>56</v>
      </c>
      <c r="N204" s="160">
        <v>49</v>
      </c>
      <c r="O204" s="161">
        <v>2.4</v>
      </c>
      <c r="P204" s="161">
        <v>2.4</v>
      </c>
      <c r="Q204" s="162">
        <v>3384</v>
      </c>
      <c r="R204" s="163">
        <v>8.93661971830986</v>
      </c>
      <c r="S204" s="164">
        <v>1440</v>
      </c>
    </row>
    <row r="205" ht="16.5" spans="1:30">
      <c r="A205" s="58"/>
      <c r="B205" s="58"/>
      <c r="C205" s="59"/>
      <c r="D205" s="155" t="s">
        <v>57</v>
      </c>
      <c r="E205" s="123">
        <v>50</v>
      </c>
      <c r="F205" s="151">
        <f t="shared" si="11"/>
        <v>2.94</v>
      </c>
      <c r="G205" s="151">
        <f t="shared" si="12"/>
        <v>2.94</v>
      </c>
      <c r="H205" s="142">
        <f>梦灵经验产出!J73</f>
        <v>0</v>
      </c>
      <c r="I205" s="153">
        <f t="shared" si="13"/>
        <v>0</v>
      </c>
      <c r="J205" s="142">
        <f>J200*2</f>
        <v>1440</v>
      </c>
      <c r="K205" s="157">
        <f>SUM($J$156:J205)</f>
        <v>12880</v>
      </c>
    </row>
    <row r="206" ht="16.5" spans="1:30">
      <c r="A206" s="58"/>
      <c r="B206" s="58"/>
      <c r="C206" s="59"/>
      <c r="D206" s="123" t="s">
        <v>58</v>
      </c>
      <c r="E206" s="123">
        <v>1</v>
      </c>
      <c r="F206" s="151">
        <f t="shared" si="11"/>
        <v>0</v>
      </c>
      <c r="G206" s="151">
        <f t="shared" si="12"/>
        <v>0</v>
      </c>
      <c r="H206" s="152">
        <v>60</v>
      </c>
      <c r="I206" s="153">
        <f t="shared" si="13"/>
        <v>0.158450704225352</v>
      </c>
      <c r="J206" s="142">
        <v>10</v>
      </c>
      <c r="K206" s="157"/>
    </row>
    <row r="207" ht="16.5" spans="1:30">
      <c r="A207" s="58"/>
      <c r="B207" s="58"/>
      <c r="C207" s="59"/>
      <c r="D207" s="123" t="s">
        <v>58</v>
      </c>
      <c r="E207" s="123">
        <v>2</v>
      </c>
      <c r="F207" s="151">
        <f t="shared" si="11"/>
        <v>0.1</v>
      </c>
      <c r="G207" s="151">
        <f t="shared" si="12"/>
        <v>0.1</v>
      </c>
      <c r="H207" s="152">
        <v>120</v>
      </c>
      <c r="I207" s="153">
        <f t="shared" si="13"/>
        <v>0.316901408450704</v>
      </c>
      <c r="J207" s="142">
        <v>10</v>
      </c>
      <c r="K207" s="157">
        <f>SUM($J$207:J207)</f>
        <v>10</v>
      </c>
    </row>
    <row r="208" ht="16.5" spans="1:30">
      <c r="A208" s="58"/>
      <c r="B208" s="58"/>
      <c r="C208" s="59"/>
      <c r="D208" s="123" t="s">
        <v>58</v>
      </c>
      <c r="E208" s="123">
        <v>3</v>
      </c>
      <c r="F208" s="151">
        <f t="shared" si="11"/>
        <v>0.2</v>
      </c>
      <c r="G208" s="151">
        <f t="shared" si="12"/>
        <v>0.2</v>
      </c>
      <c r="H208" s="152">
        <v>180</v>
      </c>
      <c r="I208" s="153">
        <f t="shared" si="13"/>
        <v>0.475352112676056</v>
      </c>
      <c r="J208" s="142">
        <v>10</v>
      </c>
      <c r="K208" s="157">
        <f>SUM($J$207:J208)</f>
        <v>20</v>
      </c>
    </row>
    <row r="209" ht="16.5" spans="1:11">
      <c r="A209" s="58"/>
      <c r="B209" s="58"/>
      <c r="C209" s="59"/>
      <c r="D209" s="123" t="s">
        <v>58</v>
      </c>
      <c r="E209" s="123">
        <v>4</v>
      </c>
      <c r="F209" s="151">
        <f t="shared" si="11"/>
        <v>0.3</v>
      </c>
      <c r="G209" s="151">
        <f t="shared" si="12"/>
        <v>0.3</v>
      </c>
      <c r="H209" s="152">
        <v>240</v>
      </c>
      <c r="I209" s="153">
        <f t="shared" si="13"/>
        <v>0.633802816901408</v>
      </c>
      <c r="J209" s="142">
        <v>10</v>
      </c>
      <c r="K209" s="157">
        <f>SUM($J$207:J209)</f>
        <v>30</v>
      </c>
    </row>
    <row r="210" ht="16.5" spans="1:11">
      <c r="A210" s="58"/>
      <c r="B210" s="58"/>
      <c r="C210" s="59"/>
      <c r="D210" s="123" t="s">
        <v>58</v>
      </c>
      <c r="E210" s="123">
        <v>5</v>
      </c>
      <c r="F210" s="151">
        <f t="shared" si="11"/>
        <v>0.4</v>
      </c>
      <c r="G210" s="151">
        <f t="shared" si="12"/>
        <v>0.4</v>
      </c>
      <c r="H210" s="152">
        <v>360</v>
      </c>
      <c r="I210" s="153">
        <f t="shared" si="13"/>
        <v>0.950704225352113</v>
      </c>
      <c r="J210" s="142">
        <v>30</v>
      </c>
      <c r="K210" s="157">
        <f>SUM($J$207:J210)</f>
        <v>60</v>
      </c>
    </row>
    <row r="211" ht="16.5" spans="1:11">
      <c r="A211" s="58"/>
      <c r="B211" s="58"/>
      <c r="C211" s="59"/>
      <c r="D211" s="123" t="s">
        <v>58</v>
      </c>
      <c r="E211" s="123">
        <v>6</v>
      </c>
      <c r="F211" s="151">
        <f t="shared" si="11"/>
        <v>0.5</v>
      </c>
      <c r="G211" s="151">
        <f t="shared" si="12"/>
        <v>0.5</v>
      </c>
      <c r="H211" s="152">
        <v>480</v>
      </c>
      <c r="I211" s="153">
        <f t="shared" si="13"/>
        <v>1.26760563380282</v>
      </c>
      <c r="J211" s="142">
        <v>30</v>
      </c>
      <c r="K211" s="157">
        <f>SUM($J$207:J211)</f>
        <v>90</v>
      </c>
    </row>
    <row r="212" ht="16.5" spans="1:11">
      <c r="A212" s="58"/>
      <c r="B212" s="58"/>
      <c r="C212" s="59"/>
      <c r="D212" s="123" t="s">
        <v>58</v>
      </c>
      <c r="E212" s="123">
        <v>7</v>
      </c>
      <c r="F212" s="151">
        <f t="shared" si="11"/>
        <v>0.6</v>
      </c>
      <c r="G212" s="151">
        <f t="shared" si="12"/>
        <v>0.6</v>
      </c>
      <c r="H212" s="152">
        <v>600</v>
      </c>
      <c r="I212" s="153">
        <f t="shared" si="13"/>
        <v>1.58450704225352</v>
      </c>
      <c r="J212" s="142">
        <v>30</v>
      </c>
      <c r="K212" s="157">
        <f>SUM($J$207:J212)</f>
        <v>120</v>
      </c>
    </row>
    <row r="213" ht="16.5" spans="1:11">
      <c r="A213" s="58"/>
      <c r="B213" s="58"/>
      <c r="C213" s="59"/>
      <c r="D213" s="123" t="s">
        <v>58</v>
      </c>
      <c r="E213" s="123">
        <v>8</v>
      </c>
      <c r="F213" s="151">
        <f t="shared" si="11"/>
        <v>0.7</v>
      </c>
      <c r="G213" s="151">
        <f t="shared" si="12"/>
        <v>0.7</v>
      </c>
      <c r="H213" s="152">
        <v>720</v>
      </c>
      <c r="I213" s="153">
        <f t="shared" si="13"/>
        <v>1.90140845070423</v>
      </c>
      <c r="J213" s="142">
        <v>30</v>
      </c>
      <c r="K213" s="157">
        <f>SUM($J$207:J213)</f>
        <v>150</v>
      </c>
    </row>
    <row r="214" ht="16.5" spans="1:11">
      <c r="A214" s="58"/>
      <c r="B214" s="58"/>
      <c r="C214" s="59"/>
      <c r="D214" s="123" t="s">
        <v>58</v>
      </c>
      <c r="E214" s="123">
        <v>9</v>
      </c>
      <c r="F214" s="151">
        <f t="shared" si="11"/>
        <v>0.8</v>
      </c>
      <c r="G214" s="151">
        <f t="shared" si="12"/>
        <v>0.8</v>
      </c>
      <c r="H214" s="152">
        <v>840</v>
      </c>
      <c r="I214" s="153">
        <f t="shared" si="13"/>
        <v>2.21830985915493</v>
      </c>
      <c r="J214" s="142">
        <v>30</v>
      </c>
      <c r="K214" s="157">
        <f>SUM($J$207:J214)</f>
        <v>180</v>
      </c>
    </row>
    <row r="215" ht="16.5" spans="1:11">
      <c r="A215" s="58"/>
      <c r="B215" s="58"/>
      <c r="C215" s="59"/>
      <c r="D215" s="123" t="s">
        <v>58</v>
      </c>
      <c r="E215" s="123">
        <v>10</v>
      </c>
      <c r="F215" s="151">
        <f t="shared" si="11"/>
        <v>0.9</v>
      </c>
      <c r="G215" s="151">
        <f t="shared" si="12"/>
        <v>0.9</v>
      </c>
      <c r="H215" s="152">
        <v>960</v>
      </c>
      <c r="I215" s="153">
        <f t="shared" si="13"/>
        <v>2.53521126760563</v>
      </c>
      <c r="J215" s="142">
        <v>50</v>
      </c>
      <c r="K215" s="157">
        <f>SUM($J$207:J215)</f>
        <v>230</v>
      </c>
    </row>
    <row r="216" ht="16.5" spans="1:11">
      <c r="A216" s="58"/>
      <c r="B216" s="58"/>
      <c r="C216" s="59"/>
      <c r="D216" s="123" t="s">
        <v>58</v>
      </c>
      <c r="E216" s="170">
        <v>11</v>
      </c>
      <c r="F216" s="151">
        <f t="shared" si="11"/>
        <v>1</v>
      </c>
      <c r="G216" s="151">
        <f t="shared" si="12"/>
        <v>1</v>
      </c>
      <c r="H216" s="152">
        <v>1080</v>
      </c>
      <c r="I216" s="153">
        <f t="shared" si="13"/>
        <v>2.85211267605634</v>
      </c>
      <c r="J216" s="142">
        <v>50</v>
      </c>
      <c r="K216" s="157">
        <f>SUM($J$207:J216)</f>
        <v>280</v>
      </c>
    </row>
    <row r="217" ht="16.5" spans="1:11">
      <c r="A217" s="58"/>
      <c r="B217" s="58"/>
      <c r="C217" s="59"/>
      <c r="D217" s="123" t="s">
        <v>58</v>
      </c>
      <c r="E217" s="170">
        <v>12</v>
      </c>
      <c r="F217" s="151">
        <f t="shared" si="11"/>
        <v>1.1</v>
      </c>
      <c r="G217" s="151">
        <f t="shared" si="12"/>
        <v>1.1</v>
      </c>
      <c r="H217" s="152">
        <v>1200</v>
      </c>
      <c r="I217" s="153">
        <f t="shared" si="13"/>
        <v>3.16901408450704</v>
      </c>
      <c r="J217" s="142">
        <v>50</v>
      </c>
      <c r="K217" s="157">
        <f>SUM($J$207:J217)</f>
        <v>330</v>
      </c>
    </row>
    <row r="218" ht="16.5" spans="1:11">
      <c r="A218" s="58"/>
      <c r="B218" s="58"/>
      <c r="C218" s="59"/>
      <c r="D218" s="123" t="s">
        <v>58</v>
      </c>
      <c r="E218" s="170">
        <v>13</v>
      </c>
      <c r="F218" s="151">
        <f t="shared" si="11"/>
        <v>1.2</v>
      </c>
      <c r="G218" s="151">
        <f t="shared" si="12"/>
        <v>1.2</v>
      </c>
      <c r="H218" s="152">
        <v>1320</v>
      </c>
      <c r="I218" s="153">
        <f t="shared" si="13"/>
        <v>3.48591549295775</v>
      </c>
      <c r="J218" s="142">
        <v>50</v>
      </c>
      <c r="K218" s="157">
        <f>SUM($J$207:J218)</f>
        <v>380</v>
      </c>
    </row>
    <row r="219" ht="16.5" spans="1:11">
      <c r="A219" s="58"/>
      <c r="B219" s="58"/>
      <c r="C219" s="59"/>
      <c r="D219" s="123" t="s">
        <v>58</v>
      </c>
      <c r="E219" s="170">
        <v>14</v>
      </c>
      <c r="F219" s="151">
        <f t="shared" si="11"/>
        <v>1.3</v>
      </c>
      <c r="G219" s="151">
        <f t="shared" si="12"/>
        <v>1.3</v>
      </c>
      <c r="H219" s="152">
        <v>1440</v>
      </c>
      <c r="I219" s="153">
        <f t="shared" si="13"/>
        <v>3.80281690140845</v>
      </c>
      <c r="J219" s="142">
        <v>50</v>
      </c>
      <c r="K219" s="157">
        <f>SUM($J$207:J219)</f>
        <v>430</v>
      </c>
    </row>
    <row r="220" ht="16.5" spans="1:11">
      <c r="A220" s="58"/>
      <c r="B220" s="58"/>
      <c r="C220" s="59"/>
      <c r="D220" s="123" t="s">
        <v>58</v>
      </c>
      <c r="E220" s="170">
        <v>15</v>
      </c>
      <c r="F220" s="151">
        <f t="shared" si="11"/>
        <v>1.4</v>
      </c>
      <c r="G220" s="151">
        <f t="shared" si="12"/>
        <v>1.4</v>
      </c>
      <c r="H220" s="152">
        <v>1560</v>
      </c>
      <c r="I220" s="153">
        <f t="shared" si="13"/>
        <v>4.11971830985915</v>
      </c>
      <c r="J220" s="142">
        <v>70</v>
      </c>
      <c r="K220" s="157">
        <f>SUM($J$207:J220)</f>
        <v>500</v>
      </c>
    </row>
    <row r="221" ht="16.5" spans="1:11">
      <c r="A221" s="58"/>
      <c r="B221" s="58"/>
      <c r="C221" s="59"/>
      <c r="D221" s="123" t="s">
        <v>58</v>
      </c>
      <c r="E221" s="170">
        <v>16</v>
      </c>
      <c r="F221" s="151">
        <f t="shared" si="11"/>
        <v>1.5</v>
      </c>
      <c r="G221" s="151">
        <f t="shared" si="12"/>
        <v>1.5</v>
      </c>
      <c r="H221" s="152">
        <v>1680</v>
      </c>
      <c r="I221" s="153">
        <f t="shared" si="13"/>
        <v>4.43661971830986</v>
      </c>
      <c r="J221" s="142">
        <v>70</v>
      </c>
      <c r="K221" s="157">
        <f>SUM($J$207:J221)</f>
        <v>570</v>
      </c>
    </row>
    <row r="222" ht="16.5" spans="1:11">
      <c r="A222" s="58"/>
      <c r="B222" s="58"/>
      <c r="C222" s="59"/>
      <c r="D222" s="123" t="s">
        <v>58</v>
      </c>
      <c r="E222" s="170">
        <v>17</v>
      </c>
      <c r="F222" s="151">
        <f t="shared" si="11"/>
        <v>1.6</v>
      </c>
      <c r="G222" s="151">
        <f t="shared" si="12"/>
        <v>1.6</v>
      </c>
      <c r="H222" s="152">
        <v>1800</v>
      </c>
      <c r="I222" s="153">
        <f t="shared" si="13"/>
        <v>4.75352112676056</v>
      </c>
      <c r="J222" s="142">
        <v>70</v>
      </c>
      <c r="K222" s="157">
        <f>SUM($J$207:J222)</f>
        <v>640</v>
      </c>
    </row>
    <row r="223" ht="16.5" spans="1:11">
      <c r="A223" s="58"/>
      <c r="B223" s="58"/>
      <c r="C223" s="59"/>
      <c r="D223" s="123" t="s">
        <v>58</v>
      </c>
      <c r="E223" s="170">
        <v>18</v>
      </c>
      <c r="F223" s="151">
        <f t="shared" si="11"/>
        <v>1.7</v>
      </c>
      <c r="G223" s="151">
        <f t="shared" si="12"/>
        <v>1.7</v>
      </c>
      <c r="H223" s="152">
        <v>1920</v>
      </c>
      <c r="I223" s="153">
        <f t="shared" si="13"/>
        <v>5.07042253521127</v>
      </c>
      <c r="J223" s="142">
        <v>70</v>
      </c>
      <c r="K223" s="157">
        <f>SUM($J$207:J223)</f>
        <v>710</v>
      </c>
    </row>
    <row r="224" ht="16.5" spans="1:11">
      <c r="A224" s="58"/>
      <c r="B224" s="58"/>
      <c r="C224" s="59"/>
      <c r="D224" s="123" t="s">
        <v>58</v>
      </c>
      <c r="E224" s="170">
        <v>19</v>
      </c>
      <c r="F224" s="151">
        <f t="shared" si="11"/>
        <v>1.8</v>
      </c>
      <c r="G224" s="151">
        <f t="shared" si="12"/>
        <v>1.8</v>
      </c>
      <c r="H224" s="152">
        <v>2040</v>
      </c>
      <c r="I224" s="153">
        <f t="shared" si="13"/>
        <v>5.38732394366197</v>
      </c>
      <c r="J224" s="142">
        <v>70</v>
      </c>
      <c r="K224" s="157">
        <f>SUM($J$207:J224)</f>
        <v>780</v>
      </c>
    </row>
    <row r="225" ht="16.5" spans="1:11">
      <c r="A225" s="58"/>
      <c r="B225" s="58"/>
      <c r="C225" s="59"/>
      <c r="D225" s="123" t="s">
        <v>58</v>
      </c>
      <c r="E225" s="170">
        <v>20</v>
      </c>
      <c r="F225" s="151">
        <f t="shared" si="11"/>
        <v>1.9</v>
      </c>
      <c r="G225" s="151">
        <f t="shared" si="12"/>
        <v>1.9</v>
      </c>
      <c r="H225" s="152">
        <v>2160</v>
      </c>
      <c r="I225" s="153">
        <f t="shared" si="13"/>
        <v>5.70422535211268</v>
      </c>
      <c r="J225" s="142">
        <v>90</v>
      </c>
      <c r="K225" s="157">
        <f>SUM($J$207:J225)</f>
        <v>870</v>
      </c>
    </row>
    <row r="226" ht="16.5" spans="1:11">
      <c r="A226" s="58"/>
      <c r="B226" s="58"/>
      <c r="C226" s="59"/>
      <c r="D226" s="123" t="s">
        <v>58</v>
      </c>
      <c r="E226" s="170">
        <v>21</v>
      </c>
      <c r="F226" s="151">
        <f t="shared" si="11"/>
        <v>2</v>
      </c>
      <c r="G226" s="151">
        <f t="shared" si="12"/>
        <v>2</v>
      </c>
      <c r="H226" s="152">
        <v>2280</v>
      </c>
      <c r="I226" s="153">
        <f t="shared" si="13"/>
        <v>6.02112676056338</v>
      </c>
      <c r="J226" s="142">
        <v>90</v>
      </c>
      <c r="K226" s="157">
        <f>SUM($J$207:J226)</f>
        <v>960</v>
      </c>
    </row>
    <row r="227" ht="16.5" spans="1:11">
      <c r="A227" s="58"/>
      <c r="B227" s="58"/>
      <c r="C227" s="59"/>
      <c r="D227" s="123" t="s">
        <v>58</v>
      </c>
      <c r="E227" s="170">
        <v>22</v>
      </c>
      <c r="F227" s="151">
        <f t="shared" si="11"/>
        <v>2.1</v>
      </c>
      <c r="G227" s="151">
        <f t="shared" si="12"/>
        <v>2.1</v>
      </c>
      <c r="H227" s="152">
        <v>2400</v>
      </c>
      <c r="I227" s="153">
        <f t="shared" si="13"/>
        <v>6.33802816901408</v>
      </c>
      <c r="J227" s="142">
        <v>90</v>
      </c>
      <c r="K227" s="157">
        <f>SUM($J$207:J227)</f>
        <v>1050</v>
      </c>
    </row>
    <row r="228" ht="16.5" spans="1:11">
      <c r="A228" s="58"/>
      <c r="B228" s="58"/>
      <c r="C228" s="59"/>
      <c r="D228" s="123" t="s">
        <v>58</v>
      </c>
      <c r="E228" s="170">
        <v>23</v>
      </c>
      <c r="F228" s="151">
        <f t="shared" si="11"/>
        <v>2.2</v>
      </c>
      <c r="G228" s="151">
        <f t="shared" si="12"/>
        <v>2.2</v>
      </c>
      <c r="H228" s="152">
        <v>2520</v>
      </c>
      <c r="I228" s="153">
        <f t="shared" si="13"/>
        <v>6.65492957746479</v>
      </c>
      <c r="J228" s="142">
        <v>90</v>
      </c>
      <c r="K228" s="157">
        <f>SUM($J$207:J228)</f>
        <v>1140</v>
      </c>
    </row>
    <row r="229" ht="16.5" spans="1:11">
      <c r="A229" s="58"/>
      <c r="B229" s="58"/>
      <c r="C229" s="59"/>
      <c r="D229" s="123" t="s">
        <v>58</v>
      </c>
      <c r="E229" s="170">
        <v>24</v>
      </c>
      <c r="F229" s="151">
        <f t="shared" si="11"/>
        <v>2.3</v>
      </c>
      <c r="G229" s="151">
        <f t="shared" si="12"/>
        <v>2.3</v>
      </c>
      <c r="H229" s="152">
        <v>2640</v>
      </c>
      <c r="I229" s="153">
        <f t="shared" si="13"/>
        <v>6.97183098591549</v>
      </c>
      <c r="J229" s="142">
        <v>90</v>
      </c>
      <c r="K229" s="157">
        <f>SUM($J$207:J229)</f>
        <v>1230</v>
      </c>
    </row>
    <row r="230" ht="16.5" spans="1:11">
      <c r="A230" s="58"/>
      <c r="B230" s="58"/>
      <c r="C230" s="59"/>
      <c r="D230" s="123" t="s">
        <v>58</v>
      </c>
      <c r="E230" s="170">
        <v>25</v>
      </c>
      <c r="F230" s="151">
        <f t="shared" si="11"/>
        <v>2.4</v>
      </c>
      <c r="G230" s="151">
        <f t="shared" si="12"/>
        <v>2.4</v>
      </c>
      <c r="H230" s="152">
        <v>2760</v>
      </c>
      <c r="I230" s="153">
        <f t="shared" si="13"/>
        <v>7.2887323943662</v>
      </c>
      <c r="J230" s="142">
        <v>120</v>
      </c>
      <c r="K230" s="157">
        <f>SUM($J$207:J230)</f>
        <v>1350</v>
      </c>
    </row>
    <row r="231" ht="16.5" spans="1:11">
      <c r="A231" s="58"/>
      <c r="B231" s="58"/>
      <c r="C231" s="59"/>
      <c r="D231" s="123" t="s">
        <v>58</v>
      </c>
      <c r="E231" s="170">
        <v>26</v>
      </c>
      <c r="F231" s="151">
        <f t="shared" si="11"/>
        <v>2.5</v>
      </c>
      <c r="G231" s="151">
        <f t="shared" si="12"/>
        <v>2.5</v>
      </c>
      <c r="H231" s="152">
        <v>2880</v>
      </c>
      <c r="I231" s="153">
        <f t="shared" si="13"/>
        <v>7.6056338028169</v>
      </c>
      <c r="J231" s="142">
        <v>120</v>
      </c>
      <c r="K231" s="157">
        <f>SUM($J$207:J231)</f>
        <v>1470</v>
      </c>
    </row>
    <row r="232" ht="16.5" spans="1:11">
      <c r="A232" s="58"/>
      <c r="B232" s="58"/>
      <c r="C232" s="59"/>
      <c r="D232" s="123" t="s">
        <v>58</v>
      </c>
      <c r="E232" s="170">
        <v>27</v>
      </c>
      <c r="F232" s="151">
        <f t="shared" si="11"/>
        <v>2.6</v>
      </c>
      <c r="G232" s="151">
        <f t="shared" si="12"/>
        <v>2.6</v>
      </c>
      <c r="H232" s="152">
        <v>3000</v>
      </c>
      <c r="I232" s="153">
        <f t="shared" si="13"/>
        <v>7.92253521126761</v>
      </c>
      <c r="J232" s="142">
        <v>120</v>
      </c>
      <c r="K232" s="157">
        <f>SUM($J$207:J232)</f>
        <v>1590</v>
      </c>
    </row>
    <row r="233" ht="16.5" spans="1:11">
      <c r="A233" s="58"/>
      <c r="B233" s="58"/>
      <c r="C233" s="59"/>
      <c r="D233" s="123" t="s">
        <v>58</v>
      </c>
      <c r="E233" s="170">
        <v>28</v>
      </c>
      <c r="F233" s="151">
        <f t="shared" si="11"/>
        <v>2.7</v>
      </c>
      <c r="G233" s="151">
        <f t="shared" si="12"/>
        <v>2.7</v>
      </c>
      <c r="H233" s="152">
        <v>3120</v>
      </c>
      <c r="I233" s="153">
        <f t="shared" si="13"/>
        <v>8.23943661971831</v>
      </c>
      <c r="J233" s="142">
        <v>120</v>
      </c>
      <c r="K233" s="157">
        <f>SUM($J$207:J233)</f>
        <v>1710</v>
      </c>
    </row>
    <row r="234" ht="16.5" spans="1:11">
      <c r="A234" s="58"/>
      <c r="B234" s="58"/>
      <c r="C234" s="59"/>
      <c r="D234" s="123" t="s">
        <v>58</v>
      </c>
      <c r="E234" s="170">
        <v>29</v>
      </c>
      <c r="F234" s="151">
        <f t="shared" si="11"/>
        <v>2.8</v>
      </c>
      <c r="G234" s="151">
        <f t="shared" si="12"/>
        <v>2.8</v>
      </c>
      <c r="H234" s="152">
        <v>3240</v>
      </c>
      <c r="I234" s="153">
        <f t="shared" si="13"/>
        <v>8.55633802816901</v>
      </c>
      <c r="J234" s="142">
        <v>120</v>
      </c>
      <c r="K234" s="157">
        <f>SUM($J$207:J234)</f>
        <v>1830</v>
      </c>
    </row>
    <row r="235" ht="16.5" spans="1:11">
      <c r="A235" s="58"/>
      <c r="B235" s="58"/>
      <c r="C235" s="59"/>
      <c r="D235" s="123" t="s">
        <v>58</v>
      </c>
      <c r="E235" s="170">
        <v>30</v>
      </c>
      <c r="F235" s="151">
        <f t="shared" si="11"/>
        <v>2.9</v>
      </c>
      <c r="G235" s="151">
        <f t="shared" si="12"/>
        <v>2.9</v>
      </c>
      <c r="H235" s="152">
        <v>3360</v>
      </c>
      <c r="I235" s="153">
        <f t="shared" si="13"/>
        <v>8.87323943661972</v>
      </c>
      <c r="J235" s="142">
        <v>150</v>
      </c>
      <c r="K235" s="157">
        <f>SUM($J$207:J235)</f>
        <v>1980</v>
      </c>
    </row>
    <row r="236" ht="16.5" spans="1:11">
      <c r="A236" s="58"/>
      <c r="B236" s="58"/>
      <c r="C236" s="59"/>
      <c r="D236" s="123" t="s">
        <v>58</v>
      </c>
      <c r="E236" s="170">
        <v>31</v>
      </c>
      <c r="F236" s="151">
        <f t="shared" si="11"/>
        <v>3</v>
      </c>
      <c r="G236" s="151">
        <f t="shared" si="12"/>
        <v>3</v>
      </c>
      <c r="H236" s="152">
        <v>3480</v>
      </c>
      <c r="I236" s="153">
        <f t="shared" si="13"/>
        <v>9.19014084507042</v>
      </c>
      <c r="J236" s="142">
        <v>150</v>
      </c>
      <c r="K236" s="157">
        <f>SUM($J$207:J236)</f>
        <v>2130</v>
      </c>
    </row>
    <row r="237" ht="16.5" spans="1:11">
      <c r="A237" s="58"/>
      <c r="B237" s="58"/>
      <c r="C237" s="59"/>
      <c r="D237" s="123" t="s">
        <v>58</v>
      </c>
      <c r="E237" s="170">
        <v>32</v>
      </c>
      <c r="F237" s="151">
        <f t="shared" si="11"/>
        <v>3.1</v>
      </c>
      <c r="G237" s="151">
        <f t="shared" si="12"/>
        <v>3.1</v>
      </c>
      <c r="H237" s="152">
        <v>3600</v>
      </c>
      <c r="I237" s="153">
        <f t="shared" si="13"/>
        <v>9.50704225352113</v>
      </c>
      <c r="J237" s="142">
        <v>150</v>
      </c>
      <c r="K237" s="157">
        <f>SUM($J$207:J237)</f>
        <v>2280</v>
      </c>
    </row>
    <row r="238" ht="16.5" spans="1:11">
      <c r="A238" s="58"/>
      <c r="B238" s="58"/>
      <c r="C238" s="59"/>
      <c r="D238" s="123" t="s">
        <v>58</v>
      </c>
      <c r="E238" s="170">
        <v>33</v>
      </c>
      <c r="F238" s="151">
        <f t="shared" si="11"/>
        <v>3.2</v>
      </c>
      <c r="G238" s="151">
        <f t="shared" si="12"/>
        <v>3.2</v>
      </c>
      <c r="H238" s="152">
        <v>3720</v>
      </c>
      <c r="I238" s="153">
        <f t="shared" si="13"/>
        <v>9.82394366197183</v>
      </c>
      <c r="J238" s="142">
        <v>150</v>
      </c>
      <c r="K238" s="157">
        <f>SUM($J$207:J238)</f>
        <v>2430</v>
      </c>
    </row>
    <row r="239" ht="16.5" spans="1:11">
      <c r="A239" s="58"/>
      <c r="B239" s="58"/>
      <c r="C239" s="59"/>
      <c r="D239" s="123" t="s">
        <v>58</v>
      </c>
      <c r="E239" s="170">
        <v>34</v>
      </c>
      <c r="F239" s="151">
        <f t="shared" si="11"/>
        <v>3.3</v>
      </c>
      <c r="G239" s="151">
        <f t="shared" si="12"/>
        <v>3.3</v>
      </c>
      <c r="H239" s="152">
        <v>3840</v>
      </c>
      <c r="I239" s="153">
        <f t="shared" si="13"/>
        <v>10.1408450704225</v>
      </c>
      <c r="J239" s="142">
        <v>150</v>
      </c>
      <c r="K239" s="157">
        <f>SUM($J$207:J239)</f>
        <v>2580</v>
      </c>
    </row>
    <row r="240" ht="16.5" spans="1:11">
      <c r="A240" s="58"/>
      <c r="B240" s="58"/>
      <c r="C240" s="59"/>
      <c r="D240" s="123" t="s">
        <v>58</v>
      </c>
      <c r="E240" s="170">
        <v>35</v>
      </c>
      <c r="F240" s="151">
        <f t="shared" si="11"/>
        <v>3.4</v>
      </c>
      <c r="G240" s="151">
        <f t="shared" si="12"/>
        <v>3.4</v>
      </c>
      <c r="H240" s="152">
        <v>3960</v>
      </c>
      <c r="I240" s="153">
        <f t="shared" si="13"/>
        <v>10.4577464788732</v>
      </c>
      <c r="J240" s="142">
        <v>180</v>
      </c>
      <c r="K240" s="157">
        <f>SUM($J$207:J240)</f>
        <v>2760</v>
      </c>
    </row>
    <row r="241" ht="16.5" spans="1:12">
      <c r="A241" s="58"/>
      <c r="B241" s="58"/>
      <c r="C241" s="59"/>
      <c r="D241" s="123" t="s">
        <v>58</v>
      </c>
      <c r="E241" s="170">
        <v>36</v>
      </c>
      <c r="F241" s="151">
        <f t="shared" si="11"/>
        <v>3.5</v>
      </c>
      <c r="G241" s="151">
        <f t="shared" si="12"/>
        <v>3.5</v>
      </c>
      <c r="H241" s="152">
        <v>4080</v>
      </c>
      <c r="I241" s="153">
        <f t="shared" si="13"/>
        <v>10.7746478873239</v>
      </c>
      <c r="J241" s="142">
        <v>180</v>
      </c>
      <c r="K241" s="157">
        <f>SUM($J$207:J241)</f>
        <v>2940</v>
      </c>
    </row>
    <row r="242" ht="16.5" spans="1:12">
      <c r="A242" s="58"/>
      <c r="B242" s="58"/>
      <c r="C242" s="59"/>
      <c r="D242" s="123" t="s">
        <v>58</v>
      </c>
      <c r="E242" s="170">
        <v>37</v>
      </c>
      <c r="F242" s="151">
        <f t="shared" si="11"/>
        <v>3.6</v>
      </c>
      <c r="G242" s="151">
        <f t="shared" si="12"/>
        <v>3.6</v>
      </c>
      <c r="H242" s="152">
        <v>4200</v>
      </c>
      <c r="I242" s="153">
        <f t="shared" si="13"/>
        <v>11.0915492957746</v>
      </c>
      <c r="J242" s="142">
        <v>180</v>
      </c>
      <c r="K242" s="157">
        <f>SUM($J$207:J242)</f>
        <v>3120</v>
      </c>
    </row>
    <row r="243" ht="16.5" spans="1:12">
      <c r="A243" s="58"/>
      <c r="B243" s="58"/>
      <c r="C243" s="59"/>
      <c r="D243" s="123" t="s">
        <v>58</v>
      </c>
      <c r="E243" s="170">
        <v>38</v>
      </c>
      <c r="F243" s="151">
        <f t="shared" si="11"/>
        <v>3.7</v>
      </c>
      <c r="G243" s="151">
        <f t="shared" si="12"/>
        <v>3.7</v>
      </c>
      <c r="H243" s="152">
        <v>4320</v>
      </c>
      <c r="I243" s="153">
        <f t="shared" si="13"/>
        <v>11.4084507042254</v>
      </c>
      <c r="J243" s="142">
        <v>180</v>
      </c>
      <c r="K243" s="157">
        <f>SUM($J$207:J243)</f>
        <v>3300</v>
      </c>
    </row>
    <row r="244" ht="16.5" spans="1:12">
      <c r="A244" s="58"/>
      <c r="B244" s="58"/>
      <c r="C244" s="59"/>
      <c r="D244" s="123" t="s">
        <v>58</v>
      </c>
      <c r="E244" s="170">
        <v>39</v>
      </c>
      <c r="F244" s="151">
        <f t="shared" si="11"/>
        <v>3.8</v>
      </c>
      <c r="G244" s="151">
        <f t="shared" si="12"/>
        <v>3.8</v>
      </c>
      <c r="H244" s="152">
        <v>4440</v>
      </c>
      <c r="I244" s="153">
        <f t="shared" si="13"/>
        <v>11.7253521126761</v>
      </c>
      <c r="J244" s="142">
        <v>180</v>
      </c>
      <c r="K244" s="157">
        <f>SUM($J$207:J244)</f>
        <v>3480</v>
      </c>
    </row>
    <row r="245" ht="16.5" spans="1:12">
      <c r="A245" s="58"/>
      <c r="B245" s="58"/>
      <c r="C245" s="59"/>
      <c r="D245" s="123" t="s">
        <v>58</v>
      </c>
      <c r="E245" s="170">
        <v>40</v>
      </c>
      <c r="F245" s="151">
        <f t="shared" si="11"/>
        <v>3.9</v>
      </c>
      <c r="G245" s="151">
        <f t="shared" si="12"/>
        <v>3.9</v>
      </c>
      <c r="H245" s="152">
        <v>4560</v>
      </c>
      <c r="I245" s="153">
        <f t="shared" si="13"/>
        <v>12.0422535211268</v>
      </c>
      <c r="J245" s="142">
        <v>240</v>
      </c>
      <c r="K245" s="157">
        <f>SUM($J$207:J245)</f>
        <v>3720</v>
      </c>
    </row>
    <row r="246" ht="16.5" spans="1:12">
      <c r="A246" s="58"/>
      <c r="B246" s="58"/>
      <c r="C246" s="59"/>
      <c r="D246" s="123" t="s">
        <v>58</v>
      </c>
      <c r="E246" s="170">
        <v>41</v>
      </c>
      <c r="F246" s="151">
        <f t="shared" si="11"/>
        <v>4</v>
      </c>
      <c r="G246" s="151">
        <f t="shared" si="12"/>
        <v>4</v>
      </c>
      <c r="H246" s="152">
        <v>4680</v>
      </c>
      <c r="I246" s="153">
        <f t="shared" si="13"/>
        <v>12.3591549295775</v>
      </c>
      <c r="J246" s="142">
        <v>240</v>
      </c>
      <c r="K246" s="157">
        <f>SUM($J$207:J246)</f>
        <v>3960</v>
      </c>
    </row>
    <row r="247" ht="16.5" spans="1:12">
      <c r="A247" s="58"/>
      <c r="B247" s="58"/>
      <c r="C247" s="59"/>
      <c r="D247" s="123" t="s">
        <v>58</v>
      </c>
      <c r="E247" s="170">
        <v>42</v>
      </c>
      <c r="F247" s="151">
        <f t="shared" si="11"/>
        <v>4.1</v>
      </c>
      <c r="G247" s="151">
        <f t="shared" si="12"/>
        <v>4.1</v>
      </c>
      <c r="H247" s="152">
        <v>4800</v>
      </c>
      <c r="I247" s="153">
        <f t="shared" si="13"/>
        <v>12.6760563380282</v>
      </c>
      <c r="J247" s="142">
        <v>240</v>
      </c>
      <c r="K247" s="157">
        <f>SUM($J$207:J247)</f>
        <v>4200</v>
      </c>
    </row>
    <row r="248" ht="16.5" spans="1:12">
      <c r="A248" s="58"/>
      <c r="B248" s="58"/>
      <c r="C248" s="59"/>
      <c r="D248" s="123" t="s">
        <v>58</v>
      </c>
      <c r="E248" s="170">
        <v>43</v>
      </c>
      <c r="F248" s="151">
        <f t="shared" ref="F248:F255" si="16">VLOOKUP($D248,$D$38:$E$41,2,0)*($E248-1)</f>
        <v>4.2</v>
      </c>
      <c r="G248" s="151">
        <f t="shared" ref="G248:G255" si="17">VLOOKUP($D248,$D$38:$E$41,2,0)*($E248-1)</f>
        <v>4.2</v>
      </c>
      <c r="H248" s="152">
        <v>4920</v>
      </c>
      <c r="I248" s="153">
        <f t="shared" ref="I248:I255" si="18">H248*6/$E$13</f>
        <v>12.9929577464789</v>
      </c>
      <c r="J248" s="142">
        <v>240</v>
      </c>
      <c r="K248" s="157">
        <f>SUM($J$207:J248)</f>
        <v>4440</v>
      </c>
    </row>
    <row r="249" ht="16.5" spans="1:12">
      <c r="A249" s="58"/>
      <c r="B249" s="58"/>
      <c r="C249" s="59"/>
      <c r="D249" s="123" t="s">
        <v>58</v>
      </c>
      <c r="E249" s="170">
        <v>44</v>
      </c>
      <c r="F249" s="151">
        <f t="shared" si="16"/>
        <v>4.3</v>
      </c>
      <c r="G249" s="151">
        <f t="shared" si="17"/>
        <v>4.3</v>
      </c>
      <c r="H249" s="152">
        <v>5040</v>
      </c>
      <c r="I249" s="153">
        <f t="shared" si="18"/>
        <v>13.3098591549296</v>
      </c>
      <c r="J249" s="142">
        <v>240</v>
      </c>
      <c r="K249" s="157">
        <f>SUM($J$207:J249)</f>
        <v>4680</v>
      </c>
    </row>
    <row r="250" ht="16.5" spans="1:12">
      <c r="A250" s="58"/>
      <c r="B250" s="58"/>
      <c r="C250" s="59"/>
      <c r="D250" s="123" t="s">
        <v>58</v>
      </c>
      <c r="E250" s="170">
        <v>45</v>
      </c>
      <c r="F250" s="151">
        <f t="shared" si="16"/>
        <v>4.4</v>
      </c>
      <c r="G250" s="151">
        <f t="shared" si="17"/>
        <v>4.4</v>
      </c>
      <c r="H250" s="152">
        <v>5160</v>
      </c>
      <c r="I250" s="153">
        <f t="shared" si="18"/>
        <v>13.6267605633803</v>
      </c>
      <c r="J250" s="142">
        <v>360</v>
      </c>
      <c r="K250" s="157">
        <f>SUM($J$207:J250)</f>
        <v>5040</v>
      </c>
    </row>
    <row r="251" ht="16.5" spans="1:12">
      <c r="A251" s="58"/>
      <c r="B251" s="58"/>
      <c r="C251" s="59"/>
      <c r="D251" s="123" t="s">
        <v>58</v>
      </c>
      <c r="E251" s="170">
        <v>46</v>
      </c>
      <c r="F251" s="151">
        <f t="shared" si="16"/>
        <v>4.5</v>
      </c>
      <c r="G251" s="151">
        <f t="shared" si="17"/>
        <v>4.5</v>
      </c>
      <c r="H251" s="152">
        <v>5280</v>
      </c>
      <c r="I251" s="153">
        <f t="shared" si="18"/>
        <v>13.943661971831</v>
      </c>
      <c r="J251" s="142">
        <v>360</v>
      </c>
      <c r="K251" s="157">
        <f>SUM($J$207:J251)</f>
        <v>5400</v>
      </c>
    </row>
    <row r="252" ht="16.5" spans="1:12">
      <c r="A252" s="58"/>
      <c r="B252" s="58"/>
      <c r="C252" s="59"/>
      <c r="D252" s="123" t="s">
        <v>58</v>
      </c>
      <c r="E252" s="170">
        <v>47</v>
      </c>
      <c r="F252" s="151">
        <f t="shared" si="16"/>
        <v>4.6</v>
      </c>
      <c r="G252" s="151">
        <f t="shared" si="17"/>
        <v>4.6</v>
      </c>
      <c r="H252" s="152">
        <v>5400</v>
      </c>
      <c r="I252" s="153">
        <f t="shared" si="18"/>
        <v>14.2605633802817</v>
      </c>
      <c r="J252" s="142">
        <v>360</v>
      </c>
      <c r="K252" s="157">
        <f>SUM($J$207:J252)</f>
        <v>5760</v>
      </c>
    </row>
    <row r="253" ht="16.5" spans="1:12">
      <c r="A253" s="58"/>
      <c r="B253" s="58"/>
      <c r="C253" s="59"/>
      <c r="D253" s="123" t="s">
        <v>58</v>
      </c>
      <c r="E253" s="170">
        <v>48</v>
      </c>
      <c r="F253" s="151">
        <f t="shared" si="16"/>
        <v>4.7</v>
      </c>
      <c r="G253" s="151">
        <f t="shared" si="17"/>
        <v>4.7</v>
      </c>
      <c r="H253" s="152">
        <v>5520</v>
      </c>
      <c r="I253" s="153">
        <f t="shared" si="18"/>
        <v>14.5774647887324</v>
      </c>
      <c r="J253" s="142">
        <v>360</v>
      </c>
      <c r="K253" s="157">
        <f>SUM($J$207:J253)</f>
        <v>6120</v>
      </c>
    </row>
    <row r="254" ht="16.5" spans="1:12">
      <c r="A254" s="58"/>
      <c r="B254" s="58"/>
      <c r="C254" s="59"/>
      <c r="D254" s="123" t="s">
        <v>58</v>
      </c>
      <c r="E254" s="170">
        <v>49</v>
      </c>
      <c r="F254" s="151">
        <f t="shared" si="16"/>
        <v>4.8</v>
      </c>
      <c r="G254" s="151">
        <f t="shared" si="17"/>
        <v>4.8</v>
      </c>
      <c r="H254" s="152">
        <v>5640</v>
      </c>
      <c r="I254" s="153">
        <f t="shared" si="18"/>
        <v>14.8943661971831</v>
      </c>
      <c r="J254" s="142">
        <v>360</v>
      </c>
      <c r="K254" s="157">
        <f>SUM($J$207:J254)</f>
        <v>6480</v>
      </c>
    </row>
    <row r="255" ht="16.5" spans="1:12">
      <c r="A255" s="58"/>
      <c r="B255" s="58"/>
      <c r="C255" s="59"/>
      <c r="D255" s="123" t="s">
        <v>58</v>
      </c>
      <c r="E255" s="170">
        <v>50</v>
      </c>
      <c r="F255" s="151">
        <f t="shared" si="16"/>
        <v>4.9</v>
      </c>
      <c r="G255" s="151">
        <f t="shared" si="17"/>
        <v>4.9</v>
      </c>
      <c r="H255" s="142">
        <f>梦灵经验产出!K73</f>
        <v>0</v>
      </c>
      <c r="I255" s="153">
        <f t="shared" si="18"/>
        <v>0</v>
      </c>
      <c r="J255" s="142">
        <f>J250*2</f>
        <v>720</v>
      </c>
      <c r="K255" s="157">
        <f>SUM($J$207:J255)</f>
        <v>7200</v>
      </c>
    </row>
    <row r="256" ht="15.75" spans="1:12">
      <c r="A256" s="58"/>
      <c r="B256" s="58"/>
      <c r="C256" s="59"/>
      <c r="D256" s="71"/>
      <c r="E256" s="71"/>
      <c r="F256" s="171"/>
      <c r="G256" s="171"/>
      <c r="H256" s="58"/>
      <c r="I256" s="58"/>
      <c r="J256" s="58"/>
      <c r="K256" s="58"/>
      <c r="L256" s="58"/>
    </row>
    <row r="257" ht="15.75" spans="1:13">
      <c r="A257" s="58"/>
      <c r="B257" s="58"/>
      <c r="C257" s="59"/>
      <c r="D257" s="71"/>
      <c r="E257" s="71"/>
      <c r="F257" s="171"/>
      <c r="G257" s="171"/>
      <c r="H257" s="58"/>
      <c r="I257" s="58"/>
      <c r="J257" s="58"/>
      <c r="K257" s="58"/>
      <c r="L257" s="58"/>
    </row>
    <row r="258" ht="15.75" spans="1:13">
      <c r="A258" s="58"/>
      <c r="B258" s="58"/>
      <c r="C258" s="59"/>
      <c r="D258" s="58"/>
      <c r="E258" s="58"/>
      <c r="F258" s="58"/>
      <c r="G258" s="58"/>
      <c r="H258" s="58"/>
      <c r="I258" s="58"/>
      <c r="J258" s="58"/>
      <c r="K258" s="58"/>
      <c r="L258" s="58"/>
      <c r="M258" s="58"/>
    </row>
    <row r="259" ht="15.75" spans="1:13">
      <c r="A259" s="58"/>
      <c r="B259" s="58"/>
      <c r="C259" s="59"/>
      <c r="D259" s="58"/>
      <c r="E259" s="58"/>
      <c r="F259" s="58"/>
      <c r="G259" s="58"/>
      <c r="H259" s="58"/>
      <c r="I259" s="58"/>
      <c r="J259" s="58"/>
      <c r="K259" s="58"/>
      <c r="L259" s="58"/>
      <c r="M259" s="58"/>
    </row>
    <row r="260" ht="15.75" spans="1:13">
      <c r="A260" s="57" t="s">
        <v>19</v>
      </c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</row>
  </sheetData>
  <mergeCells count="2">
    <mergeCell ref="F54:G54"/>
    <mergeCell ref="H54:J54"/>
  </mergeCells>
  <pageMargins left="0.75" right="0.75" top="1" bottom="1" header="0.5" footer="0.5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Y218"/>
  <sheetViews>
    <sheetView topLeftCell="A127" workbookViewId="0">
      <selection activeCell="F162" sqref="F162"/>
    </sheetView>
  </sheetViews>
  <sheetFormatPr defaultColWidth="9.14285714285714" defaultRowHeight="16.5"/>
  <cols>
    <col min="2" max="2" width="2.71428571428571" customWidth="1"/>
    <col min="4" max="4" width="9.14285714285714" style="22"/>
    <col min="5" max="5" width="13.4285714285714" style="22" customWidth="1"/>
    <col min="6" max="6" width="19.7142857142857" style="22" customWidth="1"/>
    <col min="7" max="12" width="12.1428571428571" style="22" customWidth="1"/>
    <col min="13" max="13" width="43.7142857142857" style="22" customWidth="1"/>
    <col min="14" max="14" width="12.8571428571429"/>
    <col min="15" max="19" width="11.2857142857143" customWidth="1"/>
    <col min="20" max="20" width="14.5714285714286"/>
    <col min="21" max="29" width="12.8571428571429"/>
    <col min="34" max="42" width="9.57142857142857"/>
    <col min="43" max="44" width="12.5714285714286" customWidth="1"/>
    <col min="45" max="45" width="13.7142857142857" customWidth="1"/>
    <col min="46" max="50" width="9.57142857142857"/>
    <col min="62" max="62" width="10.5714285714286"/>
    <col min="63" max="69" width="9.57142857142857"/>
  </cols>
  <sheetData>
    <row r="1" spans="1:51">
      <c r="A1" s="57" t="s">
        <v>31</v>
      </c>
      <c r="B1" s="57"/>
      <c r="C1" s="57"/>
      <c r="D1" s="69"/>
      <c r="E1" s="69"/>
      <c r="F1" s="69"/>
      <c r="G1" s="69"/>
      <c r="H1" s="69"/>
      <c r="I1" s="69"/>
      <c r="M1" s="22">
        <f>13.5+10+2</f>
        <v>25.5</v>
      </c>
      <c r="N1">
        <f>13.5/M1</f>
        <v>0.529411764705882</v>
      </c>
    </row>
    <row r="2" spans="1:51">
      <c r="A2" s="58"/>
      <c r="B2" s="58"/>
      <c r="C2" s="59"/>
      <c r="D2" s="70"/>
      <c r="E2" s="70"/>
      <c r="F2" s="70"/>
      <c r="G2" s="70"/>
      <c r="H2" s="70"/>
      <c r="I2" s="70"/>
      <c r="M2" s="22" t="s">
        <v>99</v>
      </c>
    </row>
    <row r="3" spans="1:51">
      <c r="A3" s="60"/>
      <c r="B3" s="61"/>
      <c r="C3" s="62" t="s">
        <v>100</v>
      </c>
      <c r="G3" s="22">
        <v>12</v>
      </c>
      <c r="H3" s="22">
        <v>12</v>
      </c>
      <c r="I3" s="70">
        <v>2</v>
      </c>
      <c r="K3" s="22" t="s">
        <v>101</v>
      </c>
      <c r="L3" s="22">
        <v>9</v>
      </c>
      <c r="M3" s="22" t="s">
        <v>102</v>
      </c>
      <c r="N3" s="108">
        <v>6</v>
      </c>
      <c r="P3">
        <f>1200*3</f>
        <v>3600</v>
      </c>
      <c r="Q3">
        <f>2400*7</f>
        <v>16800</v>
      </c>
      <c r="R3" t="e">
        <f>#REF!-P3-Q3</f>
        <v>#REF!</v>
      </c>
    </row>
    <row r="4" spans="1:51">
      <c r="A4" s="60"/>
      <c r="B4" s="62"/>
      <c r="C4" s="62"/>
      <c r="I4" s="70"/>
      <c r="L4" s="22">
        <f>3*1.5</f>
        <v>4.5</v>
      </c>
      <c r="M4" s="22" t="s">
        <v>103</v>
      </c>
      <c r="P4">
        <v>3</v>
      </c>
      <c r="Q4">
        <v>7</v>
      </c>
      <c r="R4">
        <v>2</v>
      </c>
      <c r="AY4" t="s">
        <v>104</v>
      </c>
    </row>
    <row r="5" spans="1:51">
      <c r="A5" s="60"/>
      <c r="B5" s="22"/>
      <c r="C5" s="62"/>
      <c r="D5" s="22" t="s">
        <v>105</v>
      </c>
      <c r="H5" s="35" t="s">
        <v>106</v>
      </c>
      <c r="I5" s="70"/>
      <c r="L5" s="22">
        <f>L4+L3</f>
        <v>13.5</v>
      </c>
      <c r="M5" s="22">
        <v>12</v>
      </c>
      <c r="N5">
        <v>2</v>
      </c>
      <c r="S5" s="22">
        <v>300</v>
      </c>
      <c r="X5">
        <v>1000</v>
      </c>
      <c r="AA5">
        <v>2000</v>
      </c>
      <c r="AG5">
        <v>4000</v>
      </c>
      <c r="AP5">
        <v>51010001</v>
      </c>
      <c r="AQ5">
        <v>51010002</v>
      </c>
      <c r="AR5">
        <v>51010003</v>
      </c>
      <c r="AS5">
        <v>51010004</v>
      </c>
      <c r="AT5">
        <v>51010005</v>
      </c>
      <c r="AU5">
        <v>51010006</v>
      </c>
      <c r="AV5">
        <v>51010007</v>
      </c>
      <c r="AW5">
        <v>51010008</v>
      </c>
      <c r="AX5">
        <v>51010009</v>
      </c>
    </row>
    <row r="6" spans="1:51">
      <c r="A6" s="60"/>
      <c r="C6" s="3"/>
      <c r="D6" s="2" t="s">
        <v>107</v>
      </c>
      <c r="E6" s="2" t="s">
        <v>108</v>
      </c>
      <c r="F6" s="2" t="s">
        <v>109</v>
      </c>
      <c r="G6" s="2" t="s">
        <v>110</v>
      </c>
      <c r="H6" s="2" t="s">
        <v>111</v>
      </c>
      <c r="I6" s="2" t="s">
        <v>112</v>
      </c>
      <c r="J6" s="2" t="s">
        <v>113</v>
      </c>
      <c r="K6" s="2" t="s">
        <v>114</v>
      </c>
      <c r="L6" s="2" t="s">
        <v>115</v>
      </c>
      <c r="M6" s="2" t="s">
        <v>116</v>
      </c>
      <c r="N6" t="s">
        <v>117</v>
      </c>
      <c r="S6" t="s">
        <v>118</v>
      </c>
      <c r="T6" t="s">
        <v>119</v>
      </c>
      <c r="X6" t="s">
        <v>120</v>
      </c>
      <c r="Y6" t="s">
        <v>119</v>
      </c>
      <c r="AA6" t="s">
        <v>121</v>
      </c>
      <c r="AB6" t="s">
        <v>119</v>
      </c>
      <c r="AD6" t="s">
        <v>122</v>
      </c>
      <c r="AE6" t="s">
        <v>119</v>
      </c>
      <c r="AG6" t="s">
        <v>123</v>
      </c>
      <c r="AH6" t="s">
        <v>119</v>
      </c>
      <c r="AL6" t="s">
        <v>124</v>
      </c>
      <c r="AP6" t="s">
        <v>125</v>
      </c>
      <c r="AQ6" t="s">
        <v>126</v>
      </c>
      <c r="AR6" t="s">
        <v>127</v>
      </c>
      <c r="AS6" t="s">
        <v>128</v>
      </c>
      <c r="AT6" t="s">
        <v>129</v>
      </c>
      <c r="AU6" t="s">
        <v>130</v>
      </c>
      <c r="AV6" t="s">
        <v>131</v>
      </c>
      <c r="AW6" t="s">
        <v>132</v>
      </c>
      <c r="AX6" t="s">
        <v>133</v>
      </c>
    </row>
    <row r="7" spans="1:51">
      <c r="A7" s="60">
        <v>1</v>
      </c>
      <c r="B7">
        <v>10</v>
      </c>
      <c r="C7" s="3" t="str">
        <f>"{"&amp;N7&amp;","&amp;B7&amp;"}"</f>
        <v>{1310100,10}</v>
      </c>
      <c r="D7" s="35">
        <v>1</v>
      </c>
      <c r="E7" s="109">
        <v>0</v>
      </c>
      <c r="F7" s="107" t="s">
        <v>125</v>
      </c>
      <c r="G7" s="35">
        <v>3</v>
      </c>
      <c r="H7" s="110">
        <v>1</v>
      </c>
      <c r="I7" s="110">
        <f t="shared" ref="I7:I15" si="0">MAX($E7-$F$70,0)/$E$70</f>
        <v>0</v>
      </c>
      <c r="J7" s="110">
        <f t="shared" ref="J7:J15" si="1">MAX($E7-$F$71,0)/$E$71</f>
        <v>0</v>
      </c>
      <c r="K7" s="110">
        <f t="shared" ref="K7:K15" si="2">MAX($E7-$F$72,0)/$E$72</f>
        <v>0</v>
      </c>
      <c r="L7" s="109">
        <v>1</v>
      </c>
      <c r="M7" s="111"/>
      <c r="N7" s="44">
        <v>1310100</v>
      </c>
      <c r="P7" t="str">
        <f>"["&amp;_xlfn.TEXTJOIN(",",1,$N$7:N7)&amp;"]"</f>
        <v>[1310100]</v>
      </c>
      <c r="S7">
        <v>10</v>
      </c>
      <c r="T7" t="s">
        <v>134</v>
      </c>
      <c r="X7" t="s">
        <v>135</v>
      </c>
      <c r="Y7" t="s">
        <v>136</v>
      </c>
      <c r="AA7" t="s">
        <v>137</v>
      </c>
      <c r="AB7" t="s">
        <v>138</v>
      </c>
      <c r="AD7" t="s">
        <v>139</v>
      </c>
      <c r="AE7" t="s">
        <v>140</v>
      </c>
      <c r="AG7" t="s">
        <v>141</v>
      </c>
      <c r="AH7" t="s">
        <v>142</v>
      </c>
      <c r="AL7">
        <v>10</v>
      </c>
      <c r="AM7" t="s">
        <v>134</v>
      </c>
      <c r="AO7" cm="1">
        <f t="array" ref="AO7">SUM(AP7:AX7)-SUMPRODUCT(--(BJ7:BQ7&gt;0))</f>
        <v>5</v>
      </c>
      <c r="AP7">
        <v>2</v>
      </c>
      <c r="AQ7">
        <v>1</v>
      </c>
      <c r="AR7">
        <v>1</v>
      </c>
      <c r="AS7">
        <v>1</v>
      </c>
      <c r="AY7" t="str">
        <f>"["&amp;_xlfn.TEXTJOIN(",",1,BR7:BZ39)&amp;"]"</f>
        <v>[]</v>
      </c>
    </row>
    <row r="8" spans="1:51">
      <c r="A8" s="60"/>
      <c r="B8">
        <v>10</v>
      </c>
      <c r="C8" s="3" t="str">
        <f t="shared" ref="C8:C16" si="3">"{"&amp;N8&amp;","&amp;B8&amp;"}"</f>
        <v>{1210400,10}</v>
      </c>
      <c r="D8" s="35">
        <v>2</v>
      </c>
      <c r="E8" s="109">
        <v>0</v>
      </c>
      <c r="F8" s="107" t="s">
        <v>126</v>
      </c>
      <c r="G8" s="35">
        <v>3</v>
      </c>
      <c r="H8" s="110">
        <v>1</v>
      </c>
      <c r="I8" s="110">
        <f t="shared" si="0"/>
        <v>0</v>
      </c>
      <c r="J8" s="110">
        <f t="shared" si="1"/>
        <v>0</v>
      </c>
      <c r="K8" s="110">
        <f t="shared" si="2"/>
        <v>0</v>
      </c>
      <c r="L8" s="109">
        <v>1</v>
      </c>
      <c r="M8" s="111"/>
      <c r="N8" s="44">
        <v>1210400</v>
      </c>
      <c r="P8" t="str">
        <f>"["&amp;_xlfn.TEXTJOIN(",",1,$N$7:N8)&amp;"]"</f>
        <v>[1310100,1210400]</v>
      </c>
      <c r="S8">
        <v>20</v>
      </c>
      <c r="T8" t="s">
        <v>143</v>
      </c>
      <c r="X8" t="s">
        <v>144</v>
      </c>
      <c r="Y8" t="s">
        <v>136</v>
      </c>
      <c r="AA8" t="s">
        <v>145</v>
      </c>
      <c r="AB8" t="s">
        <v>146</v>
      </c>
      <c r="AD8" t="s">
        <v>147</v>
      </c>
      <c r="AE8" t="s">
        <v>148</v>
      </c>
      <c r="AG8" t="s">
        <v>149</v>
      </c>
      <c r="AH8" t="s">
        <v>150</v>
      </c>
      <c r="AK8">
        <v>4</v>
      </c>
      <c r="AL8">
        <v>20</v>
      </c>
      <c r="AM8" t="s">
        <v>143</v>
      </c>
      <c r="AO8" cm="1">
        <f t="array" ref="AO8">SUM(AP8:AX8)-SUMPRODUCT(--(BJ8:BQ8&gt;0))</f>
        <v>5</v>
      </c>
      <c r="AP8">
        <v>3</v>
      </c>
      <c r="AQ8">
        <v>1</v>
      </c>
      <c r="AR8">
        <v>1</v>
      </c>
    </row>
    <row r="9" spans="1:51">
      <c r="A9" s="60"/>
      <c r="B9">
        <v>10</v>
      </c>
      <c r="C9" s="3" t="str">
        <f t="shared" si="3"/>
        <v>{1230100,10}</v>
      </c>
      <c r="D9" s="35">
        <v>3</v>
      </c>
      <c r="E9" s="109">
        <v>0</v>
      </c>
      <c r="F9" s="107" t="s">
        <v>127</v>
      </c>
      <c r="G9" s="35">
        <v>3</v>
      </c>
      <c r="H9" s="110">
        <v>1</v>
      </c>
      <c r="I9" s="110">
        <f t="shared" si="0"/>
        <v>0</v>
      </c>
      <c r="J9" s="110">
        <f t="shared" si="1"/>
        <v>0</v>
      </c>
      <c r="K9" s="110">
        <f t="shared" si="2"/>
        <v>0</v>
      </c>
      <c r="L9" s="109">
        <v>1</v>
      </c>
      <c r="M9" s="111"/>
      <c r="N9" s="44">
        <v>1230100</v>
      </c>
      <c r="P9" t="str">
        <f>"["&amp;_xlfn.TEXTJOIN(",",1,$N$7:N9)&amp;"]"</f>
        <v>[1310100,1210400,1230100]</v>
      </c>
      <c r="S9">
        <v>30</v>
      </c>
      <c r="T9" t="s">
        <v>151</v>
      </c>
      <c r="X9" t="s">
        <v>152</v>
      </c>
      <c r="Y9" t="s">
        <v>136</v>
      </c>
      <c r="AD9" t="s">
        <v>153</v>
      </c>
      <c r="AE9" t="s">
        <v>154</v>
      </c>
      <c r="AG9" t="s">
        <v>155</v>
      </c>
      <c r="AH9" t="s">
        <v>156</v>
      </c>
      <c r="AL9">
        <v>30</v>
      </c>
      <c r="AM9" t="s">
        <v>151</v>
      </c>
      <c r="AO9" cm="1">
        <f t="array" ref="AO9">SUM(AP9:AX9)-SUMPRODUCT(--(BJ9:BQ9&gt;0))</f>
        <v>8</v>
      </c>
      <c r="AP9">
        <v>4</v>
      </c>
      <c r="AQ9">
        <v>1</v>
      </c>
      <c r="AR9">
        <v>2</v>
      </c>
      <c r="AS9">
        <v>1</v>
      </c>
    </row>
    <row r="10" spans="1:51">
      <c r="A10" s="60"/>
      <c r="B10">
        <v>5</v>
      </c>
      <c r="C10" s="3" t="str">
        <f t="shared" si="3"/>
        <v>{1420200,5}</v>
      </c>
      <c r="D10" s="35">
        <v>4</v>
      </c>
      <c r="E10" s="109">
        <v>10</v>
      </c>
      <c r="F10" s="35" t="s">
        <v>128</v>
      </c>
      <c r="G10" s="35">
        <v>3</v>
      </c>
      <c r="H10" s="110">
        <v>1</v>
      </c>
      <c r="I10" s="110">
        <f t="shared" si="0"/>
        <v>0</v>
      </c>
      <c r="J10" s="110">
        <f t="shared" si="1"/>
        <v>0</v>
      </c>
      <c r="K10" s="110">
        <f t="shared" si="2"/>
        <v>0</v>
      </c>
      <c r="L10" s="109">
        <v>2</v>
      </c>
      <c r="M10" s="111"/>
      <c r="N10" s="44">
        <v>1420200</v>
      </c>
      <c r="P10" t="str">
        <f>"["&amp;_xlfn.TEXTJOIN(",",1,$N$7:N10)&amp;"]"</f>
        <v>[1310100,1210400,1230100,1420200]</v>
      </c>
      <c r="S10">
        <v>40</v>
      </c>
      <c r="T10" t="s">
        <v>157</v>
      </c>
      <c r="X10" t="s">
        <v>158</v>
      </c>
      <c r="Y10" t="s">
        <v>136</v>
      </c>
      <c r="AL10">
        <v>40</v>
      </c>
      <c r="AM10" t="s">
        <v>157</v>
      </c>
      <c r="AO10" cm="1">
        <f t="array" ref="AO10">SUM(AP10:AX10)-SUMPRODUCT(--(BJ10:BQ10&gt;0))</f>
        <v>6</v>
      </c>
      <c r="AP10">
        <v>3</v>
      </c>
      <c r="AR10">
        <v>2</v>
      </c>
      <c r="AT10">
        <v>1</v>
      </c>
    </row>
    <row r="11" spans="1:51">
      <c r="A11" s="60"/>
      <c r="B11">
        <v>5</v>
      </c>
      <c r="C11" s="3" t="str">
        <f t="shared" si="3"/>
        <v>{1420200,5}</v>
      </c>
      <c r="D11" s="35">
        <v>5</v>
      </c>
      <c r="E11" s="109">
        <v>10</v>
      </c>
      <c r="F11" s="112" t="s">
        <v>128</v>
      </c>
      <c r="G11" s="35">
        <v>4</v>
      </c>
      <c r="H11" s="110">
        <v>1</v>
      </c>
      <c r="I11" s="110">
        <f t="shared" si="0"/>
        <v>0</v>
      </c>
      <c r="J11" s="110">
        <f t="shared" si="1"/>
        <v>0</v>
      </c>
      <c r="K11" s="110">
        <f t="shared" si="2"/>
        <v>0</v>
      </c>
      <c r="M11" s="111"/>
      <c r="N11" s="44">
        <v>1420200</v>
      </c>
      <c r="P11" t="str">
        <f>"["&amp;_xlfn.TEXTJOIN(",",1,$N$7:N11)&amp;"]"</f>
        <v>[1310100,1210400,1230100,1420200,1420200]</v>
      </c>
      <c r="S11">
        <v>50</v>
      </c>
      <c r="T11" t="s">
        <v>159</v>
      </c>
      <c r="X11" t="s">
        <v>160</v>
      </c>
      <c r="Y11" t="s">
        <v>136</v>
      </c>
      <c r="AL11">
        <v>50</v>
      </c>
      <c r="AM11" t="s">
        <v>159</v>
      </c>
      <c r="AO11" cm="1">
        <f t="array" ref="AO11">SUM(AP11:AX11)-SUMPRODUCT(--(BJ11:BQ11&gt;0))</f>
        <v>8</v>
      </c>
      <c r="AP11">
        <v>4</v>
      </c>
      <c r="AQ11">
        <v>1</v>
      </c>
      <c r="AR11">
        <v>3</v>
      </c>
    </row>
    <row r="12" spans="1:51">
      <c r="A12" s="60"/>
      <c r="B12">
        <v>5</v>
      </c>
      <c r="C12" s="3" t="str">
        <f t="shared" si="3"/>
        <v>{1320100,5}</v>
      </c>
      <c r="D12" s="35">
        <v>6</v>
      </c>
      <c r="E12" s="109">
        <v>40</v>
      </c>
      <c r="F12" s="112" t="s">
        <v>161</v>
      </c>
      <c r="G12" s="35">
        <v>4</v>
      </c>
      <c r="H12" s="110">
        <v>1</v>
      </c>
      <c r="I12" s="110">
        <f t="shared" si="0"/>
        <v>0</v>
      </c>
      <c r="J12" s="110">
        <f t="shared" si="1"/>
        <v>0</v>
      </c>
      <c r="K12" s="110">
        <f t="shared" si="2"/>
        <v>0</v>
      </c>
      <c r="L12" s="109">
        <v>4</v>
      </c>
      <c r="M12" s="113"/>
      <c r="N12" s="44">
        <v>1320100</v>
      </c>
      <c r="P12" t="str">
        <f>"["&amp;_xlfn.TEXTJOIN(",",1,$N$7:N12)&amp;"]"</f>
        <v>[1310100,1210400,1230100,1420200,1420200,1320100]</v>
      </c>
      <c r="S12">
        <v>60</v>
      </c>
      <c r="T12" t="s">
        <v>162</v>
      </c>
      <c r="W12">
        <f>260/100</f>
        <v>2.6</v>
      </c>
      <c r="X12" t="s">
        <v>163</v>
      </c>
      <c r="Y12" t="s">
        <v>164</v>
      </c>
      <c r="AK12">
        <v>15</v>
      </c>
      <c r="AL12">
        <v>60</v>
      </c>
      <c r="AM12" t="s">
        <v>162</v>
      </c>
      <c r="AO12" cm="1">
        <f t="array" ref="AO12">SUM(AP12:AX12)-SUMPRODUCT(--(BJ12:BQ12&gt;0))</f>
        <v>7</v>
      </c>
      <c r="AP12">
        <v>3</v>
      </c>
      <c r="AQ12">
        <v>2</v>
      </c>
      <c r="AR12">
        <v>2</v>
      </c>
    </row>
    <row r="13" spans="1:51">
      <c r="A13" s="60"/>
      <c r="B13">
        <v>5</v>
      </c>
      <c r="C13" s="3" t="str">
        <f t="shared" si="3"/>
        <v>{1310300,5}</v>
      </c>
      <c r="D13" s="35">
        <v>7</v>
      </c>
      <c r="E13" s="109">
        <v>100</v>
      </c>
      <c r="F13" s="107" t="s">
        <v>132</v>
      </c>
      <c r="G13" s="35">
        <v>4</v>
      </c>
      <c r="H13" s="110">
        <v>1</v>
      </c>
      <c r="I13" s="110">
        <f t="shared" si="0"/>
        <v>0</v>
      </c>
      <c r="J13" s="110">
        <f t="shared" si="1"/>
        <v>0</v>
      </c>
      <c r="K13" s="110">
        <f t="shared" si="2"/>
        <v>0</v>
      </c>
      <c r="L13" s="109">
        <v>8</v>
      </c>
      <c r="M13" s="111"/>
      <c r="N13" s="44">
        <v>1310300</v>
      </c>
      <c r="P13" t="str">
        <f>"["&amp;_xlfn.TEXTJOIN(",",1,$N$7:N13)&amp;"]"</f>
        <v>[1310100,1210400,1230100,1420200,1420200,1320100,1310300]</v>
      </c>
      <c r="S13">
        <v>70</v>
      </c>
      <c r="T13" t="s">
        <v>165</v>
      </c>
      <c r="X13" t="s">
        <v>166</v>
      </c>
      <c r="Y13" t="s">
        <v>164</v>
      </c>
      <c r="AL13">
        <v>70</v>
      </c>
      <c r="AO13" cm="1">
        <f t="array" ref="AO13">SUM(AP13:AX13)-SUMPRODUCT(--(BJ13:BQ13&gt;0))</f>
        <v>7</v>
      </c>
      <c r="AQ13">
        <v>3</v>
      </c>
      <c r="AR13">
        <v>3</v>
      </c>
      <c r="AS13">
        <v>1</v>
      </c>
    </row>
    <row r="14" spans="1:51">
      <c r="A14" s="60"/>
      <c r="B14">
        <v>5</v>
      </c>
      <c r="C14" s="3" t="str">
        <f t="shared" si="3"/>
        <v>{1210600,5}</v>
      </c>
      <c r="D14" s="35">
        <v>8</v>
      </c>
      <c r="E14" s="109">
        <v>190</v>
      </c>
      <c r="F14" s="107" t="s">
        <v>130</v>
      </c>
      <c r="G14" s="35">
        <v>4</v>
      </c>
      <c r="H14" s="110">
        <v>2</v>
      </c>
      <c r="I14" s="110">
        <f t="shared" si="0"/>
        <v>0</v>
      </c>
      <c r="J14" s="110">
        <f t="shared" si="1"/>
        <v>0</v>
      </c>
      <c r="K14" s="110">
        <f t="shared" si="2"/>
        <v>0</v>
      </c>
      <c r="L14" s="109">
        <v>11</v>
      </c>
      <c r="M14" s="111"/>
      <c r="N14" s="44">
        <v>1210600</v>
      </c>
      <c r="P14" t="str">
        <f>"["&amp;_xlfn.TEXTJOIN(",",1,$N$7:N14)&amp;"]"</f>
        <v>[1310100,1210400,1230100,1420200,1420200,1320100,1310300,1210600]</v>
      </c>
      <c r="S14">
        <v>80</v>
      </c>
      <c r="X14" t="s">
        <v>167</v>
      </c>
      <c r="Y14" t="s">
        <v>164</v>
      </c>
      <c r="AL14">
        <v>80</v>
      </c>
      <c r="AO14" cm="1">
        <f t="array" ref="AO14">SUM(AP14:AX14)-SUMPRODUCT(--(BJ14:BQ14&gt;0))</f>
        <v>5</v>
      </c>
      <c r="AQ14">
        <v>2</v>
      </c>
      <c r="AR14">
        <v>2</v>
      </c>
      <c r="AT14">
        <v>1</v>
      </c>
    </row>
    <row r="15" spans="1:51">
      <c r="A15" s="60"/>
      <c r="B15">
        <v>5</v>
      </c>
      <c r="C15" s="3" t="str">
        <f t="shared" si="3"/>
        <v>{1230400,5}</v>
      </c>
      <c r="D15" s="35">
        <v>9</v>
      </c>
      <c r="E15" s="109">
        <v>250</v>
      </c>
      <c r="F15" s="107" t="s">
        <v>131</v>
      </c>
      <c r="G15" s="35">
        <v>4</v>
      </c>
      <c r="H15" s="110">
        <v>2</v>
      </c>
      <c r="I15" s="110">
        <f t="shared" si="0"/>
        <v>0</v>
      </c>
      <c r="J15" s="110">
        <f t="shared" si="1"/>
        <v>0</v>
      </c>
      <c r="K15" s="110">
        <f t="shared" si="2"/>
        <v>0</v>
      </c>
      <c r="L15" s="109">
        <v>14</v>
      </c>
      <c r="M15" s="111"/>
      <c r="N15" s="44">
        <v>1230400</v>
      </c>
      <c r="P15" t="str">
        <f>"["&amp;_xlfn.TEXTJOIN(",",1,$N$7:N15)&amp;"]"</f>
        <v>[1310100,1210400,1230100,1420200,1420200,1320100,1310300,1210600,1230400]</v>
      </c>
      <c r="S15">
        <v>90</v>
      </c>
      <c r="T15" t="s">
        <v>168</v>
      </c>
      <c r="X15" t="s">
        <v>169</v>
      </c>
      <c r="Y15" t="s">
        <v>164</v>
      </c>
      <c r="AK15">
        <v>15</v>
      </c>
      <c r="AL15">
        <v>90</v>
      </c>
      <c r="AM15" t="s">
        <v>168</v>
      </c>
      <c r="AO15" cm="1">
        <f t="array" ref="AO15">SUM(AP15:AX15)-SUMPRODUCT(--(BJ15:BQ15&gt;0))</f>
        <v>6</v>
      </c>
      <c r="AQ15">
        <v>3</v>
      </c>
      <c r="AR15">
        <v>3</v>
      </c>
    </row>
    <row r="16" spans="1:51">
      <c r="A16" s="60"/>
      <c r="C16" s="3"/>
      <c r="D16" s="35">
        <v>10</v>
      </c>
      <c r="E16" s="109">
        <v>350</v>
      </c>
      <c r="F16" s="107" t="s">
        <v>170</v>
      </c>
      <c r="G16" s="35">
        <v>5</v>
      </c>
      <c r="H16" s="110">
        <f>MAX($E16-$F$69*0.05)/$E$69</f>
        <v>3.03591160220996</v>
      </c>
      <c r="I16" s="110">
        <f>MAX($E16-$F$70*0.2,0)/$E$70</f>
        <v>1.50658857979502</v>
      </c>
      <c r="J16" s="110">
        <f>MAX($E16-$F$71*0.2,0)/$E$71</f>
        <v>0.94360385144429</v>
      </c>
      <c r="K16" s="110">
        <f>MAX($E16-$F$72*0.2,0)/$E$72</f>
        <v>0.713654096228869</v>
      </c>
      <c r="L16" s="109">
        <v>16</v>
      </c>
      <c r="M16" s="114"/>
      <c r="N16" s="44">
        <v>1210700</v>
      </c>
      <c r="P16" t="str">
        <f>"["&amp;_xlfn.TEXTJOIN(",",1,$N$7:N16)&amp;"]"</f>
        <v>[1310100,1210400,1230100,1420200,1420200,1320100,1310300,1210600,1230400,1210700]</v>
      </c>
      <c r="S16">
        <v>100</v>
      </c>
      <c r="T16" t="s">
        <v>171</v>
      </c>
      <c r="X16" t="s">
        <v>172</v>
      </c>
      <c r="Y16" t="s">
        <v>164</v>
      </c>
      <c r="AL16">
        <v>100</v>
      </c>
      <c r="AM16" t="s">
        <v>165</v>
      </c>
      <c r="AO16" cm="1">
        <f t="array" ref="AO16">SUM(AP16:AX16)-SUMPRODUCT(--(BJ16:BQ16&gt;0))</f>
        <v>3</v>
      </c>
      <c r="AQ16">
        <v>2</v>
      </c>
      <c r="AU16">
        <v>1</v>
      </c>
    </row>
    <row r="17" spans="1:49">
      <c r="A17" s="60"/>
      <c r="C17" s="3"/>
      <c r="D17" s="35">
        <v>11</v>
      </c>
      <c r="E17" s="109">
        <v>500</v>
      </c>
      <c r="F17" s="107" t="s">
        <v>173</v>
      </c>
      <c r="G17" s="35">
        <v>5</v>
      </c>
      <c r="H17" s="110">
        <f>MAX($E17-$F$69*0.3)/$E$69</f>
        <v>2.74585635359117</v>
      </c>
      <c r="I17" s="110">
        <f>MAX($E17-$F$70*0.6,0)/$E$70</f>
        <v>0.292093704245974</v>
      </c>
      <c r="J17" s="110">
        <f>MAX($E17-$F$71*0.6,0)/$E$71</f>
        <v>0.182943603851444</v>
      </c>
      <c r="K17" s="110">
        <f>MAX($E17-$F$72*0.6,0)/$E$72</f>
        <v>0.138361508452536</v>
      </c>
      <c r="L17" s="109">
        <v>20</v>
      </c>
      <c r="M17" s="111"/>
      <c r="N17" s="44">
        <v>1130100</v>
      </c>
      <c r="P17" t="str">
        <f>"["&amp;_xlfn.TEXTJOIN(",",1,$N$7:N17)&amp;"]"</f>
        <v>[1310100,1210400,1230100,1420200,1420200,1320100,1310300,1210600,1230400,1210700,1130100]</v>
      </c>
      <c r="Q17" s="115" t="s">
        <v>174</v>
      </c>
      <c r="S17">
        <v>110</v>
      </c>
      <c r="T17" t="s">
        <v>175</v>
      </c>
      <c r="X17" t="s">
        <v>176</v>
      </c>
      <c r="Y17" t="s">
        <v>177</v>
      </c>
      <c r="AK17">
        <v>15</v>
      </c>
      <c r="AL17">
        <v>110</v>
      </c>
      <c r="AM17" t="s">
        <v>175</v>
      </c>
      <c r="AO17" cm="1">
        <f t="array" ref="AO17">SUM(AP17:AX17)-SUMPRODUCT(--(BJ17:BQ17&gt;0))</f>
        <v>5</v>
      </c>
      <c r="AQ17">
        <v>3</v>
      </c>
      <c r="AS17">
        <v>1</v>
      </c>
      <c r="AU17">
        <v>1</v>
      </c>
    </row>
    <row r="18" spans="1:49">
      <c r="A18" s="60"/>
      <c r="C18" s="3"/>
      <c r="D18" s="35">
        <v>12</v>
      </c>
      <c r="E18" s="109"/>
      <c r="F18" s="107" t="s">
        <v>178</v>
      </c>
      <c r="G18" s="35">
        <v>5</v>
      </c>
      <c r="H18" s="110"/>
      <c r="I18" s="110"/>
      <c r="J18" s="110"/>
      <c r="K18" s="110"/>
      <c r="L18" s="109"/>
      <c r="M18" s="111"/>
      <c r="N18" s="44">
        <v>1530100</v>
      </c>
      <c r="P18" t="str">
        <f>"["&amp;_xlfn.TEXTJOIN(",",1,$N$7:N18)&amp;"]"</f>
        <v>[1310100,1210400,1230100,1420200,1420200,1320100,1310300,1210600,1230400,1210700,1130100,1530100]</v>
      </c>
      <c r="Q18" s="115" t="s">
        <v>179</v>
      </c>
      <c r="S18">
        <v>120</v>
      </c>
      <c r="X18" t="s">
        <v>180</v>
      </c>
      <c r="Y18" t="s">
        <v>177</v>
      </c>
      <c r="AL18">
        <v>120</v>
      </c>
      <c r="AO18" cm="1">
        <f t="array" ref="AO18">SUM(AP18:AX18)-SUMPRODUCT(--(BJ18:BQ18&gt;0))</f>
        <v>1</v>
      </c>
      <c r="AT18">
        <v>1</v>
      </c>
    </row>
    <row r="19" spans="1:49">
      <c r="A19" s="60"/>
      <c r="C19" s="3"/>
      <c r="D19" s="35">
        <v>13</v>
      </c>
      <c r="E19" s="109">
        <v>600</v>
      </c>
      <c r="F19" s="107" t="s">
        <v>181</v>
      </c>
      <c r="G19" s="35">
        <v>5</v>
      </c>
      <c r="H19" s="110">
        <f>MAX($E19-$F$69*0.3)/$E$69</f>
        <v>3.71270718232046</v>
      </c>
      <c r="I19" s="110">
        <f t="shared" ref="I18:I29" si="4">MAX($E19-$F$70,0)/$E$70</f>
        <v>0</v>
      </c>
      <c r="J19" s="110">
        <f t="shared" ref="J18:J29" si="5">MAX($E19-$F$71,0)/$E$71</f>
        <v>0</v>
      </c>
      <c r="K19" s="110">
        <f t="shared" ref="K18:K29" si="6">MAX($E19-$F$72,0)/$E$72</f>
        <v>0</v>
      </c>
      <c r="L19" s="109">
        <v>39</v>
      </c>
      <c r="M19" s="111"/>
      <c r="N19" s="44">
        <v>1210300</v>
      </c>
      <c r="P19" t="str">
        <f>"["&amp;_xlfn.TEXTJOIN(",",1,$N$7:N19)&amp;"]"</f>
        <v>[1310100,1210400,1230100,1420200,1420200,1320100,1310300,1210600,1230400,1210700,1130100,1530100,1210300]</v>
      </c>
      <c r="Q19" s="115" t="s">
        <v>182</v>
      </c>
      <c r="S19">
        <v>130</v>
      </c>
      <c r="T19" t="s">
        <v>183</v>
      </c>
      <c r="X19" t="s">
        <v>184</v>
      </c>
      <c r="Y19" t="s">
        <v>177</v>
      </c>
      <c r="AL19">
        <v>130</v>
      </c>
      <c r="AM19" t="s">
        <v>185</v>
      </c>
      <c r="AO19" cm="1">
        <f t="array" ref="AO19">SUM(AP19:AX19)-SUMPRODUCT(--(BJ19:BQ19&gt;0))</f>
        <v>1</v>
      </c>
      <c r="AS19" s="46">
        <v>1</v>
      </c>
    </row>
    <row r="20" spans="1:49">
      <c r="A20" s="60"/>
      <c r="C20" s="3"/>
      <c r="D20" s="35">
        <v>14</v>
      </c>
      <c r="E20" s="109">
        <v>800</v>
      </c>
      <c r="F20" s="107" t="s">
        <v>186</v>
      </c>
      <c r="G20" s="35">
        <v>5</v>
      </c>
      <c r="H20" s="110">
        <f>MAX($E20-$F$69*0.5)/$E$69</f>
        <v>4.25414364640886</v>
      </c>
      <c r="I20" s="110">
        <f t="shared" si="4"/>
        <v>0.230600292825769</v>
      </c>
      <c r="J20" s="110">
        <f t="shared" si="5"/>
        <v>0.144429160935351</v>
      </c>
      <c r="K20" s="110">
        <f t="shared" si="6"/>
        <v>0.109232769830949</v>
      </c>
      <c r="L20" s="109">
        <v>45</v>
      </c>
      <c r="M20" s="111"/>
      <c r="N20" s="44">
        <v>1140100</v>
      </c>
      <c r="P20" t="str">
        <f>"["&amp;_xlfn.TEXTJOIN(",",1,$N$7:N20)&amp;"]"</f>
        <v>[1310100,1210400,1230100,1420200,1420200,1320100,1310300,1210600,1230400,1210700,1130100,1530100,1210300,1140100]</v>
      </c>
      <c r="Q20" s="115" t="s">
        <v>187</v>
      </c>
      <c r="S20">
        <v>140</v>
      </c>
      <c r="X20" t="s">
        <v>188</v>
      </c>
      <c r="Y20" t="s">
        <v>177</v>
      </c>
      <c r="AL20">
        <v>140</v>
      </c>
      <c r="AM20" t="s">
        <v>171</v>
      </c>
      <c r="AO20" cm="1">
        <f t="array" ref="AO20">SUM(AP20:AX20)-SUMPRODUCT(--(BJ20:BQ20&gt;0))</f>
        <v>1</v>
      </c>
      <c r="AV20">
        <v>1</v>
      </c>
    </row>
    <row r="21" spans="1:49">
      <c r="A21" s="60"/>
      <c r="C21" s="3"/>
      <c r="D21" s="35">
        <v>15</v>
      </c>
      <c r="E21" s="109">
        <v>1200</v>
      </c>
      <c r="F21" s="107" t="s">
        <v>189</v>
      </c>
      <c r="G21" s="35">
        <v>5</v>
      </c>
      <c r="H21" s="110">
        <f>MAX($E21-$F$69*0.5)/$E$69</f>
        <v>8.121546961326</v>
      </c>
      <c r="I21" s="110">
        <f t="shared" si="4"/>
        <v>3.30527086383602</v>
      </c>
      <c r="J21" s="110">
        <f t="shared" si="5"/>
        <v>2.07015130674002</v>
      </c>
      <c r="K21" s="110">
        <f t="shared" si="6"/>
        <v>1.56566970091027</v>
      </c>
      <c r="L21" s="109">
        <v>51</v>
      </c>
      <c r="M21" s="111"/>
      <c r="N21" s="44">
        <v>1430700</v>
      </c>
      <c r="P21" t="str">
        <f>"["&amp;_xlfn.TEXTJOIN(",",1,$N$7:N21)&amp;"]"</f>
        <v>[1310100,1210400,1230100,1420200,1420200,1320100,1310300,1210600,1230400,1210700,1130100,1530100,1210300,1140100,1430700]</v>
      </c>
      <c r="Q21" s="115" t="s">
        <v>190</v>
      </c>
      <c r="S21">
        <v>150</v>
      </c>
      <c r="T21" t="s">
        <v>185</v>
      </c>
      <c r="X21" t="s">
        <v>191</v>
      </c>
      <c r="Y21" t="s">
        <v>177</v>
      </c>
      <c r="AK21">
        <v>4</v>
      </c>
      <c r="AL21">
        <v>150</v>
      </c>
      <c r="AO21" cm="1">
        <f t="array" ref="AO21">SUM(AP21:AX21)-SUMPRODUCT(--(BJ21:BQ21&gt;0))</f>
        <v>2</v>
      </c>
      <c r="AT21">
        <v>1</v>
      </c>
      <c r="AU21">
        <v>1</v>
      </c>
    </row>
    <row r="22" spans="1:49">
      <c r="A22" s="60"/>
      <c r="C22" s="3"/>
      <c r="D22" s="35">
        <v>16</v>
      </c>
      <c r="E22" s="109">
        <v>1800</v>
      </c>
      <c r="F22" s="107" t="s">
        <v>192</v>
      </c>
      <c r="G22" s="35">
        <v>6</v>
      </c>
      <c r="H22" s="110">
        <f>MAX($E22-$F$69*1)/$E$69</f>
        <v>10.4419889502763</v>
      </c>
      <c r="I22" s="110">
        <f t="shared" si="4"/>
        <v>7.9172767203514</v>
      </c>
      <c r="J22" s="110">
        <f t="shared" si="5"/>
        <v>4.95873452544704</v>
      </c>
      <c r="K22" s="110">
        <f t="shared" si="6"/>
        <v>3.75032509752926</v>
      </c>
      <c r="L22" s="109">
        <v>55</v>
      </c>
      <c r="M22" s="111"/>
      <c r="N22" s="44">
        <v>1140200</v>
      </c>
      <c r="P22" t="str">
        <f>"["&amp;_xlfn.TEXTJOIN(",",1,$N$7:N22)&amp;"]"</f>
        <v>[1310100,1210400,1230100,1420200,1420200,1320100,1310300,1210600,1230400,1210700,1130100,1530100,1210300,1140100,1430700,1140200]</v>
      </c>
      <c r="Q22" s="115" t="s">
        <v>193</v>
      </c>
      <c r="S22">
        <v>160</v>
      </c>
      <c r="X22" t="s">
        <v>194</v>
      </c>
      <c r="Y22" t="s">
        <v>195</v>
      </c>
      <c r="AL22">
        <v>160</v>
      </c>
      <c r="AM22" t="s">
        <v>196</v>
      </c>
      <c r="AO22" cm="1">
        <f t="array" ref="AO22">SUM(AP22:AX22)-SUMPRODUCT(--(BJ22:BQ22&gt;0))</f>
        <v>1</v>
      </c>
      <c r="AT22" s="46">
        <v>1</v>
      </c>
    </row>
    <row r="23" spans="1:49">
      <c r="A23" s="60"/>
      <c r="C23" s="3"/>
      <c r="D23" s="35">
        <v>17</v>
      </c>
      <c r="E23" s="109">
        <v>2400</v>
      </c>
      <c r="F23" s="107" t="s">
        <v>133</v>
      </c>
      <c r="G23" s="35">
        <v>6</v>
      </c>
      <c r="H23" s="110">
        <f>MAX($E23-$F$69*1)/$E$69</f>
        <v>16.243093922652</v>
      </c>
      <c r="I23" s="110">
        <f t="shared" si="4"/>
        <v>12.5292825768668</v>
      </c>
      <c r="J23" s="110">
        <f t="shared" si="5"/>
        <v>7.84731774415405</v>
      </c>
      <c r="K23" s="110">
        <f t="shared" si="6"/>
        <v>5.93498049414825</v>
      </c>
      <c r="L23" s="109">
        <v>59</v>
      </c>
      <c r="M23" s="111"/>
      <c r="N23" s="44">
        <v>1110100</v>
      </c>
      <c r="P23" t="str">
        <f>"["&amp;_xlfn.TEXTJOIN(",",1,$N$7:N23)&amp;"]"</f>
        <v>[1310100,1210400,1230100,1420200,1420200,1320100,1310300,1210600,1230400,1210700,1130100,1530100,1210300,1140100,1430700,1140200,1110100]</v>
      </c>
      <c r="Q23" s="115"/>
      <c r="S23">
        <v>170</v>
      </c>
      <c r="X23" t="s">
        <v>197</v>
      </c>
      <c r="Y23" t="s">
        <v>195</v>
      </c>
      <c r="AL23">
        <v>170</v>
      </c>
      <c r="AO23" cm="1">
        <f t="array" ref="AO23">SUM(AP23:AX23)-SUMPRODUCT(--(BJ23:BQ23&gt;0))</f>
        <v>1</v>
      </c>
      <c r="AV23">
        <v>1</v>
      </c>
    </row>
    <row r="24" spans="1:49">
      <c r="A24" s="60"/>
      <c r="C24" s="3"/>
      <c r="D24" s="35">
        <v>18</v>
      </c>
      <c r="E24" s="109">
        <v>3400</v>
      </c>
      <c r="F24" s="107" t="s">
        <v>198</v>
      </c>
      <c r="G24" s="35">
        <v>6</v>
      </c>
      <c r="H24" s="110">
        <f t="shared" ref="H24:H29" si="7">MAX($E24-$F$69*1)/$E$69</f>
        <v>25.9116022099449</v>
      </c>
      <c r="I24" s="110">
        <f t="shared" si="4"/>
        <v>20.2159590043924</v>
      </c>
      <c r="J24" s="110">
        <f t="shared" si="5"/>
        <v>12.6616231086657</v>
      </c>
      <c r="K24" s="110">
        <f t="shared" si="6"/>
        <v>9.57607282184656</v>
      </c>
      <c r="L24" s="109">
        <v>74</v>
      </c>
      <c r="M24" s="111"/>
      <c r="N24" s="44">
        <v>1530200</v>
      </c>
      <c r="P24" t="str">
        <f>"["&amp;_xlfn.TEXTJOIN(",",1,$N$7:N24)&amp;"]"</f>
        <v>[1310100,1210400,1230100,1420200,1420200,1320100,1310300,1210600,1230400,1210700,1130100,1530100,1210300,1140100,1430700,1140200,1110100,1530200]</v>
      </c>
      <c r="Q24" s="115" t="s">
        <v>199</v>
      </c>
      <c r="S24">
        <v>180</v>
      </c>
      <c r="T24" t="s">
        <v>200</v>
      </c>
      <c r="AL24">
        <v>180</v>
      </c>
      <c r="AM24" t="s">
        <v>183</v>
      </c>
      <c r="AO24" cm="1">
        <f t="array" ref="AO24">SUM(AP24:AX24)-SUMPRODUCT(--(BJ24:BQ24&gt;0))</f>
        <v>1</v>
      </c>
      <c r="AW24">
        <v>1</v>
      </c>
    </row>
    <row r="25" spans="1:49">
      <c r="A25" s="60"/>
      <c r="C25" s="3"/>
      <c r="D25" s="35">
        <v>19</v>
      </c>
      <c r="E25" s="109"/>
      <c r="F25" s="107" t="s">
        <v>201</v>
      </c>
      <c r="G25" s="35">
        <v>6</v>
      </c>
      <c r="H25" s="110"/>
      <c r="I25" s="110"/>
      <c r="J25" s="110"/>
      <c r="K25" s="110"/>
      <c r="L25" s="109">
        <f>L24+7</f>
        <v>81</v>
      </c>
      <c r="M25" s="111"/>
      <c r="N25" s="44">
        <v>1420300</v>
      </c>
      <c r="P25" t="str">
        <f>"["&amp;_xlfn.TEXTJOIN(",",1,$N$7:N25)&amp;"]"</f>
        <v>[1310100,1210400,1230100,1420200,1420200,1320100,1310300,1210600,1230400,1210700,1130100,1530100,1210300,1140100,1430700,1140200,1110100,1530200,1420300]</v>
      </c>
      <c r="Q25" s="115" t="s">
        <v>202</v>
      </c>
      <c r="S25">
        <v>250</v>
      </c>
      <c r="T25" t="s">
        <v>203</v>
      </c>
      <c r="AH25">
        <v>4</v>
      </c>
      <c r="AK25">
        <v>3</v>
      </c>
      <c r="AL25">
        <v>190</v>
      </c>
      <c r="AO25" cm="1">
        <f t="array" ref="AO25">SUM(AP25:AX25)-SUMPRODUCT(--(BJ25:BQ25&gt;0))</f>
        <v>1</v>
      </c>
      <c r="AU25">
        <v>1</v>
      </c>
    </row>
    <row r="26" spans="1:49">
      <c r="A26" s="60"/>
      <c r="C26" s="3"/>
      <c r="D26" s="35">
        <v>20</v>
      </c>
      <c r="E26" s="109">
        <v>4600</v>
      </c>
      <c r="F26" s="107" t="s">
        <v>204</v>
      </c>
      <c r="G26" s="35">
        <v>6</v>
      </c>
      <c r="H26" s="110">
        <f t="shared" si="7"/>
        <v>37.5138121546963</v>
      </c>
      <c r="I26" s="110">
        <f t="shared" si="4"/>
        <v>29.4399707174232</v>
      </c>
      <c r="J26" s="110">
        <f t="shared" si="5"/>
        <v>18.4387895460798</v>
      </c>
      <c r="K26" s="110">
        <f t="shared" si="6"/>
        <v>13.9453836150845</v>
      </c>
      <c r="L26" s="109">
        <v>88</v>
      </c>
      <c r="M26" s="111"/>
      <c r="N26" s="44">
        <v>1410200</v>
      </c>
      <c r="P26" t="str">
        <f>"["&amp;_xlfn.TEXTJOIN(",",1,$N$7:N26)&amp;"]"</f>
        <v>[1310100,1210400,1230100,1420200,1420200,1320100,1310300,1210600,1230400,1210700,1130100,1530100,1210300,1140100,1430700,1140200,1110100,1530200,1420300,1410200]</v>
      </c>
      <c r="Q26" s="115" t="s">
        <v>205</v>
      </c>
      <c r="AL26">
        <v>200</v>
      </c>
      <c r="AO26" cm="1">
        <f t="array" ref="AO26">SUM(AP26:AX26)-SUMPRODUCT(--(BJ26:BQ26&gt;0))</f>
        <v>2</v>
      </c>
      <c r="AT26">
        <v>1</v>
      </c>
      <c r="AV26">
        <v>1</v>
      </c>
    </row>
    <row r="27" spans="1:49">
      <c r="A27" s="60"/>
      <c r="C27" s="3"/>
      <c r="D27" s="35">
        <v>21</v>
      </c>
      <c r="E27" s="109">
        <v>5800</v>
      </c>
      <c r="F27" s="107" t="s">
        <v>206</v>
      </c>
      <c r="G27" s="35"/>
      <c r="H27" s="110">
        <f t="shared" si="7"/>
        <v>49.1160220994477</v>
      </c>
      <c r="I27" s="110">
        <f t="shared" si="4"/>
        <v>38.6639824304539</v>
      </c>
      <c r="J27" s="110">
        <f t="shared" si="5"/>
        <v>24.2159559834938</v>
      </c>
      <c r="K27" s="110">
        <f t="shared" si="6"/>
        <v>18.3146944083225</v>
      </c>
      <c r="L27" s="109">
        <v>95</v>
      </c>
      <c r="M27" s="111"/>
      <c r="N27" s="44">
        <v>1130200</v>
      </c>
    </row>
    <row r="28" spans="1:49">
      <c r="A28" s="60"/>
      <c r="C28" s="3"/>
      <c r="D28" s="35">
        <v>22</v>
      </c>
      <c r="E28" s="109">
        <v>7000</v>
      </c>
      <c r="F28" s="107" t="s">
        <v>207</v>
      </c>
      <c r="G28" s="35"/>
      <c r="H28" s="110">
        <f t="shared" si="7"/>
        <v>60.7182320441991</v>
      </c>
      <c r="I28" s="110">
        <f t="shared" si="4"/>
        <v>47.8879941434847</v>
      </c>
      <c r="J28" s="110">
        <f t="shared" si="5"/>
        <v>29.9931224209078</v>
      </c>
      <c r="K28" s="110">
        <f t="shared" si="6"/>
        <v>22.6840052015605</v>
      </c>
      <c r="L28" s="109">
        <v>103</v>
      </c>
      <c r="M28" s="111"/>
      <c r="N28" s="44">
        <v>1120100</v>
      </c>
    </row>
    <row r="29" spans="1:49">
      <c r="A29" s="60"/>
      <c r="C29" s="3"/>
      <c r="D29" s="35">
        <v>23</v>
      </c>
      <c r="E29" s="109">
        <v>8200</v>
      </c>
      <c r="F29" s="107" t="s">
        <v>208</v>
      </c>
      <c r="G29" s="35"/>
      <c r="H29" s="110">
        <f t="shared" si="7"/>
        <v>72.3204419889506</v>
      </c>
      <c r="I29" s="110">
        <f t="shared" si="4"/>
        <v>57.1120058565154</v>
      </c>
      <c r="J29" s="110">
        <f t="shared" si="5"/>
        <v>35.7702888583218</v>
      </c>
      <c r="K29" s="110">
        <f t="shared" si="6"/>
        <v>27.0533159947985</v>
      </c>
      <c r="L29" s="109">
        <f>L28+10</f>
        <v>113</v>
      </c>
      <c r="M29" s="111"/>
      <c r="N29" s="44">
        <v>1550200</v>
      </c>
    </row>
    <row r="30" spans="1:49">
      <c r="A30" s="60"/>
      <c r="C30" s="3"/>
      <c r="D30" s="35">
        <v>24</v>
      </c>
      <c r="E30" s="109">
        <v>10500</v>
      </c>
      <c r="F30" s="107" t="s">
        <v>209</v>
      </c>
      <c r="G30" s="35"/>
      <c r="H30" s="110"/>
      <c r="I30" s="110"/>
      <c r="J30" s="110"/>
      <c r="K30" s="110"/>
      <c r="L30" s="109">
        <f>L29+12</f>
        <v>125</v>
      </c>
      <c r="M30" s="111"/>
      <c r="N30" s="44">
        <v>1610100</v>
      </c>
      <c r="S30" s="22"/>
      <c r="AL30">
        <v>210</v>
      </c>
      <c r="AM30" t="s">
        <v>210</v>
      </c>
      <c r="AO30" cm="1">
        <f t="array" ref="AO30">SUM(AP30:AX30)-SUMPRODUCT(--(BJ30:BQ30&gt;0))</f>
        <v>1</v>
      </c>
      <c r="AU30" s="46">
        <v>1</v>
      </c>
    </row>
    <row r="31" spans="1:49">
      <c r="C31" t="str">
        <f>"["&amp;_xlfn.TEXTJOIN(",",1,C7:C30)&amp;"]"</f>
        <v>[{1310100,10},{1210400,10},{1230100,10},{1420200,5},{1420200,5},{1320100,5},{1310300,5},{1210600,5},{1230400,5}]</v>
      </c>
      <c r="N31" s="44"/>
      <c r="AL31">
        <v>220</v>
      </c>
      <c r="AO31" cm="1">
        <f t="array" ref="AO31">SUM(AP31:AX31)-SUMPRODUCT(--(BJ31:BQ31&gt;0))</f>
        <v>2</v>
      </c>
      <c r="AT31">
        <v>1</v>
      </c>
      <c r="AV31">
        <v>1</v>
      </c>
    </row>
    <row r="32" spans="1:49">
      <c r="D32" s="22" t="s">
        <v>211</v>
      </c>
      <c r="J32" s="22" t="s">
        <v>212</v>
      </c>
      <c r="AL32">
        <v>230</v>
      </c>
      <c r="AM32" t="s">
        <v>200</v>
      </c>
      <c r="AO32" cm="1">
        <f t="array" ref="AO32">SUM(AP32:AX32)-SUMPRODUCT(--(BJ32:BQ32&gt;0))</f>
        <v>2</v>
      </c>
      <c r="AS32">
        <v>1</v>
      </c>
      <c r="AW32">
        <v>1</v>
      </c>
    </row>
    <row r="33" spans="3:49">
      <c r="D33" s="2" t="s">
        <v>213</v>
      </c>
      <c r="E33" s="2" t="s">
        <v>214</v>
      </c>
      <c r="F33" s="2" t="s">
        <v>215</v>
      </c>
      <c r="G33" s="2" t="s">
        <v>216</v>
      </c>
      <c r="H33" s="2" t="s">
        <v>217</v>
      </c>
      <c r="I33" s="2" t="s">
        <v>218</v>
      </c>
      <c r="J33" s="2" t="s">
        <v>219</v>
      </c>
      <c r="K33" s="2" t="s">
        <v>220</v>
      </c>
      <c r="L33" s="2" t="s">
        <v>221</v>
      </c>
      <c r="M33" s="2" t="s">
        <v>222</v>
      </c>
      <c r="N33" s="2" t="s">
        <v>223</v>
      </c>
      <c r="O33" s="3" t="s">
        <v>224</v>
      </c>
      <c r="P33" s="3" t="s">
        <v>112</v>
      </c>
      <c r="Q33" s="3" t="s">
        <v>113</v>
      </c>
      <c r="R33" s="3" t="s">
        <v>114</v>
      </c>
      <c r="S33" s="3" t="s">
        <v>225</v>
      </c>
      <c r="T33" t="s">
        <v>84</v>
      </c>
      <c r="U33" t="s">
        <v>85</v>
      </c>
      <c r="AK33">
        <v>240</v>
      </c>
      <c r="AL33" t="s">
        <v>226</v>
      </c>
      <c r="AN33" cm="1">
        <f t="array" ref="AN33">SUM(AO33:AW33)-SUMPRODUCT(--(BI33:BP33&gt;0))</f>
        <v>2</v>
      </c>
      <c r="AT33">
        <v>1</v>
      </c>
      <c r="AU33" s="46">
        <v>1</v>
      </c>
    </row>
    <row r="34" spans="3:49">
      <c r="C34" s="6">
        <v>500</v>
      </c>
      <c r="D34" s="35">
        <v>1</v>
      </c>
      <c r="E34" s="116">
        <f t="shared" ref="E34:E40" si="8">1-SUM(F34:M34)</f>
        <v>0.24</v>
      </c>
      <c r="F34" s="116">
        <v>0.02</v>
      </c>
      <c r="G34" s="116">
        <v>0.12</v>
      </c>
      <c r="H34" s="116">
        <v>0.08</v>
      </c>
      <c r="I34" s="116">
        <v>0.04</v>
      </c>
      <c r="J34" s="117">
        <v>0.4</v>
      </c>
      <c r="K34" s="116">
        <v>0.1</v>
      </c>
      <c r="L34" s="109"/>
      <c r="M34" s="109"/>
      <c r="N34" s="109">
        <v>450</v>
      </c>
      <c r="O34" s="118"/>
      <c r="P34" s="118">
        <f ca="1">MAX((SUM($N$34:$N34)-OFFSET($F$68,MATCH(P$33,$D$69:$D$72,0),0))/OFFSET($E$68,MATCH(P$33,$D$69:$D$72,0),0),1)</f>
        <v>1</v>
      </c>
      <c r="Q34" s="118">
        <f ca="1">MAX((SUM($N$34:$N34)-OFFSET($F$68,MATCH(Q$33,$D$69:$D$72,0),0))/OFFSET($E$68,MATCH(Q$33,$D$69:$D$72,0),0),1)</f>
        <v>1</v>
      </c>
      <c r="R34" s="118">
        <f ca="1">MAX((SUM($N$34:$N34)-OFFSET($F$68,MATCH(R$33,$D$69:$D$72,0),0))/OFFSET($E$68,MATCH(R$33,$D$69:$D$72,0),0),1)</f>
        <v>1</v>
      </c>
      <c r="S34" s="3">
        <v>10</v>
      </c>
      <c r="T34">
        <f>SUM($N$34:N34)</f>
        <v>450</v>
      </c>
      <c r="U34">
        <v>0</v>
      </c>
      <c r="W34" s="40">
        <v>1310100</v>
      </c>
      <c r="X34">
        <v>1</v>
      </c>
      <c r="AK34">
        <v>250</v>
      </c>
      <c r="AN34" cm="1">
        <f t="array" ref="AN34">SUM(AO34:AW34)-SUMPRODUCT(--(BI34:BP34&gt;0))</f>
        <v>2</v>
      </c>
      <c r="AR34">
        <v>1</v>
      </c>
      <c r="AV34">
        <v>1</v>
      </c>
    </row>
    <row r="35" spans="3:49">
      <c r="C35" s="6">
        <v>1000</v>
      </c>
      <c r="D35" s="35">
        <v>2</v>
      </c>
      <c r="E35" s="116">
        <f t="shared" si="8"/>
        <v>0.24</v>
      </c>
      <c r="F35" s="116">
        <v>0.02</v>
      </c>
      <c r="G35" s="116">
        <v>0.12</v>
      </c>
      <c r="H35" s="116">
        <v>0.08</v>
      </c>
      <c r="I35" s="116">
        <v>0.04</v>
      </c>
      <c r="J35" s="117">
        <f t="shared" ref="J35:J40" si="9">50%-SUM(K35:M35)</f>
        <v>0.355</v>
      </c>
      <c r="K35" s="116">
        <v>0.12</v>
      </c>
      <c r="L35" s="117">
        <v>0.025</v>
      </c>
      <c r="M35" s="109"/>
      <c r="N35" s="109">
        <f t="shared" ref="N35:N40" si="10">INT(C35/1.1)</f>
        <v>909</v>
      </c>
      <c r="O35" s="118"/>
      <c r="P35" s="118">
        <f ca="1">MAX((SUM($N$34:$N35)-OFFSET($F$68,MATCH(P$33,$D$69:$D$72,0),0))/OFFSET($E$68,MATCH(P$33,$D$69:$D$72,0),0),1)</f>
        <v>4.5274524158126</v>
      </c>
      <c r="Q35" s="118">
        <f ca="1">MAX((SUM($N$34:$N35)-OFFSET($F$68,MATCH(Q$33,$D$69:$D$72,0),0))/OFFSET($E$68,MATCH(Q$33,$D$69:$D$72,0),0),1)</f>
        <v>2.83562585969738</v>
      </c>
      <c r="R35" s="118">
        <f ca="1">MAX((SUM($N$34:$N35)-OFFSET($F$68,MATCH(R$33,$D$69:$D$72,0),0))/OFFSET($E$68,MATCH(R$33,$D$69:$D$72,0),0),1)</f>
        <v>2.14460338101431</v>
      </c>
      <c r="S35" s="3">
        <v>10</v>
      </c>
      <c r="T35">
        <f>SUM($N$34:N35)</f>
        <v>1359</v>
      </c>
      <c r="U35">
        <f t="shared" ref="U35:U41" si="11">T34</f>
        <v>450</v>
      </c>
      <c r="W35" s="40">
        <v>1210400</v>
      </c>
      <c r="X35">
        <v>2</v>
      </c>
      <c r="AK35">
        <v>260</v>
      </c>
      <c r="AN35" cm="1">
        <f t="array" ref="AN35">SUM(AO35:AW35)-SUMPRODUCT(--(BI35:BP35&gt;0))</f>
        <v>2</v>
      </c>
      <c r="AS35">
        <v>1</v>
      </c>
      <c r="AW35">
        <v>1</v>
      </c>
    </row>
    <row r="36" spans="3:49">
      <c r="C36" s="6">
        <v>2000</v>
      </c>
      <c r="D36" s="35">
        <v>3</v>
      </c>
      <c r="E36" s="116">
        <f t="shared" si="8"/>
        <v>0.24</v>
      </c>
      <c r="F36" s="116">
        <v>0.02</v>
      </c>
      <c r="G36" s="116">
        <v>0.12</v>
      </c>
      <c r="H36" s="116">
        <v>0.08</v>
      </c>
      <c r="I36" s="116">
        <v>0.04</v>
      </c>
      <c r="J36" s="117">
        <f t="shared" si="9"/>
        <v>0.31</v>
      </c>
      <c r="K36" s="116">
        <v>0.14</v>
      </c>
      <c r="L36" s="117">
        <v>0.05</v>
      </c>
      <c r="M36" s="109"/>
      <c r="N36" s="109">
        <f t="shared" si="10"/>
        <v>1818</v>
      </c>
      <c r="O36" s="118"/>
      <c r="P36" s="118">
        <f ca="1">MAX((SUM($N$34:$N36)-OFFSET($F$68,MATCH(P$33,$D$69:$D$72,0),0))/OFFSET($E$68,MATCH(P$33,$D$69:$D$72,0),0),1)</f>
        <v>18.5018301610542</v>
      </c>
      <c r="Q36" s="118">
        <f ca="1">MAX((SUM($N$34:$N36)-OFFSET($F$68,MATCH(Q$33,$D$69:$D$72,0),0))/OFFSET($E$68,MATCH(Q$33,$D$69:$D$72,0),0),1)</f>
        <v>11.5880330123796</v>
      </c>
      <c r="R36" s="118">
        <f ca="1">MAX((SUM($N$34:$N36)-OFFSET($F$68,MATCH(R$33,$D$69:$D$72,0),0))/OFFSET($E$68,MATCH(R$33,$D$69:$D$72,0),0),1)</f>
        <v>8.76410923276983</v>
      </c>
      <c r="S36" s="3">
        <v>10</v>
      </c>
      <c r="T36">
        <f>SUM($N$34:N36)</f>
        <v>3177</v>
      </c>
      <c r="U36">
        <f t="shared" si="11"/>
        <v>1359</v>
      </c>
      <c r="W36" s="40">
        <v>1230100</v>
      </c>
      <c r="X36">
        <v>3</v>
      </c>
      <c r="AK36">
        <v>270</v>
      </c>
      <c r="AN36" cm="1">
        <f t="array" ref="AN36">SUM(AO36:AW36)-SUMPRODUCT(--(BI36:BP36&gt;0))</f>
        <v>2</v>
      </c>
      <c r="AT36">
        <v>1</v>
      </c>
      <c r="AV36">
        <v>1</v>
      </c>
    </row>
    <row r="37" spans="3:49">
      <c r="C37" s="6">
        <v>3000</v>
      </c>
      <c r="D37" s="35">
        <v>4</v>
      </c>
      <c r="E37" s="116">
        <f t="shared" si="8"/>
        <v>0.24</v>
      </c>
      <c r="F37" s="116">
        <v>0.02</v>
      </c>
      <c r="G37" s="116">
        <v>0.12</v>
      </c>
      <c r="H37" s="116">
        <v>0.08</v>
      </c>
      <c r="I37" s="116">
        <v>0.04</v>
      </c>
      <c r="J37" s="117">
        <f t="shared" si="9"/>
        <v>0.264226324699144</v>
      </c>
      <c r="K37" s="116">
        <v>0.16</v>
      </c>
      <c r="L37" s="68">
        <v>0.06</v>
      </c>
      <c r="M37" s="68">
        <f>Sheet1!H7</f>
        <v>0.0157736753008561</v>
      </c>
      <c r="N37" s="109">
        <f t="shared" si="10"/>
        <v>2727</v>
      </c>
      <c r="O37" s="118"/>
      <c r="P37" s="118">
        <f ca="1">MAX((SUM($N$34:$N37)-OFFSET($F$68,MATCH(P$33,$D$69:$D$72,0),0))/OFFSET($E$68,MATCH(P$33,$D$69:$D$72,0),0),1)</f>
        <v>39.4633967789166</v>
      </c>
      <c r="Q37" s="118">
        <f ca="1">MAX((SUM($N$34:$N37)-OFFSET($F$68,MATCH(Q$33,$D$69:$D$72,0),0))/OFFSET($E$68,MATCH(Q$33,$D$69:$D$72,0),0),1)</f>
        <v>24.716643741403</v>
      </c>
      <c r="R37" s="118">
        <f ca="1">MAX((SUM($N$34:$N37)-OFFSET($F$68,MATCH(R$33,$D$69:$D$72,0),0))/OFFSET($E$68,MATCH(R$33,$D$69:$D$72,0),0),1)</f>
        <v>18.6933680104031</v>
      </c>
      <c r="S37" s="3">
        <v>10</v>
      </c>
      <c r="T37">
        <f>SUM($N$34:N37)</f>
        <v>5904</v>
      </c>
      <c r="U37">
        <f t="shared" si="11"/>
        <v>3177</v>
      </c>
      <c r="W37" s="41">
        <v>1420200</v>
      </c>
      <c r="X37">
        <v>4</v>
      </c>
      <c r="AK37">
        <v>280</v>
      </c>
      <c r="AL37" t="s">
        <v>227</v>
      </c>
      <c r="AN37" cm="1">
        <f t="array" ref="AN37">SUM(AO37:AW37)-SUMPRODUCT(--(BI37:BP37&gt;0))</f>
        <v>2</v>
      </c>
      <c r="AT37">
        <v>1</v>
      </c>
      <c r="AV37" s="46">
        <v>1</v>
      </c>
    </row>
    <row r="38" spans="3:49">
      <c r="C38" s="6">
        <v>4000</v>
      </c>
      <c r="D38" s="35">
        <v>5</v>
      </c>
      <c r="E38" s="116">
        <f t="shared" si="8"/>
        <v>0.24</v>
      </c>
      <c r="F38" s="116">
        <v>0.02</v>
      </c>
      <c r="G38" s="116">
        <v>0.12</v>
      </c>
      <c r="H38" s="116">
        <v>0.08</v>
      </c>
      <c r="I38" s="116">
        <v>0.04</v>
      </c>
      <c r="J38" s="117">
        <f t="shared" si="9"/>
        <v>0.216942067191022</v>
      </c>
      <c r="K38" s="116">
        <v>0.18</v>
      </c>
      <c r="L38" s="68">
        <v>0.08</v>
      </c>
      <c r="M38" s="68">
        <f>Sheet1!H8</f>
        <v>0.0230579328089777</v>
      </c>
      <c r="N38" s="109">
        <f t="shared" si="10"/>
        <v>3636</v>
      </c>
      <c r="O38" s="118"/>
      <c r="P38" s="118">
        <f ca="1">MAX((SUM($N$34:$N38)-OFFSET($F$68,MATCH(P$33,$D$69:$D$72,0),0))/OFFSET($E$68,MATCH(P$33,$D$69:$D$72,0),0),1)</f>
        <v>67.4121522693998</v>
      </c>
      <c r="Q38" s="118">
        <f ca="1">MAX((SUM($N$34:$N38)-OFFSET($F$68,MATCH(Q$33,$D$69:$D$72,0),0))/OFFSET($E$68,MATCH(Q$33,$D$69:$D$72,0),0),1)</f>
        <v>42.2214580467675</v>
      </c>
      <c r="R38" s="118">
        <f ca="1">MAX((SUM($N$34:$N38)-OFFSET($F$68,MATCH(R$33,$D$69:$D$72,0),0))/OFFSET($E$68,MATCH(R$33,$D$69:$D$72,0),0),1)</f>
        <v>31.9323797139142</v>
      </c>
      <c r="S38" s="3">
        <v>10</v>
      </c>
      <c r="T38">
        <f>SUM($N$34:N38)</f>
        <v>9540</v>
      </c>
      <c r="U38">
        <f t="shared" si="11"/>
        <v>5904</v>
      </c>
      <c r="W38" s="41">
        <v>1320100</v>
      </c>
      <c r="X38">
        <v>5</v>
      </c>
      <c r="AK38">
        <v>290</v>
      </c>
      <c r="AN38" cm="1">
        <f t="array" ref="AN38">SUM(AO38:AW38)-SUMPRODUCT(--(BI38:BP38&gt;0))</f>
        <v>2</v>
      </c>
      <c r="AR38">
        <v>1</v>
      </c>
      <c r="AW38">
        <v>1</v>
      </c>
    </row>
    <row r="39" spans="3:49">
      <c r="C39" s="6">
        <v>5000</v>
      </c>
      <c r="D39" s="35">
        <v>6</v>
      </c>
      <c r="E39" s="116">
        <f t="shared" si="8"/>
        <v>0.24</v>
      </c>
      <c r="F39" s="116">
        <v>0.02</v>
      </c>
      <c r="G39" s="116">
        <v>0.12</v>
      </c>
      <c r="H39" s="116">
        <v>0.08</v>
      </c>
      <c r="I39" s="116">
        <v>0.04</v>
      </c>
      <c r="J39" s="117">
        <f t="shared" si="9"/>
        <v>0.168502200646615</v>
      </c>
      <c r="K39" s="116">
        <v>0.2</v>
      </c>
      <c r="L39" s="68">
        <v>0.1</v>
      </c>
      <c r="M39" s="68">
        <f>Sheet1!H9</f>
        <v>0.0314977993533847</v>
      </c>
      <c r="N39" s="109">
        <f t="shared" si="10"/>
        <v>4545</v>
      </c>
      <c r="O39" s="118"/>
      <c r="P39" s="118">
        <f ca="1">MAX((SUM($N$34:$N39)-OFFSET($F$68,MATCH(P$33,$D$69:$D$72,0),0))/OFFSET($E$68,MATCH(P$33,$D$69:$D$72,0),0),1)</f>
        <v>102.348096632504</v>
      </c>
      <c r="Q39" s="118">
        <f ca="1">MAX((SUM($N$34:$N39)-OFFSET($F$68,MATCH(Q$33,$D$69:$D$72,0),0))/OFFSET($E$68,MATCH(Q$33,$D$69:$D$72,0),0),1)</f>
        <v>64.1024759284731</v>
      </c>
      <c r="R39" s="118">
        <f ca="1">MAX((SUM($N$34:$N39)-OFFSET($F$68,MATCH(R$33,$D$69:$D$72,0),0))/OFFSET($E$68,MATCH(R$33,$D$69:$D$72,0),0),1)</f>
        <v>48.481144343303</v>
      </c>
      <c r="S39" s="3">
        <v>10</v>
      </c>
      <c r="T39">
        <f>SUM($N$34:N39)</f>
        <v>14085</v>
      </c>
      <c r="U39">
        <f t="shared" si="11"/>
        <v>9540</v>
      </c>
      <c r="W39" s="41">
        <v>1210600</v>
      </c>
      <c r="X39">
        <v>6</v>
      </c>
      <c r="AK39">
        <v>300</v>
      </c>
      <c r="AL39" t="s">
        <v>228</v>
      </c>
      <c r="AW39" s="46">
        <v>1</v>
      </c>
    </row>
    <row r="40" spans="3:49">
      <c r="C40" s="6">
        <v>999999</v>
      </c>
      <c r="D40" s="35">
        <v>7</v>
      </c>
      <c r="E40" s="116">
        <f t="shared" si="8"/>
        <v>0.24</v>
      </c>
      <c r="F40" s="116">
        <v>0.02</v>
      </c>
      <c r="G40" s="116">
        <v>0.12</v>
      </c>
      <c r="H40" s="116">
        <v>0.08</v>
      </c>
      <c r="I40" s="116">
        <v>0.04</v>
      </c>
      <c r="J40" s="117">
        <f t="shared" si="9"/>
        <v>0.13931360756608</v>
      </c>
      <c r="K40" s="116">
        <v>0.2</v>
      </c>
      <c r="L40" s="68">
        <v>0.12</v>
      </c>
      <c r="M40" s="68">
        <f>Sheet1!H10</f>
        <v>0.0406863924339197</v>
      </c>
      <c r="N40" s="109">
        <f t="shared" si="10"/>
        <v>909090</v>
      </c>
      <c r="O40" s="118"/>
      <c r="P40" s="118">
        <f ca="1">MAX((SUM($N$34:$N41)-OFFSET($F$68,MATCH(P$33,$D$69:$D$72,0),0))/OFFSET($E$68,MATCH(P$33,$D$69:$D$72,0),0),1)</f>
        <v>7090.22877013178</v>
      </c>
      <c r="Q40" s="118">
        <f ca="1">MAX((SUM($N$34:$N41)-OFFSET($F$68,MATCH(Q$33,$D$69:$D$72,0),0))/OFFSET($E$68,MATCH(Q$33,$D$69:$D$72,0),0),1)</f>
        <v>4440.7393397524</v>
      </c>
      <c r="R40" s="118">
        <f ca="1">MAX((SUM($N$34:$N41)-OFFSET($F$68,MATCH(R$33,$D$69:$D$72,0),0))/OFFSET($E$68,MATCH(R$33,$D$69:$D$72,0),0),1)</f>
        <v>3358.56176853056</v>
      </c>
      <c r="S40" s="3">
        <v>10</v>
      </c>
      <c r="T40">
        <f>SUM($N$34:N40)</f>
        <v>923175</v>
      </c>
      <c r="U40">
        <f t="shared" si="11"/>
        <v>14085</v>
      </c>
      <c r="W40" s="41">
        <v>1230400</v>
      </c>
      <c r="X40">
        <v>7</v>
      </c>
      <c r="AO40">
        <f t="shared" ref="AO40:AW40" si="12">SUM(AP7:AP39)</f>
        <v>19</v>
      </c>
      <c r="AP40">
        <f t="shared" si="12"/>
        <v>19</v>
      </c>
      <c r="AQ40">
        <f t="shared" si="12"/>
        <v>21</v>
      </c>
      <c r="AR40">
        <f t="shared" si="12"/>
        <v>7</v>
      </c>
      <c r="AS40">
        <f t="shared" si="12"/>
        <v>10</v>
      </c>
      <c r="AT40">
        <f t="shared" si="12"/>
        <v>6</v>
      </c>
      <c r="AU40">
        <f t="shared" si="12"/>
        <v>7</v>
      </c>
      <c r="AV40">
        <f t="shared" si="12"/>
        <v>5</v>
      </c>
      <c r="AW40">
        <f t="shared" si="12"/>
        <v>0</v>
      </c>
    </row>
    <row r="41" spans="3:49">
      <c r="D41" s="119" t="s">
        <v>229</v>
      </c>
      <c r="E41" s="116">
        <f>AVERAGE(E34:E40)</f>
        <v>0.24</v>
      </c>
      <c r="F41" s="116">
        <f t="shared" ref="F41:K41" si="13">AVERAGE(F34:F40)</f>
        <v>0.02</v>
      </c>
      <c r="G41" s="116">
        <f t="shared" si="13"/>
        <v>0.12</v>
      </c>
      <c r="H41" s="116">
        <f t="shared" si="13"/>
        <v>0.08</v>
      </c>
      <c r="I41" s="116">
        <f t="shared" si="13"/>
        <v>0.04</v>
      </c>
      <c r="J41" s="116">
        <f t="shared" si="13"/>
        <v>0.26485488572898</v>
      </c>
      <c r="K41" s="116">
        <f t="shared" si="13"/>
        <v>0.157142857142857</v>
      </c>
      <c r="L41" s="68">
        <v>0.12</v>
      </c>
      <c r="M41" s="68">
        <f>Sheet1!H11</f>
        <v>0.0454549020401133</v>
      </c>
      <c r="N41" s="116"/>
      <c r="O41" s="118"/>
      <c r="P41" s="118"/>
      <c r="Q41" s="118"/>
      <c r="R41" s="118"/>
      <c r="S41" s="119"/>
      <c r="T41">
        <f>SUM($N$34:N41)</f>
        <v>923175</v>
      </c>
      <c r="U41">
        <f t="shared" si="11"/>
        <v>923175</v>
      </c>
      <c r="W41" s="41"/>
    </row>
    <row r="42" spans="3:49">
      <c r="W42" s="41">
        <v>1310300</v>
      </c>
      <c r="X42">
        <v>8</v>
      </c>
    </row>
    <row r="43" spans="3:49">
      <c r="D43" s="22" t="s">
        <v>230</v>
      </c>
      <c r="W43" s="41">
        <v>1110100</v>
      </c>
      <c r="X43">
        <v>9</v>
      </c>
    </row>
    <row r="44" spans="3:49">
      <c r="D44" s="2" t="s">
        <v>213</v>
      </c>
      <c r="E44" s="2" t="s">
        <v>214</v>
      </c>
      <c r="F44" s="2" t="s">
        <v>215</v>
      </c>
      <c r="G44" s="2" t="s">
        <v>216</v>
      </c>
      <c r="H44" s="2" t="s">
        <v>217</v>
      </c>
      <c r="I44" s="2" t="s">
        <v>218</v>
      </c>
      <c r="J44" s="2" t="s">
        <v>219</v>
      </c>
      <c r="K44" s="2" t="s">
        <v>220</v>
      </c>
      <c r="L44" s="2" t="s">
        <v>221</v>
      </c>
      <c r="M44" s="2" t="s">
        <v>222</v>
      </c>
      <c r="N44" s="2" t="s">
        <v>223</v>
      </c>
      <c r="O44" s="3"/>
      <c r="P44" s="3" t="s">
        <v>112</v>
      </c>
      <c r="Q44" s="3" t="s">
        <v>113</v>
      </c>
      <c r="R44" s="3" t="s">
        <v>114</v>
      </c>
      <c r="S44" s="3" t="s">
        <v>225</v>
      </c>
      <c r="W44" s="43">
        <v>1130100</v>
      </c>
      <c r="X44">
        <v>10</v>
      </c>
    </row>
    <row r="45" spans="3:49">
      <c r="D45" s="4">
        <v>1</v>
      </c>
      <c r="E45" s="7">
        <f t="shared" ref="E45:E51" si="14">1-SUM(F45:M45)</f>
        <v>0.1</v>
      </c>
      <c r="F45" s="5">
        <v>0.02</v>
      </c>
      <c r="G45" s="5">
        <v>0.1</v>
      </c>
      <c r="H45" s="5">
        <v>0.05</v>
      </c>
      <c r="I45" s="5">
        <v>0.03</v>
      </c>
      <c r="J45" s="5">
        <v>0.2</v>
      </c>
      <c r="K45" s="5">
        <f t="shared" ref="K45:K51" si="15">0.7-SUM(L45:M45)-J45</f>
        <v>0.5</v>
      </c>
      <c r="L45" s="5"/>
      <c r="M45" s="5"/>
      <c r="N45" s="109">
        <v>300</v>
      </c>
      <c r="O45" s="118"/>
      <c r="P45" s="118">
        <f ca="1" t="shared" ref="P45:P51" si="16">P34</f>
        <v>1</v>
      </c>
      <c r="Q45" s="118">
        <f ca="1" t="shared" ref="Q45:Q51" si="17">Q34</f>
        <v>1</v>
      </c>
      <c r="R45" s="118">
        <f ca="1" t="shared" ref="R45:R51" si="18">R34</f>
        <v>1</v>
      </c>
      <c r="S45" s="3">
        <v>15</v>
      </c>
      <c r="W45" s="43">
        <v>1530100</v>
      </c>
      <c r="X45">
        <v>11</v>
      </c>
    </row>
    <row r="46" spans="3:49">
      <c r="D46" s="4">
        <v>2</v>
      </c>
      <c r="E46" s="7">
        <f t="shared" si="14"/>
        <v>0.1</v>
      </c>
      <c r="F46" s="5">
        <v>0.02</v>
      </c>
      <c r="G46" s="5">
        <v>0.1</v>
      </c>
      <c r="H46" s="5">
        <v>0.05</v>
      </c>
      <c r="I46" s="5">
        <v>0.03</v>
      </c>
      <c r="J46" s="5">
        <v>0.12</v>
      </c>
      <c r="K46" s="5">
        <f t="shared" si="15"/>
        <v>0.5</v>
      </c>
      <c r="L46" s="5">
        <v>0.08</v>
      </c>
      <c r="M46" s="5"/>
      <c r="N46" s="109">
        <v>1000</v>
      </c>
      <c r="O46" s="118"/>
      <c r="P46" s="118">
        <f ca="1" t="shared" si="16"/>
        <v>4.5274524158126</v>
      </c>
      <c r="Q46" s="118">
        <f ca="1" t="shared" si="17"/>
        <v>2.83562585969738</v>
      </c>
      <c r="R46" s="118">
        <f ca="1" t="shared" si="18"/>
        <v>2.14460338101431</v>
      </c>
      <c r="S46" s="3">
        <v>15</v>
      </c>
      <c r="W46" s="43">
        <v>1210300</v>
      </c>
      <c r="X46">
        <v>12</v>
      </c>
    </row>
    <row r="47" spans="3:49">
      <c r="D47" s="4">
        <v>3</v>
      </c>
      <c r="E47" s="7">
        <f t="shared" si="14"/>
        <v>0.1</v>
      </c>
      <c r="F47" s="5">
        <v>0.02</v>
      </c>
      <c r="G47" s="5">
        <v>0.1</v>
      </c>
      <c r="H47" s="5">
        <v>0.05</v>
      </c>
      <c r="I47" s="5">
        <v>0.03</v>
      </c>
      <c r="J47" s="5">
        <v>0.1</v>
      </c>
      <c r="K47" s="5">
        <f t="shared" si="15"/>
        <v>0.5</v>
      </c>
      <c r="L47" s="5">
        <v>0.1</v>
      </c>
      <c r="M47" s="5"/>
      <c r="N47" s="109">
        <v>2000</v>
      </c>
      <c r="O47" s="118"/>
      <c r="P47" s="118">
        <f ca="1" t="shared" si="16"/>
        <v>18.5018301610542</v>
      </c>
      <c r="Q47" s="118">
        <f ca="1" t="shared" si="17"/>
        <v>11.5880330123796</v>
      </c>
      <c r="R47" s="118">
        <f ca="1" t="shared" si="18"/>
        <v>8.76410923276983</v>
      </c>
      <c r="S47" s="3">
        <v>15</v>
      </c>
      <c r="W47" s="43">
        <v>1430700</v>
      </c>
      <c r="X47">
        <v>13</v>
      </c>
    </row>
    <row r="48" spans="3:49">
      <c r="D48" s="4">
        <v>4</v>
      </c>
      <c r="E48" s="7">
        <f t="shared" si="14"/>
        <v>0.1</v>
      </c>
      <c r="F48" s="5">
        <v>0.02</v>
      </c>
      <c r="G48" s="5">
        <v>0.1</v>
      </c>
      <c r="H48" s="5">
        <v>0.05</v>
      </c>
      <c r="I48" s="5">
        <v>0.03</v>
      </c>
      <c r="J48" s="5"/>
      <c r="K48" s="5">
        <f t="shared" si="15"/>
        <v>0.54</v>
      </c>
      <c r="L48" s="5">
        <v>0.12</v>
      </c>
      <c r="M48" s="5">
        <v>0.04</v>
      </c>
      <c r="N48" s="109">
        <v>3000</v>
      </c>
      <c r="O48" s="118"/>
      <c r="P48" s="118">
        <f ca="1" t="shared" si="16"/>
        <v>39.4633967789166</v>
      </c>
      <c r="Q48" s="118">
        <f ca="1" t="shared" si="17"/>
        <v>24.716643741403</v>
      </c>
      <c r="R48" s="118">
        <f ca="1" t="shared" si="18"/>
        <v>18.6933680104031</v>
      </c>
      <c r="S48" s="3">
        <v>15</v>
      </c>
      <c r="W48" s="43">
        <v>1140100</v>
      </c>
      <c r="X48">
        <v>14</v>
      </c>
    </row>
    <row r="49" spans="2:24">
      <c r="D49" s="4">
        <v>5</v>
      </c>
      <c r="E49" s="7">
        <f t="shared" si="14"/>
        <v>0.1</v>
      </c>
      <c r="F49" s="5">
        <v>0.02</v>
      </c>
      <c r="G49" s="5">
        <v>0.1</v>
      </c>
      <c r="H49" s="5">
        <v>0.05</v>
      </c>
      <c r="I49" s="5">
        <v>0.03</v>
      </c>
      <c r="J49" s="5"/>
      <c r="K49" s="5">
        <f t="shared" si="15"/>
        <v>0.49</v>
      </c>
      <c r="L49" s="5">
        <v>0.14</v>
      </c>
      <c r="M49" s="5">
        <v>0.07</v>
      </c>
      <c r="N49" s="109">
        <v>4000</v>
      </c>
      <c r="O49" s="118"/>
      <c r="P49" s="118">
        <f ca="1" t="shared" si="16"/>
        <v>67.4121522693998</v>
      </c>
      <c r="Q49" s="118">
        <f ca="1" t="shared" si="17"/>
        <v>42.2214580467675</v>
      </c>
      <c r="R49" s="118">
        <f ca="1" t="shared" si="18"/>
        <v>31.9323797139142</v>
      </c>
      <c r="S49" s="3">
        <v>15</v>
      </c>
      <c r="W49" s="43">
        <v>1140200</v>
      </c>
      <c r="X49">
        <v>15</v>
      </c>
    </row>
    <row r="50" spans="2:24">
      <c r="D50" s="4">
        <v>6</v>
      </c>
      <c r="E50" s="7">
        <f t="shared" si="14"/>
        <v>0.1</v>
      </c>
      <c r="F50" s="5">
        <v>0.02</v>
      </c>
      <c r="G50" s="5">
        <v>0.1</v>
      </c>
      <c r="H50" s="5">
        <v>0.05</v>
      </c>
      <c r="I50" s="5">
        <v>0.03</v>
      </c>
      <c r="J50" s="5"/>
      <c r="K50" s="5">
        <f t="shared" si="15"/>
        <v>0.4</v>
      </c>
      <c r="L50" s="5">
        <v>0.2</v>
      </c>
      <c r="M50" s="5">
        <v>0.1</v>
      </c>
      <c r="N50" s="109">
        <v>5000</v>
      </c>
      <c r="O50" s="118"/>
      <c r="P50" s="118">
        <f ca="1" t="shared" si="16"/>
        <v>102.348096632504</v>
      </c>
      <c r="Q50" s="118">
        <f ca="1" t="shared" si="17"/>
        <v>64.1024759284731</v>
      </c>
      <c r="R50" s="118">
        <f ca="1" t="shared" si="18"/>
        <v>48.481144343303</v>
      </c>
      <c r="S50" s="3">
        <v>15</v>
      </c>
      <c r="W50" s="44">
        <v>1420300</v>
      </c>
      <c r="X50">
        <v>16</v>
      </c>
    </row>
    <row r="51" spans="2:24">
      <c r="D51" s="120">
        <v>7</v>
      </c>
      <c r="E51" s="7">
        <f t="shared" si="14"/>
        <v>0.1</v>
      </c>
      <c r="F51" s="5">
        <v>0.02</v>
      </c>
      <c r="G51" s="5">
        <v>0.1</v>
      </c>
      <c r="H51" s="5">
        <v>0.05</v>
      </c>
      <c r="I51" s="5">
        <v>0.03</v>
      </c>
      <c r="J51" s="5"/>
      <c r="K51" s="5">
        <f t="shared" si="15"/>
        <v>0.34</v>
      </c>
      <c r="L51" s="5">
        <v>0.24</v>
      </c>
      <c r="M51" s="5">
        <v>0.12</v>
      </c>
      <c r="N51" s="109">
        <v>999999</v>
      </c>
      <c r="O51" s="118"/>
      <c r="P51" s="118">
        <f ca="1" t="shared" si="16"/>
        <v>7090.22877013178</v>
      </c>
      <c r="Q51" s="118">
        <f ca="1" t="shared" si="17"/>
        <v>4440.7393397524</v>
      </c>
      <c r="R51" s="118">
        <f ca="1" t="shared" si="18"/>
        <v>3358.56176853056</v>
      </c>
      <c r="S51" s="3">
        <v>15</v>
      </c>
      <c r="W51" s="44">
        <v>1530200</v>
      </c>
      <c r="X51">
        <v>17</v>
      </c>
    </row>
    <row r="52" spans="2:24">
      <c r="W52" s="44">
        <v>1410200</v>
      </c>
      <c r="X52">
        <v>18</v>
      </c>
    </row>
    <row r="53" spans="2:24">
      <c r="B53" s="61"/>
      <c r="C53" s="62" t="s">
        <v>231</v>
      </c>
      <c r="D53" s="70"/>
      <c r="E53" s="70"/>
      <c r="F53" s="70"/>
      <c r="G53" s="70"/>
      <c r="H53" s="70"/>
      <c r="W53" s="44">
        <v>1550200</v>
      </c>
      <c r="X53">
        <v>19</v>
      </c>
    </row>
    <row r="54" spans="2:24">
      <c r="B54" s="58"/>
      <c r="C54" s="59"/>
      <c r="D54" s="22" t="s">
        <v>232</v>
      </c>
      <c r="H54" s="70"/>
      <c r="W54" s="44">
        <v>1540100</v>
      </c>
      <c r="X54">
        <v>20</v>
      </c>
    </row>
    <row r="55" spans="2:24">
      <c r="B55" s="58"/>
      <c r="C55" s="59"/>
      <c r="D55" s="22" t="s">
        <v>233</v>
      </c>
      <c r="H55" s="70"/>
    </row>
    <row r="56" spans="2:24">
      <c r="D56" s="22" t="s">
        <v>234</v>
      </c>
    </row>
    <row r="57" spans="2:24">
      <c r="D57" s="2" t="s">
        <v>235</v>
      </c>
      <c r="E57" s="2" t="s">
        <v>236</v>
      </c>
      <c r="F57" s="2" t="s">
        <v>237</v>
      </c>
      <c r="G57" s="2" t="s">
        <v>238</v>
      </c>
    </row>
    <row r="58" spans="2:24">
      <c r="D58" s="121" t="s">
        <v>239</v>
      </c>
      <c r="E58" s="122" t="s">
        <v>240</v>
      </c>
      <c r="F58" s="121" t="s">
        <v>241</v>
      </c>
      <c r="G58" s="121" t="s">
        <v>242</v>
      </c>
    </row>
    <row r="59" spans="2:24">
      <c r="D59" s="123"/>
      <c r="E59" s="124" t="s">
        <v>243</v>
      </c>
      <c r="F59" s="123" t="s">
        <v>244</v>
      </c>
      <c r="G59" s="123" t="s">
        <v>242</v>
      </c>
    </row>
    <row r="60" spans="2:24">
      <c r="D60" s="123"/>
      <c r="E60" s="124" t="s">
        <v>245</v>
      </c>
      <c r="F60" s="123" t="s">
        <v>241</v>
      </c>
      <c r="G60" s="125" t="s">
        <v>246</v>
      </c>
    </row>
    <row r="61" spans="2:24">
      <c r="D61" s="123"/>
      <c r="E61" s="124" t="s">
        <v>247</v>
      </c>
      <c r="F61" s="123" t="s">
        <v>241</v>
      </c>
      <c r="G61" s="123" t="s">
        <v>248</v>
      </c>
    </row>
    <row r="62" spans="2:24">
      <c r="D62" s="123"/>
      <c r="E62" s="124" t="s">
        <v>249</v>
      </c>
      <c r="F62" s="123" t="s">
        <v>244</v>
      </c>
      <c r="G62" s="123" t="s">
        <v>242</v>
      </c>
    </row>
    <row r="63" spans="2:24">
      <c r="D63" s="123"/>
      <c r="E63" s="124" t="s">
        <v>250</v>
      </c>
      <c r="F63" s="123" t="s">
        <v>241</v>
      </c>
      <c r="G63" s="123" t="s">
        <v>251</v>
      </c>
    </row>
    <row r="64" spans="2:24">
      <c r="D64" s="20"/>
      <c r="E64" s="126"/>
      <c r="F64" s="20"/>
      <c r="G64" s="20"/>
    </row>
    <row r="66" spans="1:6">
      <c r="B66" s="61"/>
      <c r="C66" s="62" t="s">
        <v>252</v>
      </c>
    </row>
    <row r="67" spans="1:6">
      <c r="A67" s="22"/>
      <c r="B67" s="22"/>
      <c r="C67" s="62"/>
      <c r="D67" s="22" t="s">
        <v>253</v>
      </c>
    </row>
    <row r="68" spans="1:6">
      <c r="A68" s="22"/>
      <c r="B68" s="22"/>
      <c r="C68" s="62"/>
      <c r="D68" s="35" t="s">
        <v>241</v>
      </c>
      <c r="E68" s="35" t="s">
        <v>239</v>
      </c>
      <c r="F68" s="35" t="s">
        <v>254</v>
      </c>
    </row>
    <row r="69" spans="1:6">
      <c r="A69" s="22"/>
      <c r="B69" s="22"/>
      <c r="C69" s="62"/>
      <c r="D69" s="35" t="s">
        <v>111</v>
      </c>
      <c r="E69" s="55">
        <f>$E$80+$E$81/7+$D$89+SUM($E$93:$E$97)+$F$101*$E$101+$L$121+$E$89+D76+D85</f>
        <v>103.428571428571</v>
      </c>
      <c r="F69" s="35">
        <f>E130+F130+G130</f>
        <v>720</v>
      </c>
    </row>
    <row r="70" spans="1:6">
      <c r="A70" s="22"/>
      <c r="B70" s="22"/>
      <c r="C70" s="62"/>
      <c r="D70" s="35" t="s">
        <v>112</v>
      </c>
      <c r="E70" s="55">
        <f>$E$80+$E$81/7+$D$89+SUM($E$93:$E$97)+$G$101*$E$101+$L$121+$G$122+$H$122+$J$122+$E$138/30+$E$89+D76+D85</f>
        <v>130.095238095238</v>
      </c>
      <c r="F70" s="35">
        <f>$D$130</f>
        <v>770</v>
      </c>
    </row>
    <row r="71" spans="1:6">
      <c r="A71" s="22"/>
      <c r="B71" s="22"/>
      <c r="C71" s="62"/>
      <c r="D71" s="35" t="s">
        <v>113</v>
      </c>
      <c r="E71" s="55">
        <f>$E$80+$E$81/7+$D$89+SUM($E$93:$E$97)+$H$101*$E$101+$L$121+$G$122+$H$122+$J$122+$E$138/30+SUM($E$123:$L$123)+$E$89+D76+D85</f>
        <v>207.714285714286</v>
      </c>
      <c r="F71" s="35">
        <f>$D$130</f>
        <v>770</v>
      </c>
    </row>
    <row r="72" spans="1:6">
      <c r="A72" s="22"/>
      <c r="B72" s="22"/>
      <c r="C72" s="62"/>
      <c r="D72" s="35" t="s">
        <v>114</v>
      </c>
      <c r="E72" s="55">
        <f>$E$80+$E$81/7+$D$89+SUM($E$93:$E$97)+$I$101*$E$101+$L$121+$G$122+$H$122+$J$122+$E$138/30+SUM($E$123:$L$123)+SUM($E$124:$L$125)+$E$89+D76+D85</f>
        <v>274.642857142857</v>
      </c>
      <c r="F72" s="35">
        <f>$D$130</f>
        <v>770</v>
      </c>
    </row>
    <row r="73" spans="1:6">
      <c r="A73" s="22"/>
      <c r="B73" s="22"/>
      <c r="C73" s="62"/>
    </row>
    <row r="74" spans="1:6">
      <c r="A74" s="22"/>
      <c r="B74" s="22"/>
      <c r="C74" s="62"/>
      <c r="D74" s="22" t="s">
        <v>255</v>
      </c>
    </row>
    <row r="75" spans="1:6">
      <c r="A75" s="22"/>
      <c r="B75" s="22"/>
      <c r="C75" s="62"/>
      <c r="D75" s="2" t="s">
        <v>241</v>
      </c>
    </row>
    <row r="76" spans="1:6">
      <c r="A76" s="22"/>
      <c r="B76" s="22"/>
      <c r="C76" s="62"/>
      <c r="D76" s="127">
        <v>5</v>
      </c>
    </row>
    <row r="77" spans="1:6">
      <c r="A77" s="22"/>
      <c r="B77" s="22"/>
      <c r="C77" s="62"/>
      <c r="D77" s="20"/>
    </row>
    <row r="78" spans="1:6">
      <c r="A78" s="22"/>
      <c r="B78" s="22"/>
      <c r="D78" s="22" t="s">
        <v>256</v>
      </c>
    </row>
    <row r="79" spans="1:6">
      <c r="A79" s="22"/>
      <c r="B79" s="22"/>
      <c r="D79" s="2" t="s">
        <v>237</v>
      </c>
      <c r="E79" s="2" t="s">
        <v>239</v>
      </c>
    </row>
    <row r="80" spans="1:6">
      <c r="A80" s="22"/>
      <c r="B80" s="22"/>
      <c r="D80" s="127">
        <v>1</v>
      </c>
      <c r="E80" s="30">
        <v>5</v>
      </c>
    </row>
    <row r="81" spans="4:13">
      <c r="D81" s="127">
        <v>7</v>
      </c>
      <c r="E81" s="30">
        <v>10</v>
      </c>
    </row>
    <row r="83" spans="4:13">
      <c r="D83" s="22" t="s">
        <v>257</v>
      </c>
    </row>
    <row r="84" spans="4:13">
      <c r="D84" s="2" t="s">
        <v>258</v>
      </c>
      <c r="M84"/>
    </row>
    <row r="85" spans="4:13">
      <c r="D85" s="127">
        <v>10</v>
      </c>
      <c r="M85"/>
    </row>
    <row r="86" spans="4:13">
      <c r="M86"/>
    </row>
    <row r="87" spans="4:13">
      <c r="D87" s="22" t="s">
        <v>259</v>
      </c>
    </row>
    <row r="88" spans="4:13">
      <c r="D88" s="2" t="s">
        <v>260</v>
      </c>
      <c r="E88" s="2" t="s">
        <v>261</v>
      </c>
    </row>
    <row r="89" spans="4:13">
      <c r="D89" s="127">
        <v>2</v>
      </c>
      <c r="E89" s="127">
        <v>10</v>
      </c>
    </row>
    <row r="90" spans="4:13">
      <c r="D90" s="20"/>
    </row>
    <row r="91" spans="4:13">
      <c r="D91" s="22" t="s">
        <v>245</v>
      </c>
    </row>
    <row r="92" spans="4:13">
      <c r="D92" s="2" t="s">
        <v>262</v>
      </c>
      <c r="E92" s="2" t="s">
        <v>263</v>
      </c>
      <c r="L92"/>
      <c r="M92"/>
    </row>
    <row r="93" spans="4:13">
      <c r="D93" s="30" t="s">
        <v>264</v>
      </c>
      <c r="E93" s="128">
        <v>10</v>
      </c>
      <c r="L93"/>
      <c r="M93"/>
    </row>
    <row r="94" spans="4:13">
      <c r="D94" s="30">
        <v>1</v>
      </c>
      <c r="E94" s="128">
        <v>5</v>
      </c>
      <c r="L94"/>
      <c r="M94"/>
    </row>
    <row r="95" spans="4:13">
      <c r="D95" s="30">
        <v>2</v>
      </c>
      <c r="E95" s="128">
        <v>5</v>
      </c>
      <c r="L95"/>
      <c r="M95"/>
    </row>
    <row r="96" spans="4:13">
      <c r="D96" s="30">
        <v>3</v>
      </c>
      <c r="E96" s="128">
        <v>5</v>
      </c>
      <c r="L96"/>
      <c r="M96"/>
    </row>
    <row r="97" spans="4:13">
      <c r="D97" s="30">
        <v>4</v>
      </c>
      <c r="E97" s="128">
        <v>5</v>
      </c>
      <c r="L97"/>
      <c r="M97"/>
    </row>
    <row r="98" spans="4:13">
      <c r="D98" s="20"/>
      <c r="E98" s="20"/>
    </row>
    <row r="99" spans="4:13">
      <c r="D99" s="20" t="s">
        <v>265</v>
      </c>
      <c r="E99" s="20"/>
    </row>
    <row r="100" spans="4:13">
      <c r="D100" s="2" t="s">
        <v>262</v>
      </c>
      <c r="E100" s="2" t="s">
        <v>263</v>
      </c>
      <c r="F100" s="2" t="s">
        <v>111</v>
      </c>
      <c r="G100" s="2" t="s">
        <v>112</v>
      </c>
      <c r="H100" s="2" t="s">
        <v>113</v>
      </c>
      <c r="I100" s="2" t="s">
        <v>114</v>
      </c>
    </row>
    <row r="101" spans="4:13">
      <c r="D101" s="30">
        <v>1</v>
      </c>
      <c r="E101" s="30">
        <v>0.5</v>
      </c>
      <c r="F101" s="30">
        <f>H110/10</f>
        <v>40</v>
      </c>
      <c r="G101" s="30">
        <f>H114/10</f>
        <v>46</v>
      </c>
      <c r="H101" s="129">
        <f>H114/10</f>
        <v>46</v>
      </c>
      <c r="I101" s="129">
        <f>H117/10</f>
        <v>71.2857142857143</v>
      </c>
    </row>
    <row r="104" spans="4:13">
      <c r="D104" s="22" t="s">
        <v>266</v>
      </c>
    </row>
    <row r="105" ht="15.75" spans="4:13">
      <c r="D105" s="64" t="s">
        <v>22</v>
      </c>
      <c r="E105" s="64" t="s">
        <v>267</v>
      </c>
      <c r="F105" s="64" t="s">
        <v>268</v>
      </c>
      <c r="G105" s="93" t="s">
        <v>269</v>
      </c>
      <c r="H105" s="93" t="s">
        <v>270</v>
      </c>
      <c r="I105"/>
      <c r="J105"/>
      <c r="K105"/>
      <c r="L105"/>
      <c r="M105"/>
    </row>
    <row r="106" ht="15.75" spans="4:13">
      <c r="D106" s="65" t="s">
        <v>271</v>
      </c>
      <c r="E106" s="96">
        <v>0</v>
      </c>
      <c r="F106" s="97">
        <v>60</v>
      </c>
      <c r="G106" s="66"/>
      <c r="H106" s="96"/>
      <c r="I106"/>
      <c r="J106"/>
      <c r="K106"/>
      <c r="L106"/>
      <c r="M106"/>
    </row>
    <row r="107" ht="15.75" spans="4:13">
      <c r="D107" s="65" t="s">
        <v>272</v>
      </c>
      <c r="E107" s="96">
        <f>10*24</f>
        <v>240</v>
      </c>
      <c r="F107" s="97">
        <v>1</v>
      </c>
      <c r="G107" s="96">
        <f t="shared" ref="G107:G117" si="19">E107*F107</f>
        <v>240</v>
      </c>
      <c r="H107" s="96">
        <f>G107</f>
        <v>240</v>
      </c>
      <c r="I107"/>
      <c r="J107"/>
      <c r="K107"/>
      <c r="L107"/>
      <c r="M107"/>
    </row>
    <row r="108" ht="15.75" spans="4:13">
      <c r="D108" s="65" t="s">
        <v>273</v>
      </c>
      <c r="E108" s="96">
        <v>3</v>
      </c>
      <c r="F108" s="96">
        <v>10</v>
      </c>
      <c r="G108" s="96">
        <f t="shared" si="19"/>
        <v>30</v>
      </c>
      <c r="H108" s="96">
        <f t="shared" ref="H108:H117" si="20">G108+H107</f>
        <v>270</v>
      </c>
      <c r="I108"/>
      <c r="J108"/>
      <c r="K108"/>
      <c r="L108"/>
      <c r="M108"/>
    </row>
    <row r="109" ht="15.75" spans="4:13">
      <c r="D109" s="65" t="s">
        <v>274</v>
      </c>
      <c r="E109" s="96">
        <v>4</v>
      </c>
      <c r="F109" s="96">
        <v>30</v>
      </c>
      <c r="G109" s="96">
        <f t="shared" si="19"/>
        <v>120</v>
      </c>
      <c r="H109" s="96">
        <f t="shared" si="20"/>
        <v>390</v>
      </c>
      <c r="I109"/>
      <c r="J109"/>
      <c r="K109"/>
      <c r="L109"/>
      <c r="M109"/>
    </row>
    <row r="110" ht="15.75" spans="4:13">
      <c r="D110" s="65" t="s">
        <v>275</v>
      </c>
      <c r="E110" s="96">
        <v>1</v>
      </c>
      <c r="F110" s="96">
        <v>10</v>
      </c>
      <c r="G110" s="96">
        <f t="shared" si="19"/>
        <v>10</v>
      </c>
      <c r="H110" s="96">
        <f t="shared" si="20"/>
        <v>400</v>
      </c>
      <c r="I110"/>
      <c r="J110"/>
      <c r="K110"/>
      <c r="L110"/>
      <c r="M110"/>
    </row>
    <row r="111" ht="15.75" spans="4:13">
      <c r="D111" s="65" t="s">
        <v>276</v>
      </c>
      <c r="E111" s="96">
        <v>1</v>
      </c>
      <c r="F111" s="96">
        <v>10</v>
      </c>
      <c r="G111" s="96">
        <f t="shared" si="19"/>
        <v>10</v>
      </c>
      <c r="H111" s="96">
        <f t="shared" si="20"/>
        <v>410</v>
      </c>
      <c r="I111"/>
      <c r="J111"/>
      <c r="K111"/>
      <c r="L111"/>
      <c r="M111"/>
    </row>
    <row r="112" ht="15.75" spans="4:13">
      <c r="D112" s="65" t="s">
        <v>277</v>
      </c>
      <c r="E112" s="96">
        <v>1</v>
      </c>
      <c r="F112" s="96">
        <v>10</v>
      </c>
      <c r="G112" s="96">
        <f t="shared" si="19"/>
        <v>10</v>
      </c>
      <c r="H112" s="96">
        <f t="shared" si="20"/>
        <v>420</v>
      </c>
      <c r="I112"/>
      <c r="J112"/>
      <c r="K112"/>
      <c r="L112"/>
      <c r="M112"/>
    </row>
    <row r="113" ht="15.75" spans="4:13">
      <c r="D113" s="65" t="s">
        <v>278</v>
      </c>
      <c r="E113" s="96">
        <v>1</v>
      </c>
      <c r="F113" s="96">
        <v>15</v>
      </c>
      <c r="G113" s="96">
        <f t="shared" si="19"/>
        <v>15</v>
      </c>
      <c r="H113" s="96">
        <f t="shared" si="20"/>
        <v>435</v>
      </c>
      <c r="I113"/>
      <c r="J113"/>
      <c r="K113"/>
      <c r="L113"/>
      <c r="M113"/>
    </row>
    <row r="114" ht="15.75" spans="4:13">
      <c r="D114" s="65" t="s">
        <v>279</v>
      </c>
      <c r="E114" s="96">
        <v>1</v>
      </c>
      <c r="F114" s="96">
        <v>25</v>
      </c>
      <c r="G114" s="96">
        <f t="shared" si="19"/>
        <v>25</v>
      </c>
      <c r="H114" s="96">
        <f t="shared" si="20"/>
        <v>460</v>
      </c>
      <c r="I114"/>
      <c r="J114"/>
      <c r="K114"/>
      <c r="L114"/>
      <c r="M114"/>
    </row>
    <row r="115" ht="15.75" spans="4:13">
      <c r="D115" s="65" t="s">
        <v>280</v>
      </c>
      <c r="E115" s="96">
        <v>1</v>
      </c>
      <c r="F115" s="96">
        <v>60</v>
      </c>
      <c r="G115" s="96">
        <f t="shared" si="19"/>
        <v>60</v>
      </c>
      <c r="H115" s="96">
        <f t="shared" si="20"/>
        <v>520</v>
      </c>
      <c r="I115"/>
      <c r="J115"/>
      <c r="K115"/>
      <c r="L115"/>
      <c r="M115"/>
    </row>
    <row r="116" ht="15.75" spans="4:13">
      <c r="D116" s="65" t="s">
        <v>281</v>
      </c>
      <c r="E116" s="96">
        <f>1/7</f>
        <v>0.142857142857143</v>
      </c>
      <c r="F116" s="96">
        <f>60*5</f>
        <v>300</v>
      </c>
      <c r="G116" s="96">
        <f t="shared" si="19"/>
        <v>42.8571428571429</v>
      </c>
      <c r="H116" s="96">
        <f t="shared" si="20"/>
        <v>562.857142857143</v>
      </c>
      <c r="I116"/>
      <c r="J116"/>
      <c r="K116"/>
      <c r="L116"/>
      <c r="M116"/>
    </row>
    <row r="117" ht="15.75" spans="4:13">
      <c r="D117" s="65" t="s">
        <v>282</v>
      </c>
      <c r="E117" s="96">
        <v>5</v>
      </c>
      <c r="F117" s="96">
        <v>30</v>
      </c>
      <c r="G117" s="96">
        <f t="shared" si="19"/>
        <v>150</v>
      </c>
      <c r="H117" s="96">
        <f t="shared" si="20"/>
        <v>712.857142857143</v>
      </c>
      <c r="I117"/>
      <c r="J117"/>
      <c r="K117"/>
      <c r="L117"/>
      <c r="M117"/>
    </row>
    <row r="118" spans="4:13">
      <c r="L118" s="22" t="s">
        <v>283</v>
      </c>
    </row>
    <row r="119" spans="4:13">
      <c r="D119" s="22" t="s">
        <v>284</v>
      </c>
      <c r="L119" s="22" t="s">
        <v>285</v>
      </c>
    </row>
    <row r="120" spans="4:13">
      <c r="D120" s="2" t="s">
        <v>286</v>
      </c>
      <c r="E120" s="2" t="s">
        <v>287</v>
      </c>
      <c r="F120" s="2" t="s">
        <v>288</v>
      </c>
      <c r="G120" s="2" t="s">
        <v>289</v>
      </c>
      <c r="H120" s="2" t="s">
        <v>290</v>
      </c>
      <c r="I120" s="2" t="s">
        <v>291</v>
      </c>
      <c r="J120" s="2" t="s">
        <v>292</v>
      </c>
      <c r="K120" s="2" t="s">
        <v>293</v>
      </c>
      <c r="L120" s="2" t="s">
        <v>294</v>
      </c>
      <c r="M120" s="2" t="s">
        <v>54</v>
      </c>
    </row>
    <row r="121" spans="4:13">
      <c r="D121" s="130" t="s">
        <v>295</v>
      </c>
      <c r="E121" s="131"/>
      <c r="F121" s="131"/>
      <c r="G121" s="131"/>
      <c r="H121" s="131"/>
      <c r="I121" s="131"/>
      <c r="J121" s="131"/>
      <c r="K121" s="131"/>
      <c r="L121" s="131">
        <v>20</v>
      </c>
      <c r="M121" s="132">
        <f>SUM($E$121:L121)</f>
        <v>20</v>
      </c>
    </row>
    <row r="122" spans="4:13">
      <c r="D122" s="130">
        <v>5</v>
      </c>
      <c r="E122" s="131"/>
      <c r="F122" s="131"/>
      <c r="G122" s="131">
        <f>100/30</f>
        <v>3.33333333333333</v>
      </c>
      <c r="H122" s="131">
        <v>2</v>
      </c>
      <c r="I122" s="131"/>
      <c r="J122" s="131">
        <f>300/30</f>
        <v>10</v>
      </c>
      <c r="K122" s="131"/>
      <c r="L122" s="131"/>
      <c r="M122" s="132">
        <f>SUM($E$121:L122)</f>
        <v>35.3333333333333</v>
      </c>
    </row>
    <row r="123" spans="4:13">
      <c r="D123" s="130">
        <v>6</v>
      </c>
      <c r="E123" s="131"/>
      <c r="F123" s="131">
        <f>300/7</f>
        <v>42.8571428571429</v>
      </c>
      <c r="G123" s="131">
        <f>400/30</f>
        <v>13.3333333333333</v>
      </c>
      <c r="H123" s="133"/>
      <c r="I123" s="131">
        <v>20</v>
      </c>
      <c r="J123" s="131"/>
      <c r="K123" s="131">
        <f>10/7</f>
        <v>1.42857142857143</v>
      </c>
      <c r="L123" s="131"/>
      <c r="M123" s="132">
        <f>SUM($E$121:L123)</f>
        <v>112.952380952381</v>
      </c>
    </row>
    <row r="124" spans="4:13">
      <c r="D124" s="130">
        <v>7</v>
      </c>
      <c r="E124" s="131"/>
      <c r="F124" s="131">
        <f>50*2/7</f>
        <v>14.2857142857143</v>
      </c>
      <c r="G124" s="131"/>
      <c r="H124" s="131"/>
      <c r="I124" s="131"/>
      <c r="J124" s="131"/>
      <c r="K124" s="131"/>
      <c r="L124" s="131"/>
      <c r="M124" s="132">
        <f>SUM($E$121:L124)</f>
        <v>127.238095238095</v>
      </c>
    </row>
    <row r="125" spans="4:13">
      <c r="D125" s="130">
        <v>8</v>
      </c>
      <c r="E125" s="131">
        <f>20*2</f>
        <v>40</v>
      </c>
      <c r="F125" s="131"/>
      <c r="G125" s="131"/>
      <c r="H125" s="131"/>
      <c r="I125" s="131"/>
      <c r="J125" s="131"/>
      <c r="K125" s="131"/>
      <c r="L125" s="131"/>
      <c r="M125" s="132">
        <f>SUM($E$121:L125)</f>
        <v>167.238095238095</v>
      </c>
    </row>
    <row r="128" spans="4:13">
      <c r="D128" s="22" t="s">
        <v>254</v>
      </c>
      <c r="F128" s="22" t="s">
        <v>296</v>
      </c>
    </row>
    <row r="129" spans="4:14">
      <c r="D129" s="2" t="s">
        <v>254</v>
      </c>
      <c r="E129" s="2" t="s">
        <v>297</v>
      </c>
      <c r="F129" s="2" t="s">
        <v>298</v>
      </c>
      <c r="G129" s="2" t="s">
        <v>299</v>
      </c>
      <c r="H129" s="2" t="s">
        <v>300</v>
      </c>
      <c r="I129" s="2" t="s">
        <v>290</v>
      </c>
    </row>
    <row r="130" spans="4:14">
      <c r="D130" s="134">
        <f>SUM(E130:J130)</f>
        <v>770</v>
      </c>
      <c r="E130" s="134">
        <f>50*5</f>
        <v>250</v>
      </c>
      <c r="F130" s="134">
        <v>210</v>
      </c>
      <c r="G130" s="134">
        <v>260</v>
      </c>
      <c r="H130" s="134">
        <v>30</v>
      </c>
      <c r="I130" s="134">
        <v>20</v>
      </c>
    </row>
    <row r="131" spans="4:14">
      <c r="D131" s="135"/>
      <c r="E131" s="135"/>
      <c r="F131" s="135"/>
      <c r="G131" s="135"/>
    </row>
    <row r="132" spans="4:14">
      <c r="J132" s="22">
        <f>2916-1200</f>
        <v>1716</v>
      </c>
    </row>
    <row r="133" spans="4:14">
      <c r="J133" s="22">
        <f>J132*30*0.6</f>
        <v>30888</v>
      </c>
      <c r="L133" s="22">
        <f>J133/20</f>
        <v>1544.4</v>
      </c>
    </row>
    <row r="136" spans="4:14">
      <c r="D136" s="22" t="s">
        <v>250</v>
      </c>
    </row>
    <row r="137" spans="4:14">
      <c r="D137" s="2" t="s">
        <v>250</v>
      </c>
      <c r="E137" s="2" t="s">
        <v>301</v>
      </c>
    </row>
    <row r="138" spans="4:14">
      <c r="D138" s="130">
        <f>SUM(E138:J138)</f>
        <v>250</v>
      </c>
      <c r="E138" s="130">
        <v>250</v>
      </c>
    </row>
    <row r="139" spans="4:14">
      <c r="H139" s="22">
        <f>(500+1000+2000)/12*10</f>
        <v>2916.66666666667</v>
      </c>
    </row>
    <row r="140" spans="4:14">
      <c r="M140" s="22">
        <f ca="1">(MAX((M149-1)*M$144*(1+(INT(M149/5)-1)*0.3),(N149-1)*N$144*(1+(INT(M149/5)-1)*0.4)))</f>
        <v>0.3</v>
      </c>
    </row>
    <row r="141" spans="4:14">
      <c r="I141" s="22">
        <f ca="1">H139-H151</f>
        <v>787.130952380956</v>
      </c>
    </row>
    <row r="144" spans="4:14">
      <c r="K144" s="136">
        <v>0.04</v>
      </c>
      <c r="L144" s="136">
        <v>0.05</v>
      </c>
      <c r="M144" s="136">
        <v>0.06</v>
      </c>
      <c r="N144" s="14">
        <v>0.1</v>
      </c>
    </row>
    <row r="145" spans="4:49">
      <c r="K145" s="22">
        <v>3</v>
      </c>
      <c r="L145" s="22">
        <v>6</v>
      </c>
      <c r="M145" s="22">
        <v>6</v>
      </c>
      <c r="N145" s="22">
        <v>3</v>
      </c>
      <c r="R145" s="22"/>
      <c r="S145" s="22"/>
      <c r="T145" s="22"/>
      <c r="U145" s="22"/>
      <c r="V145" s="22"/>
    </row>
    <row r="146" spans="4:49">
      <c r="D146" s="2" t="s">
        <v>302</v>
      </c>
      <c r="E146" s="2" t="s">
        <v>111</v>
      </c>
      <c r="F146" s="2" t="s">
        <v>112</v>
      </c>
      <c r="G146" s="2" t="s">
        <v>113</v>
      </c>
      <c r="H146" s="2" t="s">
        <v>114</v>
      </c>
      <c r="J146" s="2" t="s">
        <v>303</v>
      </c>
      <c r="K146" s="2" t="s">
        <v>219</v>
      </c>
      <c r="L146" s="2" t="s">
        <v>220</v>
      </c>
      <c r="M146" s="2" t="s">
        <v>221</v>
      </c>
      <c r="N146" s="2" t="s">
        <v>222</v>
      </c>
      <c r="O146" s="2" t="s">
        <v>304</v>
      </c>
      <c r="P146" s="2" t="s">
        <v>305</v>
      </c>
      <c r="S146" s="2" t="s">
        <v>303</v>
      </c>
      <c r="T146" s="2" t="s">
        <v>111</v>
      </c>
      <c r="U146" s="2" t="s">
        <v>112</v>
      </c>
      <c r="V146" s="2" t="s">
        <v>113</v>
      </c>
      <c r="W146" s="2" t="s">
        <v>114</v>
      </c>
      <c r="Y146" s="2" t="s">
        <v>303</v>
      </c>
      <c r="Z146" s="2" t="s">
        <v>111</v>
      </c>
      <c r="AA146" s="2" t="s">
        <v>112</v>
      </c>
      <c r="AB146" s="2" t="s">
        <v>113</v>
      </c>
      <c r="AC146" s="2" t="s">
        <v>114</v>
      </c>
      <c r="AE146" s="2" t="s">
        <v>302</v>
      </c>
      <c r="AF146" s="2" t="s">
        <v>111</v>
      </c>
      <c r="AG146" s="2" t="s">
        <v>112</v>
      </c>
      <c r="AH146" s="2" t="s">
        <v>113</v>
      </c>
      <c r="AI146" s="2" t="s">
        <v>114</v>
      </c>
      <c r="AO146" s="2" t="s">
        <v>302</v>
      </c>
      <c r="AP146" s="2">
        <v>1</v>
      </c>
      <c r="AQ146" s="2">
        <v>2</v>
      </c>
      <c r="AR146" s="2">
        <v>3</v>
      </c>
      <c r="AS146" s="2">
        <v>4</v>
      </c>
      <c r="AT146" s="2">
        <v>5</v>
      </c>
      <c r="AU146" s="2">
        <v>6</v>
      </c>
      <c r="AV146" s="2">
        <v>7</v>
      </c>
    </row>
    <row r="147" spans="4:49">
      <c r="D147" s="134">
        <v>1</v>
      </c>
      <c r="E147" s="137">
        <f ca="1">IF(OFFSET($E$68,MATCH(E$146,$D$69:$D$72,0),0)*$D147+T147*5+Z147&gt;300,(OFFSET($E$68,MATCH(E$146,$D$69:$D$72,0),0)*$D147+T147*5+Z147-300)*1.1+300,OFFSET($E$68,MATCH(E$146,$D$69:$D$72,0),0)*$D147+T147*5+Z147)</f>
        <v>223.428571428571</v>
      </c>
      <c r="F147" s="137">
        <f ca="1">IF(OFFSET($E$68,MATCH(F$146,$D$69:$D$72,0),0)*$D147+U147*5+AA147&gt;300,(OFFSET($E$68,MATCH(F$146,$D$69:$D$72,0),0)*$D147+U147*5+AA147-300)*1.1+300,OFFSET($E$68,MATCH(F$146,$D$69:$D$72,0),0)*$D147+U147*5+AA147)</f>
        <v>300.104761904762</v>
      </c>
      <c r="G147" s="137">
        <f ca="1">IF(OFFSET($E$68,MATCH(G$146,$D$69:$D$72,0),0)*$D147+V147*5+AB147&gt;300,(OFFSET($E$68,MATCH(G$146,$D$69:$D$72,0),0)*$D147+V147*5+AB147-300)*1.1+300,OFFSET($E$68,MATCH(G$146,$D$69:$D$72,0),0)*$D147+V147*5+AB147)</f>
        <v>429.485714285715</v>
      </c>
      <c r="H147" s="137">
        <f ca="1">IF(OFFSET($E$68,MATCH(H$146,$D$69:$D$72,0),0)*$D147+W147*5+AC147&gt;300,(OFFSET($E$68,MATCH(H$146,$D$69:$D$72,0),0)*$D147+W147*5+AC147-300)*1.1+300,OFFSET($E$68,MATCH(H$146,$D$69:$D$72,0),0)*$D147+W147*5+AC147)</f>
        <v>503.107142857143</v>
      </c>
      <c r="J147" s="134">
        <v>1</v>
      </c>
      <c r="K147" s="137" cm="1">
        <f ca="1" t="array" ref="K147">IFERROR(MATCH(SUMPRODUCT($AP147:$AV147,TRANSPOSE(J$34:J$40))*10/K$145,梦灵属性!$K$56:$K$104,1),0)</f>
        <v>14</v>
      </c>
      <c r="L147" s="137" cm="1">
        <f ca="1" t="array" ref="L147">IFERROR(MATCH(SUMPRODUCT($AP147:$AV147,TRANSPOSE(K$34:K$40))*10/L$145,梦灵属性!$K$56:$K$104,1),0)</f>
        <v>5</v>
      </c>
      <c r="M147" s="137" cm="1">
        <f ca="1" t="array" ref="M147">IFERROR(MATCH(SUMPRODUCT($AP147:$AV147,TRANSPOSE(L$34:L$40))*10/M$145,梦灵属性!$K$56:$K$104,1),0)</f>
        <v>0</v>
      </c>
      <c r="N147" s="137" cm="1">
        <f ca="1" t="array" ref="N147">IFERROR(MATCH(SUMPRODUCT($AP147:$AV147,TRANSPOSE(M$34:M$40))*10/N$145,梦灵属性!$K$56:$K$104,1),0)</f>
        <v>0</v>
      </c>
      <c r="O147" s="3"/>
      <c r="R147" s="35"/>
      <c r="S147" s="35">
        <v>1</v>
      </c>
      <c r="T147" s="35">
        <v>12</v>
      </c>
      <c r="U147" s="35">
        <v>12</v>
      </c>
      <c r="V147" s="35">
        <v>20</v>
      </c>
      <c r="W147" s="35">
        <v>20</v>
      </c>
      <c r="Y147" s="35">
        <v>1</v>
      </c>
      <c r="Z147" s="35">
        <v>60</v>
      </c>
      <c r="AA147" s="35">
        <v>110</v>
      </c>
      <c r="AB147" s="35">
        <v>110</v>
      </c>
      <c r="AC147" s="35">
        <v>110</v>
      </c>
      <c r="AE147" s="134">
        <v>1</v>
      </c>
      <c r="AF147" s="137">
        <f ca="1" t="shared" ref="AF147:AI147" si="21">IFERROR(MATCH(E147,$T$34:$T$41,1)+1,1)</f>
        <v>1</v>
      </c>
      <c r="AG147" s="137">
        <f ca="1" t="shared" si="21"/>
        <v>1</v>
      </c>
      <c r="AH147" s="137">
        <f ca="1" t="shared" si="21"/>
        <v>1</v>
      </c>
      <c r="AI147" s="137">
        <f ca="1" t="shared" si="21"/>
        <v>2</v>
      </c>
      <c r="AJ147" s="137" t="str">
        <f ca="1">OFFSET($F$6,IFERROR(MATCH(E147,$E$7:$E$26,1),1),0)</f>
        <v>忍者鲨手</v>
      </c>
      <c r="AK147" s="137" t="str">
        <f ca="1">OFFSET($F$6,IFERROR(MATCH(F147,$E$7:$E$26,1),1),0)</f>
        <v>甜心护士</v>
      </c>
      <c r="AL147" s="137" t="str">
        <f ca="1">OFFSET($F$6,IFERROR(MATCH(G147,$E$7:$E$26,1),1),0)</f>
        <v>路人甲</v>
      </c>
      <c r="AM147" s="137" t="str">
        <f ca="1">OFFSET($F$6,IFERROR(MATCH(H147,$E$7:$E$26,1),1),0)</f>
        <v>东方宫主</v>
      </c>
      <c r="AO147" s="134">
        <v>1</v>
      </c>
      <c r="AP147" s="137">
        <f ca="1">IF($G147&gt;SUM(OFFSET($N$33,0,0,AP$146,1)),MIN($G147-SUM(OFFSET($N$33,0,0,AP$146,1)),OFFSET($N$33,AP$146,0)),0)</f>
        <v>429.485714285715</v>
      </c>
      <c r="AQ147" s="137">
        <f ca="1" t="shared" ref="AQ147:AV147" si="22">IF($G147&gt;SUM(OFFSET($N$33,0,0,AQ$146,1)),MIN($G147-SUM(OFFSET($N$33,0,0,AQ$146,1)),OFFSET($N$33,AQ$146,0)),0)</f>
        <v>0</v>
      </c>
      <c r="AR147" s="137">
        <f ca="1" t="shared" si="22"/>
        <v>0</v>
      </c>
      <c r="AS147" s="137">
        <f ca="1" t="shared" si="22"/>
        <v>0</v>
      </c>
      <c r="AT147" s="137">
        <f ca="1" t="shared" si="22"/>
        <v>0</v>
      </c>
      <c r="AU147" s="137">
        <f ca="1" t="shared" si="22"/>
        <v>0</v>
      </c>
      <c r="AV147" s="137">
        <f ca="1" t="shared" si="22"/>
        <v>0</v>
      </c>
      <c r="AW147">
        <f ca="1">7-COUNTIF(AO147:AV147,0)</f>
        <v>1</v>
      </c>
    </row>
    <row r="148" spans="4:49">
      <c r="D148" s="134">
        <v>2</v>
      </c>
      <c r="E148" s="137">
        <f ca="1" t="shared" ref="E148:E179" si="23">IF(OFFSET($E$68,MATCH(E$146,$D$69:$D$72,0),0)*$D148+T148*5+Z148&gt;300,(OFFSET($E$68,MATCH(E$146,$D$69:$D$72,0),0)*$D148+T148*5+Z148-300)*1.1+300,OFFSET($E$68,MATCH(E$146,$D$69:$D$72,0),0)*$D148+T148*5+Z148)</f>
        <v>395.542857142856</v>
      </c>
      <c r="F148" s="137">
        <f ca="1" t="shared" ref="F148:F179" si="24">IF(OFFSET($E$68,MATCH(F$146,$D$69:$D$72,0),0)*$D148+U148*5+AA148&gt;300,(OFFSET($E$68,MATCH(F$146,$D$69:$D$72,0),0)*$D148+U148*5+AA148-300)*1.1+300,OFFSET($E$68,MATCH(F$146,$D$69:$D$72,0),0)*$D148+U148*5+AA148)</f>
        <v>564.209523809523</v>
      </c>
      <c r="G148" s="137">
        <f ca="1" t="shared" ref="G148:G179" si="25">IF(OFFSET($E$68,MATCH(G$146,$D$69:$D$72,0),0)*$D148+V148*5+AB148&gt;300,(OFFSET($E$68,MATCH(G$146,$D$69:$D$72,0),0)*$D148+V148*5+AB148-300)*1.1+300,OFFSET($E$68,MATCH(G$146,$D$69:$D$72,0),0)*$D148+V148*5+AB148)</f>
        <v>800.971428571429</v>
      </c>
      <c r="H148" s="137">
        <f ca="1" t="shared" ref="H148:H179" si="26">IF(OFFSET($E$68,MATCH(H$146,$D$69:$D$72,0),0)*$D148+W148*5+AC148&gt;300,(OFFSET($E$68,MATCH(H$146,$D$69:$D$72,0),0)*$D148+W148*5+AC148-300)*1.1+300,OFFSET($E$68,MATCH(H$146,$D$69:$D$72,0),0)*$D148+W148*5+AC148)</f>
        <v>948.214285714285</v>
      </c>
      <c r="J148" s="134">
        <v>2</v>
      </c>
      <c r="K148" s="137" cm="1">
        <f ca="1" t="array" ref="K148">IFERROR(MATCH(SUMPRODUCT($AP148:$AV148,TRANSPOSE(J$34:J$40))*10/K$145,梦灵属性!$K$56:$K$104,1),0)</f>
        <v>19</v>
      </c>
      <c r="L148" s="137" cm="1">
        <f ca="1" t="array" ref="L148">IFERROR(MATCH(SUMPRODUCT($AP148:$AV148,TRANSPOSE(K$34:K$40))*10/L$145,梦灵属性!$K$56:$K$104,1),0)</f>
        <v>7</v>
      </c>
      <c r="M148" s="137" cm="1">
        <f ca="1" t="array" ref="M148">IFERROR(MATCH(SUMPRODUCT($AP148:$AV148,TRANSPOSE(L$34:L$40))*10/M$145+(INT(J148/7)+1)*70,梦灵属性!$K$56:$K$104,1)+1,0)</f>
        <v>6</v>
      </c>
      <c r="N148" s="137" cm="1">
        <f ca="1" t="array" ref="N148">IFERROR(MATCH(SUMPRODUCT($AP148:$AV148,TRANSPOSE(M$34:M$40))*10/N$145,梦灵属性!$K$56:$K$104,1),0)</f>
        <v>0</v>
      </c>
      <c r="O148" s="138">
        <f ca="1">(MAX((1+(M148-1)*M$144)*1.3^(INT(M148/5)-1),(1+(N148-1)*N$144)*(1.4^(INT(M148/5)-1))))</f>
        <v>1.3</v>
      </c>
      <c r="P148">
        <f ca="1">E148*1.8/LOG(O148,1.07)</f>
        <v>183.605077954247</v>
      </c>
      <c r="R148" s="35"/>
      <c r="S148" s="35">
        <v>2</v>
      </c>
      <c r="T148" s="35">
        <v>18</v>
      </c>
      <c r="U148" s="35">
        <v>18</v>
      </c>
      <c r="V148" s="35">
        <v>30</v>
      </c>
      <c r="W148" s="35">
        <v>30</v>
      </c>
      <c r="Y148" s="35">
        <v>2</v>
      </c>
      <c r="Z148" s="35">
        <f>Z147+30</f>
        <v>90</v>
      </c>
      <c r="AA148" s="35">
        <f>AA147+30+50</f>
        <v>190</v>
      </c>
      <c r="AB148" s="35">
        <f>AB147+30+50</f>
        <v>190</v>
      </c>
      <c r="AC148" s="35">
        <f>AC147+30+50</f>
        <v>190</v>
      </c>
      <c r="AE148" s="134">
        <v>2</v>
      </c>
      <c r="AF148" s="137">
        <f ca="1" t="shared" ref="AF148:AF179" si="27">IFERROR(MATCH(E148,$T$34:$T$41,1)+1,1)</f>
        <v>1</v>
      </c>
      <c r="AG148" s="137">
        <f ca="1" t="shared" ref="AG148:AG179" si="28">IFERROR(MATCH(F148,$T$34:$T$41,1)+1,1)</f>
        <v>2</v>
      </c>
      <c r="AH148" s="137">
        <f ca="1" t="shared" ref="AH148:AH179" si="29">IFERROR(MATCH(G148,$T$34:$T$41,1)+1,1)</f>
        <v>2</v>
      </c>
      <c r="AI148" s="137">
        <f ca="1" t="shared" ref="AI148:AI179" si="30">IFERROR(MATCH(H148,$T$34:$T$41,1)+1,1)</f>
        <v>2</v>
      </c>
      <c r="AJ148" s="137" t="str">
        <f ca="1" t="shared" ref="AJ148:AJ179" si="31">OFFSET($F$6,IFERROR(MATCH(E148,$E$7:$E$26,1),1),0)</f>
        <v>路人甲</v>
      </c>
      <c r="AK148" s="137" t="str">
        <f ca="1" t="shared" ref="AK148:AK179" si="32">OFFSET($F$6,IFERROR(MATCH(F148,$E$7:$E$26,1),1),0)</f>
        <v>东方宫主</v>
      </c>
      <c r="AL148" s="137" t="str">
        <f ca="1" t="shared" ref="AL148:AL179" si="33">OFFSET($F$6,IFERROR(MATCH(G148,$E$7:$E$26,1),1),0)</f>
        <v>唐小僧</v>
      </c>
      <c r="AM148" s="137" t="str">
        <f ca="1" t="shared" ref="AM148:AM179" si="34">OFFSET($F$6,IFERROR(MATCH(H148,$E$7:$E$26,1),1),0)</f>
        <v>唐小僧</v>
      </c>
      <c r="AO148" s="134">
        <v>2</v>
      </c>
      <c r="AP148" s="137">
        <f ca="1" t="shared" ref="AP148:AP179" si="35">IF($G148&gt;SUM(OFFSET($N$33,0,0,AP$146,1)),MIN($G148-SUM(OFFSET($N$33,0,0,AP$146,1)),OFFSET($N$33,AP$146,0)),0)</f>
        <v>450</v>
      </c>
      <c r="AQ148" s="137">
        <f ca="1" t="shared" ref="AQ148:AQ179" si="36">IF($G148&gt;SUM(OFFSET($N$33,0,0,AQ$146,1)),MIN($G148-SUM(OFFSET($N$33,0,0,AQ$146,1)),OFFSET($N$33,AQ$146,0)),0)</f>
        <v>350.971428571429</v>
      </c>
      <c r="AR148" s="137">
        <f ca="1" t="shared" ref="AR148:AR179" si="37">IF($G148&gt;SUM(OFFSET($N$33,0,0,AR$146,1)),MIN($G148-SUM(OFFSET($N$33,0,0,AR$146,1)),OFFSET($N$33,AR$146,0)),0)</f>
        <v>0</v>
      </c>
      <c r="AS148" s="137">
        <f ca="1" t="shared" ref="AS148:AS179" si="38">IF($G148&gt;SUM(OFFSET($N$33,0,0,AS$146,1)),MIN($G148-SUM(OFFSET($N$33,0,0,AS$146,1)),OFFSET($N$33,AS$146,0)),0)</f>
        <v>0</v>
      </c>
      <c r="AT148" s="137">
        <f ca="1" t="shared" ref="AT148:AT179" si="39">IF($G148&gt;SUM(OFFSET($N$33,0,0,AT$146,1)),MIN($G148-SUM(OFFSET($N$33,0,0,AT$146,1)),OFFSET($N$33,AT$146,0)),0)</f>
        <v>0</v>
      </c>
      <c r="AU148" s="137">
        <f ca="1" t="shared" ref="AU148:AU179" si="40">IF($G148&gt;SUM(OFFSET($N$33,0,0,AU$146,1)),MIN($G148-SUM(OFFSET($N$33,0,0,AU$146,1)),OFFSET($N$33,AU$146,0)),0)</f>
        <v>0</v>
      </c>
      <c r="AV148" s="137">
        <f ca="1" t="shared" ref="AV148:AV179" si="41">IF($G148&gt;SUM(OFFSET($N$33,0,0,AV$146,1)),MIN($G148-SUM(OFFSET($N$33,0,0,AV$146,1)),OFFSET($N$33,AV$146,0)),0)</f>
        <v>0</v>
      </c>
      <c r="AW148">
        <f ca="1" t="shared" ref="AW148:AW179" si="42">7-COUNTIF(AO148:AV148,0)</f>
        <v>2</v>
      </c>
    </row>
    <row r="149" spans="4:49">
      <c r="D149" s="134">
        <v>3</v>
      </c>
      <c r="E149" s="137">
        <f ca="1" t="shared" si="23"/>
        <v>624.814285714284</v>
      </c>
      <c r="F149" s="137">
        <f ca="1" t="shared" si="24"/>
        <v>767.814285714285</v>
      </c>
      <c r="G149" s="137">
        <f ca="1" t="shared" si="25"/>
        <v>1089.95714285714</v>
      </c>
      <c r="H149" s="137">
        <f ca="1" t="shared" si="26"/>
        <v>1310.82142857143</v>
      </c>
      <c r="J149" s="134">
        <v>3</v>
      </c>
      <c r="K149" s="137" cm="1">
        <f ca="1" t="array" ref="K149">IFERROR(MATCH(SUMPRODUCT($AP149:$AV149,TRANSPOSE(J$34:J$40))*10/K$145,梦灵属性!$K$56:$K$104,1),0)</f>
        <v>22</v>
      </c>
      <c r="L149" s="137" cm="1">
        <f ca="1" t="array" ref="L149">IFERROR(MATCH(SUMPRODUCT($AP149:$AV149,TRANSPOSE(K$34:K$40))*10/L$145,梦灵属性!$K$56:$K$104,1),0)</f>
        <v>9</v>
      </c>
      <c r="M149" s="137" cm="1">
        <f ca="1" t="array" ref="M149">IFERROR(MATCH(SUMPRODUCT($AP149:$AV149,TRANSPOSE(L$34:L$40))*10/M$145+(INT(J149/7)+1)*70,梦灵属性!$K$56:$K$104,1)+1,0)</f>
        <v>6</v>
      </c>
      <c r="N149" s="137" cm="1">
        <f ca="1" t="array" ref="N149">IFERROR(MATCH(SUMPRODUCT($AP149:$AV149,TRANSPOSE(M$34:M$40))*10/N$145,梦灵属性!$K$56:$K$104,1),0)</f>
        <v>0</v>
      </c>
      <c r="O149" s="138">
        <f ca="1" t="shared" ref="O149:O180" si="43">(MAX((1+(M149-1)*M$144)*1.3^(INT(M149/5)-1),(1+(N149-1)*N$144)*(1.4^(INT(M149/5)-1))))</f>
        <v>1.3</v>
      </c>
      <c r="P149">
        <f ca="1" t="shared" ref="P149:P180" si="44">E149*1.8/LOG(O149,1.07)</f>
        <v>290.029445770186</v>
      </c>
      <c r="R149" s="35"/>
      <c r="S149" s="35">
        <v>3</v>
      </c>
      <c r="T149" s="35">
        <v>23</v>
      </c>
      <c r="U149" s="35">
        <v>23</v>
      </c>
      <c r="V149" s="35">
        <v>35</v>
      </c>
      <c r="W149" s="35">
        <v>35</v>
      </c>
      <c r="Y149" s="35">
        <v>3</v>
      </c>
      <c r="Z149" s="35">
        <f>Z148+30+50</f>
        <v>170</v>
      </c>
      <c r="AA149" s="35">
        <f>AA148+30</f>
        <v>220</v>
      </c>
      <c r="AB149" s="35">
        <f>AB148+30</f>
        <v>220</v>
      </c>
      <c r="AC149" s="35">
        <f>AC148+30</f>
        <v>220</v>
      </c>
      <c r="AE149" s="134">
        <v>3</v>
      </c>
      <c r="AF149" s="137">
        <f ca="1" t="shared" si="27"/>
        <v>2</v>
      </c>
      <c r="AG149" s="137">
        <f ca="1" t="shared" si="28"/>
        <v>2</v>
      </c>
      <c r="AH149" s="137">
        <f ca="1" t="shared" si="29"/>
        <v>2</v>
      </c>
      <c r="AI149" s="137">
        <f ca="1" t="shared" si="30"/>
        <v>2</v>
      </c>
      <c r="AJ149" s="137" t="str">
        <f ca="1" t="shared" si="31"/>
        <v>亚瑟</v>
      </c>
      <c r="AK149" s="137" t="str">
        <f ca="1" t="shared" si="32"/>
        <v>亚瑟</v>
      </c>
      <c r="AL149" s="137" t="str">
        <f ca="1" t="shared" si="33"/>
        <v>唐小僧</v>
      </c>
      <c r="AM149" s="137" t="str">
        <f ca="1" t="shared" si="34"/>
        <v>蜘蛛女王</v>
      </c>
      <c r="AO149" s="134">
        <v>3</v>
      </c>
      <c r="AP149" s="137">
        <f ca="1" t="shared" si="35"/>
        <v>450</v>
      </c>
      <c r="AQ149" s="137">
        <f ca="1" t="shared" si="36"/>
        <v>639.957142857144</v>
      </c>
      <c r="AR149" s="137">
        <f ca="1" t="shared" si="37"/>
        <v>0</v>
      </c>
      <c r="AS149" s="137">
        <f ca="1" t="shared" si="38"/>
        <v>0</v>
      </c>
      <c r="AT149" s="137">
        <f ca="1" t="shared" si="39"/>
        <v>0</v>
      </c>
      <c r="AU149" s="137">
        <f ca="1" t="shared" si="40"/>
        <v>0</v>
      </c>
      <c r="AV149" s="137">
        <f ca="1" t="shared" si="41"/>
        <v>0</v>
      </c>
      <c r="AW149">
        <f ca="1" t="shared" si="42"/>
        <v>2</v>
      </c>
    </row>
    <row r="150" spans="4:49">
      <c r="D150" s="134">
        <v>4</v>
      </c>
      <c r="E150" s="137">
        <f ca="1" t="shared" si="23"/>
        <v>881.585714285712</v>
      </c>
      <c r="F150" s="137">
        <f ca="1" t="shared" si="24"/>
        <v>1053.91904761905</v>
      </c>
      <c r="G150" s="137">
        <f ca="1" t="shared" si="25"/>
        <v>1477.94285714286</v>
      </c>
      <c r="H150" s="137">
        <f ca="1" t="shared" si="26"/>
        <v>1772.42857142857</v>
      </c>
      <c r="J150" s="134">
        <v>4</v>
      </c>
      <c r="K150" s="137" cm="1">
        <f ca="1" t="array" ref="K150">IFERROR(MATCH(SUMPRODUCT($AP150:$AV150,TRANSPOSE(J$34:J$40))*10/K$145,梦灵属性!$K$56:$K$104,1),0)</f>
        <v>25</v>
      </c>
      <c r="L150" s="137" cm="1">
        <f ca="1" t="array" ref="L150">IFERROR(MATCH(SUMPRODUCT($AP150:$AV150,TRANSPOSE(K$34:K$40))*10/L$145,梦灵属性!$K$56:$K$104,1),0)</f>
        <v>10</v>
      </c>
      <c r="M150" s="137" cm="1">
        <f ca="1" t="array" ref="M150">IFERROR(MATCH(SUMPRODUCT($AP150:$AV150,TRANSPOSE(L$34:L$40))*10/M$145+(INT(J150/7)+1)*70,梦灵属性!$K$56:$K$104,1)+1,0)</f>
        <v>7</v>
      </c>
      <c r="N150" s="137" cm="1">
        <f ca="1" t="array" ref="N150">IFERROR(MATCH(SUMPRODUCT($AP150:$AV150,TRANSPOSE(M$34:M$40))*10/N$145,梦灵属性!$K$56:$K$104,1),0)</f>
        <v>0</v>
      </c>
      <c r="O150" s="138">
        <f ca="1" t="shared" si="43"/>
        <v>1.36</v>
      </c>
      <c r="P150">
        <f ca="1" t="shared" si="44"/>
        <v>349.16994694147</v>
      </c>
      <c r="R150" s="35"/>
      <c r="S150" s="35">
        <v>4</v>
      </c>
      <c r="T150" s="35">
        <v>27</v>
      </c>
      <c r="U150" s="35">
        <v>27</v>
      </c>
      <c r="V150" s="35">
        <v>42</v>
      </c>
      <c r="W150" s="35">
        <v>42</v>
      </c>
      <c r="Y150" s="35">
        <v>4</v>
      </c>
      <c r="Z150" s="35">
        <f>Z149+30+80</f>
        <v>280</v>
      </c>
      <c r="AA150" s="35">
        <f>AA149+30+80</f>
        <v>330</v>
      </c>
      <c r="AB150" s="35">
        <f>AB149+30+80</f>
        <v>330</v>
      </c>
      <c r="AC150" s="35">
        <f>AC149+30+80</f>
        <v>330</v>
      </c>
      <c r="AE150" s="134">
        <v>4</v>
      </c>
      <c r="AF150" s="137">
        <f ca="1" t="shared" si="27"/>
        <v>2</v>
      </c>
      <c r="AG150" s="137">
        <f ca="1" t="shared" si="28"/>
        <v>2</v>
      </c>
      <c r="AH150" s="137">
        <f ca="1" t="shared" si="29"/>
        <v>3</v>
      </c>
      <c r="AI150" s="137">
        <f ca="1" t="shared" si="30"/>
        <v>3</v>
      </c>
      <c r="AJ150" s="137" t="str">
        <f ca="1" t="shared" si="31"/>
        <v>唐小僧</v>
      </c>
      <c r="AK150" s="137" t="str">
        <f ca="1" t="shared" si="32"/>
        <v>唐小僧</v>
      </c>
      <c r="AL150" s="137" t="str">
        <f ca="1" t="shared" si="33"/>
        <v>蜘蛛女王</v>
      </c>
      <c r="AM150" s="137" t="str">
        <f ca="1" t="shared" si="34"/>
        <v>蜘蛛女王</v>
      </c>
      <c r="AO150" s="134">
        <v>4</v>
      </c>
      <c r="AP150" s="137">
        <f ca="1" t="shared" si="35"/>
        <v>450</v>
      </c>
      <c r="AQ150" s="137">
        <f ca="1" t="shared" si="36"/>
        <v>909</v>
      </c>
      <c r="AR150" s="137">
        <f ca="1" t="shared" si="37"/>
        <v>118.942857142858</v>
      </c>
      <c r="AS150" s="137">
        <f ca="1" t="shared" si="38"/>
        <v>0</v>
      </c>
      <c r="AT150" s="137">
        <f ca="1" t="shared" si="39"/>
        <v>0</v>
      </c>
      <c r="AU150" s="137">
        <f ca="1" t="shared" si="40"/>
        <v>0</v>
      </c>
      <c r="AV150" s="137">
        <f ca="1" t="shared" si="41"/>
        <v>0</v>
      </c>
      <c r="AW150">
        <f ca="1" t="shared" si="42"/>
        <v>3</v>
      </c>
    </row>
    <row r="151" spans="4:49">
      <c r="D151" s="134">
        <v>5</v>
      </c>
      <c r="E151" s="137">
        <f ca="1" t="shared" si="23"/>
        <v>1044.85714285714</v>
      </c>
      <c r="F151" s="137">
        <f ca="1" t="shared" si="24"/>
        <v>1246.52380952381</v>
      </c>
      <c r="G151" s="137">
        <f ca="1" t="shared" si="25"/>
        <v>1761.42857142857</v>
      </c>
      <c r="H151" s="137">
        <f ca="1" t="shared" si="26"/>
        <v>2129.53571428571</v>
      </c>
      <c r="J151" s="134">
        <v>5</v>
      </c>
      <c r="K151" s="137" cm="1">
        <f ca="1" t="array" ref="K151">IFERROR(MATCH(SUMPRODUCT($AP151:$AV151,TRANSPOSE(J$34:J$40))*10/K$145,梦灵属性!$K$56:$K$104,1),0)</f>
        <v>26</v>
      </c>
      <c r="L151" s="137" cm="1">
        <f ca="1" t="array" ref="L151">IFERROR(MATCH(SUMPRODUCT($AP151:$AV151,TRANSPOSE(K$34:K$40))*10/L$145,梦灵属性!$K$56:$K$104,1),0)</f>
        <v>11</v>
      </c>
      <c r="M151" s="137" cm="1">
        <f ca="1" t="array" ref="M151">IFERROR(MATCH(SUMPRODUCT($AP151:$AV151,TRANSPOSE(L$34:L$40))*10/M$145+(INT(J151/7)+1)*70,梦灵属性!$K$56:$K$104,1)+1,0)</f>
        <v>8</v>
      </c>
      <c r="N151" s="137" cm="1">
        <f ca="1" t="array" ref="N151">IFERROR(MATCH(SUMPRODUCT($AP151:$AV151,TRANSPOSE(M$34:M$40))*10/N$145,梦灵属性!$K$56:$K$104,1),0)</f>
        <v>0</v>
      </c>
      <c r="O151" s="138">
        <f ca="1" t="shared" si="43"/>
        <v>1.42</v>
      </c>
      <c r="P151">
        <f ca="1" t="shared" si="44"/>
        <v>362.886143527345</v>
      </c>
      <c r="R151" s="35"/>
      <c r="S151" s="35">
        <v>5</v>
      </c>
      <c r="T151" s="35">
        <v>30</v>
      </c>
      <c r="U151" s="35">
        <v>30</v>
      </c>
      <c r="V151" s="35">
        <v>46</v>
      </c>
      <c r="W151" s="35">
        <v>46</v>
      </c>
      <c r="Y151" s="35">
        <v>5</v>
      </c>
      <c r="Z151" s="35">
        <f t="shared" ref="Z151:AC152" si="45">Z150+30</f>
        <v>310</v>
      </c>
      <c r="AA151" s="35">
        <f t="shared" si="45"/>
        <v>360</v>
      </c>
      <c r="AB151" s="35">
        <f t="shared" si="45"/>
        <v>360</v>
      </c>
      <c r="AC151" s="35">
        <f t="shared" si="45"/>
        <v>360</v>
      </c>
      <c r="AE151" s="134">
        <v>5</v>
      </c>
      <c r="AF151" s="137">
        <f ca="1" t="shared" si="27"/>
        <v>2</v>
      </c>
      <c r="AG151" s="137">
        <f ca="1" t="shared" si="28"/>
        <v>2</v>
      </c>
      <c r="AH151" s="137">
        <f ca="1" t="shared" si="29"/>
        <v>3</v>
      </c>
      <c r="AI151" s="137">
        <f ca="1" t="shared" si="30"/>
        <v>3</v>
      </c>
      <c r="AJ151" s="137" t="str">
        <f ca="1" t="shared" si="31"/>
        <v>唐小僧</v>
      </c>
      <c r="AK151" s="137" t="str">
        <f ca="1" t="shared" si="32"/>
        <v>蜘蛛女王</v>
      </c>
      <c r="AL151" s="137" t="str">
        <f ca="1" t="shared" si="33"/>
        <v>蜘蛛女王</v>
      </c>
      <c r="AM151" s="137" t="str">
        <f ca="1" t="shared" si="34"/>
        <v>神灯王子</v>
      </c>
      <c r="AO151" s="134">
        <v>5</v>
      </c>
      <c r="AP151" s="137">
        <f ca="1" t="shared" si="35"/>
        <v>450</v>
      </c>
      <c r="AQ151" s="137">
        <f ca="1" t="shared" si="36"/>
        <v>909</v>
      </c>
      <c r="AR151" s="137">
        <f ca="1" t="shared" si="37"/>
        <v>402.428571428573</v>
      </c>
      <c r="AS151" s="137">
        <f ca="1" t="shared" si="38"/>
        <v>0</v>
      </c>
      <c r="AT151" s="137">
        <f ca="1" t="shared" si="39"/>
        <v>0</v>
      </c>
      <c r="AU151" s="137">
        <f ca="1" t="shared" si="40"/>
        <v>0</v>
      </c>
      <c r="AV151" s="137">
        <f ca="1" t="shared" si="41"/>
        <v>0</v>
      </c>
      <c r="AW151">
        <f ca="1" t="shared" si="42"/>
        <v>3</v>
      </c>
    </row>
    <row r="152" spans="4:49">
      <c r="D152" s="134">
        <v>6</v>
      </c>
      <c r="E152" s="137">
        <f ca="1" t="shared" si="23"/>
        <v>1208.12857142857</v>
      </c>
      <c r="F152" s="137">
        <f ca="1" t="shared" si="24"/>
        <v>1439.12857142857</v>
      </c>
      <c r="G152" s="137">
        <f ca="1" t="shared" si="25"/>
        <v>2039.41428571429</v>
      </c>
      <c r="H152" s="137">
        <f ca="1" t="shared" si="26"/>
        <v>2481.14285714286</v>
      </c>
      <c r="J152" s="134">
        <v>6</v>
      </c>
      <c r="K152" s="137" cm="1">
        <f ca="1" t="array" ref="K152">IFERROR(MATCH(SUMPRODUCT($AP152:$AV152,TRANSPOSE(J$34:J$40))*10/K$145,梦灵属性!$K$56:$K$104,1),0)</f>
        <v>27</v>
      </c>
      <c r="L152" s="137" cm="1">
        <f ca="1" t="array" ref="L152">IFERROR(MATCH(SUMPRODUCT($AP152:$AV152,TRANSPOSE(K$34:K$40))*10/L$145,梦灵属性!$K$56:$K$104,1),0)</f>
        <v>12</v>
      </c>
      <c r="M152" s="137" cm="1">
        <f ca="1" t="array" ref="M152">IFERROR(MATCH(SUMPRODUCT($AP152:$AV152,TRANSPOSE(L$34:L$40))*10/M$145+(INT(J152/7)+1)*70,梦灵属性!$K$56:$K$104,1)+1,0)</f>
        <v>9</v>
      </c>
      <c r="N152" s="137" cm="1">
        <f ca="1" t="array" ref="N152">IFERROR(MATCH(SUMPRODUCT($AP152:$AV152,TRANSPOSE(M$34:M$40))*10/N$145,梦灵属性!$K$56:$K$104,1),0)</f>
        <v>0</v>
      </c>
      <c r="O152" s="138">
        <f ca="1" t="shared" si="43"/>
        <v>1.48</v>
      </c>
      <c r="P152">
        <f ca="1" t="shared" si="44"/>
        <v>375.298030424432</v>
      </c>
      <c r="R152" s="35"/>
      <c r="S152" s="35">
        <v>6</v>
      </c>
      <c r="T152" s="35">
        <v>33</v>
      </c>
      <c r="U152" s="35">
        <v>33</v>
      </c>
      <c r="V152" s="35">
        <v>49</v>
      </c>
      <c r="W152" s="35">
        <v>49</v>
      </c>
      <c r="Y152" s="35">
        <v>6</v>
      </c>
      <c r="Z152" s="35">
        <f t="shared" si="45"/>
        <v>340</v>
      </c>
      <c r="AA152" s="35">
        <f t="shared" si="45"/>
        <v>390</v>
      </c>
      <c r="AB152" s="35">
        <f t="shared" si="45"/>
        <v>390</v>
      </c>
      <c r="AC152" s="35">
        <f t="shared" si="45"/>
        <v>390</v>
      </c>
      <c r="AE152" s="134">
        <v>6</v>
      </c>
      <c r="AF152" s="137">
        <f ca="1" t="shared" si="27"/>
        <v>2</v>
      </c>
      <c r="AG152" s="137">
        <f ca="1" t="shared" si="28"/>
        <v>3</v>
      </c>
      <c r="AH152" s="137">
        <f ca="1" t="shared" si="29"/>
        <v>3</v>
      </c>
      <c r="AI152" s="137">
        <f ca="1" t="shared" si="30"/>
        <v>3</v>
      </c>
      <c r="AJ152" s="137" t="str">
        <f ca="1" t="shared" si="31"/>
        <v>蜘蛛女王</v>
      </c>
      <c r="AK152" s="137" t="str">
        <f ca="1" t="shared" si="32"/>
        <v>蜘蛛女王</v>
      </c>
      <c r="AL152" s="137" t="str">
        <f ca="1" t="shared" si="33"/>
        <v>神灯王子</v>
      </c>
      <c r="AM152" s="137" t="str">
        <f ca="1" t="shared" si="34"/>
        <v>关羽</v>
      </c>
      <c r="AO152" s="134">
        <v>6</v>
      </c>
      <c r="AP152" s="137">
        <f ca="1" t="shared" si="35"/>
        <v>450</v>
      </c>
      <c r="AQ152" s="137">
        <f ca="1" t="shared" si="36"/>
        <v>909</v>
      </c>
      <c r="AR152" s="137">
        <f ca="1" t="shared" si="37"/>
        <v>680.414285714288</v>
      </c>
      <c r="AS152" s="137">
        <f ca="1" t="shared" si="38"/>
        <v>0</v>
      </c>
      <c r="AT152" s="137">
        <f ca="1" t="shared" si="39"/>
        <v>0</v>
      </c>
      <c r="AU152" s="137">
        <f ca="1" t="shared" si="40"/>
        <v>0</v>
      </c>
      <c r="AV152" s="137">
        <f ca="1" t="shared" si="41"/>
        <v>0</v>
      </c>
      <c r="AW152">
        <f ca="1" t="shared" si="42"/>
        <v>3</v>
      </c>
    </row>
    <row r="153" spans="4:49">
      <c r="D153" s="134">
        <v>7</v>
      </c>
      <c r="E153" s="137">
        <f ca="1" t="shared" si="23"/>
        <v>1481.4</v>
      </c>
      <c r="F153" s="137">
        <f ca="1" t="shared" si="24"/>
        <v>1741.73333333333</v>
      </c>
      <c r="G153" s="137">
        <f ca="1" t="shared" si="25"/>
        <v>2427.4</v>
      </c>
      <c r="H153" s="137">
        <f ca="1" t="shared" si="26"/>
        <v>2942.75</v>
      </c>
      <c r="J153" s="134">
        <v>7</v>
      </c>
      <c r="K153" s="137" cm="1">
        <f ca="1" t="array" ref="K153">IFERROR(MATCH(SUMPRODUCT($AP153:$AV153,TRANSPOSE(J$34:J$40))*10/K$145,梦灵属性!$K$56:$K$104,1),0)</f>
        <v>29</v>
      </c>
      <c r="L153" s="137" cm="1">
        <f ca="1" t="array" ref="L153">IFERROR(MATCH(SUMPRODUCT($AP153:$AV153,TRANSPOSE(K$34:K$40))*10/L$145,梦灵属性!$K$56:$K$104,1),0)</f>
        <v>14</v>
      </c>
      <c r="M153" s="137" cm="1">
        <f ca="1" t="array" ref="M153">IFERROR(MATCH(SUMPRODUCT($AP153:$AV153,TRANSPOSE(L$34:L$40))*10/M$145+(INT(J153/7)+1)*70,梦灵属性!$K$56:$K$104,1)+1,0)</f>
        <v>11</v>
      </c>
      <c r="N153" s="137" cm="1">
        <f ca="1" t="array" ref="N153">IFERROR(MATCH(SUMPRODUCT($AP153:$AV153,TRANSPOSE(M$34:M$40))*10/N$145,梦灵属性!$K$56:$K$104,1),0)</f>
        <v>0</v>
      </c>
      <c r="O153" s="138">
        <f ca="1" t="shared" si="43"/>
        <v>2.08</v>
      </c>
      <c r="P153">
        <f ca="1" t="shared" si="44"/>
        <v>246.342228922232</v>
      </c>
      <c r="R153" s="35"/>
      <c r="S153" s="35">
        <v>7</v>
      </c>
      <c r="T153" s="35">
        <v>36</v>
      </c>
      <c r="U153" s="35">
        <v>36</v>
      </c>
      <c r="V153" s="35">
        <v>52</v>
      </c>
      <c r="W153" s="35">
        <v>52</v>
      </c>
      <c r="Y153" s="35">
        <v>7</v>
      </c>
      <c r="Z153" s="35">
        <f>Z152+30+100</f>
        <v>470</v>
      </c>
      <c r="AA153" s="35">
        <f>AA152+30+100</f>
        <v>520</v>
      </c>
      <c r="AB153" s="35">
        <f>AB152+30+100</f>
        <v>520</v>
      </c>
      <c r="AC153" s="35">
        <f>AC152+30+100</f>
        <v>520</v>
      </c>
      <c r="AE153" s="134">
        <v>7</v>
      </c>
      <c r="AF153" s="137">
        <f ca="1" t="shared" si="27"/>
        <v>3</v>
      </c>
      <c r="AG153" s="137">
        <f ca="1" t="shared" si="28"/>
        <v>3</v>
      </c>
      <c r="AH153" s="137">
        <f ca="1" t="shared" si="29"/>
        <v>3</v>
      </c>
      <c r="AI153" s="137">
        <f ca="1" t="shared" si="30"/>
        <v>3</v>
      </c>
      <c r="AJ153" s="137" t="str">
        <f ca="1" t="shared" si="31"/>
        <v>蜘蛛女王</v>
      </c>
      <c r="AK153" s="137" t="str">
        <f ca="1" t="shared" si="32"/>
        <v>蜘蛛女王</v>
      </c>
      <c r="AL153" s="137" t="str">
        <f ca="1" t="shared" si="33"/>
        <v>关羽</v>
      </c>
      <c r="AM153" s="137" t="str">
        <f ca="1" t="shared" si="34"/>
        <v>关羽</v>
      </c>
      <c r="AO153" s="134">
        <v>7</v>
      </c>
      <c r="AP153" s="137">
        <f ca="1" t="shared" si="35"/>
        <v>450</v>
      </c>
      <c r="AQ153" s="137">
        <f ca="1" t="shared" si="36"/>
        <v>909</v>
      </c>
      <c r="AR153" s="137">
        <f ca="1" t="shared" si="37"/>
        <v>1068.4</v>
      </c>
      <c r="AS153" s="137">
        <f ca="1" t="shared" si="38"/>
        <v>0</v>
      </c>
      <c r="AT153" s="137">
        <f ca="1" t="shared" si="39"/>
        <v>0</v>
      </c>
      <c r="AU153" s="137">
        <f ca="1" t="shared" si="40"/>
        <v>0</v>
      </c>
      <c r="AV153" s="137">
        <f ca="1" t="shared" si="41"/>
        <v>0</v>
      </c>
      <c r="AW153">
        <f ca="1" t="shared" si="42"/>
        <v>3</v>
      </c>
    </row>
    <row r="154" spans="4:49">
      <c r="D154" s="134">
        <v>8</v>
      </c>
      <c r="E154" s="137">
        <f ca="1" t="shared" si="23"/>
        <v>1595.17142857142</v>
      </c>
      <c r="F154" s="137">
        <f ca="1" t="shared" si="24"/>
        <v>1884.83809523809</v>
      </c>
      <c r="G154" s="137">
        <f ca="1" t="shared" si="25"/>
        <v>2655.88571428572</v>
      </c>
      <c r="H154" s="137">
        <f ca="1" t="shared" si="26"/>
        <v>3244.85714285714</v>
      </c>
      <c r="J154" s="134">
        <v>8</v>
      </c>
      <c r="K154" s="137" cm="1">
        <f ca="1" t="array" ref="K154">IFERROR(MATCH(SUMPRODUCT($AP154:$AV154,TRANSPOSE(J$34:J$40))*10/K$145,梦灵属性!$K$56:$K$104,1),0)</f>
        <v>29</v>
      </c>
      <c r="L154" s="137" cm="1">
        <f ca="1" t="array" ref="L154">IFERROR(MATCH(SUMPRODUCT($AP154:$AV154,TRANSPOSE(K$34:K$40))*10/L$145,梦灵属性!$K$56:$K$104,1),0)</f>
        <v>14</v>
      </c>
      <c r="M154" s="137" cm="1">
        <f ca="1" t="array" ref="M154">IFERROR(MATCH(SUMPRODUCT($AP154:$AV154,TRANSPOSE(L$34:L$40))*10/M$145+(INT(J154/7)+1)*70,梦灵属性!$K$56:$K$104,1)+1,0)</f>
        <v>11</v>
      </c>
      <c r="N154" s="137" cm="1">
        <f ca="1" t="array" ref="N154">IFERROR(MATCH(SUMPRODUCT($AP154:$AV154,TRANSPOSE(M$34:M$40))*10/N$145,梦灵属性!$K$56:$K$104,1),0)</f>
        <v>0</v>
      </c>
      <c r="O154" s="138">
        <f ca="1" t="shared" si="43"/>
        <v>2.08</v>
      </c>
      <c r="P154">
        <f ca="1" t="shared" si="44"/>
        <v>265.261296899788</v>
      </c>
      <c r="R154" s="35"/>
      <c r="S154" s="35">
        <v>8</v>
      </c>
      <c r="T154" s="35">
        <v>36</v>
      </c>
      <c r="U154" s="35">
        <v>36</v>
      </c>
      <c r="V154" s="35">
        <v>52</v>
      </c>
      <c r="W154" s="35">
        <v>52</v>
      </c>
      <c r="Y154" s="35">
        <v>8</v>
      </c>
      <c r="Z154" s="3">
        <f>Z153</f>
        <v>470</v>
      </c>
      <c r="AA154" s="3">
        <f>AA153</f>
        <v>520</v>
      </c>
      <c r="AB154" s="3">
        <f>AB153</f>
        <v>520</v>
      </c>
      <c r="AC154" s="3">
        <f>AC153</f>
        <v>520</v>
      </c>
      <c r="AE154" s="134">
        <v>8</v>
      </c>
      <c r="AF154" s="137">
        <f ca="1" t="shared" si="27"/>
        <v>3</v>
      </c>
      <c r="AG154" s="137">
        <f ca="1" t="shared" si="28"/>
        <v>3</v>
      </c>
      <c r="AH154" s="137">
        <f ca="1" t="shared" si="29"/>
        <v>3</v>
      </c>
      <c r="AI154" s="137">
        <f ca="1" t="shared" si="30"/>
        <v>4</v>
      </c>
      <c r="AJ154" s="137" t="str">
        <f ca="1" t="shared" si="31"/>
        <v>蜘蛛女王</v>
      </c>
      <c r="AK154" s="137" t="str">
        <f ca="1" t="shared" si="32"/>
        <v>神灯王子</v>
      </c>
      <c r="AL154" s="137" t="str">
        <f ca="1" t="shared" si="33"/>
        <v>关羽</v>
      </c>
      <c r="AM154" s="137" t="str">
        <f ca="1" t="shared" si="34"/>
        <v>关羽</v>
      </c>
      <c r="AO154" s="134">
        <v>8</v>
      </c>
      <c r="AP154" s="137">
        <f ca="1" t="shared" si="35"/>
        <v>450</v>
      </c>
      <c r="AQ154" s="137">
        <f ca="1" t="shared" si="36"/>
        <v>909</v>
      </c>
      <c r="AR154" s="137">
        <f ca="1" t="shared" si="37"/>
        <v>1296.88571428572</v>
      </c>
      <c r="AS154" s="137">
        <f ca="1" t="shared" si="38"/>
        <v>0</v>
      </c>
      <c r="AT154" s="137">
        <f ca="1" t="shared" si="39"/>
        <v>0</v>
      </c>
      <c r="AU154" s="137">
        <f ca="1" t="shared" si="40"/>
        <v>0</v>
      </c>
      <c r="AV154" s="137">
        <f ca="1" t="shared" si="41"/>
        <v>0</v>
      </c>
      <c r="AW154">
        <f ca="1" t="shared" si="42"/>
        <v>3</v>
      </c>
    </row>
    <row r="155" spans="4:49">
      <c r="D155" s="134">
        <v>9</v>
      </c>
      <c r="E155" s="137">
        <f ca="1" t="shared" si="23"/>
        <v>1708.94285714285</v>
      </c>
      <c r="F155" s="137">
        <f ca="1" t="shared" si="24"/>
        <v>2027.94285714286</v>
      </c>
      <c r="G155" s="137">
        <f ca="1" t="shared" si="25"/>
        <v>2884.37142857143</v>
      </c>
      <c r="H155" s="137">
        <f ca="1" t="shared" si="26"/>
        <v>3546.96428571428</v>
      </c>
      <c r="J155" s="134">
        <v>9</v>
      </c>
      <c r="K155" s="137" cm="1">
        <f ca="1" t="array" ref="K155">IFERROR(MATCH(SUMPRODUCT($AP155:$AV155,TRANSPOSE(J$34:J$40))*10/K$145,梦灵属性!$K$56:$K$104,1),0)</f>
        <v>30</v>
      </c>
      <c r="L155" s="137" cm="1">
        <f ca="1" t="array" ref="L155">IFERROR(MATCH(SUMPRODUCT($AP155:$AV155,TRANSPOSE(K$34:K$40))*10/L$145,梦灵属性!$K$56:$K$104,1),0)</f>
        <v>15</v>
      </c>
      <c r="M155" s="137" cm="1">
        <f ca="1" t="array" ref="M155">IFERROR(MATCH(SUMPRODUCT($AP155:$AV155,TRANSPOSE(L$34:L$40))*10/M$145+(INT(J155/7)+1)*70,梦灵属性!$K$56:$K$104,1)+1,0)</f>
        <v>11</v>
      </c>
      <c r="N155" s="137" cm="1">
        <f ca="1" t="array" ref="N155">IFERROR(MATCH(SUMPRODUCT($AP155:$AV155,TRANSPOSE(M$34:M$40))*10/N$145,梦灵属性!$K$56:$K$104,1),0)</f>
        <v>0</v>
      </c>
      <c r="O155" s="138">
        <f ca="1" t="shared" si="43"/>
        <v>2.08</v>
      </c>
      <c r="P155">
        <f ca="1" t="shared" si="44"/>
        <v>284.180364877345</v>
      </c>
      <c r="R155" s="35"/>
      <c r="S155" s="35">
        <v>9</v>
      </c>
      <c r="T155" s="35">
        <v>36</v>
      </c>
      <c r="U155" s="35">
        <v>36</v>
      </c>
      <c r="V155" s="35">
        <v>52</v>
      </c>
      <c r="W155" s="35">
        <v>52</v>
      </c>
      <c r="Y155" s="35">
        <v>9</v>
      </c>
      <c r="Z155" s="3">
        <f t="shared" ref="Z155:Z186" si="46">Z154</f>
        <v>470</v>
      </c>
      <c r="AA155" s="3">
        <f t="shared" ref="AA155:AA186" si="47">AA154</f>
        <v>520</v>
      </c>
      <c r="AB155" s="3">
        <f t="shared" ref="AB155:AB186" si="48">AB154</f>
        <v>520</v>
      </c>
      <c r="AC155" s="3">
        <f t="shared" ref="AC155:AC186" si="49">AC154</f>
        <v>520</v>
      </c>
      <c r="AE155" s="134">
        <v>9</v>
      </c>
      <c r="AF155" s="137">
        <f ca="1" t="shared" si="27"/>
        <v>3</v>
      </c>
      <c r="AG155" s="137">
        <f ca="1" t="shared" si="28"/>
        <v>3</v>
      </c>
      <c r="AH155" s="137">
        <f ca="1" t="shared" si="29"/>
        <v>3</v>
      </c>
      <c r="AI155" s="137">
        <f ca="1" t="shared" si="30"/>
        <v>4</v>
      </c>
      <c r="AJ155" s="137" t="str">
        <f ca="1" t="shared" si="31"/>
        <v>蜘蛛女王</v>
      </c>
      <c r="AK155" s="137" t="str">
        <f ca="1" t="shared" si="32"/>
        <v>神灯王子</v>
      </c>
      <c r="AL155" s="137" t="str">
        <f ca="1" t="shared" si="33"/>
        <v>关羽</v>
      </c>
      <c r="AM155" s="137" t="str">
        <f ca="1" t="shared" si="34"/>
        <v>后羿</v>
      </c>
      <c r="AO155" s="134">
        <v>9</v>
      </c>
      <c r="AP155" s="137">
        <f ca="1" t="shared" si="35"/>
        <v>450</v>
      </c>
      <c r="AQ155" s="137">
        <f ca="1" t="shared" si="36"/>
        <v>909</v>
      </c>
      <c r="AR155" s="137">
        <f ca="1" t="shared" si="37"/>
        <v>1525.37142857143</v>
      </c>
      <c r="AS155" s="137">
        <f ca="1" t="shared" si="38"/>
        <v>0</v>
      </c>
      <c r="AT155" s="137">
        <f ca="1" t="shared" si="39"/>
        <v>0</v>
      </c>
      <c r="AU155" s="137">
        <f ca="1" t="shared" si="40"/>
        <v>0</v>
      </c>
      <c r="AV155" s="137">
        <f ca="1" t="shared" si="41"/>
        <v>0</v>
      </c>
      <c r="AW155">
        <f ca="1" t="shared" si="42"/>
        <v>3</v>
      </c>
    </row>
    <row r="156" spans="4:49">
      <c r="D156" s="134">
        <v>10</v>
      </c>
      <c r="E156" s="137">
        <f ca="1" t="shared" si="23"/>
        <v>1822.71428571428</v>
      </c>
      <c r="F156" s="137">
        <f ca="1" t="shared" si="24"/>
        <v>2171.04761904762</v>
      </c>
      <c r="G156" s="137">
        <f ca="1" t="shared" si="25"/>
        <v>3112.85714285715</v>
      </c>
      <c r="H156" s="137">
        <f ca="1" t="shared" si="26"/>
        <v>3849.07142857143</v>
      </c>
      <c r="J156" s="134">
        <v>10</v>
      </c>
      <c r="K156" s="137" cm="1">
        <f ca="1" t="array" ref="K156">IFERROR(MATCH(SUMPRODUCT($AP156:$AV156,TRANSPOSE(J$34:J$40))*10/K$145,梦灵属性!$K$56:$K$104,1),0)</f>
        <v>30</v>
      </c>
      <c r="L156" s="137" cm="1">
        <f ca="1" t="array" ref="L156">IFERROR(MATCH(SUMPRODUCT($AP156:$AV156,TRANSPOSE(K$34:K$40))*10/L$145,梦灵属性!$K$56:$K$104,1),0)</f>
        <v>15</v>
      </c>
      <c r="M156" s="137" cm="1">
        <f ca="1" t="array" ref="M156">IFERROR(MATCH(SUMPRODUCT($AP156:$AV156,TRANSPOSE(L$34:L$40))*10/M$145+(INT(J156/7)+1)*70,梦灵属性!$K$56:$K$104,1)+1,0)</f>
        <v>12</v>
      </c>
      <c r="N156" s="137" cm="1">
        <f ca="1" t="array" ref="N156">IFERROR(MATCH(SUMPRODUCT($AP156:$AV156,TRANSPOSE(M$34:M$40))*10/N$145,梦灵属性!$K$56:$K$104,1),0)</f>
        <v>0</v>
      </c>
      <c r="O156" s="138">
        <f ca="1" t="shared" si="43"/>
        <v>2.158</v>
      </c>
      <c r="P156">
        <f ca="1" t="shared" si="44"/>
        <v>288.592727931486</v>
      </c>
      <c r="R156" s="35"/>
      <c r="S156" s="35">
        <v>10</v>
      </c>
      <c r="T156" s="35">
        <v>36</v>
      </c>
      <c r="U156" s="35">
        <v>36</v>
      </c>
      <c r="V156" s="35">
        <v>52</v>
      </c>
      <c r="W156" s="35">
        <v>52</v>
      </c>
      <c r="Y156" s="35">
        <v>10</v>
      </c>
      <c r="Z156" s="3">
        <f t="shared" si="46"/>
        <v>470</v>
      </c>
      <c r="AA156" s="3">
        <f t="shared" si="47"/>
        <v>520</v>
      </c>
      <c r="AB156" s="3">
        <f t="shared" si="48"/>
        <v>520</v>
      </c>
      <c r="AC156" s="3">
        <f t="shared" si="49"/>
        <v>520</v>
      </c>
      <c r="AE156" s="134">
        <v>10</v>
      </c>
      <c r="AF156" s="137">
        <f ca="1" t="shared" si="27"/>
        <v>3</v>
      </c>
      <c r="AG156" s="137">
        <f ca="1" t="shared" si="28"/>
        <v>3</v>
      </c>
      <c r="AH156" s="137">
        <f ca="1" t="shared" si="29"/>
        <v>3</v>
      </c>
      <c r="AI156" s="137">
        <f ca="1" t="shared" si="30"/>
        <v>4</v>
      </c>
      <c r="AJ156" s="137" t="str">
        <f ca="1" t="shared" si="31"/>
        <v>神灯王子</v>
      </c>
      <c r="AK156" s="137" t="str">
        <f ca="1" t="shared" si="32"/>
        <v>神灯王子</v>
      </c>
      <c r="AL156" s="137" t="str">
        <f ca="1" t="shared" si="33"/>
        <v>关羽</v>
      </c>
      <c r="AM156" s="137" t="str">
        <f ca="1" t="shared" si="34"/>
        <v>后羿</v>
      </c>
      <c r="AO156" s="134">
        <v>10</v>
      </c>
      <c r="AP156" s="137">
        <f ca="1" t="shared" si="35"/>
        <v>450</v>
      </c>
      <c r="AQ156" s="137">
        <f ca="1" t="shared" si="36"/>
        <v>909</v>
      </c>
      <c r="AR156" s="137">
        <f ca="1" t="shared" si="37"/>
        <v>1753.85714285715</v>
      </c>
      <c r="AS156" s="137">
        <f ca="1" t="shared" si="38"/>
        <v>0</v>
      </c>
      <c r="AT156" s="137">
        <f ca="1" t="shared" si="39"/>
        <v>0</v>
      </c>
      <c r="AU156" s="137">
        <f ca="1" t="shared" si="40"/>
        <v>0</v>
      </c>
      <c r="AV156" s="137">
        <f ca="1" t="shared" si="41"/>
        <v>0</v>
      </c>
      <c r="AW156">
        <f ca="1" t="shared" si="42"/>
        <v>3</v>
      </c>
    </row>
    <row r="157" spans="4:49">
      <c r="D157" s="134">
        <v>11</v>
      </c>
      <c r="E157" s="137">
        <f ca="1" t="shared" si="23"/>
        <v>1936.48571428571</v>
      </c>
      <c r="F157" s="137">
        <f ca="1" t="shared" si="24"/>
        <v>2314.15238095238</v>
      </c>
      <c r="G157" s="137">
        <f ca="1" t="shared" si="25"/>
        <v>3341.34285714286</v>
      </c>
      <c r="H157" s="137">
        <f ca="1" t="shared" si="26"/>
        <v>4151.17857142857</v>
      </c>
      <c r="J157" s="134">
        <v>11</v>
      </c>
      <c r="K157" s="137" cm="1">
        <f ca="1" t="array" ref="K157">IFERROR(MATCH(SUMPRODUCT($AP157:$AV157,TRANSPOSE(J$34:J$40))*10/K$145,梦灵属性!$K$56:$K$104,1),0)</f>
        <v>30</v>
      </c>
      <c r="L157" s="137" cm="1">
        <f ca="1" t="array" ref="L157">IFERROR(MATCH(SUMPRODUCT($AP157:$AV157,TRANSPOSE(K$34:K$40))*10/L$145,梦灵属性!$K$56:$K$104,1),0)</f>
        <v>16</v>
      </c>
      <c r="M157" s="137" cm="1">
        <f ca="1" t="array" ref="M157">IFERROR(MATCH(SUMPRODUCT($AP157:$AV157,TRANSPOSE(L$34:L$40))*10/M$145+(INT(J157/7)+1)*70,梦灵属性!$K$56:$K$104,1)+1,0)</f>
        <v>12</v>
      </c>
      <c r="N157" s="137" cm="1">
        <f ca="1" t="array" ref="N157">IFERROR(MATCH(SUMPRODUCT($AP157:$AV157,TRANSPOSE(M$34:M$40))*10/N$145,梦灵属性!$K$56:$K$104,1),0)</f>
        <v>0</v>
      </c>
      <c r="O157" s="138">
        <f ca="1" t="shared" si="43"/>
        <v>2.158</v>
      </c>
      <c r="P157">
        <f ca="1" t="shared" si="44"/>
        <v>306.606306466217</v>
      </c>
      <c r="R157" s="35"/>
      <c r="S157" s="35">
        <v>11</v>
      </c>
      <c r="T157" s="35">
        <v>36</v>
      </c>
      <c r="U157" s="35">
        <v>36</v>
      </c>
      <c r="V157" s="35">
        <v>52</v>
      </c>
      <c r="W157" s="35">
        <v>52</v>
      </c>
      <c r="Y157" s="35">
        <v>11</v>
      </c>
      <c r="Z157" s="3">
        <f t="shared" si="46"/>
        <v>470</v>
      </c>
      <c r="AA157" s="3">
        <f t="shared" si="47"/>
        <v>520</v>
      </c>
      <c r="AB157" s="3">
        <f t="shared" si="48"/>
        <v>520</v>
      </c>
      <c r="AC157" s="3">
        <f t="shared" si="49"/>
        <v>520</v>
      </c>
      <c r="AE157" s="134">
        <v>11</v>
      </c>
      <c r="AF157" s="137">
        <f ca="1" t="shared" si="27"/>
        <v>3</v>
      </c>
      <c r="AG157" s="137">
        <f ca="1" t="shared" si="28"/>
        <v>3</v>
      </c>
      <c r="AH157" s="137">
        <f ca="1" t="shared" si="29"/>
        <v>4</v>
      </c>
      <c r="AI157" s="137">
        <f ca="1" t="shared" si="30"/>
        <v>4</v>
      </c>
      <c r="AJ157" s="137" t="str">
        <f ca="1" t="shared" si="31"/>
        <v>神灯王子</v>
      </c>
      <c r="AK157" s="137" t="str">
        <f ca="1" t="shared" si="32"/>
        <v>神灯王子</v>
      </c>
      <c r="AL157" s="137" t="str">
        <f ca="1" t="shared" si="33"/>
        <v>关羽</v>
      </c>
      <c r="AM157" s="137" t="str">
        <f ca="1" t="shared" si="34"/>
        <v>后羿</v>
      </c>
      <c r="AO157" s="134">
        <v>11</v>
      </c>
      <c r="AP157" s="137">
        <f ca="1" t="shared" si="35"/>
        <v>450</v>
      </c>
      <c r="AQ157" s="137">
        <f ca="1" t="shared" si="36"/>
        <v>909</v>
      </c>
      <c r="AR157" s="137">
        <f ca="1" t="shared" si="37"/>
        <v>1818</v>
      </c>
      <c r="AS157" s="137">
        <f ca="1" t="shared" si="38"/>
        <v>164.342857142861</v>
      </c>
      <c r="AT157" s="137">
        <f ca="1" t="shared" si="39"/>
        <v>0</v>
      </c>
      <c r="AU157" s="137">
        <f ca="1" t="shared" si="40"/>
        <v>0</v>
      </c>
      <c r="AV157" s="137">
        <f ca="1" t="shared" si="41"/>
        <v>0</v>
      </c>
      <c r="AW157">
        <f ca="1" t="shared" si="42"/>
        <v>4</v>
      </c>
    </row>
    <row r="158" spans="4:49">
      <c r="D158" s="134">
        <v>12</v>
      </c>
      <c r="E158" s="137">
        <f ca="1" t="shared" si="23"/>
        <v>2050.25714285714</v>
      </c>
      <c r="F158" s="137">
        <f ca="1" t="shared" si="24"/>
        <v>2457.25714285714</v>
      </c>
      <c r="G158" s="137">
        <f ca="1" t="shared" si="25"/>
        <v>3569.82857142858</v>
      </c>
      <c r="H158" s="137">
        <f ca="1" t="shared" si="26"/>
        <v>4453.28571428571</v>
      </c>
      <c r="J158" s="134">
        <v>12</v>
      </c>
      <c r="K158" s="137" cm="1">
        <f ca="1" t="array" ref="K158">IFERROR(MATCH(SUMPRODUCT($AP158:$AV158,TRANSPOSE(J$34:J$40))*10/K$145,梦灵属性!$K$56:$K$104,1),0)</f>
        <v>31</v>
      </c>
      <c r="L158" s="137" cm="1">
        <f ca="1" t="array" ref="L158">IFERROR(MATCH(SUMPRODUCT($AP158:$AV158,TRANSPOSE(K$34:K$40))*10/L$145,梦灵属性!$K$56:$K$104,1),0)</f>
        <v>17</v>
      </c>
      <c r="M158" s="137" cm="1">
        <f ca="1" t="array" ref="M158">IFERROR(MATCH(SUMPRODUCT($AP158:$AV158,TRANSPOSE(L$34:L$40))*10/M$145+(INT(J158/7)+1)*70,梦灵属性!$K$56:$K$104,1)+1,0)</f>
        <v>12</v>
      </c>
      <c r="N158" s="137" cm="1">
        <f ca="1" t="array" ref="N158">IFERROR(MATCH(SUMPRODUCT($AP158:$AV158,TRANSPOSE(M$34:M$40))*10/N$145,梦灵属性!$K$56:$K$104,1),0)</f>
        <v>2</v>
      </c>
      <c r="O158" s="138">
        <f ca="1" t="shared" si="43"/>
        <v>2.158</v>
      </c>
      <c r="P158">
        <f ca="1" t="shared" si="44"/>
        <v>324.619885000948</v>
      </c>
      <c r="R158" s="35"/>
      <c r="S158" s="35">
        <v>12</v>
      </c>
      <c r="T158" s="35">
        <v>36</v>
      </c>
      <c r="U158" s="35">
        <v>36</v>
      </c>
      <c r="V158" s="35">
        <v>52</v>
      </c>
      <c r="W158" s="35">
        <v>52</v>
      </c>
      <c r="Y158" s="35">
        <v>12</v>
      </c>
      <c r="Z158" s="3">
        <f t="shared" si="46"/>
        <v>470</v>
      </c>
      <c r="AA158" s="3">
        <f t="shared" si="47"/>
        <v>520</v>
      </c>
      <c r="AB158" s="3">
        <f t="shared" si="48"/>
        <v>520</v>
      </c>
      <c r="AC158" s="3">
        <f t="shared" si="49"/>
        <v>520</v>
      </c>
      <c r="AE158" s="134">
        <v>12</v>
      </c>
      <c r="AF158" s="137">
        <f ca="1" t="shared" si="27"/>
        <v>3</v>
      </c>
      <c r="AG158" s="137">
        <f ca="1" t="shared" si="28"/>
        <v>3</v>
      </c>
      <c r="AH158" s="137">
        <f ca="1" t="shared" si="29"/>
        <v>4</v>
      </c>
      <c r="AI158" s="137">
        <f ca="1" t="shared" si="30"/>
        <v>4</v>
      </c>
      <c r="AJ158" s="137" t="str">
        <f ca="1" t="shared" si="31"/>
        <v>神灯王子</v>
      </c>
      <c r="AK158" s="137" t="str">
        <f ca="1" t="shared" si="32"/>
        <v>关羽</v>
      </c>
      <c r="AL158" s="137" t="str">
        <f ca="1" t="shared" si="33"/>
        <v>后羿</v>
      </c>
      <c r="AM158" s="137" t="str">
        <f ca="1" t="shared" si="34"/>
        <v>后羿</v>
      </c>
      <c r="AO158" s="134">
        <v>12</v>
      </c>
      <c r="AP158" s="137">
        <f ca="1" t="shared" si="35"/>
        <v>450</v>
      </c>
      <c r="AQ158" s="137">
        <f ca="1" t="shared" si="36"/>
        <v>909</v>
      </c>
      <c r="AR158" s="137">
        <f ca="1" t="shared" si="37"/>
        <v>1818</v>
      </c>
      <c r="AS158" s="137">
        <f ca="1" t="shared" si="38"/>
        <v>392.828571428576</v>
      </c>
      <c r="AT158" s="137">
        <f ca="1" t="shared" si="39"/>
        <v>0</v>
      </c>
      <c r="AU158" s="137">
        <f ca="1" t="shared" si="40"/>
        <v>0</v>
      </c>
      <c r="AV158" s="137">
        <f ca="1" t="shared" si="41"/>
        <v>0</v>
      </c>
      <c r="AW158">
        <f ca="1" t="shared" si="42"/>
        <v>4</v>
      </c>
    </row>
    <row r="159" spans="4:49">
      <c r="D159" s="134">
        <v>13</v>
      </c>
      <c r="E159" s="137">
        <f ca="1" t="shared" si="23"/>
        <v>2164.02857142857</v>
      </c>
      <c r="F159" s="137">
        <f ca="1" t="shared" si="24"/>
        <v>2600.3619047619</v>
      </c>
      <c r="G159" s="137">
        <f ca="1" t="shared" si="25"/>
        <v>3798.31428571429</v>
      </c>
      <c r="H159" s="137">
        <f ca="1" t="shared" si="26"/>
        <v>4755.39285714286</v>
      </c>
      <c r="J159" s="134">
        <v>13</v>
      </c>
      <c r="K159" s="137" cm="1">
        <f ca="1" t="array" ref="K159">IFERROR(MATCH(SUMPRODUCT($AP159:$AV159,TRANSPOSE(J$34:J$40))*10/K$145,梦灵属性!$K$56:$K$104,1),0)</f>
        <v>31</v>
      </c>
      <c r="L159" s="137" cm="1">
        <f ca="1" t="array" ref="L159">IFERROR(MATCH(SUMPRODUCT($AP159:$AV159,TRANSPOSE(K$34:K$40))*10/L$145,梦灵属性!$K$56:$K$104,1),0)</f>
        <v>17</v>
      </c>
      <c r="M159" s="137" cm="1">
        <f ca="1" t="array" ref="M159">IFERROR(MATCH(SUMPRODUCT($AP159:$AV159,TRANSPOSE(L$34:L$40))*10/M$145+(INT(J159/7)+1)*70,梦灵属性!$K$56:$K$104,1)+1,0)</f>
        <v>13</v>
      </c>
      <c r="N159" s="137" cm="1">
        <f ca="1" t="array" ref="N159">IFERROR(MATCH(SUMPRODUCT($AP159:$AV159,TRANSPOSE(M$34:M$40))*10/N$145,梦灵属性!$K$56:$K$104,1),0)</f>
        <v>3</v>
      </c>
      <c r="O159" s="138">
        <f ca="1" t="shared" si="43"/>
        <v>2.236</v>
      </c>
      <c r="P159">
        <f ca="1" t="shared" si="44"/>
        <v>327.514844580988</v>
      </c>
      <c r="R159" s="35"/>
      <c r="S159" s="35">
        <v>13</v>
      </c>
      <c r="T159" s="35">
        <v>36</v>
      </c>
      <c r="U159" s="35">
        <v>36</v>
      </c>
      <c r="V159" s="35">
        <v>52</v>
      </c>
      <c r="W159" s="35">
        <v>52</v>
      </c>
      <c r="Y159" s="35">
        <v>13</v>
      </c>
      <c r="Z159" s="3">
        <f t="shared" si="46"/>
        <v>470</v>
      </c>
      <c r="AA159" s="3">
        <f t="shared" si="47"/>
        <v>520</v>
      </c>
      <c r="AB159" s="3">
        <f t="shared" si="48"/>
        <v>520</v>
      </c>
      <c r="AC159" s="3">
        <f t="shared" si="49"/>
        <v>520</v>
      </c>
      <c r="AE159" s="134">
        <v>13</v>
      </c>
      <c r="AF159" s="137">
        <f ca="1" t="shared" si="27"/>
        <v>3</v>
      </c>
      <c r="AG159" s="137">
        <f ca="1" t="shared" si="28"/>
        <v>3</v>
      </c>
      <c r="AH159" s="137">
        <f ca="1" t="shared" si="29"/>
        <v>4</v>
      </c>
      <c r="AI159" s="137">
        <f ca="1" t="shared" si="30"/>
        <v>4</v>
      </c>
      <c r="AJ159" s="137" t="str">
        <f ca="1" t="shared" si="31"/>
        <v>神灯王子</v>
      </c>
      <c r="AK159" s="137" t="str">
        <f ca="1" t="shared" si="32"/>
        <v>关羽</v>
      </c>
      <c r="AL159" s="137" t="str">
        <f ca="1" t="shared" si="33"/>
        <v>后羿</v>
      </c>
      <c r="AM159" s="137" t="str">
        <f ca="1" t="shared" si="34"/>
        <v>海拉</v>
      </c>
      <c r="AO159" s="134">
        <v>13</v>
      </c>
      <c r="AP159" s="137">
        <f ca="1" t="shared" si="35"/>
        <v>450</v>
      </c>
      <c r="AQ159" s="137">
        <f ca="1" t="shared" si="36"/>
        <v>909</v>
      </c>
      <c r="AR159" s="137">
        <f ca="1" t="shared" si="37"/>
        <v>1818</v>
      </c>
      <c r="AS159" s="137">
        <f ca="1" t="shared" si="38"/>
        <v>621.31428571429</v>
      </c>
      <c r="AT159" s="137">
        <f ca="1" t="shared" si="39"/>
        <v>0</v>
      </c>
      <c r="AU159" s="137">
        <f ca="1" t="shared" si="40"/>
        <v>0</v>
      </c>
      <c r="AV159" s="137">
        <f ca="1" t="shared" si="41"/>
        <v>0</v>
      </c>
      <c r="AW159">
        <f ca="1" t="shared" si="42"/>
        <v>4</v>
      </c>
    </row>
    <row r="160" spans="4:49">
      <c r="D160" s="134">
        <v>14</v>
      </c>
      <c r="E160" s="137">
        <f ca="1" t="shared" si="23"/>
        <v>2277.79999999999</v>
      </c>
      <c r="F160" s="137">
        <f ca="1" t="shared" si="24"/>
        <v>2743.46666666667</v>
      </c>
      <c r="G160" s="137">
        <f ca="1" t="shared" si="25"/>
        <v>4026.8</v>
      </c>
      <c r="H160" s="137">
        <f ca="1" t="shared" si="26"/>
        <v>5057.5</v>
      </c>
      <c r="J160" s="134">
        <v>14</v>
      </c>
      <c r="K160" s="137" cm="1">
        <f ca="1" t="array" ref="K160">IFERROR(MATCH(SUMPRODUCT($AP160:$AV160,TRANSPOSE(J$34:J$40))*10/K$145,梦灵属性!$K$56:$K$104,1),0)</f>
        <v>32</v>
      </c>
      <c r="L160" s="137" cm="1">
        <f ca="1" t="array" ref="L160">IFERROR(MATCH(SUMPRODUCT($AP160:$AV160,TRANSPOSE(K$34:K$40))*10/L$145,梦灵属性!$K$56:$K$104,1),0)</f>
        <v>18</v>
      </c>
      <c r="M160" s="137" cm="1">
        <f ca="1" t="array" ref="M160">IFERROR(MATCH(SUMPRODUCT($AP160:$AV160,TRANSPOSE(L$34:L$40))*10/M$145+(INT(J160/7)+1)*70,梦灵属性!$K$56:$K$104,1)+1,0)</f>
        <v>14</v>
      </c>
      <c r="N160" s="137" cm="1">
        <f ca="1" t="array" ref="N160">IFERROR(MATCH(SUMPRODUCT($AP160:$AV160,TRANSPOSE(M$34:M$40))*10/N$145+(INT((J160-14)/7)+1)*70,梦灵属性!$K$56:$K$104,1)+1,0)</f>
        <v>7</v>
      </c>
      <c r="O160" s="138">
        <f ca="1" t="shared" si="43"/>
        <v>2.314</v>
      </c>
      <c r="P160">
        <f ca="1" t="shared" si="44"/>
        <v>330.64429321528</v>
      </c>
      <c r="R160" s="35"/>
      <c r="S160" s="35">
        <v>14</v>
      </c>
      <c r="T160" s="35">
        <v>36</v>
      </c>
      <c r="U160" s="35">
        <v>36</v>
      </c>
      <c r="V160" s="35">
        <v>52</v>
      </c>
      <c r="W160" s="35">
        <v>52</v>
      </c>
      <c r="Y160" s="35">
        <v>14</v>
      </c>
      <c r="Z160" s="3">
        <f t="shared" si="46"/>
        <v>470</v>
      </c>
      <c r="AA160" s="3">
        <f t="shared" si="47"/>
        <v>520</v>
      </c>
      <c r="AB160" s="3">
        <f t="shared" si="48"/>
        <v>520</v>
      </c>
      <c r="AC160" s="3">
        <f t="shared" si="49"/>
        <v>520</v>
      </c>
      <c r="AE160" s="134">
        <v>14</v>
      </c>
      <c r="AF160" s="137">
        <f ca="1" t="shared" si="27"/>
        <v>3</v>
      </c>
      <c r="AG160" s="137">
        <f ca="1" t="shared" si="28"/>
        <v>3</v>
      </c>
      <c r="AH160" s="137">
        <f ca="1" t="shared" si="29"/>
        <v>4</v>
      </c>
      <c r="AI160" s="137">
        <f ca="1" t="shared" si="30"/>
        <v>4</v>
      </c>
      <c r="AJ160" s="137" t="str">
        <f ca="1" t="shared" si="31"/>
        <v>神灯王子</v>
      </c>
      <c r="AK160" s="137" t="str">
        <f ca="1" t="shared" si="32"/>
        <v>关羽</v>
      </c>
      <c r="AL160" s="137" t="str">
        <f ca="1" t="shared" si="33"/>
        <v>后羿</v>
      </c>
      <c r="AM160" s="137" t="str">
        <f ca="1" t="shared" si="34"/>
        <v>海拉</v>
      </c>
      <c r="AO160" s="134">
        <v>14</v>
      </c>
      <c r="AP160" s="137">
        <f ca="1" t="shared" si="35"/>
        <v>450</v>
      </c>
      <c r="AQ160" s="137">
        <f ca="1" t="shared" si="36"/>
        <v>909</v>
      </c>
      <c r="AR160" s="137">
        <f ca="1" t="shared" si="37"/>
        <v>1818</v>
      </c>
      <c r="AS160" s="137">
        <f ca="1" t="shared" si="38"/>
        <v>849.800000000005</v>
      </c>
      <c r="AT160" s="137">
        <f ca="1" t="shared" si="39"/>
        <v>0</v>
      </c>
      <c r="AU160" s="137">
        <f ca="1" t="shared" si="40"/>
        <v>0</v>
      </c>
      <c r="AV160" s="137">
        <f ca="1" t="shared" si="41"/>
        <v>0</v>
      </c>
      <c r="AW160">
        <f ca="1" t="shared" si="42"/>
        <v>4</v>
      </c>
    </row>
    <row r="161" spans="4:49">
      <c r="D161" s="134">
        <v>15</v>
      </c>
      <c r="E161" s="137">
        <f ca="1" t="shared" si="23"/>
        <v>2391.57142857142</v>
      </c>
      <c r="F161" s="137">
        <f ca="1" t="shared" si="24"/>
        <v>2886.57142857143</v>
      </c>
      <c r="G161" s="137">
        <f ca="1" t="shared" si="25"/>
        <v>4255.28571428572</v>
      </c>
      <c r="H161" s="137">
        <f ca="1" t="shared" si="26"/>
        <v>5359.60714285714</v>
      </c>
      <c r="J161" s="134">
        <v>15</v>
      </c>
      <c r="K161" s="137" cm="1">
        <f ca="1" t="array" ref="K161">IFERROR(MATCH(SUMPRODUCT($AP161:$AV161,TRANSPOSE(J$34:J$40))*10/K$145,梦灵属性!$K$56:$K$104,1),0)</f>
        <v>32</v>
      </c>
      <c r="L161" s="137" cm="1">
        <f ca="1" t="array" ref="L161">IFERROR(MATCH(SUMPRODUCT($AP161:$AV161,TRANSPOSE(K$34:K$40))*10/L$145,梦灵属性!$K$56:$K$104,1),0)</f>
        <v>19</v>
      </c>
      <c r="M161" s="137" cm="1">
        <f ca="1" t="array" ref="M161">IFERROR(MATCH(SUMPRODUCT($AP161:$AV161,TRANSPOSE(L$34:L$40))*10/M$145+(INT(J161/7)+1)*70,梦灵属性!$K$56:$K$104,1)+1,0)</f>
        <v>15</v>
      </c>
      <c r="N161" s="137" cm="1">
        <f ca="1" t="array" ref="N161">IFERROR(MATCH(SUMPRODUCT($AP161:$AV161,TRANSPOSE(M$34:M$40))*10/N$145+(INT((J161-14)/7)+1)*70,梦灵属性!$K$56:$K$104,1)+1,0)</f>
        <v>7</v>
      </c>
      <c r="O161" s="138">
        <f ca="1" t="shared" si="43"/>
        <v>3.136</v>
      </c>
      <c r="P161">
        <f ca="1" t="shared" si="44"/>
        <v>254.831240736354</v>
      </c>
      <c r="R161" s="35"/>
      <c r="S161" s="35">
        <v>15</v>
      </c>
      <c r="T161" s="35">
        <v>36</v>
      </c>
      <c r="U161" s="35">
        <v>36</v>
      </c>
      <c r="V161" s="35">
        <v>52</v>
      </c>
      <c r="W161" s="35">
        <v>52</v>
      </c>
      <c r="Y161" s="35">
        <v>15</v>
      </c>
      <c r="Z161" s="3">
        <f t="shared" si="46"/>
        <v>470</v>
      </c>
      <c r="AA161" s="3">
        <f t="shared" si="47"/>
        <v>520</v>
      </c>
      <c r="AB161" s="3">
        <f t="shared" si="48"/>
        <v>520</v>
      </c>
      <c r="AC161" s="3">
        <f t="shared" si="49"/>
        <v>520</v>
      </c>
      <c r="AE161" s="134">
        <v>15</v>
      </c>
      <c r="AF161" s="137">
        <f ca="1" t="shared" si="27"/>
        <v>3</v>
      </c>
      <c r="AG161" s="137">
        <f ca="1" t="shared" si="28"/>
        <v>3</v>
      </c>
      <c r="AH161" s="137">
        <f ca="1" t="shared" si="29"/>
        <v>4</v>
      </c>
      <c r="AI161" s="137">
        <f ca="1" t="shared" si="30"/>
        <v>4</v>
      </c>
      <c r="AJ161" s="137" t="str">
        <f ca="1" t="shared" si="31"/>
        <v>神灯王子</v>
      </c>
      <c r="AK161" s="137" t="str">
        <f ca="1" t="shared" si="32"/>
        <v>关羽</v>
      </c>
      <c r="AL161" s="137" t="str">
        <f ca="1" t="shared" si="33"/>
        <v>后羿</v>
      </c>
      <c r="AM161" s="137" t="str">
        <f ca="1" t="shared" si="34"/>
        <v>海拉</v>
      </c>
      <c r="AO161" s="134">
        <v>15</v>
      </c>
      <c r="AP161" s="137">
        <f ca="1" t="shared" si="35"/>
        <v>450</v>
      </c>
      <c r="AQ161" s="137">
        <f ca="1" t="shared" si="36"/>
        <v>909</v>
      </c>
      <c r="AR161" s="137">
        <f ca="1" t="shared" si="37"/>
        <v>1818</v>
      </c>
      <c r="AS161" s="137">
        <f ca="1" t="shared" si="38"/>
        <v>1078.28571428572</v>
      </c>
      <c r="AT161" s="137">
        <f ca="1" t="shared" si="39"/>
        <v>0</v>
      </c>
      <c r="AU161" s="137">
        <f ca="1" t="shared" si="40"/>
        <v>0</v>
      </c>
      <c r="AV161" s="137">
        <f ca="1" t="shared" si="41"/>
        <v>0</v>
      </c>
      <c r="AW161">
        <f ca="1" t="shared" si="42"/>
        <v>4</v>
      </c>
    </row>
    <row r="162" spans="4:49">
      <c r="D162" s="134">
        <v>16</v>
      </c>
      <c r="E162" s="137">
        <f ca="1" t="shared" si="23"/>
        <v>2505.34285714285</v>
      </c>
      <c r="F162" s="137">
        <f ca="1" t="shared" si="24"/>
        <v>3029.67619047619</v>
      </c>
      <c r="G162" s="137">
        <f ca="1" t="shared" si="25"/>
        <v>4483.77142857143</v>
      </c>
      <c r="H162" s="137">
        <f ca="1" t="shared" si="26"/>
        <v>5661.71428571428</v>
      </c>
      <c r="J162" s="134">
        <v>16</v>
      </c>
      <c r="K162" s="137" cm="1">
        <f ca="1" t="array" ref="K162">IFERROR(MATCH(SUMPRODUCT($AP162:$AV162,TRANSPOSE(J$34:J$40))*10/K$145,梦灵属性!$K$56:$K$104,1),0)</f>
        <v>33</v>
      </c>
      <c r="L162" s="137" cm="1">
        <f ca="1" t="array" ref="L162">IFERROR(MATCH(SUMPRODUCT($AP162:$AV162,TRANSPOSE(K$34:K$40))*10/L$145,梦灵属性!$K$56:$K$104,1),0)</f>
        <v>19</v>
      </c>
      <c r="M162" s="137" cm="1">
        <f ca="1" t="array" ref="M162">IFERROR(MATCH(SUMPRODUCT($AP162:$AV162,TRANSPOSE(L$34:L$40))*10/M$145+(INT(J162/7)+1)*70,梦灵属性!$K$56:$K$104,1)+1,0)</f>
        <v>15</v>
      </c>
      <c r="N162" s="137" cm="1">
        <f ca="1" t="array" ref="N162">IFERROR(MATCH(SUMPRODUCT($AP162:$AV162,TRANSPOSE(M$34:M$40))*10/N$145+(INT((J162-14)/7)+1)*70,梦灵属性!$K$56:$K$104,1)+1,0)</f>
        <v>8</v>
      </c>
      <c r="O162" s="138">
        <f ca="1" t="shared" si="43"/>
        <v>3.332</v>
      </c>
      <c r="P162">
        <f ca="1" t="shared" si="44"/>
        <v>253.50740745338</v>
      </c>
      <c r="R162" s="35"/>
      <c r="S162" s="35">
        <v>16</v>
      </c>
      <c r="T162" s="35">
        <v>36</v>
      </c>
      <c r="U162" s="35">
        <v>36</v>
      </c>
      <c r="V162" s="35">
        <v>52</v>
      </c>
      <c r="W162" s="35">
        <v>52</v>
      </c>
      <c r="Y162" s="35">
        <v>16</v>
      </c>
      <c r="Z162" s="3">
        <f t="shared" si="46"/>
        <v>470</v>
      </c>
      <c r="AA162" s="3">
        <f t="shared" si="47"/>
        <v>520</v>
      </c>
      <c r="AB162" s="3">
        <f t="shared" si="48"/>
        <v>520</v>
      </c>
      <c r="AC162" s="3">
        <f t="shared" si="49"/>
        <v>520</v>
      </c>
      <c r="AE162" s="134">
        <v>16</v>
      </c>
      <c r="AF162" s="137">
        <f ca="1" t="shared" si="27"/>
        <v>3</v>
      </c>
      <c r="AG162" s="137">
        <f ca="1" t="shared" si="28"/>
        <v>3</v>
      </c>
      <c r="AH162" s="137">
        <f ca="1" t="shared" si="29"/>
        <v>4</v>
      </c>
      <c r="AI162" s="137">
        <f ca="1" t="shared" si="30"/>
        <v>4</v>
      </c>
      <c r="AJ162" s="137" t="str">
        <f ca="1" t="shared" si="31"/>
        <v>关羽</v>
      </c>
      <c r="AK162" s="137" t="str">
        <f ca="1" t="shared" si="32"/>
        <v>关羽</v>
      </c>
      <c r="AL162" s="137" t="str">
        <f ca="1" t="shared" si="33"/>
        <v>后羿</v>
      </c>
      <c r="AM162" s="137" t="str">
        <f ca="1" t="shared" si="34"/>
        <v>海拉</v>
      </c>
      <c r="AO162" s="134">
        <v>16</v>
      </c>
      <c r="AP162" s="137">
        <f ca="1" t="shared" si="35"/>
        <v>450</v>
      </c>
      <c r="AQ162" s="137">
        <f ca="1" t="shared" si="36"/>
        <v>909</v>
      </c>
      <c r="AR162" s="137">
        <f ca="1" t="shared" si="37"/>
        <v>1818</v>
      </c>
      <c r="AS162" s="137">
        <f ca="1" t="shared" si="38"/>
        <v>1306.77142857143</v>
      </c>
      <c r="AT162" s="137">
        <f ca="1" t="shared" si="39"/>
        <v>0</v>
      </c>
      <c r="AU162" s="137">
        <f ca="1" t="shared" si="40"/>
        <v>0</v>
      </c>
      <c r="AV162" s="137">
        <f ca="1" t="shared" si="41"/>
        <v>0</v>
      </c>
      <c r="AW162">
        <f ca="1" t="shared" si="42"/>
        <v>4</v>
      </c>
    </row>
    <row r="163" spans="4:49">
      <c r="D163" s="134">
        <v>17</v>
      </c>
      <c r="E163" s="137">
        <f ca="1" t="shared" si="23"/>
        <v>2619.11428571428</v>
      </c>
      <c r="F163" s="137">
        <f ca="1" t="shared" si="24"/>
        <v>3172.78095238095</v>
      </c>
      <c r="G163" s="137">
        <f ca="1" t="shared" si="25"/>
        <v>4712.25714285715</v>
      </c>
      <c r="H163" s="137">
        <f ca="1" t="shared" si="26"/>
        <v>5963.82142857143</v>
      </c>
      <c r="J163" s="134">
        <v>17</v>
      </c>
      <c r="K163" s="137" cm="1">
        <f ca="1" t="array" ref="K163">IFERROR(MATCH(SUMPRODUCT($AP163:$AV163,TRANSPOSE(J$34:J$40))*10/K$145,梦灵属性!$K$56:$K$104,1),0)</f>
        <v>33</v>
      </c>
      <c r="L163" s="137" cm="1">
        <f ca="1" t="array" ref="L163">IFERROR(MATCH(SUMPRODUCT($AP163:$AV163,TRANSPOSE(K$34:K$40))*10/L$145,梦灵属性!$K$56:$K$104,1),0)</f>
        <v>20</v>
      </c>
      <c r="M163" s="137" cm="1">
        <f ca="1" t="array" ref="M163">IFERROR(MATCH(SUMPRODUCT($AP163:$AV163,TRANSPOSE(L$34:L$40))*10/M$145+(INT(J163/7)+1)*70,梦灵属性!$K$56:$K$104,1)+1,0)</f>
        <v>15</v>
      </c>
      <c r="N163" s="137" cm="1">
        <f ca="1" t="array" ref="N163">IFERROR(MATCH(SUMPRODUCT($AP163:$AV163,TRANSPOSE(M$34:M$40))*10/N$145+(INT((J163-14)/7)+1)*70,梦灵属性!$K$56:$K$104,1)+1,0)</f>
        <v>8</v>
      </c>
      <c r="O163" s="138">
        <f ca="1" t="shared" si="43"/>
        <v>3.332</v>
      </c>
      <c r="P163">
        <f ca="1" t="shared" si="44"/>
        <v>265.019564289392</v>
      </c>
      <c r="R163" s="35"/>
      <c r="S163" s="35">
        <v>17</v>
      </c>
      <c r="T163" s="35">
        <v>36</v>
      </c>
      <c r="U163" s="35">
        <v>36</v>
      </c>
      <c r="V163" s="35">
        <v>52</v>
      </c>
      <c r="W163" s="35">
        <v>52</v>
      </c>
      <c r="Y163" s="35">
        <v>17</v>
      </c>
      <c r="Z163" s="3">
        <f t="shared" si="46"/>
        <v>470</v>
      </c>
      <c r="AA163" s="3">
        <f t="shared" si="47"/>
        <v>520</v>
      </c>
      <c r="AB163" s="3">
        <f t="shared" si="48"/>
        <v>520</v>
      </c>
      <c r="AC163" s="3">
        <f t="shared" si="49"/>
        <v>520</v>
      </c>
      <c r="AE163" s="134">
        <v>17</v>
      </c>
      <c r="AF163" s="137">
        <f ca="1" t="shared" si="27"/>
        <v>3</v>
      </c>
      <c r="AG163" s="137">
        <f ca="1" t="shared" si="28"/>
        <v>3</v>
      </c>
      <c r="AH163" s="137">
        <f ca="1" t="shared" si="29"/>
        <v>4</v>
      </c>
      <c r="AI163" s="137">
        <f ca="1" t="shared" si="30"/>
        <v>5</v>
      </c>
      <c r="AJ163" s="137" t="str">
        <f ca="1" t="shared" si="31"/>
        <v>关羽</v>
      </c>
      <c r="AK163" s="137" t="str">
        <f ca="1" t="shared" si="32"/>
        <v>关羽</v>
      </c>
      <c r="AL163" s="137" t="str">
        <f ca="1" t="shared" si="33"/>
        <v>海拉</v>
      </c>
      <c r="AM163" s="137" t="str">
        <f ca="1" t="shared" si="34"/>
        <v>海拉</v>
      </c>
      <c r="AO163" s="134">
        <v>17</v>
      </c>
      <c r="AP163" s="137">
        <f ca="1" t="shared" si="35"/>
        <v>450</v>
      </c>
      <c r="AQ163" s="137">
        <f ca="1" t="shared" si="36"/>
        <v>909</v>
      </c>
      <c r="AR163" s="137">
        <f ca="1" t="shared" si="37"/>
        <v>1818</v>
      </c>
      <c r="AS163" s="137">
        <f ca="1" t="shared" si="38"/>
        <v>1535.25714285715</v>
      </c>
      <c r="AT163" s="137">
        <f ca="1" t="shared" si="39"/>
        <v>0</v>
      </c>
      <c r="AU163" s="137">
        <f ca="1" t="shared" si="40"/>
        <v>0</v>
      </c>
      <c r="AV163" s="137">
        <f ca="1" t="shared" si="41"/>
        <v>0</v>
      </c>
      <c r="AW163">
        <f ca="1" t="shared" si="42"/>
        <v>4</v>
      </c>
    </row>
    <row r="164" spans="4:49">
      <c r="D164" s="134">
        <v>18</v>
      </c>
      <c r="E164" s="137">
        <f ca="1" t="shared" si="23"/>
        <v>2732.88571428571</v>
      </c>
      <c r="F164" s="137">
        <f ca="1" t="shared" si="24"/>
        <v>3315.88571428571</v>
      </c>
      <c r="G164" s="137">
        <f ca="1" t="shared" si="25"/>
        <v>4940.74285714286</v>
      </c>
      <c r="H164" s="137">
        <f ca="1" t="shared" si="26"/>
        <v>6265.92857142857</v>
      </c>
      <c r="J164" s="134">
        <v>18</v>
      </c>
      <c r="K164" s="137" cm="1">
        <f ca="1" t="array" ref="K164">IFERROR(MATCH(SUMPRODUCT($AP164:$AV164,TRANSPOSE(J$34:J$40))*10/K$145,梦灵属性!$K$56:$K$104,1),0)</f>
        <v>33</v>
      </c>
      <c r="L164" s="137" cm="1">
        <f ca="1" t="array" ref="L164">IFERROR(MATCH(SUMPRODUCT($AP164:$AV164,TRANSPOSE(K$34:K$40))*10/L$145,梦灵属性!$K$56:$K$104,1),0)</f>
        <v>20</v>
      </c>
      <c r="M164" s="137" cm="1">
        <f ca="1" t="array" ref="M164">IFERROR(MATCH(SUMPRODUCT($AP164:$AV164,TRANSPOSE(L$34:L$40))*10/M$145+(INT(J164/7)+1)*70,梦灵属性!$K$56:$K$104,1)+1,0)</f>
        <v>15</v>
      </c>
      <c r="N164" s="137" cm="1">
        <f ca="1" t="array" ref="N164">IFERROR(MATCH(SUMPRODUCT($AP164:$AV164,TRANSPOSE(M$34:M$40))*10/N$145+(INT((J164-14)/7)+1)*70,梦灵属性!$K$56:$K$104,1)+1,0)</f>
        <v>9</v>
      </c>
      <c r="O164" s="138">
        <f ca="1" t="shared" si="43"/>
        <v>3.528</v>
      </c>
      <c r="P164">
        <f ca="1" t="shared" si="44"/>
        <v>263.994460739163</v>
      </c>
      <c r="R164" s="35"/>
      <c r="S164" s="35">
        <v>18</v>
      </c>
      <c r="T164" s="35">
        <v>36</v>
      </c>
      <c r="U164" s="35">
        <v>36</v>
      </c>
      <c r="V164" s="35">
        <v>52</v>
      </c>
      <c r="W164" s="35">
        <v>52</v>
      </c>
      <c r="Y164" s="35">
        <v>18</v>
      </c>
      <c r="Z164" s="3">
        <f t="shared" si="46"/>
        <v>470</v>
      </c>
      <c r="AA164" s="3">
        <f t="shared" si="47"/>
        <v>520</v>
      </c>
      <c r="AB164" s="3">
        <f t="shared" si="48"/>
        <v>520</v>
      </c>
      <c r="AC164" s="3">
        <f t="shared" si="49"/>
        <v>520</v>
      </c>
      <c r="AE164" s="134">
        <v>18</v>
      </c>
      <c r="AF164" s="137">
        <f ca="1" t="shared" si="27"/>
        <v>3</v>
      </c>
      <c r="AG164" s="137">
        <f ca="1" t="shared" si="28"/>
        <v>4</v>
      </c>
      <c r="AH164" s="137">
        <f ca="1" t="shared" si="29"/>
        <v>4</v>
      </c>
      <c r="AI164" s="137">
        <f ca="1" t="shared" si="30"/>
        <v>5</v>
      </c>
      <c r="AJ164" s="137" t="str">
        <f ca="1" t="shared" si="31"/>
        <v>关羽</v>
      </c>
      <c r="AK164" s="137" t="str">
        <f ca="1" t="shared" si="32"/>
        <v>关羽</v>
      </c>
      <c r="AL164" s="137" t="str">
        <f ca="1" t="shared" si="33"/>
        <v>海拉</v>
      </c>
      <c r="AM164" s="137" t="str">
        <f ca="1" t="shared" si="34"/>
        <v>海拉</v>
      </c>
      <c r="AO164" s="134">
        <v>18</v>
      </c>
      <c r="AP164" s="137">
        <f ca="1" t="shared" si="35"/>
        <v>450</v>
      </c>
      <c r="AQ164" s="137">
        <f ca="1" t="shared" si="36"/>
        <v>909</v>
      </c>
      <c r="AR164" s="137">
        <f ca="1" t="shared" si="37"/>
        <v>1818</v>
      </c>
      <c r="AS164" s="137">
        <f ca="1" t="shared" si="38"/>
        <v>1763.74285714286</v>
      </c>
      <c r="AT164" s="137">
        <f ca="1" t="shared" si="39"/>
        <v>0</v>
      </c>
      <c r="AU164" s="137">
        <f ca="1" t="shared" si="40"/>
        <v>0</v>
      </c>
      <c r="AV164" s="137">
        <f ca="1" t="shared" si="41"/>
        <v>0</v>
      </c>
      <c r="AW164">
        <f ca="1" t="shared" si="42"/>
        <v>4</v>
      </c>
    </row>
    <row r="165" spans="4:49">
      <c r="D165" s="134">
        <v>19</v>
      </c>
      <c r="E165" s="137">
        <f ca="1" t="shared" si="23"/>
        <v>2846.65714285713</v>
      </c>
      <c r="F165" s="137">
        <f ca="1" t="shared" si="24"/>
        <v>3458.99047619047</v>
      </c>
      <c r="G165" s="137">
        <f ca="1" t="shared" si="25"/>
        <v>5169.22857142858</v>
      </c>
      <c r="H165" s="137">
        <f ca="1" t="shared" si="26"/>
        <v>6568.03571428571</v>
      </c>
      <c r="J165" s="134">
        <v>19</v>
      </c>
      <c r="K165" s="137" cm="1">
        <f ca="1" t="array" ref="K165">IFERROR(MATCH(SUMPRODUCT($AP165:$AV165,TRANSPOSE(J$34:J$40))*10/K$145,梦灵属性!$K$56:$K$104,1),0)</f>
        <v>34</v>
      </c>
      <c r="L165" s="137" cm="1">
        <f ca="1" t="array" ref="L165">IFERROR(MATCH(SUMPRODUCT($AP165:$AV165,TRANSPOSE(K$34:K$40))*10/L$145,梦灵属性!$K$56:$K$104,1),0)</f>
        <v>21</v>
      </c>
      <c r="M165" s="137" cm="1">
        <f ca="1" t="array" ref="M165">IFERROR(MATCH(SUMPRODUCT($AP165:$AV165,TRANSPOSE(L$34:L$40))*10/M$145+(INT(J165/7)+1)*70,梦灵属性!$K$56:$K$104,1)+1,0)</f>
        <v>16</v>
      </c>
      <c r="N165" s="137" cm="1">
        <f ca="1" t="array" ref="N165">IFERROR(MATCH(SUMPRODUCT($AP165:$AV165,TRANSPOSE(M$34:M$40))*10/N$145+(INT((J165-14)/7)+1)*70,梦灵属性!$K$56:$K$104,1)+1,0)</f>
        <v>9</v>
      </c>
      <c r="O165" s="138">
        <f ca="1" t="shared" si="43"/>
        <v>3.528</v>
      </c>
      <c r="P165">
        <f ca="1" t="shared" si="44"/>
        <v>274.98468501976</v>
      </c>
      <c r="R165" s="35"/>
      <c r="S165" s="35">
        <v>19</v>
      </c>
      <c r="T165" s="35">
        <v>36</v>
      </c>
      <c r="U165" s="35">
        <v>36</v>
      </c>
      <c r="V165" s="35">
        <v>52</v>
      </c>
      <c r="W165" s="35">
        <v>52</v>
      </c>
      <c r="Y165" s="35">
        <v>19</v>
      </c>
      <c r="Z165" s="3">
        <f t="shared" si="46"/>
        <v>470</v>
      </c>
      <c r="AA165" s="3">
        <f t="shared" si="47"/>
        <v>520</v>
      </c>
      <c r="AB165" s="3">
        <f t="shared" si="48"/>
        <v>520</v>
      </c>
      <c r="AC165" s="3">
        <f t="shared" si="49"/>
        <v>520</v>
      </c>
      <c r="AE165" s="134">
        <v>19</v>
      </c>
      <c r="AF165" s="137">
        <f ca="1" t="shared" si="27"/>
        <v>3</v>
      </c>
      <c r="AG165" s="137">
        <f ca="1" t="shared" si="28"/>
        <v>4</v>
      </c>
      <c r="AH165" s="137">
        <f ca="1" t="shared" si="29"/>
        <v>4</v>
      </c>
      <c r="AI165" s="137">
        <f ca="1" t="shared" si="30"/>
        <v>5</v>
      </c>
      <c r="AJ165" s="137" t="str">
        <f ca="1" t="shared" si="31"/>
        <v>关羽</v>
      </c>
      <c r="AK165" s="137" t="str">
        <f ca="1" t="shared" si="32"/>
        <v>后羿</v>
      </c>
      <c r="AL165" s="137" t="str">
        <f ca="1" t="shared" si="33"/>
        <v>海拉</v>
      </c>
      <c r="AM165" s="137" t="str">
        <f ca="1" t="shared" si="34"/>
        <v>海拉</v>
      </c>
      <c r="AO165" s="134">
        <v>19</v>
      </c>
      <c r="AP165" s="137">
        <f ca="1" t="shared" si="35"/>
        <v>450</v>
      </c>
      <c r="AQ165" s="137">
        <f ca="1" t="shared" si="36"/>
        <v>909</v>
      </c>
      <c r="AR165" s="137">
        <f ca="1" t="shared" si="37"/>
        <v>1818</v>
      </c>
      <c r="AS165" s="137">
        <f ca="1" t="shared" si="38"/>
        <v>1992.22857142858</v>
      </c>
      <c r="AT165" s="137">
        <f ca="1" t="shared" si="39"/>
        <v>0</v>
      </c>
      <c r="AU165" s="137">
        <f ca="1" t="shared" si="40"/>
        <v>0</v>
      </c>
      <c r="AV165" s="137">
        <f ca="1" t="shared" si="41"/>
        <v>0</v>
      </c>
      <c r="AW165">
        <f ca="1" t="shared" si="42"/>
        <v>4</v>
      </c>
    </row>
    <row r="166" spans="4:49">
      <c r="D166" s="134">
        <v>20</v>
      </c>
      <c r="E166" s="137">
        <f ca="1" t="shared" si="23"/>
        <v>2960.42857142856</v>
      </c>
      <c r="F166" s="137">
        <f ca="1" t="shared" si="24"/>
        <v>3602.09523809524</v>
      </c>
      <c r="G166" s="137">
        <f ca="1" t="shared" si="25"/>
        <v>5397.71428571429</v>
      </c>
      <c r="H166" s="137">
        <f ca="1" t="shared" si="26"/>
        <v>6870.14285714285</v>
      </c>
      <c r="J166" s="134">
        <v>20</v>
      </c>
      <c r="K166" s="137" cm="1">
        <f ca="1" t="array" ref="K166">IFERROR(MATCH(SUMPRODUCT($AP166:$AV166,TRANSPOSE(J$34:J$40))*10/K$145,梦灵属性!$K$56:$K$104,1),0)</f>
        <v>34</v>
      </c>
      <c r="L166" s="137" cm="1">
        <f ca="1" t="array" ref="L166">IFERROR(MATCH(SUMPRODUCT($AP166:$AV166,TRANSPOSE(K$34:K$40))*10/L$145,梦灵属性!$K$56:$K$104,1),0)</f>
        <v>21</v>
      </c>
      <c r="M166" s="137" cm="1">
        <f ca="1" t="array" ref="M166">IFERROR(MATCH(SUMPRODUCT($AP166:$AV166,TRANSPOSE(L$34:L$40))*10/M$145+(INT(J166/7)+1)*70,梦灵属性!$K$56:$K$104,1)+1,0)</f>
        <v>16</v>
      </c>
      <c r="N166" s="137" cm="1">
        <f ca="1" t="array" ref="N166">IFERROR(MATCH(SUMPRODUCT($AP166:$AV166,TRANSPOSE(M$34:M$40))*10/N$145+(INT((J166-14)/7)+1)*70,梦灵属性!$K$56:$K$104,1)+1,0)</f>
        <v>9</v>
      </c>
      <c r="O166" s="138">
        <f ca="1" t="shared" si="43"/>
        <v>3.528</v>
      </c>
      <c r="P166">
        <f ca="1" t="shared" si="44"/>
        <v>285.974909300357</v>
      </c>
      <c r="R166" s="35"/>
      <c r="S166" s="35">
        <v>20</v>
      </c>
      <c r="T166" s="35">
        <v>36</v>
      </c>
      <c r="U166" s="35">
        <v>36</v>
      </c>
      <c r="V166" s="35">
        <v>52</v>
      </c>
      <c r="W166" s="35">
        <v>52</v>
      </c>
      <c r="Y166" s="35">
        <v>20</v>
      </c>
      <c r="Z166" s="3">
        <f t="shared" si="46"/>
        <v>470</v>
      </c>
      <c r="AA166" s="3">
        <f t="shared" si="47"/>
        <v>520</v>
      </c>
      <c r="AB166" s="3">
        <f t="shared" si="48"/>
        <v>520</v>
      </c>
      <c r="AC166" s="3">
        <f t="shared" si="49"/>
        <v>520</v>
      </c>
      <c r="AE166" s="134">
        <v>20</v>
      </c>
      <c r="AF166" s="137">
        <f ca="1" t="shared" si="27"/>
        <v>3</v>
      </c>
      <c r="AG166" s="137">
        <f ca="1" t="shared" si="28"/>
        <v>4</v>
      </c>
      <c r="AH166" s="137">
        <f ca="1" t="shared" si="29"/>
        <v>4</v>
      </c>
      <c r="AI166" s="137">
        <f ca="1" t="shared" si="30"/>
        <v>5</v>
      </c>
      <c r="AJ166" s="137" t="str">
        <f ca="1" t="shared" si="31"/>
        <v>关羽</v>
      </c>
      <c r="AK166" s="137" t="str">
        <f ca="1" t="shared" si="32"/>
        <v>后羿</v>
      </c>
      <c r="AL166" s="137" t="str">
        <f ca="1" t="shared" si="33"/>
        <v>海拉</v>
      </c>
      <c r="AM166" s="137" t="str">
        <f ca="1" t="shared" si="34"/>
        <v>海拉</v>
      </c>
      <c r="AO166" s="134">
        <v>20</v>
      </c>
      <c r="AP166" s="137">
        <f ca="1" t="shared" si="35"/>
        <v>450</v>
      </c>
      <c r="AQ166" s="137">
        <f ca="1" t="shared" si="36"/>
        <v>909</v>
      </c>
      <c r="AR166" s="137">
        <f ca="1" t="shared" si="37"/>
        <v>1818</v>
      </c>
      <c r="AS166" s="137">
        <f ca="1" t="shared" si="38"/>
        <v>2220.71428571429</v>
      </c>
      <c r="AT166" s="137">
        <f ca="1" t="shared" si="39"/>
        <v>0</v>
      </c>
      <c r="AU166" s="137">
        <f ca="1" t="shared" si="40"/>
        <v>0</v>
      </c>
      <c r="AV166" s="137">
        <f ca="1" t="shared" si="41"/>
        <v>0</v>
      </c>
      <c r="AW166">
        <f ca="1" t="shared" si="42"/>
        <v>4</v>
      </c>
    </row>
    <row r="167" spans="4:49">
      <c r="D167" s="134">
        <v>21</v>
      </c>
      <c r="E167" s="137">
        <f ca="1" t="shared" si="23"/>
        <v>3074.19999999999</v>
      </c>
      <c r="F167" s="137">
        <f ca="1" t="shared" si="24"/>
        <v>3745.2</v>
      </c>
      <c r="G167" s="137">
        <f ca="1" t="shared" si="25"/>
        <v>5626.20000000001</v>
      </c>
      <c r="H167" s="137">
        <f ca="1" t="shared" si="26"/>
        <v>7172.25</v>
      </c>
      <c r="J167" s="134">
        <v>21</v>
      </c>
      <c r="K167" s="137" cm="1">
        <f ca="1" t="array" ref="K167">IFERROR(MATCH(SUMPRODUCT($AP167:$AV167,TRANSPOSE(J$34:J$40))*10/K$145,梦灵属性!$K$56:$K$104,1),0)</f>
        <v>34</v>
      </c>
      <c r="L167" s="137" cm="1">
        <f ca="1" t="array" ref="L167">IFERROR(MATCH(SUMPRODUCT($AP167:$AV167,TRANSPOSE(K$34:K$40))*10/L$145,梦灵属性!$K$56:$K$104,1),0)</f>
        <v>22</v>
      </c>
      <c r="M167" s="137" cm="1">
        <f ca="1" t="array" ref="M167">IFERROR(MATCH(SUMPRODUCT($AP167:$AV167,TRANSPOSE(L$34:L$40))*10/M$145+(INT(J167/7)+1)*70,梦灵属性!$K$56:$K$104,1)+1,0)</f>
        <v>17</v>
      </c>
      <c r="N167" s="137" cm="1">
        <f ca="1" t="array" ref="N167">IFERROR(MATCH(SUMPRODUCT($AP167:$AV167,TRANSPOSE(M$34:M$40))*10/N$145+(INT((J167-14)/7)+1)*70,梦灵属性!$K$56:$K$104,1)+1,0)</f>
        <v>11</v>
      </c>
      <c r="O167" s="138">
        <f ca="1" t="shared" si="43"/>
        <v>3.92</v>
      </c>
      <c r="P167">
        <f ca="1" t="shared" si="44"/>
        <v>274.061546168354</v>
      </c>
      <c r="R167" s="35"/>
      <c r="S167" s="35">
        <v>21</v>
      </c>
      <c r="T167" s="35">
        <v>36</v>
      </c>
      <c r="U167" s="35">
        <v>36</v>
      </c>
      <c r="V167" s="35">
        <v>52</v>
      </c>
      <c r="W167" s="35">
        <v>52</v>
      </c>
      <c r="Y167" s="35">
        <v>21</v>
      </c>
      <c r="Z167" s="3">
        <f t="shared" si="46"/>
        <v>470</v>
      </c>
      <c r="AA167" s="3">
        <f t="shared" si="47"/>
        <v>520</v>
      </c>
      <c r="AB167" s="3">
        <f t="shared" si="48"/>
        <v>520</v>
      </c>
      <c r="AC167" s="3">
        <f t="shared" si="49"/>
        <v>520</v>
      </c>
      <c r="AE167" s="134">
        <v>21</v>
      </c>
      <c r="AF167" s="137">
        <f ca="1" t="shared" si="27"/>
        <v>3</v>
      </c>
      <c r="AG167" s="137">
        <f ca="1" t="shared" si="28"/>
        <v>4</v>
      </c>
      <c r="AH167" s="137">
        <f ca="1" t="shared" si="29"/>
        <v>4</v>
      </c>
      <c r="AI167" s="137">
        <f ca="1" t="shared" si="30"/>
        <v>5</v>
      </c>
      <c r="AJ167" s="137" t="str">
        <f ca="1" t="shared" si="31"/>
        <v>关羽</v>
      </c>
      <c r="AK167" s="137" t="str">
        <f ca="1" t="shared" si="32"/>
        <v>后羿</v>
      </c>
      <c r="AL167" s="137" t="str">
        <f ca="1" t="shared" si="33"/>
        <v>海拉</v>
      </c>
      <c r="AM167" s="137" t="str">
        <f ca="1" t="shared" si="34"/>
        <v>海拉</v>
      </c>
      <c r="AO167" s="134">
        <v>21</v>
      </c>
      <c r="AP167" s="137">
        <f ca="1" t="shared" si="35"/>
        <v>450</v>
      </c>
      <c r="AQ167" s="137">
        <f ca="1" t="shared" si="36"/>
        <v>909</v>
      </c>
      <c r="AR167" s="137">
        <f ca="1" t="shared" si="37"/>
        <v>1818</v>
      </c>
      <c r="AS167" s="137">
        <f ca="1" t="shared" si="38"/>
        <v>2449.20000000001</v>
      </c>
      <c r="AT167" s="137">
        <f ca="1" t="shared" si="39"/>
        <v>0</v>
      </c>
      <c r="AU167" s="137">
        <f ca="1" t="shared" si="40"/>
        <v>0</v>
      </c>
      <c r="AV167" s="137">
        <f ca="1" t="shared" si="41"/>
        <v>0</v>
      </c>
      <c r="AW167">
        <f ca="1" t="shared" si="42"/>
        <v>4</v>
      </c>
    </row>
    <row r="168" spans="4:49">
      <c r="D168" s="134">
        <v>22</v>
      </c>
      <c r="E168" s="137">
        <f ca="1" t="shared" si="23"/>
        <v>3187.97142857142</v>
      </c>
      <c r="F168" s="137">
        <f ca="1" t="shared" si="24"/>
        <v>3888.30476190476</v>
      </c>
      <c r="G168" s="137">
        <f ca="1" t="shared" si="25"/>
        <v>5854.68571428572</v>
      </c>
      <c r="H168" s="137">
        <f ca="1" t="shared" si="26"/>
        <v>7474.35714285714</v>
      </c>
      <c r="J168" s="134">
        <v>22</v>
      </c>
      <c r="K168" s="137" cm="1">
        <f ca="1" t="array" ref="K168">IFERROR(MATCH(SUMPRODUCT($AP168:$AV168,TRANSPOSE(J$34:J$40))*10/K$145,梦灵属性!$K$56:$K$104,1),0)</f>
        <v>35</v>
      </c>
      <c r="L168" s="137" cm="1">
        <f ca="1" t="array" ref="L168">IFERROR(MATCH(SUMPRODUCT($AP168:$AV168,TRANSPOSE(K$34:K$40))*10/L$145,梦灵属性!$K$56:$K$104,1),0)</f>
        <v>22</v>
      </c>
      <c r="M168" s="137" cm="1">
        <f ca="1" t="array" ref="M168">IFERROR(MATCH(SUMPRODUCT($AP168:$AV168,TRANSPOSE(L$34:L$40))*10/M$145+(INT(J168/7)+1)*70,梦灵属性!$K$56:$K$104,1)+1,0)</f>
        <v>17</v>
      </c>
      <c r="N168" s="137" cm="1">
        <f ca="1" t="array" ref="N168">IFERROR(MATCH(SUMPRODUCT($AP168:$AV168,TRANSPOSE(M$34:M$40))*10/N$145+(INT((J168-14)/7)+1)*70,梦灵属性!$K$56:$K$104,1)+1,0)</f>
        <v>11</v>
      </c>
      <c r="O168" s="138">
        <f ca="1" t="shared" si="43"/>
        <v>3.92</v>
      </c>
      <c r="P168">
        <f ca="1" t="shared" si="44"/>
        <v>284.204143795076</v>
      </c>
      <c r="R168" s="35"/>
      <c r="S168" s="35">
        <v>22</v>
      </c>
      <c r="T168" s="35">
        <v>36</v>
      </c>
      <c r="U168" s="35">
        <v>36</v>
      </c>
      <c r="V168" s="35">
        <v>52</v>
      </c>
      <c r="W168" s="35">
        <v>52</v>
      </c>
      <c r="Y168" s="35">
        <v>22</v>
      </c>
      <c r="Z168" s="3">
        <f t="shared" si="46"/>
        <v>470</v>
      </c>
      <c r="AA168" s="3">
        <f t="shared" si="47"/>
        <v>520</v>
      </c>
      <c r="AB168" s="3">
        <f t="shared" si="48"/>
        <v>520</v>
      </c>
      <c r="AC168" s="3">
        <f t="shared" si="49"/>
        <v>520</v>
      </c>
      <c r="AE168" s="134">
        <v>22</v>
      </c>
      <c r="AF168" s="137">
        <f ca="1" t="shared" si="27"/>
        <v>4</v>
      </c>
      <c r="AG168" s="137">
        <f ca="1" t="shared" si="28"/>
        <v>4</v>
      </c>
      <c r="AH168" s="137">
        <f ca="1" t="shared" si="29"/>
        <v>4</v>
      </c>
      <c r="AI168" s="137">
        <f ca="1" t="shared" si="30"/>
        <v>5</v>
      </c>
      <c r="AJ168" s="137" t="str">
        <f ca="1" t="shared" si="31"/>
        <v>关羽</v>
      </c>
      <c r="AK168" s="137" t="str">
        <f ca="1" t="shared" si="32"/>
        <v>后羿</v>
      </c>
      <c r="AL168" s="137" t="str">
        <f ca="1" t="shared" si="33"/>
        <v>海拉</v>
      </c>
      <c r="AM168" s="137" t="str">
        <f ca="1" t="shared" si="34"/>
        <v>海拉</v>
      </c>
      <c r="AO168" s="134">
        <v>22</v>
      </c>
      <c r="AP168" s="137">
        <f ca="1" t="shared" si="35"/>
        <v>450</v>
      </c>
      <c r="AQ168" s="137">
        <f ca="1" t="shared" si="36"/>
        <v>909</v>
      </c>
      <c r="AR168" s="137">
        <f ca="1" t="shared" si="37"/>
        <v>1818</v>
      </c>
      <c r="AS168" s="137">
        <f ca="1" t="shared" si="38"/>
        <v>2677.68571428572</v>
      </c>
      <c r="AT168" s="137">
        <f ca="1" t="shared" si="39"/>
        <v>0</v>
      </c>
      <c r="AU168" s="137">
        <f ca="1" t="shared" si="40"/>
        <v>0</v>
      </c>
      <c r="AV168" s="137">
        <f ca="1" t="shared" si="41"/>
        <v>0</v>
      </c>
      <c r="AW168">
        <f ca="1" t="shared" si="42"/>
        <v>4</v>
      </c>
    </row>
    <row r="169" spans="4:49">
      <c r="D169" s="134">
        <v>23</v>
      </c>
      <c r="E169" s="137">
        <f ca="1" t="shared" si="23"/>
        <v>3301.74285714285</v>
      </c>
      <c r="F169" s="137">
        <f ca="1" t="shared" si="24"/>
        <v>4031.40952380952</v>
      </c>
      <c r="G169" s="137">
        <f ca="1" t="shared" si="25"/>
        <v>6083.17142857144</v>
      </c>
      <c r="H169" s="137">
        <f ca="1" t="shared" si="26"/>
        <v>7776.46428571428</v>
      </c>
      <c r="J169" s="134">
        <v>23</v>
      </c>
      <c r="K169" s="137" cm="1">
        <f ca="1" t="array" ref="K169">IFERROR(MATCH(SUMPRODUCT($AP169:$AV169,TRANSPOSE(J$34:J$40))*10/K$145,梦灵属性!$K$56:$K$104,1),0)</f>
        <v>35</v>
      </c>
      <c r="L169" s="137" cm="1">
        <f ca="1" t="array" ref="L169">IFERROR(MATCH(SUMPRODUCT($AP169:$AV169,TRANSPOSE(K$34:K$40))*10/L$145,梦灵属性!$K$56:$K$104,1),0)</f>
        <v>23</v>
      </c>
      <c r="M169" s="137" cm="1">
        <f ca="1" t="array" ref="M169">IFERROR(MATCH(SUMPRODUCT($AP169:$AV169,TRANSPOSE(L$34:L$40))*10/M$145+(INT(J169/7)+1)*70,梦灵属性!$K$56:$K$104,1)+1,0)</f>
        <v>18</v>
      </c>
      <c r="N169" s="137" cm="1">
        <f ca="1" t="array" ref="N169">IFERROR(MATCH(SUMPRODUCT($AP169:$AV169,TRANSPOSE(M$34:M$40))*10/N$145+(INT((J169-14)/7)+1)*70,梦灵属性!$K$56:$K$104,1)+1,0)</f>
        <v>11</v>
      </c>
      <c r="O169" s="138">
        <f ca="1" t="shared" si="43"/>
        <v>3.92</v>
      </c>
      <c r="P169">
        <f ca="1" t="shared" si="44"/>
        <v>294.346741421798</v>
      </c>
      <c r="R169" s="35"/>
      <c r="S169" s="35">
        <v>23</v>
      </c>
      <c r="T169" s="35">
        <v>36</v>
      </c>
      <c r="U169" s="35">
        <v>36</v>
      </c>
      <c r="V169" s="35">
        <v>52</v>
      </c>
      <c r="W169" s="35">
        <v>52</v>
      </c>
      <c r="Y169" s="35">
        <v>23</v>
      </c>
      <c r="Z169" s="3">
        <f t="shared" si="46"/>
        <v>470</v>
      </c>
      <c r="AA169" s="3">
        <f t="shared" si="47"/>
        <v>520</v>
      </c>
      <c r="AB169" s="3">
        <f t="shared" si="48"/>
        <v>520</v>
      </c>
      <c r="AC169" s="3">
        <f t="shared" si="49"/>
        <v>520</v>
      </c>
      <c r="AE169" s="134">
        <v>23</v>
      </c>
      <c r="AF169" s="137">
        <f ca="1" t="shared" si="27"/>
        <v>4</v>
      </c>
      <c r="AG169" s="137">
        <f ca="1" t="shared" si="28"/>
        <v>4</v>
      </c>
      <c r="AH169" s="137">
        <f ca="1" t="shared" si="29"/>
        <v>5</v>
      </c>
      <c r="AI169" s="137">
        <f ca="1" t="shared" si="30"/>
        <v>5</v>
      </c>
      <c r="AJ169" s="137" t="str">
        <f ca="1" t="shared" si="31"/>
        <v>关羽</v>
      </c>
      <c r="AK169" s="137" t="str">
        <f ca="1" t="shared" si="32"/>
        <v>后羿</v>
      </c>
      <c r="AL169" s="137" t="str">
        <f ca="1" t="shared" si="33"/>
        <v>海拉</v>
      </c>
      <c r="AM169" s="137" t="str">
        <f ca="1" t="shared" si="34"/>
        <v>海拉</v>
      </c>
      <c r="AO169" s="134">
        <v>23</v>
      </c>
      <c r="AP169" s="137">
        <f ca="1" t="shared" si="35"/>
        <v>450</v>
      </c>
      <c r="AQ169" s="137">
        <f ca="1" t="shared" si="36"/>
        <v>909</v>
      </c>
      <c r="AR169" s="137">
        <f ca="1" t="shared" si="37"/>
        <v>1818</v>
      </c>
      <c r="AS169" s="137">
        <f ca="1" t="shared" si="38"/>
        <v>2727</v>
      </c>
      <c r="AT169" s="137">
        <f ca="1" t="shared" si="39"/>
        <v>179.171428571436</v>
      </c>
      <c r="AU169" s="137">
        <f ca="1" t="shared" si="40"/>
        <v>0</v>
      </c>
      <c r="AV169" s="137">
        <f ca="1" t="shared" si="41"/>
        <v>0</v>
      </c>
      <c r="AW169">
        <f ca="1" t="shared" si="42"/>
        <v>5</v>
      </c>
    </row>
    <row r="170" spans="4:49">
      <c r="D170" s="134">
        <v>24</v>
      </c>
      <c r="E170" s="137">
        <f ca="1" t="shared" si="23"/>
        <v>3415.51428571428</v>
      </c>
      <c r="F170" s="137">
        <f ca="1" t="shared" si="24"/>
        <v>4174.51428571428</v>
      </c>
      <c r="G170" s="137">
        <f ca="1" t="shared" si="25"/>
        <v>6311.65714285715</v>
      </c>
      <c r="H170" s="137">
        <f ca="1" t="shared" si="26"/>
        <v>8078.57142857143</v>
      </c>
      <c r="J170" s="134">
        <v>24</v>
      </c>
      <c r="K170" s="137" cm="1">
        <f ca="1" t="array" ref="K170">IFERROR(MATCH(SUMPRODUCT($AP170:$AV170,TRANSPOSE(J$34:J$40))*10/K$145,梦灵属性!$K$56:$K$104,1),0)</f>
        <v>35</v>
      </c>
      <c r="L170" s="137" cm="1">
        <f ca="1" t="array" ref="L170">IFERROR(MATCH(SUMPRODUCT($AP170:$AV170,TRANSPOSE(K$34:K$40))*10/L$145,梦灵属性!$K$56:$K$104,1),0)</f>
        <v>23</v>
      </c>
      <c r="M170" s="137" cm="1">
        <f ca="1" t="array" ref="M170">IFERROR(MATCH(SUMPRODUCT($AP170:$AV170,TRANSPOSE(L$34:L$40))*10/M$145+(INT(J170/7)+1)*70,梦灵属性!$K$56:$K$104,1)+1,0)</f>
        <v>18</v>
      </c>
      <c r="N170" s="137" cm="1">
        <f ca="1" t="array" ref="N170">IFERROR(MATCH(SUMPRODUCT($AP170:$AV170,TRANSPOSE(M$34:M$40))*10/N$145+(INT((J170-14)/7)+1)*70,梦灵属性!$K$56:$K$104,1)+1,0)</f>
        <v>12</v>
      </c>
      <c r="O170" s="138">
        <f ca="1" t="shared" si="43"/>
        <v>4.116</v>
      </c>
      <c r="P170">
        <f ca="1" t="shared" si="44"/>
        <v>293.989462202752</v>
      </c>
      <c r="R170" s="35"/>
      <c r="S170" s="35">
        <v>24</v>
      </c>
      <c r="T170" s="35">
        <v>36</v>
      </c>
      <c r="U170" s="35">
        <v>36</v>
      </c>
      <c r="V170" s="35">
        <v>52</v>
      </c>
      <c r="W170" s="35">
        <v>52</v>
      </c>
      <c r="Y170" s="35">
        <v>24</v>
      </c>
      <c r="Z170" s="3">
        <f t="shared" si="46"/>
        <v>470</v>
      </c>
      <c r="AA170" s="3">
        <f t="shared" si="47"/>
        <v>520</v>
      </c>
      <c r="AB170" s="3">
        <f t="shared" si="48"/>
        <v>520</v>
      </c>
      <c r="AC170" s="3">
        <f t="shared" si="49"/>
        <v>520</v>
      </c>
      <c r="AE170" s="134">
        <v>24</v>
      </c>
      <c r="AF170" s="137">
        <f ca="1" t="shared" si="27"/>
        <v>4</v>
      </c>
      <c r="AG170" s="137">
        <f ca="1" t="shared" si="28"/>
        <v>4</v>
      </c>
      <c r="AH170" s="137">
        <f ca="1" t="shared" si="29"/>
        <v>5</v>
      </c>
      <c r="AI170" s="137">
        <f ca="1" t="shared" si="30"/>
        <v>5</v>
      </c>
      <c r="AJ170" s="137" t="str">
        <f ca="1" t="shared" si="31"/>
        <v>后羿</v>
      </c>
      <c r="AK170" s="137" t="str">
        <f ca="1" t="shared" si="32"/>
        <v>后羿</v>
      </c>
      <c r="AL170" s="137" t="str">
        <f ca="1" t="shared" si="33"/>
        <v>海拉</v>
      </c>
      <c r="AM170" s="137" t="str">
        <f ca="1" t="shared" si="34"/>
        <v>海拉</v>
      </c>
      <c r="AO170" s="134">
        <v>24</v>
      </c>
      <c r="AP170" s="137">
        <f ca="1" t="shared" si="35"/>
        <v>450</v>
      </c>
      <c r="AQ170" s="137">
        <f ca="1" t="shared" si="36"/>
        <v>909</v>
      </c>
      <c r="AR170" s="137">
        <f ca="1" t="shared" si="37"/>
        <v>1818</v>
      </c>
      <c r="AS170" s="137">
        <f ca="1" t="shared" si="38"/>
        <v>2727</v>
      </c>
      <c r="AT170" s="137">
        <f ca="1" t="shared" si="39"/>
        <v>407.657142857151</v>
      </c>
      <c r="AU170" s="137">
        <f ca="1" t="shared" si="40"/>
        <v>0</v>
      </c>
      <c r="AV170" s="137">
        <f ca="1" t="shared" si="41"/>
        <v>0</v>
      </c>
      <c r="AW170">
        <f ca="1" t="shared" si="42"/>
        <v>5</v>
      </c>
    </row>
    <row r="171" spans="4:49">
      <c r="D171" s="134">
        <v>25</v>
      </c>
      <c r="E171" s="137">
        <f ca="1" t="shared" si="23"/>
        <v>3529.2857142857</v>
      </c>
      <c r="F171" s="137">
        <f ca="1" t="shared" si="24"/>
        <v>4317.61904761904</v>
      </c>
      <c r="G171" s="137">
        <f ca="1" t="shared" si="25"/>
        <v>6540.14285714287</v>
      </c>
      <c r="H171" s="137">
        <f ca="1" t="shared" si="26"/>
        <v>8380.67857142857</v>
      </c>
      <c r="J171" s="134">
        <v>25</v>
      </c>
      <c r="K171" s="137" cm="1">
        <f ca="1" t="array" ref="K171">IFERROR(MATCH(SUMPRODUCT($AP171:$AV171,TRANSPOSE(J$34:J$40))*10/K$145,梦灵属性!$K$56:$K$104,1),0)</f>
        <v>35</v>
      </c>
      <c r="L171" s="137" cm="1">
        <f ca="1" t="array" ref="L171">IFERROR(MATCH(SUMPRODUCT($AP171:$AV171,TRANSPOSE(K$34:K$40))*10/L$145,梦灵属性!$K$56:$K$104,1),0)</f>
        <v>24</v>
      </c>
      <c r="M171" s="137" cm="1">
        <f ca="1" t="array" ref="M171">IFERROR(MATCH(SUMPRODUCT($AP171:$AV171,TRANSPOSE(L$34:L$40))*10/M$145+(INT(J171/7)+1)*70,梦灵属性!$K$56:$K$104,1)+1,0)</f>
        <v>18</v>
      </c>
      <c r="N171" s="137" cm="1">
        <f ca="1" t="array" ref="N171">IFERROR(MATCH(SUMPRODUCT($AP171:$AV171,TRANSPOSE(M$34:M$40))*10/N$145+(INT((J171-14)/7)+1)*70,梦灵属性!$K$56:$K$104,1)+1,0)</f>
        <v>12</v>
      </c>
      <c r="O171" s="138">
        <f ca="1" t="shared" si="43"/>
        <v>4.116</v>
      </c>
      <c r="P171">
        <f ca="1" t="shared" si="44"/>
        <v>303.782306940557</v>
      </c>
      <c r="R171" s="35"/>
      <c r="S171" s="35">
        <v>25</v>
      </c>
      <c r="T171" s="35">
        <v>36</v>
      </c>
      <c r="U171" s="35">
        <v>36</v>
      </c>
      <c r="V171" s="35">
        <v>52</v>
      </c>
      <c r="W171" s="35">
        <v>52</v>
      </c>
      <c r="Y171" s="35">
        <v>25</v>
      </c>
      <c r="Z171" s="3">
        <f t="shared" si="46"/>
        <v>470</v>
      </c>
      <c r="AA171" s="3">
        <f t="shared" si="47"/>
        <v>520</v>
      </c>
      <c r="AB171" s="3">
        <f t="shared" si="48"/>
        <v>520</v>
      </c>
      <c r="AC171" s="3">
        <f t="shared" si="49"/>
        <v>520</v>
      </c>
      <c r="AE171" s="134">
        <v>25</v>
      </c>
      <c r="AF171" s="137">
        <f ca="1" t="shared" si="27"/>
        <v>4</v>
      </c>
      <c r="AG171" s="137">
        <f ca="1" t="shared" si="28"/>
        <v>4</v>
      </c>
      <c r="AH171" s="137">
        <f ca="1" t="shared" si="29"/>
        <v>5</v>
      </c>
      <c r="AI171" s="137">
        <f ca="1" t="shared" si="30"/>
        <v>5</v>
      </c>
      <c r="AJ171" s="137" t="str">
        <f ca="1" t="shared" si="31"/>
        <v>后羿</v>
      </c>
      <c r="AK171" s="137" t="str">
        <f ca="1" t="shared" si="32"/>
        <v>后羿</v>
      </c>
      <c r="AL171" s="137" t="str">
        <f ca="1" t="shared" si="33"/>
        <v>海拉</v>
      </c>
      <c r="AM171" s="137" t="str">
        <f ca="1" t="shared" si="34"/>
        <v>海拉</v>
      </c>
      <c r="AO171" s="134">
        <v>25</v>
      </c>
      <c r="AP171" s="137">
        <f ca="1" t="shared" si="35"/>
        <v>450</v>
      </c>
      <c r="AQ171" s="137">
        <f ca="1" t="shared" si="36"/>
        <v>909</v>
      </c>
      <c r="AR171" s="137">
        <f ca="1" t="shared" si="37"/>
        <v>1818</v>
      </c>
      <c r="AS171" s="137">
        <f ca="1" t="shared" si="38"/>
        <v>2727</v>
      </c>
      <c r="AT171" s="137">
        <f ca="1" t="shared" si="39"/>
        <v>636.142857142866</v>
      </c>
      <c r="AU171" s="137">
        <f ca="1" t="shared" si="40"/>
        <v>0</v>
      </c>
      <c r="AV171" s="137">
        <f ca="1" t="shared" si="41"/>
        <v>0</v>
      </c>
      <c r="AW171">
        <f ca="1" t="shared" si="42"/>
        <v>5</v>
      </c>
    </row>
    <row r="172" spans="4:49">
      <c r="D172" s="134">
        <v>26</v>
      </c>
      <c r="E172" s="137">
        <f ca="1" t="shared" si="23"/>
        <v>3643.05714285713</v>
      </c>
      <c r="F172" s="137">
        <f ca="1" t="shared" si="24"/>
        <v>4460.72380952381</v>
      </c>
      <c r="G172" s="137">
        <f ca="1" t="shared" si="25"/>
        <v>6768.62857142858</v>
      </c>
      <c r="H172" s="137">
        <f ca="1" t="shared" si="26"/>
        <v>8682.78571428571</v>
      </c>
      <c r="J172" s="134">
        <v>26</v>
      </c>
      <c r="K172" s="137" cm="1">
        <f ca="1" t="array" ref="K172">IFERROR(MATCH(SUMPRODUCT($AP172:$AV172,TRANSPOSE(J$34:J$40))*10/K$145,梦灵属性!$K$56:$K$104,1),0)</f>
        <v>36</v>
      </c>
      <c r="L172" s="137" cm="1">
        <f ca="1" t="array" ref="L172">IFERROR(MATCH(SUMPRODUCT($AP172:$AV172,TRANSPOSE(K$34:K$40))*10/L$145,梦灵属性!$K$56:$K$104,1),0)</f>
        <v>24</v>
      </c>
      <c r="M172" s="137" cm="1">
        <f ca="1" t="array" ref="M172">IFERROR(MATCH(SUMPRODUCT($AP172:$AV172,TRANSPOSE(L$34:L$40))*10/M$145+(INT(J172/7)+1)*70,梦灵属性!$K$56:$K$104,1)+1,0)</f>
        <v>19</v>
      </c>
      <c r="N172" s="137" cm="1">
        <f ca="1" t="array" ref="N172">IFERROR(MATCH(SUMPRODUCT($AP172:$AV172,TRANSPOSE(M$34:M$40))*10/N$145+(INT((J172-14)/7)+1)*70,梦灵属性!$K$56:$K$104,1)+1,0)</f>
        <v>12</v>
      </c>
      <c r="O172" s="138">
        <f ca="1" t="shared" si="43"/>
        <v>4.116</v>
      </c>
      <c r="P172">
        <f ca="1" t="shared" si="44"/>
        <v>313.575151678361</v>
      </c>
      <c r="R172" s="35"/>
      <c r="S172" s="35">
        <v>26</v>
      </c>
      <c r="T172" s="35">
        <v>36</v>
      </c>
      <c r="U172" s="35">
        <v>36</v>
      </c>
      <c r="V172" s="35">
        <v>52</v>
      </c>
      <c r="W172" s="35">
        <v>52</v>
      </c>
      <c r="Y172" s="35">
        <v>26</v>
      </c>
      <c r="Z172" s="3">
        <f t="shared" si="46"/>
        <v>470</v>
      </c>
      <c r="AA172" s="3">
        <f t="shared" si="47"/>
        <v>520</v>
      </c>
      <c r="AB172" s="3">
        <f t="shared" si="48"/>
        <v>520</v>
      </c>
      <c r="AC172" s="3">
        <f t="shared" si="49"/>
        <v>520</v>
      </c>
      <c r="AE172" s="134">
        <v>26</v>
      </c>
      <c r="AF172" s="137">
        <f ca="1" t="shared" si="27"/>
        <v>4</v>
      </c>
      <c r="AG172" s="137">
        <f ca="1" t="shared" si="28"/>
        <v>4</v>
      </c>
      <c r="AH172" s="137">
        <f ca="1" t="shared" si="29"/>
        <v>5</v>
      </c>
      <c r="AI172" s="137">
        <f ca="1" t="shared" si="30"/>
        <v>5</v>
      </c>
      <c r="AJ172" s="137" t="str">
        <f ca="1" t="shared" si="31"/>
        <v>后羿</v>
      </c>
      <c r="AK172" s="137" t="str">
        <f ca="1" t="shared" si="32"/>
        <v>后羿</v>
      </c>
      <c r="AL172" s="137" t="str">
        <f ca="1" t="shared" si="33"/>
        <v>海拉</v>
      </c>
      <c r="AM172" s="137" t="str">
        <f ca="1" t="shared" si="34"/>
        <v>海拉</v>
      </c>
      <c r="AO172" s="134">
        <v>26</v>
      </c>
      <c r="AP172" s="137">
        <f ca="1" t="shared" si="35"/>
        <v>450</v>
      </c>
      <c r="AQ172" s="137">
        <f ca="1" t="shared" si="36"/>
        <v>909</v>
      </c>
      <c r="AR172" s="137">
        <f ca="1" t="shared" si="37"/>
        <v>1818</v>
      </c>
      <c r="AS172" s="137">
        <f ca="1" t="shared" si="38"/>
        <v>2727</v>
      </c>
      <c r="AT172" s="137">
        <f ca="1" t="shared" si="39"/>
        <v>864.62857142858</v>
      </c>
      <c r="AU172" s="137">
        <f ca="1" t="shared" si="40"/>
        <v>0</v>
      </c>
      <c r="AV172" s="137">
        <f ca="1" t="shared" si="41"/>
        <v>0</v>
      </c>
      <c r="AW172">
        <f ca="1" t="shared" si="42"/>
        <v>5</v>
      </c>
    </row>
    <row r="173" spans="4:49">
      <c r="D173" s="134">
        <v>27</v>
      </c>
      <c r="E173" s="137">
        <f ca="1" t="shared" si="23"/>
        <v>3756.82857142856</v>
      </c>
      <c r="F173" s="137">
        <f ca="1" t="shared" si="24"/>
        <v>4603.82857142857</v>
      </c>
      <c r="G173" s="137">
        <f ca="1" t="shared" si="25"/>
        <v>6997.11428571429</v>
      </c>
      <c r="H173" s="137">
        <f ca="1" t="shared" si="26"/>
        <v>8984.89285714285</v>
      </c>
      <c r="J173" s="134">
        <v>27</v>
      </c>
      <c r="K173" s="137" cm="1">
        <f ca="1" t="array" ref="K173">IFERROR(MATCH(SUMPRODUCT($AP173:$AV173,TRANSPOSE(J$34:J$40))*10/K$145,梦灵属性!$K$56:$K$104,1),0)</f>
        <v>36</v>
      </c>
      <c r="L173" s="137" cm="1">
        <f ca="1" t="array" ref="L173">IFERROR(MATCH(SUMPRODUCT($AP173:$AV173,TRANSPOSE(K$34:K$40))*10/L$145,梦灵属性!$K$56:$K$104,1),0)</f>
        <v>24</v>
      </c>
      <c r="M173" s="137" cm="1">
        <f ca="1" t="array" ref="M173">IFERROR(MATCH(SUMPRODUCT($AP173:$AV173,TRANSPOSE(L$34:L$40))*10/M$145+(INT(J173/7)+1)*70,梦灵属性!$K$56:$K$104,1)+1,0)</f>
        <v>19</v>
      </c>
      <c r="N173" s="137" cm="1">
        <f ca="1" t="array" ref="N173">IFERROR(MATCH(SUMPRODUCT($AP173:$AV173,TRANSPOSE(M$34:M$40))*10/N$145+(INT((J173-14)/7)+1)*70,梦灵属性!$K$56:$K$104,1)+1,0)</f>
        <v>12</v>
      </c>
      <c r="O173" s="138">
        <f ca="1" t="shared" si="43"/>
        <v>4.116</v>
      </c>
      <c r="P173">
        <f ca="1" t="shared" si="44"/>
        <v>323.367996416166</v>
      </c>
      <c r="R173" s="35"/>
      <c r="S173" s="35">
        <v>27</v>
      </c>
      <c r="T173" s="35">
        <v>36</v>
      </c>
      <c r="U173" s="35">
        <v>36</v>
      </c>
      <c r="V173" s="35">
        <v>52</v>
      </c>
      <c r="W173" s="35">
        <v>52</v>
      </c>
      <c r="Y173" s="35">
        <v>27</v>
      </c>
      <c r="Z173" s="3">
        <f t="shared" si="46"/>
        <v>470</v>
      </c>
      <c r="AA173" s="3">
        <f t="shared" si="47"/>
        <v>520</v>
      </c>
      <c r="AB173" s="3">
        <f t="shared" si="48"/>
        <v>520</v>
      </c>
      <c r="AC173" s="3">
        <f t="shared" si="49"/>
        <v>520</v>
      </c>
      <c r="AE173" s="134">
        <v>27</v>
      </c>
      <c r="AF173" s="137">
        <f ca="1" t="shared" si="27"/>
        <v>4</v>
      </c>
      <c r="AG173" s="137">
        <f ca="1" t="shared" si="28"/>
        <v>4</v>
      </c>
      <c r="AH173" s="137">
        <f ca="1" t="shared" si="29"/>
        <v>5</v>
      </c>
      <c r="AI173" s="137">
        <f ca="1" t="shared" si="30"/>
        <v>5</v>
      </c>
      <c r="AJ173" s="137" t="str">
        <f ca="1" t="shared" si="31"/>
        <v>后羿</v>
      </c>
      <c r="AK173" s="137" t="str">
        <f ca="1" t="shared" si="32"/>
        <v>海拉</v>
      </c>
      <c r="AL173" s="137" t="str">
        <f ca="1" t="shared" si="33"/>
        <v>海拉</v>
      </c>
      <c r="AM173" s="137" t="str">
        <f ca="1" t="shared" si="34"/>
        <v>海拉</v>
      </c>
      <c r="AO173" s="134">
        <v>27</v>
      </c>
      <c r="AP173" s="137">
        <f ca="1" t="shared" si="35"/>
        <v>450</v>
      </c>
      <c r="AQ173" s="137">
        <f ca="1" t="shared" si="36"/>
        <v>909</v>
      </c>
      <c r="AR173" s="137">
        <f ca="1" t="shared" si="37"/>
        <v>1818</v>
      </c>
      <c r="AS173" s="137">
        <f ca="1" t="shared" si="38"/>
        <v>2727</v>
      </c>
      <c r="AT173" s="137">
        <f ca="1" t="shared" si="39"/>
        <v>1093.11428571429</v>
      </c>
      <c r="AU173" s="137">
        <f ca="1" t="shared" si="40"/>
        <v>0</v>
      </c>
      <c r="AV173" s="137">
        <f ca="1" t="shared" si="41"/>
        <v>0</v>
      </c>
      <c r="AW173">
        <f ca="1" t="shared" si="42"/>
        <v>5</v>
      </c>
    </row>
    <row r="174" spans="4:49">
      <c r="D174" s="134">
        <v>28</v>
      </c>
      <c r="E174" s="137">
        <f ca="1" t="shared" si="23"/>
        <v>3870.59999999999</v>
      </c>
      <c r="F174" s="137">
        <f ca="1" t="shared" si="24"/>
        <v>4746.93333333333</v>
      </c>
      <c r="G174" s="137">
        <f ca="1" t="shared" si="25"/>
        <v>7225.60000000001</v>
      </c>
      <c r="H174" s="137">
        <f ca="1" t="shared" si="26"/>
        <v>9287</v>
      </c>
      <c r="J174" s="134">
        <v>28</v>
      </c>
      <c r="K174" s="137" cm="1">
        <f ca="1" t="array" ref="K174">IFERROR(MATCH(SUMPRODUCT($AP174:$AV174,TRANSPOSE(J$34:J$40))*10/K$145,梦灵属性!$K$56:$K$104,1),0)</f>
        <v>36</v>
      </c>
      <c r="L174" s="137" cm="1">
        <f ca="1" t="array" ref="L174">IFERROR(MATCH(SUMPRODUCT($AP174:$AV174,TRANSPOSE(K$34:K$40))*10/L$145,梦灵属性!$K$56:$K$104,1),0)</f>
        <v>25</v>
      </c>
      <c r="M174" s="137" cm="1">
        <f ca="1" t="array" ref="M174">IFERROR(MATCH(SUMPRODUCT($AP174:$AV174,TRANSPOSE(L$34:L$40))*10/M$145+(INT(J174/7)+1)*70,梦灵属性!$K$56:$K$104,1)+1,0)</f>
        <v>20</v>
      </c>
      <c r="N174" s="137" cm="1">
        <f ca="1" t="array" ref="N174">IFERROR(MATCH(SUMPRODUCT($AP174:$AV174,TRANSPOSE(M$34:M$40))*10/N$145+(INT((J174-14)/7)+1)*70,梦灵属性!$K$56:$K$104,1)+1,0)</f>
        <v>14</v>
      </c>
      <c r="O174" s="138">
        <f ca="1" t="shared" si="43"/>
        <v>6.3112</v>
      </c>
      <c r="P174">
        <f ca="1" t="shared" si="44"/>
        <v>255.863109672001</v>
      </c>
      <c r="R174" s="35"/>
      <c r="S174" s="35">
        <v>28</v>
      </c>
      <c r="T174" s="35">
        <v>36</v>
      </c>
      <c r="U174" s="35">
        <v>36</v>
      </c>
      <c r="V174" s="35">
        <v>52</v>
      </c>
      <c r="W174" s="35">
        <v>52</v>
      </c>
      <c r="Y174" s="35">
        <v>28</v>
      </c>
      <c r="Z174" s="3">
        <f t="shared" si="46"/>
        <v>470</v>
      </c>
      <c r="AA174" s="3">
        <f t="shared" si="47"/>
        <v>520</v>
      </c>
      <c r="AB174" s="3">
        <f t="shared" si="48"/>
        <v>520</v>
      </c>
      <c r="AC174" s="3">
        <f t="shared" si="49"/>
        <v>520</v>
      </c>
      <c r="AE174" s="134">
        <v>28</v>
      </c>
      <c r="AF174" s="137">
        <f ca="1" t="shared" si="27"/>
        <v>4</v>
      </c>
      <c r="AG174" s="137">
        <f ca="1" t="shared" si="28"/>
        <v>4</v>
      </c>
      <c r="AH174" s="137">
        <f ca="1" t="shared" si="29"/>
        <v>5</v>
      </c>
      <c r="AI174" s="137">
        <f ca="1" t="shared" si="30"/>
        <v>5</v>
      </c>
      <c r="AJ174" s="137" t="str">
        <f ca="1" t="shared" si="31"/>
        <v>后羿</v>
      </c>
      <c r="AK174" s="137" t="str">
        <f ca="1" t="shared" si="32"/>
        <v>海拉</v>
      </c>
      <c r="AL174" s="137" t="str">
        <f ca="1" t="shared" si="33"/>
        <v>海拉</v>
      </c>
      <c r="AM174" s="137" t="str">
        <f ca="1" t="shared" si="34"/>
        <v>海拉</v>
      </c>
      <c r="AO174" s="134">
        <v>28</v>
      </c>
      <c r="AP174" s="137">
        <f ca="1" t="shared" si="35"/>
        <v>450</v>
      </c>
      <c r="AQ174" s="137">
        <f ca="1" t="shared" si="36"/>
        <v>909</v>
      </c>
      <c r="AR174" s="137">
        <f ca="1" t="shared" si="37"/>
        <v>1818</v>
      </c>
      <c r="AS174" s="137">
        <f ca="1" t="shared" si="38"/>
        <v>2727</v>
      </c>
      <c r="AT174" s="137">
        <f ca="1" t="shared" si="39"/>
        <v>1321.60000000001</v>
      </c>
      <c r="AU174" s="137">
        <f ca="1" t="shared" si="40"/>
        <v>0</v>
      </c>
      <c r="AV174" s="137">
        <f ca="1" t="shared" si="41"/>
        <v>0</v>
      </c>
      <c r="AW174">
        <f ca="1" t="shared" si="42"/>
        <v>5</v>
      </c>
    </row>
    <row r="175" spans="4:49">
      <c r="D175" s="134">
        <v>29</v>
      </c>
      <c r="E175" s="137">
        <f ca="1" t="shared" si="23"/>
        <v>3984.37142857142</v>
      </c>
      <c r="F175" s="137">
        <f ca="1" t="shared" si="24"/>
        <v>4890.03809523809</v>
      </c>
      <c r="G175" s="137">
        <f ca="1" t="shared" si="25"/>
        <v>7454.08571428572</v>
      </c>
      <c r="H175" s="137">
        <f ca="1" t="shared" si="26"/>
        <v>9589.10714285714</v>
      </c>
      <c r="J175" s="134">
        <v>29</v>
      </c>
      <c r="K175" s="137" cm="1">
        <f ca="1" t="array" ref="K175">IFERROR(MATCH(SUMPRODUCT($AP175:$AV175,TRANSPOSE(J$34:J$40))*10/K$145,梦灵属性!$K$56:$K$104,1),0)</f>
        <v>36</v>
      </c>
      <c r="L175" s="137" cm="1">
        <f ca="1" t="array" ref="L175">IFERROR(MATCH(SUMPRODUCT($AP175:$AV175,TRANSPOSE(K$34:K$40))*10/L$145,梦灵属性!$K$56:$K$104,1),0)</f>
        <v>25</v>
      </c>
      <c r="M175" s="137" cm="1">
        <f ca="1" t="array" ref="M175">IFERROR(MATCH(SUMPRODUCT($AP175:$AV175,TRANSPOSE(L$34:L$40))*10/M$145+(INT(J175/7)+1)*70,梦灵属性!$K$56:$K$104,1)+1,0)</f>
        <v>20</v>
      </c>
      <c r="N175" s="137" cm="1">
        <f ca="1" t="array" ref="N175">IFERROR(MATCH(SUMPRODUCT($AP175:$AV175,TRANSPOSE(M$34:M$40))*10/N$145+(INT((J175-14)/7)+1)*70,梦灵属性!$K$56:$K$104,1)+1,0)</f>
        <v>14</v>
      </c>
      <c r="O175" s="138">
        <f ca="1" t="shared" si="43"/>
        <v>6.3112</v>
      </c>
      <c r="P175">
        <f ca="1" t="shared" si="44"/>
        <v>263.383884618033</v>
      </c>
      <c r="R175" s="35"/>
      <c r="S175" s="35">
        <v>29</v>
      </c>
      <c r="T175" s="35">
        <v>36</v>
      </c>
      <c r="U175" s="35">
        <v>36</v>
      </c>
      <c r="V175" s="35">
        <v>52</v>
      </c>
      <c r="W175" s="35">
        <v>52</v>
      </c>
      <c r="Y175" s="35">
        <v>29</v>
      </c>
      <c r="Z175" s="3">
        <f t="shared" si="46"/>
        <v>470</v>
      </c>
      <c r="AA175" s="3">
        <f t="shared" si="47"/>
        <v>520</v>
      </c>
      <c r="AB175" s="3">
        <f t="shared" si="48"/>
        <v>520</v>
      </c>
      <c r="AC175" s="3">
        <f t="shared" si="49"/>
        <v>520</v>
      </c>
      <c r="AE175" s="134">
        <v>29</v>
      </c>
      <c r="AF175" s="137">
        <f ca="1" t="shared" si="27"/>
        <v>4</v>
      </c>
      <c r="AG175" s="137">
        <f ca="1" t="shared" si="28"/>
        <v>4</v>
      </c>
      <c r="AH175" s="137">
        <f ca="1" t="shared" si="29"/>
        <v>5</v>
      </c>
      <c r="AI175" s="137">
        <f ca="1" t="shared" si="30"/>
        <v>6</v>
      </c>
      <c r="AJ175" s="137" t="str">
        <f ca="1" t="shared" si="31"/>
        <v>后羿</v>
      </c>
      <c r="AK175" s="137" t="str">
        <f ca="1" t="shared" si="32"/>
        <v>海拉</v>
      </c>
      <c r="AL175" s="137" t="str">
        <f ca="1" t="shared" si="33"/>
        <v>海拉</v>
      </c>
      <c r="AM175" s="137" t="str">
        <f ca="1" t="shared" si="34"/>
        <v>海拉</v>
      </c>
      <c r="AO175" s="134">
        <v>29</v>
      </c>
      <c r="AP175" s="137">
        <f ca="1" t="shared" si="35"/>
        <v>450</v>
      </c>
      <c r="AQ175" s="137">
        <f ca="1" t="shared" si="36"/>
        <v>909</v>
      </c>
      <c r="AR175" s="137">
        <f ca="1" t="shared" si="37"/>
        <v>1818</v>
      </c>
      <c r="AS175" s="137">
        <f ca="1" t="shared" si="38"/>
        <v>2727</v>
      </c>
      <c r="AT175" s="137">
        <f ca="1" t="shared" si="39"/>
        <v>1550.08571428572</v>
      </c>
      <c r="AU175" s="137">
        <f ca="1" t="shared" si="40"/>
        <v>0</v>
      </c>
      <c r="AV175" s="137">
        <f ca="1" t="shared" si="41"/>
        <v>0</v>
      </c>
      <c r="AW175">
        <f ca="1" t="shared" si="42"/>
        <v>5</v>
      </c>
    </row>
    <row r="176" spans="4:49">
      <c r="D176" s="134">
        <v>30</v>
      </c>
      <c r="E176" s="137">
        <f ca="1" t="shared" si="23"/>
        <v>4098.14285714284</v>
      </c>
      <c r="F176" s="137">
        <f ca="1" t="shared" si="24"/>
        <v>5033.14285714285</v>
      </c>
      <c r="G176" s="137">
        <f ca="1" t="shared" si="25"/>
        <v>7682.57142857144</v>
      </c>
      <c r="H176" s="137">
        <f ca="1" t="shared" si="26"/>
        <v>9891.21428571428</v>
      </c>
      <c r="J176" s="134">
        <v>30</v>
      </c>
      <c r="K176" s="137" cm="1">
        <f ca="1" t="array" ref="K176">IFERROR(MATCH(SUMPRODUCT($AP176:$AV176,TRANSPOSE(J$34:J$40))*10/K$145,梦灵属性!$K$56:$K$104,1),0)</f>
        <v>36</v>
      </c>
      <c r="L176" s="137" cm="1">
        <f ca="1" t="array" ref="L176">IFERROR(MATCH(SUMPRODUCT($AP176:$AV176,TRANSPOSE(K$34:K$40))*10/L$145,梦灵属性!$K$56:$K$104,1),0)</f>
        <v>25</v>
      </c>
      <c r="M176" s="137" cm="1">
        <f ca="1" t="array" ref="M176">IFERROR(MATCH(SUMPRODUCT($AP176:$AV176,TRANSPOSE(L$34:L$40))*10/M$145+(INT(J176/7)+1)*70,梦灵属性!$K$56:$K$104,1)+1,0)</f>
        <v>20</v>
      </c>
      <c r="N176" s="137" cm="1">
        <f ca="1" t="array" ref="N176">IFERROR(MATCH(SUMPRODUCT($AP176:$AV176,TRANSPOSE(M$34:M$40))*10/N$145+(INT((J176-14)/7)+1)*70,梦灵属性!$K$56:$K$104,1)+1,0)</f>
        <v>15</v>
      </c>
      <c r="O176" s="138">
        <f ca="1" t="shared" si="43"/>
        <v>6.5856</v>
      </c>
      <c r="P176">
        <f ca="1" t="shared" si="44"/>
        <v>264.787790301627</v>
      </c>
      <c r="R176" s="35"/>
      <c r="S176" s="35">
        <v>30</v>
      </c>
      <c r="T176" s="35">
        <v>36</v>
      </c>
      <c r="U176" s="35">
        <v>36</v>
      </c>
      <c r="V176" s="35">
        <v>52</v>
      </c>
      <c r="W176" s="35">
        <v>52</v>
      </c>
      <c r="Y176" s="35">
        <v>30</v>
      </c>
      <c r="Z176" s="3">
        <f t="shared" si="46"/>
        <v>470</v>
      </c>
      <c r="AA176" s="3">
        <f t="shared" si="47"/>
        <v>520</v>
      </c>
      <c r="AB176" s="3">
        <f t="shared" si="48"/>
        <v>520</v>
      </c>
      <c r="AC176" s="3">
        <f t="shared" si="49"/>
        <v>520</v>
      </c>
      <c r="AE176" s="134">
        <v>30</v>
      </c>
      <c r="AF176" s="137">
        <f ca="1" t="shared" si="27"/>
        <v>4</v>
      </c>
      <c r="AG176" s="137">
        <f ca="1" t="shared" si="28"/>
        <v>4</v>
      </c>
      <c r="AH176" s="137">
        <f ca="1" t="shared" si="29"/>
        <v>5</v>
      </c>
      <c r="AI176" s="137">
        <f ca="1" t="shared" si="30"/>
        <v>6</v>
      </c>
      <c r="AJ176" s="137" t="str">
        <f ca="1" t="shared" si="31"/>
        <v>后羿</v>
      </c>
      <c r="AK176" s="137" t="str">
        <f ca="1" t="shared" si="32"/>
        <v>海拉</v>
      </c>
      <c r="AL176" s="137" t="str">
        <f ca="1" t="shared" si="33"/>
        <v>海拉</v>
      </c>
      <c r="AM176" s="137" t="str">
        <f ca="1" t="shared" si="34"/>
        <v>海拉</v>
      </c>
      <c r="AO176" s="134">
        <v>30</v>
      </c>
      <c r="AP176" s="137">
        <f ca="1" t="shared" si="35"/>
        <v>450</v>
      </c>
      <c r="AQ176" s="137">
        <f ca="1" t="shared" si="36"/>
        <v>909</v>
      </c>
      <c r="AR176" s="137">
        <f ca="1" t="shared" si="37"/>
        <v>1818</v>
      </c>
      <c r="AS176" s="137">
        <f ca="1" t="shared" si="38"/>
        <v>2727</v>
      </c>
      <c r="AT176" s="137">
        <f ca="1" t="shared" si="39"/>
        <v>1778.57142857144</v>
      </c>
      <c r="AU176" s="137">
        <f ca="1" t="shared" si="40"/>
        <v>0</v>
      </c>
      <c r="AV176" s="137">
        <f ca="1" t="shared" si="41"/>
        <v>0</v>
      </c>
      <c r="AW176">
        <f ca="1" t="shared" si="42"/>
        <v>5</v>
      </c>
    </row>
    <row r="177" spans="4:49">
      <c r="D177" s="134">
        <v>31</v>
      </c>
      <c r="E177" s="137">
        <f ca="1" t="shared" si="23"/>
        <v>4211.91428571427</v>
      </c>
      <c r="F177" s="137">
        <f ca="1" t="shared" si="24"/>
        <v>5176.24761904762</v>
      </c>
      <c r="G177" s="137">
        <f ca="1" t="shared" si="25"/>
        <v>7911.05714285715</v>
      </c>
      <c r="H177" s="137">
        <f ca="1" t="shared" si="26"/>
        <v>10193.3214285714</v>
      </c>
      <c r="J177" s="134">
        <v>31</v>
      </c>
      <c r="K177" s="137" cm="1">
        <f ca="1" t="array" ref="K177">IFERROR(MATCH(SUMPRODUCT($AP177:$AV177,TRANSPOSE(J$34:J$40))*10/K$145,梦灵属性!$K$56:$K$104,1),0)</f>
        <v>37</v>
      </c>
      <c r="L177" s="137" cm="1">
        <f ca="1" t="array" ref="L177">IFERROR(MATCH(SUMPRODUCT($AP177:$AV177,TRANSPOSE(K$34:K$40))*10/L$145,梦灵属性!$K$56:$K$104,1),0)</f>
        <v>25</v>
      </c>
      <c r="M177" s="137" cm="1">
        <f ca="1" t="array" ref="M177">IFERROR(MATCH(SUMPRODUCT($AP177:$AV177,TRANSPOSE(L$34:L$40))*10/M$145+(INT(J177/7)+1)*70,梦灵属性!$K$56:$K$104,1)+1,0)</f>
        <v>21</v>
      </c>
      <c r="N177" s="137" cm="1">
        <f ca="1" t="array" ref="N177">IFERROR(MATCH(SUMPRODUCT($AP177:$AV177,TRANSPOSE(M$34:M$40))*10/N$145+(INT((J177-14)/7)+1)*70,梦灵属性!$K$56:$K$104,1)+1,0)</f>
        <v>15</v>
      </c>
      <c r="O177" s="138">
        <f ca="1" t="shared" si="43"/>
        <v>6.5856</v>
      </c>
      <c r="P177">
        <f ca="1" t="shared" si="44"/>
        <v>272.138750534353</v>
      </c>
      <c r="R177" s="35"/>
      <c r="S177" s="35">
        <v>31</v>
      </c>
      <c r="T177" s="35">
        <v>36</v>
      </c>
      <c r="U177" s="35">
        <v>36</v>
      </c>
      <c r="V177" s="35">
        <v>52</v>
      </c>
      <c r="W177" s="35">
        <v>52</v>
      </c>
      <c r="Y177" s="35">
        <v>31</v>
      </c>
      <c r="Z177" s="3">
        <f t="shared" si="46"/>
        <v>470</v>
      </c>
      <c r="AA177" s="3">
        <f t="shared" si="47"/>
        <v>520</v>
      </c>
      <c r="AB177" s="3">
        <f t="shared" si="48"/>
        <v>520</v>
      </c>
      <c r="AC177" s="3">
        <f t="shared" si="49"/>
        <v>520</v>
      </c>
      <c r="AE177" s="134">
        <v>31</v>
      </c>
      <c r="AF177" s="137">
        <f ca="1" t="shared" si="27"/>
        <v>4</v>
      </c>
      <c r="AG177" s="137">
        <f ca="1" t="shared" si="28"/>
        <v>4</v>
      </c>
      <c r="AH177" s="137">
        <f ca="1" t="shared" si="29"/>
        <v>5</v>
      </c>
      <c r="AI177" s="137">
        <f ca="1" t="shared" si="30"/>
        <v>6</v>
      </c>
      <c r="AJ177" s="137" t="str">
        <f ca="1" t="shared" si="31"/>
        <v>后羿</v>
      </c>
      <c r="AK177" s="137" t="str">
        <f ca="1" t="shared" si="32"/>
        <v>海拉</v>
      </c>
      <c r="AL177" s="137" t="str">
        <f ca="1" t="shared" si="33"/>
        <v>海拉</v>
      </c>
      <c r="AM177" s="137" t="str">
        <f ca="1" t="shared" si="34"/>
        <v>海拉</v>
      </c>
      <c r="AO177" s="134">
        <v>31</v>
      </c>
      <c r="AP177" s="137">
        <f ca="1" t="shared" si="35"/>
        <v>450</v>
      </c>
      <c r="AQ177" s="137">
        <f ca="1" t="shared" si="36"/>
        <v>909</v>
      </c>
      <c r="AR177" s="137">
        <f ca="1" t="shared" si="37"/>
        <v>1818</v>
      </c>
      <c r="AS177" s="137">
        <f ca="1" t="shared" si="38"/>
        <v>2727</v>
      </c>
      <c r="AT177" s="137">
        <f ca="1" t="shared" si="39"/>
        <v>2007.05714285715</v>
      </c>
      <c r="AU177" s="137">
        <f ca="1" t="shared" si="40"/>
        <v>0</v>
      </c>
      <c r="AV177" s="137">
        <f ca="1" t="shared" si="41"/>
        <v>0</v>
      </c>
      <c r="AW177">
        <f ca="1" t="shared" si="42"/>
        <v>5</v>
      </c>
    </row>
    <row r="178" spans="4:49">
      <c r="D178" s="134">
        <v>32</v>
      </c>
      <c r="E178" s="137">
        <f ca="1" t="shared" si="23"/>
        <v>4325.6857142857</v>
      </c>
      <c r="F178" s="137">
        <f ca="1" t="shared" si="24"/>
        <v>5319.35238095238</v>
      </c>
      <c r="G178" s="137">
        <f ca="1" t="shared" si="25"/>
        <v>8139.54285714287</v>
      </c>
      <c r="H178" s="137">
        <f ca="1" t="shared" si="26"/>
        <v>10495.4285714286</v>
      </c>
      <c r="J178" s="134">
        <v>32</v>
      </c>
      <c r="K178" s="137" cm="1">
        <f ca="1" t="array" ref="K178">IFERROR(MATCH(SUMPRODUCT($AP178:$AV178,TRANSPOSE(J$34:J$40))*10/K$145,梦灵属性!$K$56:$K$104,1),0)</f>
        <v>37</v>
      </c>
      <c r="L178" s="137" cm="1">
        <f ca="1" t="array" ref="L178">IFERROR(MATCH(SUMPRODUCT($AP178:$AV178,TRANSPOSE(K$34:K$40))*10/L$145,梦灵属性!$K$56:$K$104,1),0)</f>
        <v>26</v>
      </c>
      <c r="M178" s="137" cm="1">
        <f ca="1" t="array" ref="M178">IFERROR(MATCH(SUMPRODUCT($AP178:$AV178,TRANSPOSE(L$34:L$40))*10/M$145+(INT(J178/7)+1)*70,梦灵属性!$K$56:$K$104,1)+1,0)</f>
        <v>21</v>
      </c>
      <c r="N178" s="137" cm="1">
        <f ca="1" t="array" ref="N178">IFERROR(MATCH(SUMPRODUCT($AP178:$AV178,TRANSPOSE(M$34:M$40))*10/N$145+(INT((J178-14)/7)+1)*70,梦灵属性!$K$56:$K$104,1)+1,0)</f>
        <v>15</v>
      </c>
      <c r="O178" s="138">
        <f ca="1" t="shared" si="43"/>
        <v>6.5856</v>
      </c>
      <c r="P178">
        <f ca="1" t="shared" si="44"/>
        <v>279.489710767079</v>
      </c>
      <c r="R178" s="35"/>
      <c r="S178" s="35">
        <v>32</v>
      </c>
      <c r="T178" s="35">
        <v>36</v>
      </c>
      <c r="U178" s="35">
        <v>36</v>
      </c>
      <c r="V178" s="35">
        <v>52</v>
      </c>
      <c r="W178" s="35">
        <v>52</v>
      </c>
      <c r="Y178" s="35">
        <v>32</v>
      </c>
      <c r="Z178" s="3">
        <f t="shared" si="46"/>
        <v>470</v>
      </c>
      <c r="AA178" s="3">
        <f t="shared" si="47"/>
        <v>520</v>
      </c>
      <c r="AB178" s="3">
        <f t="shared" si="48"/>
        <v>520</v>
      </c>
      <c r="AC178" s="3">
        <f t="shared" si="49"/>
        <v>520</v>
      </c>
      <c r="AE178" s="134">
        <v>32</v>
      </c>
      <c r="AF178" s="137">
        <f ca="1" t="shared" si="27"/>
        <v>4</v>
      </c>
      <c r="AG178" s="137">
        <f ca="1" t="shared" si="28"/>
        <v>4</v>
      </c>
      <c r="AH178" s="137">
        <f ca="1" t="shared" si="29"/>
        <v>5</v>
      </c>
      <c r="AI178" s="137">
        <f ca="1" t="shared" si="30"/>
        <v>6</v>
      </c>
      <c r="AJ178" s="137" t="str">
        <f ca="1" t="shared" si="31"/>
        <v>后羿</v>
      </c>
      <c r="AK178" s="137" t="str">
        <f ca="1" t="shared" si="32"/>
        <v>海拉</v>
      </c>
      <c r="AL178" s="137" t="str">
        <f ca="1" t="shared" si="33"/>
        <v>海拉</v>
      </c>
      <c r="AM178" s="137" t="str">
        <f ca="1" t="shared" si="34"/>
        <v>海拉</v>
      </c>
      <c r="AO178" s="134">
        <v>32</v>
      </c>
      <c r="AP178" s="137">
        <f ca="1" t="shared" si="35"/>
        <v>450</v>
      </c>
      <c r="AQ178" s="137">
        <f ca="1" t="shared" si="36"/>
        <v>909</v>
      </c>
      <c r="AR178" s="137">
        <f ca="1" t="shared" si="37"/>
        <v>1818</v>
      </c>
      <c r="AS178" s="137">
        <f ca="1" t="shared" si="38"/>
        <v>2727</v>
      </c>
      <c r="AT178" s="137">
        <f ca="1" t="shared" si="39"/>
        <v>2235.54285714287</v>
      </c>
      <c r="AU178" s="137">
        <f ca="1" t="shared" si="40"/>
        <v>0</v>
      </c>
      <c r="AV178" s="137">
        <f ca="1" t="shared" si="41"/>
        <v>0</v>
      </c>
      <c r="AW178">
        <f ca="1" t="shared" si="42"/>
        <v>5</v>
      </c>
    </row>
    <row r="179" spans="4:49">
      <c r="D179" s="134">
        <v>33</v>
      </c>
      <c r="E179" s="137">
        <f ca="1" t="shared" si="23"/>
        <v>4439.45714285713</v>
      </c>
      <c r="F179" s="137">
        <f ca="1" t="shared" si="24"/>
        <v>5462.45714285714</v>
      </c>
      <c r="G179" s="137">
        <f ca="1" t="shared" si="25"/>
        <v>8368.02857142858</v>
      </c>
      <c r="H179" s="137">
        <f ca="1" t="shared" si="26"/>
        <v>10797.5357142857</v>
      </c>
      <c r="J179" s="134">
        <v>33</v>
      </c>
      <c r="K179" s="137" cm="1">
        <f ca="1" t="array" ref="K179">IFERROR(MATCH(SUMPRODUCT($AP179:$AV179,TRANSPOSE(J$34:J$40))*10/K$145,梦灵属性!$K$56:$K$104,1),0)</f>
        <v>37</v>
      </c>
      <c r="L179" s="137" cm="1">
        <f ca="1" t="array" ref="L179">IFERROR(MATCH(SUMPRODUCT($AP179:$AV179,TRANSPOSE(K$34:K$40))*10/L$145,梦灵属性!$K$56:$K$104,1),0)</f>
        <v>26</v>
      </c>
      <c r="M179" s="137" cm="1">
        <f ca="1" t="array" ref="M179">IFERROR(MATCH(SUMPRODUCT($AP179:$AV179,TRANSPOSE(L$34:L$40))*10/M$145+(INT(J179/7)+1)*70,梦灵属性!$K$56:$K$104,1)+1,0)</f>
        <v>21</v>
      </c>
      <c r="N179" s="137" cm="1">
        <f ca="1" t="array" ref="N179">IFERROR(MATCH(SUMPRODUCT($AP179:$AV179,TRANSPOSE(M$34:M$40))*10/N$145+(INT((J179-14)/7)+1)*70,梦灵属性!$K$56:$K$104,1)+1,0)</f>
        <v>15</v>
      </c>
      <c r="O179" s="138">
        <f ca="1" t="shared" si="43"/>
        <v>6.5856</v>
      </c>
      <c r="P179">
        <f ca="1" t="shared" si="44"/>
        <v>286.840670999805</v>
      </c>
      <c r="R179" s="35"/>
      <c r="S179" s="35">
        <v>33</v>
      </c>
      <c r="T179" s="35">
        <v>36</v>
      </c>
      <c r="U179" s="35">
        <v>36</v>
      </c>
      <c r="V179" s="35">
        <v>52</v>
      </c>
      <c r="W179" s="35">
        <v>52</v>
      </c>
      <c r="Y179" s="35">
        <v>33</v>
      </c>
      <c r="Z179" s="3">
        <f t="shared" si="46"/>
        <v>470</v>
      </c>
      <c r="AA179" s="3">
        <f t="shared" si="47"/>
        <v>520</v>
      </c>
      <c r="AB179" s="3">
        <f t="shared" si="48"/>
        <v>520</v>
      </c>
      <c r="AC179" s="3">
        <f t="shared" si="49"/>
        <v>520</v>
      </c>
      <c r="AE179" s="134">
        <v>33</v>
      </c>
      <c r="AF179" s="137">
        <f ca="1" t="shared" si="27"/>
        <v>4</v>
      </c>
      <c r="AG179" s="137">
        <f ca="1" t="shared" si="28"/>
        <v>4</v>
      </c>
      <c r="AH179" s="137">
        <f ca="1" t="shared" si="29"/>
        <v>5</v>
      </c>
      <c r="AI179" s="137">
        <f ca="1" t="shared" si="30"/>
        <v>6</v>
      </c>
      <c r="AJ179" s="137" t="str">
        <f ca="1" t="shared" si="31"/>
        <v>后羿</v>
      </c>
      <c r="AK179" s="137" t="str">
        <f ca="1" t="shared" si="32"/>
        <v>海拉</v>
      </c>
      <c r="AL179" s="137" t="str">
        <f ca="1" t="shared" si="33"/>
        <v>海拉</v>
      </c>
      <c r="AM179" s="137" t="str">
        <f ca="1" t="shared" si="34"/>
        <v>海拉</v>
      </c>
      <c r="AO179" s="134">
        <v>33</v>
      </c>
      <c r="AP179" s="137">
        <f ca="1" t="shared" si="35"/>
        <v>450</v>
      </c>
      <c r="AQ179" s="137">
        <f ca="1" t="shared" si="36"/>
        <v>909</v>
      </c>
      <c r="AR179" s="137">
        <f ca="1" t="shared" si="37"/>
        <v>1818</v>
      </c>
      <c r="AS179" s="137">
        <f ca="1" t="shared" si="38"/>
        <v>2727</v>
      </c>
      <c r="AT179" s="137">
        <f ca="1" t="shared" si="39"/>
        <v>2464.02857142858</v>
      </c>
      <c r="AU179" s="137">
        <f ca="1" t="shared" si="40"/>
        <v>0</v>
      </c>
      <c r="AV179" s="137">
        <f ca="1" t="shared" si="41"/>
        <v>0</v>
      </c>
      <c r="AW179">
        <f ca="1" t="shared" si="42"/>
        <v>5</v>
      </c>
    </row>
    <row r="180" spans="4:49">
      <c r="D180" s="134">
        <v>34</v>
      </c>
      <c r="E180" s="137">
        <f ca="1" t="shared" ref="E180:E206" si="50">IF(OFFSET($E$68,MATCH(E$146,$D$69:$D$72,0),0)*$D180+T180*5+Z180&gt;300,(OFFSET($E$68,MATCH(E$146,$D$69:$D$72,0),0)*$D180+T180*5+Z180-300)*1.1+300,OFFSET($E$68,MATCH(E$146,$D$69:$D$72,0),0)*$D180+T180*5+Z180)</f>
        <v>4553.22857142856</v>
      </c>
      <c r="F180" s="137">
        <f ca="1" t="shared" ref="F180:F206" si="51">IF(OFFSET($E$68,MATCH(F$146,$D$69:$D$72,0),0)*$D180+U180*5+AA180&gt;300,(OFFSET($E$68,MATCH(F$146,$D$69:$D$72,0),0)*$D180+U180*5+AA180-300)*1.1+300,OFFSET($E$68,MATCH(F$146,$D$69:$D$72,0),0)*$D180+U180*5+AA180)</f>
        <v>5605.5619047619</v>
      </c>
      <c r="G180" s="137">
        <f ca="1" t="shared" ref="G180:G206" si="52">IF(OFFSET($E$68,MATCH(G$146,$D$69:$D$72,0),0)*$D180+V180*5+AB180&gt;300,(OFFSET($E$68,MATCH(G$146,$D$69:$D$72,0),0)*$D180+V180*5+AB180-300)*1.1+300,OFFSET($E$68,MATCH(G$146,$D$69:$D$72,0),0)*$D180+V180*5+AB180)</f>
        <v>8596.5142857143</v>
      </c>
      <c r="H180" s="137">
        <f ca="1" t="shared" ref="H180:H206" si="53">IF(OFFSET($E$68,MATCH(H$146,$D$69:$D$72,0),0)*$D180+W180*5+AC180&gt;300,(OFFSET($E$68,MATCH(H$146,$D$69:$D$72,0),0)*$D180+W180*5+AC180-300)*1.1+300,OFFSET($E$68,MATCH(H$146,$D$69:$D$72,0),0)*$D180+W180*5+AC180)</f>
        <v>11099.6428571429</v>
      </c>
      <c r="J180" s="134">
        <v>34</v>
      </c>
      <c r="K180" s="137" cm="1">
        <f ca="1" t="array" ref="K180">IFERROR(MATCH(SUMPRODUCT($AP180:$AV180,TRANSPOSE(J$34:J$40))*10/K$145,梦灵属性!$K$56:$K$104,1),0)</f>
        <v>37</v>
      </c>
      <c r="L180" s="137" cm="1">
        <f ca="1" t="array" ref="L180">IFERROR(MATCH(SUMPRODUCT($AP180:$AV180,TRANSPOSE(K$34:K$40))*10/L$145,梦灵属性!$K$56:$K$104,1),0)</f>
        <v>26</v>
      </c>
      <c r="M180" s="137" cm="1">
        <f ca="1" t="array" ref="M180">IFERROR(MATCH(SUMPRODUCT($AP180:$AV180,TRANSPOSE(L$34:L$40))*10/M$145+(INT(J180/7)+1)*70,梦灵属性!$K$56:$K$104,1)+1,0)</f>
        <v>21</v>
      </c>
      <c r="N180" s="137" cm="1">
        <f ca="1" t="array" ref="N180">IFERROR(MATCH(SUMPRODUCT($AP180:$AV180,TRANSPOSE(M$34:M$40))*10/N$145+(INT((J180-14)/7)+1)*70,梦灵属性!$K$56:$K$104,1)+1,0)</f>
        <v>15</v>
      </c>
      <c r="O180" s="138">
        <f ca="1" t="shared" si="43"/>
        <v>6.5856</v>
      </c>
      <c r="P180">
        <f ca="1" t="shared" si="44"/>
        <v>294.191631232531</v>
      </c>
      <c r="R180" s="35"/>
      <c r="S180" s="35">
        <v>34</v>
      </c>
      <c r="T180" s="35">
        <v>36</v>
      </c>
      <c r="U180" s="35">
        <v>36</v>
      </c>
      <c r="V180" s="35">
        <v>52</v>
      </c>
      <c r="W180" s="35">
        <v>52</v>
      </c>
      <c r="Y180" s="35">
        <v>34</v>
      </c>
      <c r="Z180" s="3">
        <f t="shared" si="46"/>
        <v>470</v>
      </c>
      <c r="AA180" s="3">
        <f t="shared" si="47"/>
        <v>520</v>
      </c>
      <c r="AB180" s="3">
        <f t="shared" si="48"/>
        <v>520</v>
      </c>
      <c r="AC180" s="3">
        <f t="shared" si="49"/>
        <v>520</v>
      </c>
      <c r="AE180" s="134">
        <v>34</v>
      </c>
      <c r="AF180" s="137">
        <f ca="1" t="shared" ref="AF180:AF206" si="54">IFERROR(MATCH(E180,$T$34:$T$41,1)+1,1)</f>
        <v>4</v>
      </c>
      <c r="AG180" s="137">
        <f ca="1" t="shared" ref="AG180:AG206" si="55">IFERROR(MATCH(F180,$T$34:$T$41,1)+1,1)</f>
        <v>4</v>
      </c>
      <c r="AH180" s="137">
        <f ca="1" t="shared" ref="AH180:AH206" si="56">IFERROR(MATCH(G180,$T$34:$T$41,1)+1,1)</f>
        <v>5</v>
      </c>
      <c r="AI180" s="137">
        <f ca="1" t="shared" ref="AI180:AI206" si="57">IFERROR(MATCH(H180,$T$34:$T$41,1)+1,1)</f>
        <v>6</v>
      </c>
      <c r="AJ180" s="137" t="str">
        <f ca="1" t="shared" ref="AJ180:AJ206" si="58">OFFSET($F$6,IFERROR(MATCH(E180,$E$7:$E$26,1),1),0)</f>
        <v>后羿</v>
      </c>
      <c r="AK180" s="137" t="str">
        <f ca="1" t="shared" ref="AK180:AK206" si="59">OFFSET($F$6,IFERROR(MATCH(F180,$E$7:$E$26,1),1),0)</f>
        <v>海拉</v>
      </c>
      <c r="AL180" s="137" t="str">
        <f ca="1" t="shared" ref="AL180:AL206" si="60">OFFSET($F$6,IFERROR(MATCH(G180,$E$7:$E$26,1),1),0)</f>
        <v>海拉</v>
      </c>
      <c r="AM180" s="137" t="str">
        <f ca="1" t="shared" ref="AM180:AM206" si="61">OFFSET($F$6,IFERROR(MATCH(H180,$E$7:$E$26,1),1),0)</f>
        <v>海拉</v>
      </c>
      <c r="AO180" s="134">
        <v>34</v>
      </c>
      <c r="AP180" s="137">
        <f ca="1" t="shared" ref="AP180:AP206" si="62">IF($G180&gt;SUM(OFFSET($N$33,0,0,AP$146,1)),MIN($G180-SUM(OFFSET($N$33,0,0,AP$146,1)),OFFSET($N$33,AP$146,0)),0)</f>
        <v>450</v>
      </c>
      <c r="AQ180" s="137">
        <f ca="1" t="shared" ref="AQ180:AQ206" si="63">IF($G180&gt;SUM(OFFSET($N$33,0,0,AQ$146,1)),MIN($G180-SUM(OFFSET($N$33,0,0,AQ$146,1)),OFFSET($N$33,AQ$146,0)),0)</f>
        <v>909</v>
      </c>
      <c r="AR180" s="137">
        <f ca="1" t="shared" ref="AR180:AR206" si="64">IF($G180&gt;SUM(OFFSET($N$33,0,0,AR$146,1)),MIN($G180-SUM(OFFSET($N$33,0,0,AR$146,1)),OFFSET($N$33,AR$146,0)),0)</f>
        <v>1818</v>
      </c>
      <c r="AS180" s="137">
        <f ca="1" t="shared" ref="AS180:AS206" si="65">IF($G180&gt;SUM(OFFSET($N$33,0,0,AS$146,1)),MIN($G180-SUM(OFFSET($N$33,0,0,AS$146,1)),OFFSET($N$33,AS$146,0)),0)</f>
        <v>2727</v>
      </c>
      <c r="AT180" s="137">
        <f ca="1" t="shared" ref="AT180:AT206" si="66">IF($G180&gt;SUM(OFFSET($N$33,0,0,AT$146,1)),MIN($G180-SUM(OFFSET($N$33,0,0,AT$146,1)),OFFSET($N$33,AT$146,0)),0)</f>
        <v>2692.5142857143</v>
      </c>
      <c r="AU180" s="137">
        <f ca="1" t="shared" ref="AU180:AU206" si="67">IF($G180&gt;SUM(OFFSET($N$33,0,0,AU$146,1)),MIN($G180-SUM(OFFSET($N$33,0,0,AU$146,1)),OFFSET($N$33,AU$146,0)),0)</f>
        <v>0</v>
      </c>
      <c r="AV180" s="137">
        <f ca="1" t="shared" ref="AV180:AV206" si="68">IF($G180&gt;SUM(OFFSET($N$33,0,0,AV$146,1)),MIN($G180-SUM(OFFSET($N$33,0,0,AV$146,1)),OFFSET($N$33,AV$146,0)),0)</f>
        <v>0</v>
      </c>
      <c r="AW180">
        <f ca="1" t="shared" ref="AW180:AW206" si="69">7-COUNTIF(AO180:AV180,0)</f>
        <v>5</v>
      </c>
    </row>
    <row r="181" spans="4:49">
      <c r="D181" s="134">
        <v>35</v>
      </c>
      <c r="E181" s="137">
        <f ca="1" t="shared" si="50"/>
        <v>4666.99999999998</v>
      </c>
      <c r="F181" s="137">
        <f ca="1" t="shared" si="51"/>
        <v>5748.66666666666</v>
      </c>
      <c r="G181" s="137">
        <f ca="1" t="shared" si="52"/>
        <v>8825.00000000001</v>
      </c>
      <c r="H181" s="137">
        <f ca="1" t="shared" si="53"/>
        <v>11401.75</v>
      </c>
      <c r="J181" s="134">
        <v>35</v>
      </c>
      <c r="K181" s="137" cm="1">
        <f ca="1" t="array" ref="K181">IFERROR(MATCH(SUMPRODUCT($AP181:$AV181,TRANSPOSE(J$34:J$40))*10/K$145,梦灵属性!$K$56:$K$104,1),0)</f>
        <v>38</v>
      </c>
      <c r="L181" s="137" cm="1">
        <f ca="1" t="array" ref="L181">IFERROR(MATCH(SUMPRODUCT($AP181:$AV181,TRANSPOSE(K$34:K$40))*10/L$145,梦灵属性!$K$56:$K$104,1),0)</f>
        <v>27</v>
      </c>
      <c r="M181" s="137" cm="1">
        <f ca="1" t="array" ref="M181">IFERROR(MATCH(SUMPRODUCT($AP181:$AV181,TRANSPOSE(L$34:L$40))*10/M$145+(INT(J181/7)+1)*70,梦灵属性!$K$56:$K$104,1)+1,0)</f>
        <v>22</v>
      </c>
      <c r="N181" s="137" cm="1">
        <f ca="1" t="array" ref="N181">IFERROR(MATCH(SUMPRODUCT($AP181:$AV181,TRANSPOSE(M$34:M$40))*10/N$145+(INT((J181-14)/7)+1)*70,梦灵属性!$K$56:$K$104,1)+1,0)</f>
        <v>16</v>
      </c>
      <c r="O181" s="138">
        <f ca="1" t="shared" ref="O181:O206" si="70">(MAX((1+(M181-1)*M$144)*1.3^(INT(M181/5)-1),(1+(N181-1)*N$144)*(1.4^(INT(M181/5)-1))))</f>
        <v>6.86</v>
      </c>
      <c r="P181">
        <f ca="1" t="shared" ref="P181:P206" si="71">E181*1.8/LOG(O181,1.07)</f>
        <v>295.150358798124</v>
      </c>
      <c r="R181" s="35"/>
      <c r="S181" s="35">
        <v>35</v>
      </c>
      <c r="T181" s="35">
        <v>36</v>
      </c>
      <c r="U181" s="35">
        <v>36</v>
      </c>
      <c r="V181" s="35">
        <v>52</v>
      </c>
      <c r="W181" s="35">
        <v>52</v>
      </c>
      <c r="Y181" s="35">
        <v>35</v>
      </c>
      <c r="Z181" s="3">
        <f t="shared" si="46"/>
        <v>470</v>
      </c>
      <c r="AA181" s="3">
        <f t="shared" si="47"/>
        <v>520</v>
      </c>
      <c r="AB181" s="3">
        <f t="shared" si="48"/>
        <v>520</v>
      </c>
      <c r="AC181" s="3">
        <f t="shared" si="49"/>
        <v>520</v>
      </c>
      <c r="AE181" s="134">
        <v>35</v>
      </c>
      <c r="AF181" s="137">
        <f ca="1" t="shared" si="54"/>
        <v>4</v>
      </c>
      <c r="AG181" s="137">
        <f ca="1" t="shared" si="55"/>
        <v>4</v>
      </c>
      <c r="AH181" s="137">
        <f ca="1" t="shared" si="56"/>
        <v>5</v>
      </c>
      <c r="AI181" s="137">
        <f ca="1" t="shared" si="57"/>
        <v>6</v>
      </c>
      <c r="AJ181" s="137" t="str">
        <f ca="1" t="shared" si="58"/>
        <v>海拉</v>
      </c>
      <c r="AK181" s="137" t="str">
        <f ca="1" t="shared" si="59"/>
        <v>海拉</v>
      </c>
      <c r="AL181" s="137" t="str">
        <f ca="1" t="shared" si="60"/>
        <v>海拉</v>
      </c>
      <c r="AM181" s="137" t="str">
        <f ca="1" t="shared" si="61"/>
        <v>海拉</v>
      </c>
      <c r="AO181" s="134">
        <v>35</v>
      </c>
      <c r="AP181" s="137">
        <f ca="1" t="shared" si="62"/>
        <v>450</v>
      </c>
      <c r="AQ181" s="137">
        <f ca="1" t="shared" si="63"/>
        <v>909</v>
      </c>
      <c r="AR181" s="137">
        <f ca="1" t="shared" si="64"/>
        <v>1818</v>
      </c>
      <c r="AS181" s="137">
        <f ca="1" t="shared" si="65"/>
        <v>2727</v>
      </c>
      <c r="AT181" s="137">
        <f ca="1" t="shared" si="66"/>
        <v>2921.00000000001</v>
      </c>
      <c r="AU181" s="137">
        <f ca="1" t="shared" si="67"/>
        <v>0</v>
      </c>
      <c r="AV181" s="137">
        <f ca="1" t="shared" si="68"/>
        <v>0</v>
      </c>
      <c r="AW181">
        <f ca="1" t="shared" si="69"/>
        <v>5</v>
      </c>
    </row>
    <row r="182" spans="4:49">
      <c r="D182" s="134">
        <v>36</v>
      </c>
      <c r="E182" s="137">
        <f ca="1" t="shared" si="50"/>
        <v>4780.77142857141</v>
      </c>
      <c r="F182" s="137">
        <f ca="1" t="shared" si="51"/>
        <v>5891.77142857143</v>
      </c>
      <c r="G182" s="137">
        <f ca="1" t="shared" si="52"/>
        <v>9053.48571428573</v>
      </c>
      <c r="H182" s="137">
        <f ca="1" t="shared" si="53"/>
        <v>11703.8571428571</v>
      </c>
      <c r="J182" s="134">
        <v>36</v>
      </c>
      <c r="K182" s="137" cm="1">
        <f ca="1" t="array" ref="K182">IFERROR(MATCH(SUMPRODUCT($AP182:$AV182,TRANSPOSE(J$34:J$40))*10/K$145,梦灵属性!$K$56:$K$104,1),0)</f>
        <v>38</v>
      </c>
      <c r="L182" s="137" cm="1">
        <f ca="1" t="array" ref="L182">IFERROR(MATCH(SUMPRODUCT($AP182:$AV182,TRANSPOSE(K$34:K$40))*10/L$145,梦灵属性!$K$56:$K$104,1),0)</f>
        <v>27</v>
      </c>
      <c r="M182" s="137" cm="1">
        <f ca="1" t="array" ref="M182">IFERROR(MATCH(SUMPRODUCT($AP182:$AV182,TRANSPOSE(L$34:L$40))*10/M$145+(INT(J182/7)+1)*70,梦灵属性!$K$56:$K$104,1)+1,0)</f>
        <v>23</v>
      </c>
      <c r="N182" s="137" cm="1">
        <f ca="1" t="array" ref="N182">IFERROR(MATCH(SUMPRODUCT($AP182:$AV182,TRANSPOSE(M$34:M$40))*10/N$145+(INT((J182-14)/7)+1)*70,梦灵属性!$K$56:$K$104,1)+1,0)</f>
        <v>16</v>
      </c>
      <c r="O182" s="138">
        <f ca="1" t="shared" si="70"/>
        <v>6.86</v>
      </c>
      <c r="P182">
        <f ca="1" t="shared" si="71"/>
        <v>302.345490138135</v>
      </c>
      <c r="R182" s="35"/>
      <c r="S182" s="35">
        <v>36</v>
      </c>
      <c r="T182" s="35">
        <v>36</v>
      </c>
      <c r="U182" s="35">
        <v>36</v>
      </c>
      <c r="V182" s="35">
        <v>52</v>
      </c>
      <c r="W182" s="35">
        <v>52</v>
      </c>
      <c r="Y182" s="35">
        <v>36</v>
      </c>
      <c r="Z182" s="3">
        <f t="shared" si="46"/>
        <v>470</v>
      </c>
      <c r="AA182" s="3">
        <f t="shared" si="47"/>
        <v>520</v>
      </c>
      <c r="AB182" s="3">
        <f t="shared" si="48"/>
        <v>520</v>
      </c>
      <c r="AC182" s="3">
        <f t="shared" si="49"/>
        <v>520</v>
      </c>
      <c r="AE182" s="134">
        <v>36</v>
      </c>
      <c r="AF182" s="137">
        <f ca="1" t="shared" si="54"/>
        <v>4</v>
      </c>
      <c r="AG182" s="137">
        <f ca="1" t="shared" si="55"/>
        <v>4</v>
      </c>
      <c r="AH182" s="137">
        <f ca="1" t="shared" si="56"/>
        <v>5</v>
      </c>
      <c r="AI182" s="137">
        <f ca="1" t="shared" si="57"/>
        <v>6</v>
      </c>
      <c r="AJ182" s="137" t="str">
        <f ca="1" t="shared" si="58"/>
        <v>海拉</v>
      </c>
      <c r="AK182" s="137" t="str">
        <f ca="1" t="shared" si="59"/>
        <v>海拉</v>
      </c>
      <c r="AL182" s="137" t="str">
        <f ca="1" t="shared" si="60"/>
        <v>海拉</v>
      </c>
      <c r="AM182" s="137" t="str">
        <f ca="1" t="shared" si="61"/>
        <v>海拉</v>
      </c>
      <c r="AO182" s="134">
        <v>36</v>
      </c>
      <c r="AP182" s="137">
        <f ca="1" t="shared" si="62"/>
        <v>450</v>
      </c>
      <c r="AQ182" s="137">
        <f ca="1" t="shared" si="63"/>
        <v>909</v>
      </c>
      <c r="AR182" s="137">
        <f ca="1" t="shared" si="64"/>
        <v>1818</v>
      </c>
      <c r="AS182" s="137">
        <f ca="1" t="shared" si="65"/>
        <v>2727</v>
      </c>
      <c r="AT182" s="137">
        <f ca="1" t="shared" si="66"/>
        <v>3149.48571428573</v>
      </c>
      <c r="AU182" s="137">
        <f ca="1" t="shared" si="67"/>
        <v>0</v>
      </c>
      <c r="AV182" s="137">
        <f ca="1" t="shared" si="68"/>
        <v>0</v>
      </c>
      <c r="AW182">
        <f ca="1" t="shared" si="69"/>
        <v>5</v>
      </c>
    </row>
    <row r="183" spans="4:49">
      <c r="D183" s="134">
        <v>37</v>
      </c>
      <c r="E183" s="137">
        <f ca="1" t="shared" si="50"/>
        <v>4894.54285714284</v>
      </c>
      <c r="F183" s="137">
        <f ca="1" t="shared" si="51"/>
        <v>6034.87619047619</v>
      </c>
      <c r="G183" s="137">
        <f ca="1" t="shared" si="52"/>
        <v>9281.97142857144</v>
      </c>
      <c r="H183" s="137">
        <f ca="1" t="shared" si="53"/>
        <v>12005.9642857143</v>
      </c>
      <c r="J183" s="134">
        <v>37</v>
      </c>
      <c r="K183" s="137" cm="1">
        <f ca="1" t="array" ref="K183">IFERROR(MATCH(SUMPRODUCT($AP183:$AV183,TRANSPOSE(J$34:J$40))*10/K$145,梦灵属性!$K$56:$K$104,1),0)</f>
        <v>38</v>
      </c>
      <c r="L183" s="137" cm="1">
        <f ca="1" t="array" ref="L183">IFERROR(MATCH(SUMPRODUCT($AP183:$AV183,TRANSPOSE(K$34:K$40))*10/L$145,梦灵属性!$K$56:$K$104,1),0)</f>
        <v>27</v>
      </c>
      <c r="M183" s="137" cm="1">
        <f ca="1" t="array" ref="M183">IFERROR(MATCH(SUMPRODUCT($AP183:$AV183,TRANSPOSE(L$34:L$40))*10/M$145+(INT(J183/7)+1)*70,梦灵属性!$K$56:$K$104,1)+1,0)</f>
        <v>23</v>
      </c>
      <c r="N183" s="137" cm="1">
        <f ca="1" t="array" ref="N183">IFERROR(MATCH(SUMPRODUCT($AP183:$AV183,TRANSPOSE(M$34:M$40))*10/N$145+(INT((J183-14)/7)+1)*70,梦灵属性!$K$56:$K$104,1)+1,0)</f>
        <v>17</v>
      </c>
      <c r="O183" s="138">
        <f ca="1" t="shared" si="70"/>
        <v>7.1344</v>
      </c>
      <c r="P183">
        <f ca="1" t="shared" si="71"/>
        <v>303.362072967829</v>
      </c>
      <c r="R183" s="35"/>
      <c r="S183" s="35">
        <v>37</v>
      </c>
      <c r="T183" s="35">
        <v>36</v>
      </c>
      <c r="U183" s="35">
        <v>36</v>
      </c>
      <c r="V183" s="35">
        <v>52</v>
      </c>
      <c r="W183" s="35">
        <v>52</v>
      </c>
      <c r="Y183" s="35">
        <v>37</v>
      </c>
      <c r="Z183" s="3">
        <f t="shared" si="46"/>
        <v>470</v>
      </c>
      <c r="AA183" s="3">
        <f t="shared" si="47"/>
        <v>520</v>
      </c>
      <c r="AB183" s="3">
        <f t="shared" si="48"/>
        <v>520</v>
      </c>
      <c r="AC183" s="3">
        <f t="shared" si="49"/>
        <v>520</v>
      </c>
      <c r="AE183" s="134">
        <v>37</v>
      </c>
      <c r="AF183" s="137">
        <f ca="1" t="shared" si="54"/>
        <v>4</v>
      </c>
      <c r="AG183" s="137">
        <f ca="1" t="shared" si="55"/>
        <v>5</v>
      </c>
      <c r="AH183" s="137">
        <f ca="1" t="shared" si="56"/>
        <v>5</v>
      </c>
      <c r="AI183" s="137">
        <f ca="1" t="shared" si="57"/>
        <v>6</v>
      </c>
      <c r="AJ183" s="137" t="str">
        <f ca="1" t="shared" si="58"/>
        <v>海拉</v>
      </c>
      <c r="AK183" s="137" t="str">
        <f ca="1" t="shared" si="59"/>
        <v>海拉</v>
      </c>
      <c r="AL183" s="137" t="str">
        <f ca="1" t="shared" si="60"/>
        <v>海拉</v>
      </c>
      <c r="AM183" s="137" t="str">
        <f ca="1" t="shared" si="61"/>
        <v>海拉</v>
      </c>
      <c r="AO183" s="134">
        <v>37</v>
      </c>
      <c r="AP183" s="137">
        <f ca="1" t="shared" si="62"/>
        <v>450</v>
      </c>
      <c r="AQ183" s="137">
        <f ca="1" t="shared" si="63"/>
        <v>909</v>
      </c>
      <c r="AR183" s="137">
        <f ca="1" t="shared" si="64"/>
        <v>1818</v>
      </c>
      <c r="AS183" s="137">
        <f ca="1" t="shared" si="65"/>
        <v>2727</v>
      </c>
      <c r="AT183" s="137">
        <f ca="1" t="shared" si="66"/>
        <v>3377.97142857144</v>
      </c>
      <c r="AU183" s="137">
        <f ca="1" t="shared" si="67"/>
        <v>0</v>
      </c>
      <c r="AV183" s="137">
        <f ca="1" t="shared" si="68"/>
        <v>0</v>
      </c>
      <c r="AW183">
        <f ca="1" t="shared" si="69"/>
        <v>5</v>
      </c>
    </row>
    <row r="184" spans="4:49">
      <c r="D184" s="134">
        <v>38</v>
      </c>
      <c r="E184" s="137">
        <f ca="1" t="shared" si="50"/>
        <v>5008.31428571427</v>
      </c>
      <c r="F184" s="137">
        <f ca="1" t="shared" si="51"/>
        <v>6177.98095238095</v>
      </c>
      <c r="G184" s="137">
        <f ca="1" t="shared" si="52"/>
        <v>9510.45714285716</v>
      </c>
      <c r="H184" s="137">
        <f ca="1" t="shared" si="53"/>
        <v>12308.0714285714</v>
      </c>
      <c r="J184" s="134">
        <v>38</v>
      </c>
      <c r="K184" s="137" cm="1">
        <f ca="1" t="array" ref="K184">IFERROR(MATCH(SUMPRODUCT($AP184:$AV184,TRANSPOSE(J$34:J$40))*10/K$145,梦灵属性!$K$56:$K$104,1),0)</f>
        <v>38</v>
      </c>
      <c r="L184" s="137" cm="1">
        <f ca="1" t="array" ref="L184">IFERROR(MATCH(SUMPRODUCT($AP184:$AV184,TRANSPOSE(K$34:K$40))*10/L$145,梦灵属性!$K$56:$K$104,1),0)</f>
        <v>27</v>
      </c>
      <c r="M184" s="137" cm="1">
        <f ca="1" t="array" ref="M184">IFERROR(MATCH(SUMPRODUCT($AP184:$AV184,TRANSPOSE(L$34:L$40))*10/M$145+(INT(J184/7)+1)*70,梦灵属性!$K$56:$K$104,1)+1,0)</f>
        <v>23</v>
      </c>
      <c r="N184" s="137" cm="1">
        <f ca="1" t="array" ref="N184">IFERROR(MATCH(SUMPRODUCT($AP184:$AV184,TRANSPOSE(M$34:M$40))*10/N$145+(INT((J184-14)/7)+1)*70,梦灵属性!$K$56:$K$104,1)+1,0)</f>
        <v>17</v>
      </c>
      <c r="O184" s="138">
        <f ca="1" t="shared" si="70"/>
        <v>7.1344</v>
      </c>
      <c r="P184">
        <f ca="1" t="shared" si="71"/>
        <v>310.41358675028</v>
      </c>
      <c r="R184" s="35"/>
      <c r="S184" s="35">
        <v>38</v>
      </c>
      <c r="T184" s="35">
        <v>36</v>
      </c>
      <c r="U184" s="35">
        <v>36</v>
      </c>
      <c r="V184" s="35">
        <v>52</v>
      </c>
      <c r="W184" s="35">
        <v>52</v>
      </c>
      <c r="Y184" s="35">
        <v>38</v>
      </c>
      <c r="Z184" s="3">
        <f t="shared" si="46"/>
        <v>470</v>
      </c>
      <c r="AA184" s="3">
        <f t="shared" si="47"/>
        <v>520</v>
      </c>
      <c r="AB184" s="3">
        <f t="shared" si="48"/>
        <v>520</v>
      </c>
      <c r="AC184" s="3">
        <f t="shared" si="49"/>
        <v>520</v>
      </c>
      <c r="AE184" s="134">
        <v>38</v>
      </c>
      <c r="AF184" s="137">
        <f ca="1" t="shared" si="54"/>
        <v>4</v>
      </c>
      <c r="AG184" s="137">
        <f ca="1" t="shared" si="55"/>
        <v>5</v>
      </c>
      <c r="AH184" s="137">
        <f ca="1" t="shared" si="56"/>
        <v>5</v>
      </c>
      <c r="AI184" s="137">
        <f ca="1" t="shared" si="57"/>
        <v>6</v>
      </c>
      <c r="AJ184" s="137" t="str">
        <f ca="1" t="shared" si="58"/>
        <v>海拉</v>
      </c>
      <c r="AK184" s="137" t="str">
        <f ca="1" t="shared" si="59"/>
        <v>海拉</v>
      </c>
      <c r="AL184" s="137" t="str">
        <f ca="1" t="shared" si="60"/>
        <v>海拉</v>
      </c>
      <c r="AM184" s="137" t="str">
        <f ca="1" t="shared" si="61"/>
        <v>海拉</v>
      </c>
      <c r="AO184" s="134">
        <v>38</v>
      </c>
      <c r="AP184" s="137">
        <f ca="1" t="shared" si="62"/>
        <v>450</v>
      </c>
      <c r="AQ184" s="137">
        <f ca="1" t="shared" si="63"/>
        <v>909</v>
      </c>
      <c r="AR184" s="137">
        <f ca="1" t="shared" si="64"/>
        <v>1818</v>
      </c>
      <c r="AS184" s="137">
        <f ca="1" t="shared" si="65"/>
        <v>2727</v>
      </c>
      <c r="AT184" s="137">
        <f ca="1" t="shared" si="66"/>
        <v>3606.45714285716</v>
      </c>
      <c r="AU184" s="137">
        <f ca="1" t="shared" si="67"/>
        <v>0</v>
      </c>
      <c r="AV184" s="137">
        <f ca="1" t="shared" si="68"/>
        <v>0</v>
      </c>
      <c r="AW184">
        <f ca="1" t="shared" si="69"/>
        <v>5</v>
      </c>
    </row>
    <row r="185" spans="4:49">
      <c r="D185" s="134">
        <v>39</v>
      </c>
      <c r="E185" s="137">
        <f ca="1" t="shared" si="50"/>
        <v>5122.0857142857</v>
      </c>
      <c r="F185" s="137">
        <f ca="1" t="shared" si="51"/>
        <v>6321.08571428571</v>
      </c>
      <c r="G185" s="137">
        <f ca="1" t="shared" si="52"/>
        <v>9738.94285714287</v>
      </c>
      <c r="H185" s="137">
        <f ca="1" t="shared" si="53"/>
        <v>12610.1785714286</v>
      </c>
      <c r="J185" s="134">
        <v>39</v>
      </c>
      <c r="K185" s="137" cm="1">
        <f ca="1" t="array" ref="K185">IFERROR(MATCH(SUMPRODUCT($AP185:$AV185,TRANSPOSE(J$34:J$40))*10/K$145,梦灵属性!$K$56:$K$104,1),0)</f>
        <v>38</v>
      </c>
      <c r="L185" s="137" cm="1">
        <f ca="1" t="array" ref="L185">IFERROR(MATCH(SUMPRODUCT($AP185:$AV185,TRANSPOSE(K$34:K$40))*10/L$145,梦灵属性!$K$56:$K$104,1),0)</f>
        <v>28</v>
      </c>
      <c r="M185" s="137" cm="1">
        <f ca="1" t="array" ref="M185">IFERROR(MATCH(SUMPRODUCT($AP185:$AV185,TRANSPOSE(L$34:L$40))*10/M$145+(INT(J185/7)+1)*70,梦灵属性!$K$56:$K$104,1)+1,0)</f>
        <v>23</v>
      </c>
      <c r="N185" s="137" cm="1">
        <f ca="1" t="array" ref="N185">IFERROR(MATCH(SUMPRODUCT($AP185:$AV185,TRANSPOSE(M$34:M$40))*10/N$145+(INT((J185-14)/7)+1)*70,梦灵属性!$K$56:$K$104,1)+1,0)</f>
        <v>17</v>
      </c>
      <c r="O185" s="138">
        <f ca="1" t="shared" si="70"/>
        <v>7.1344</v>
      </c>
      <c r="P185">
        <f ca="1" t="shared" si="71"/>
        <v>317.465100532731</v>
      </c>
      <c r="R185" s="35"/>
      <c r="S185" s="35">
        <v>39</v>
      </c>
      <c r="T185" s="35">
        <v>36</v>
      </c>
      <c r="U185" s="35">
        <v>36</v>
      </c>
      <c r="V185" s="35">
        <v>52</v>
      </c>
      <c r="W185" s="35">
        <v>52</v>
      </c>
      <c r="Y185" s="35">
        <v>39</v>
      </c>
      <c r="Z185" s="3">
        <f t="shared" si="46"/>
        <v>470</v>
      </c>
      <c r="AA185" s="3">
        <f t="shared" si="47"/>
        <v>520</v>
      </c>
      <c r="AB185" s="3">
        <f t="shared" si="48"/>
        <v>520</v>
      </c>
      <c r="AC185" s="3">
        <f t="shared" si="49"/>
        <v>520</v>
      </c>
      <c r="AE185" s="134">
        <v>39</v>
      </c>
      <c r="AF185" s="137">
        <f ca="1" t="shared" si="54"/>
        <v>4</v>
      </c>
      <c r="AG185" s="137">
        <f ca="1" t="shared" si="55"/>
        <v>5</v>
      </c>
      <c r="AH185" s="137">
        <f ca="1" t="shared" si="56"/>
        <v>6</v>
      </c>
      <c r="AI185" s="137">
        <f ca="1" t="shared" si="57"/>
        <v>6</v>
      </c>
      <c r="AJ185" s="137" t="str">
        <f ca="1" t="shared" si="58"/>
        <v>海拉</v>
      </c>
      <c r="AK185" s="137" t="str">
        <f ca="1" t="shared" si="59"/>
        <v>海拉</v>
      </c>
      <c r="AL185" s="137" t="str">
        <f ca="1" t="shared" si="60"/>
        <v>海拉</v>
      </c>
      <c r="AM185" s="137" t="str">
        <f ca="1" t="shared" si="61"/>
        <v>海拉</v>
      </c>
      <c r="AO185" s="134">
        <v>39</v>
      </c>
      <c r="AP185" s="137">
        <f ca="1" t="shared" si="62"/>
        <v>450</v>
      </c>
      <c r="AQ185" s="137">
        <f ca="1" t="shared" si="63"/>
        <v>909</v>
      </c>
      <c r="AR185" s="137">
        <f ca="1" t="shared" si="64"/>
        <v>1818</v>
      </c>
      <c r="AS185" s="137">
        <f ca="1" t="shared" si="65"/>
        <v>2727</v>
      </c>
      <c r="AT185" s="137">
        <f ca="1" t="shared" si="66"/>
        <v>3636</v>
      </c>
      <c r="AU185" s="137">
        <f ca="1" t="shared" si="67"/>
        <v>198.942857142871</v>
      </c>
      <c r="AV185" s="137">
        <f ca="1" t="shared" si="68"/>
        <v>0</v>
      </c>
      <c r="AW185">
        <f ca="1" t="shared" si="69"/>
        <v>6</v>
      </c>
    </row>
    <row r="186" spans="4:49">
      <c r="D186" s="134">
        <v>40</v>
      </c>
      <c r="E186" s="137">
        <f ca="1" t="shared" si="50"/>
        <v>5235.85714285712</v>
      </c>
      <c r="F186" s="137">
        <f ca="1" t="shared" si="51"/>
        <v>6464.19047619047</v>
      </c>
      <c r="G186" s="137">
        <f ca="1" t="shared" si="52"/>
        <v>9967.42857142859</v>
      </c>
      <c r="H186" s="137">
        <f ca="1" t="shared" si="53"/>
        <v>12912.2857142857</v>
      </c>
      <c r="J186" s="134">
        <v>40</v>
      </c>
      <c r="K186" s="137" cm="1">
        <f ca="1" t="array" ref="K186">IFERROR(MATCH(SUMPRODUCT($AP186:$AV186,TRANSPOSE(J$34:J$40))*10/K$145,梦灵属性!$K$56:$K$104,1),0)</f>
        <v>39</v>
      </c>
      <c r="L186" s="137" cm="1">
        <f ca="1" t="array" ref="L186">IFERROR(MATCH(SUMPRODUCT($AP186:$AV186,TRANSPOSE(K$34:K$40))*10/L$145,梦灵属性!$K$56:$K$104,1),0)</f>
        <v>28</v>
      </c>
      <c r="M186" s="137" cm="1">
        <f ca="1" t="array" ref="M186">IFERROR(MATCH(SUMPRODUCT($AP186:$AV186,TRANSPOSE(L$34:L$40))*10/M$145+(INT(J186/7)+1)*70,梦灵属性!$K$56:$K$104,1)+1,0)</f>
        <v>24</v>
      </c>
      <c r="N186" s="137" cm="1">
        <f ca="1" t="array" ref="N186">IFERROR(MATCH(SUMPRODUCT($AP186:$AV186,TRANSPOSE(M$34:M$40))*10/N$145+(INT((J186-14)/7)+1)*70,梦灵属性!$K$56:$K$104,1)+1,0)</f>
        <v>17</v>
      </c>
      <c r="O186" s="138">
        <f ca="1" t="shared" si="70"/>
        <v>7.1344</v>
      </c>
      <c r="P186">
        <f ca="1" t="shared" si="71"/>
        <v>324.516614315182</v>
      </c>
      <c r="R186" s="35"/>
      <c r="S186" s="35">
        <v>40</v>
      </c>
      <c r="T186" s="35">
        <v>36</v>
      </c>
      <c r="U186" s="35">
        <v>36</v>
      </c>
      <c r="V186" s="35">
        <v>52</v>
      </c>
      <c r="W186" s="35">
        <v>52</v>
      </c>
      <c r="Y186" s="35">
        <v>40</v>
      </c>
      <c r="Z186" s="3">
        <f t="shared" si="46"/>
        <v>470</v>
      </c>
      <c r="AA186" s="3">
        <f t="shared" si="47"/>
        <v>520</v>
      </c>
      <c r="AB186" s="3">
        <f t="shared" si="48"/>
        <v>520</v>
      </c>
      <c r="AC186" s="3">
        <f t="shared" si="49"/>
        <v>520</v>
      </c>
      <c r="AE186" s="134">
        <v>40</v>
      </c>
      <c r="AF186" s="137">
        <f ca="1" t="shared" si="54"/>
        <v>4</v>
      </c>
      <c r="AG186" s="137">
        <f ca="1" t="shared" si="55"/>
        <v>5</v>
      </c>
      <c r="AH186" s="137">
        <f ca="1" t="shared" si="56"/>
        <v>6</v>
      </c>
      <c r="AI186" s="137">
        <f ca="1" t="shared" si="57"/>
        <v>6</v>
      </c>
      <c r="AJ186" s="137" t="str">
        <f ca="1" t="shared" si="58"/>
        <v>海拉</v>
      </c>
      <c r="AK186" s="137" t="str">
        <f ca="1" t="shared" si="59"/>
        <v>海拉</v>
      </c>
      <c r="AL186" s="137" t="str">
        <f ca="1" t="shared" si="60"/>
        <v>海拉</v>
      </c>
      <c r="AM186" s="137" t="str">
        <f ca="1" t="shared" si="61"/>
        <v>海拉</v>
      </c>
      <c r="AO186" s="134">
        <v>40</v>
      </c>
      <c r="AP186" s="137">
        <f ca="1" t="shared" si="62"/>
        <v>450</v>
      </c>
      <c r="AQ186" s="137">
        <f ca="1" t="shared" si="63"/>
        <v>909</v>
      </c>
      <c r="AR186" s="137">
        <f ca="1" t="shared" si="64"/>
        <v>1818</v>
      </c>
      <c r="AS186" s="137">
        <f ca="1" t="shared" si="65"/>
        <v>2727</v>
      </c>
      <c r="AT186" s="137">
        <f ca="1" t="shared" si="66"/>
        <v>3636</v>
      </c>
      <c r="AU186" s="137">
        <f ca="1" t="shared" si="67"/>
        <v>427.428571428585</v>
      </c>
      <c r="AV186" s="137">
        <f ca="1" t="shared" si="68"/>
        <v>0</v>
      </c>
      <c r="AW186">
        <f ca="1" t="shared" si="69"/>
        <v>6</v>
      </c>
    </row>
    <row r="187" spans="4:49">
      <c r="D187" s="134">
        <v>41</v>
      </c>
      <c r="E187" s="137">
        <f ca="1" t="shared" si="50"/>
        <v>5349.62857142855</v>
      </c>
      <c r="F187" s="137">
        <f ca="1" t="shared" si="51"/>
        <v>6607.29523809523</v>
      </c>
      <c r="G187" s="137">
        <f ca="1" t="shared" si="52"/>
        <v>10195.9142857143</v>
      </c>
      <c r="H187" s="137">
        <f ca="1" t="shared" si="53"/>
        <v>13214.3928571429</v>
      </c>
      <c r="J187" s="134">
        <v>41</v>
      </c>
      <c r="K187" s="137" cm="1">
        <f ca="1" t="array" ref="K187">IFERROR(MATCH(SUMPRODUCT($AP187:$AV187,TRANSPOSE(J$34:J$40))*10/K$145,梦灵属性!$K$56:$K$104,1),0)</f>
        <v>39</v>
      </c>
      <c r="L187" s="137" cm="1">
        <f ca="1" t="array" ref="L187">IFERROR(MATCH(SUMPRODUCT($AP187:$AV187,TRANSPOSE(K$34:K$40))*10/L$145,梦灵属性!$K$56:$K$104,1),0)</f>
        <v>28</v>
      </c>
      <c r="M187" s="137" cm="1">
        <f ca="1" t="array" ref="M187">IFERROR(MATCH(SUMPRODUCT($AP187:$AV187,TRANSPOSE(L$34:L$40))*10/M$145+(INT(J187/7)+1)*70,梦灵属性!$K$56:$K$104,1)+1,0)</f>
        <v>24</v>
      </c>
      <c r="N187" s="137" cm="1">
        <f ca="1" t="array" ref="N187">IFERROR(MATCH(SUMPRODUCT($AP187:$AV187,TRANSPOSE(M$34:M$40))*10/N$145+(INT((J187-14)/7)+1)*70,梦灵属性!$K$56:$K$104,1)+1,0)</f>
        <v>18</v>
      </c>
      <c r="O187" s="138">
        <f ca="1" t="shared" si="70"/>
        <v>7.4088</v>
      </c>
      <c r="P187">
        <f ca="1" t="shared" si="71"/>
        <v>325.319720031059</v>
      </c>
      <c r="R187" s="35"/>
      <c r="S187" s="35">
        <v>41</v>
      </c>
      <c r="T187" s="35">
        <v>36</v>
      </c>
      <c r="U187" s="35">
        <v>36</v>
      </c>
      <c r="V187" s="35">
        <v>52</v>
      </c>
      <c r="W187" s="35">
        <v>52</v>
      </c>
      <c r="Y187" s="35">
        <v>41</v>
      </c>
      <c r="Z187" s="3">
        <f t="shared" ref="Z187:Z206" si="72">Z186</f>
        <v>470</v>
      </c>
      <c r="AA187" s="3">
        <f t="shared" ref="AA187:AA206" si="73">AA186</f>
        <v>520</v>
      </c>
      <c r="AB187" s="3">
        <f t="shared" ref="AB187:AB206" si="74">AB186</f>
        <v>520</v>
      </c>
      <c r="AC187" s="3">
        <f t="shared" ref="AC187:AC206" si="75">AC186</f>
        <v>520</v>
      </c>
      <c r="AE187" s="134">
        <v>41</v>
      </c>
      <c r="AF187" s="137">
        <f ca="1" t="shared" si="54"/>
        <v>4</v>
      </c>
      <c r="AG187" s="137">
        <f ca="1" t="shared" si="55"/>
        <v>5</v>
      </c>
      <c r="AH187" s="137">
        <f ca="1" t="shared" si="56"/>
        <v>6</v>
      </c>
      <c r="AI187" s="137">
        <f ca="1" t="shared" si="57"/>
        <v>6</v>
      </c>
      <c r="AJ187" s="137" t="str">
        <f ca="1" t="shared" si="58"/>
        <v>海拉</v>
      </c>
      <c r="AK187" s="137" t="str">
        <f ca="1" t="shared" si="59"/>
        <v>海拉</v>
      </c>
      <c r="AL187" s="137" t="str">
        <f ca="1" t="shared" si="60"/>
        <v>海拉</v>
      </c>
      <c r="AM187" s="137" t="str">
        <f ca="1" t="shared" si="61"/>
        <v>海拉</v>
      </c>
      <c r="AO187" s="134">
        <v>41</v>
      </c>
      <c r="AP187" s="137">
        <f ca="1" t="shared" si="62"/>
        <v>450</v>
      </c>
      <c r="AQ187" s="137">
        <f ca="1" t="shared" si="63"/>
        <v>909</v>
      </c>
      <c r="AR187" s="137">
        <f ca="1" t="shared" si="64"/>
        <v>1818</v>
      </c>
      <c r="AS187" s="137">
        <f ca="1" t="shared" si="65"/>
        <v>2727</v>
      </c>
      <c r="AT187" s="137">
        <f ca="1" t="shared" si="66"/>
        <v>3636</v>
      </c>
      <c r="AU187" s="137">
        <f ca="1" t="shared" si="67"/>
        <v>655.9142857143</v>
      </c>
      <c r="AV187" s="137">
        <f ca="1" t="shared" si="68"/>
        <v>0</v>
      </c>
      <c r="AW187">
        <f ca="1" t="shared" si="69"/>
        <v>6</v>
      </c>
    </row>
    <row r="188" spans="4:49">
      <c r="D188" s="134">
        <v>42</v>
      </c>
      <c r="E188" s="137">
        <f ca="1" t="shared" si="50"/>
        <v>5463.39999999998</v>
      </c>
      <c r="F188" s="137">
        <f ca="1" t="shared" si="51"/>
        <v>6750.4</v>
      </c>
      <c r="G188" s="137">
        <f ca="1" t="shared" si="52"/>
        <v>10424.4</v>
      </c>
      <c r="H188" s="137">
        <f ca="1" t="shared" si="53"/>
        <v>13516.5</v>
      </c>
      <c r="J188" s="134">
        <v>42</v>
      </c>
      <c r="K188" s="137" cm="1">
        <f ca="1" t="array" ref="K188">IFERROR(MATCH(SUMPRODUCT($AP188:$AV188,TRANSPOSE(J$34:J$40))*10/K$145,梦灵属性!$K$56:$K$104,1),0)</f>
        <v>39</v>
      </c>
      <c r="L188" s="137" cm="1">
        <f ca="1" t="array" ref="L188">IFERROR(MATCH(SUMPRODUCT($AP188:$AV188,TRANSPOSE(K$34:K$40))*10/L$145,梦灵属性!$K$56:$K$104,1),0)</f>
        <v>29</v>
      </c>
      <c r="M188" s="137" cm="1">
        <f ca="1" t="array" ref="M188">IFERROR(MATCH(SUMPRODUCT($AP188:$AV188,TRANSPOSE(L$34:L$40))*10/M$145+(INT(J188/7)+1)*70,梦灵属性!$K$56:$K$104,1)+1,0)</f>
        <v>25</v>
      </c>
      <c r="N188" s="137" cm="1">
        <f ca="1" t="array" ref="N188">IFERROR(MATCH(SUMPRODUCT($AP188:$AV188,TRANSPOSE(M$34:M$40))*10/N$145+(INT((J188-14)/7)+1)*70,梦灵属性!$K$56:$K$104,1)+1,0)</f>
        <v>19</v>
      </c>
      <c r="O188" s="138">
        <f ca="1" t="shared" si="70"/>
        <v>10.75648</v>
      </c>
      <c r="P188">
        <f ca="1" t="shared" si="71"/>
        <v>280.093001694377</v>
      </c>
      <c r="R188" s="35"/>
      <c r="S188" s="35">
        <v>42</v>
      </c>
      <c r="T188" s="35">
        <v>36</v>
      </c>
      <c r="U188" s="35">
        <v>36</v>
      </c>
      <c r="V188" s="35">
        <v>52</v>
      </c>
      <c r="W188" s="35">
        <v>52</v>
      </c>
      <c r="Y188" s="35">
        <v>42</v>
      </c>
      <c r="Z188" s="3">
        <f t="shared" si="72"/>
        <v>470</v>
      </c>
      <c r="AA188" s="3">
        <f t="shared" si="73"/>
        <v>520</v>
      </c>
      <c r="AB188" s="3">
        <f t="shared" si="74"/>
        <v>520</v>
      </c>
      <c r="AC188" s="3">
        <f t="shared" si="75"/>
        <v>520</v>
      </c>
      <c r="AE188" s="134">
        <v>42</v>
      </c>
      <c r="AF188" s="137">
        <f ca="1" t="shared" si="54"/>
        <v>4</v>
      </c>
      <c r="AG188" s="137">
        <f ca="1" t="shared" si="55"/>
        <v>5</v>
      </c>
      <c r="AH188" s="137">
        <f ca="1" t="shared" si="56"/>
        <v>6</v>
      </c>
      <c r="AI188" s="137">
        <f ca="1" t="shared" si="57"/>
        <v>6</v>
      </c>
      <c r="AJ188" s="137" t="str">
        <f ca="1" t="shared" si="58"/>
        <v>海拉</v>
      </c>
      <c r="AK188" s="137" t="str">
        <f ca="1" t="shared" si="59"/>
        <v>海拉</v>
      </c>
      <c r="AL188" s="137" t="str">
        <f ca="1" t="shared" si="60"/>
        <v>海拉</v>
      </c>
      <c r="AM188" s="137" t="str">
        <f ca="1" t="shared" si="61"/>
        <v>海拉</v>
      </c>
      <c r="AO188" s="134">
        <v>42</v>
      </c>
      <c r="AP188" s="137">
        <f ca="1" t="shared" si="62"/>
        <v>450</v>
      </c>
      <c r="AQ188" s="137">
        <f ca="1" t="shared" si="63"/>
        <v>909</v>
      </c>
      <c r="AR188" s="137">
        <f ca="1" t="shared" si="64"/>
        <v>1818</v>
      </c>
      <c r="AS188" s="137">
        <f ca="1" t="shared" si="65"/>
        <v>2727</v>
      </c>
      <c r="AT188" s="137">
        <f ca="1" t="shared" si="66"/>
        <v>3636</v>
      </c>
      <c r="AU188" s="137">
        <f ca="1" t="shared" si="67"/>
        <v>884.400000000014</v>
      </c>
      <c r="AV188" s="137">
        <f ca="1" t="shared" si="68"/>
        <v>0</v>
      </c>
      <c r="AW188">
        <f ca="1" t="shared" si="69"/>
        <v>6</v>
      </c>
    </row>
    <row r="189" spans="4:49">
      <c r="D189" s="134">
        <v>43</v>
      </c>
      <c r="E189" s="137">
        <f ca="1" t="shared" si="50"/>
        <v>5577.17142857141</v>
      </c>
      <c r="F189" s="137">
        <f ca="1" t="shared" si="51"/>
        <v>6893.50476190476</v>
      </c>
      <c r="G189" s="137">
        <f ca="1" t="shared" si="52"/>
        <v>10652.8857142857</v>
      </c>
      <c r="H189" s="137">
        <f ca="1" t="shared" si="53"/>
        <v>13818.6071428571</v>
      </c>
      <c r="J189" s="134">
        <v>43</v>
      </c>
      <c r="K189" s="137" cm="1">
        <f ca="1" t="array" ref="K189">IFERROR(MATCH(SUMPRODUCT($AP189:$AV189,TRANSPOSE(J$34:J$40))*10/K$145,梦灵属性!$K$56:$K$104,1),0)</f>
        <v>39</v>
      </c>
      <c r="L189" s="137" cm="1">
        <f ca="1" t="array" ref="L189">IFERROR(MATCH(SUMPRODUCT($AP189:$AV189,TRANSPOSE(K$34:K$40))*10/L$145,梦灵属性!$K$56:$K$104,1),0)</f>
        <v>29</v>
      </c>
      <c r="M189" s="137" cm="1">
        <f ca="1" t="array" ref="M189">IFERROR(MATCH(SUMPRODUCT($AP189:$AV189,TRANSPOSE(L$34:L$40))*10/M$145+(INT(J189/7)+1)*70,梦灵属性!$K$56:$K$104,1)+1,0)</f>
        <v>25</v>
      </c>
      <c r="N189" s="137" cm="1">
        <f ca="1" t="array" ref="N189">IFERROR(MATCH(SUMPRODUCT($AP189:$AV189,TRANSPOSE(M$34:M$40))*10/N$145+(INT((J189-14)/7)+1)*70,梦灵属性!$K$56:$K$104,1)+1,0)</f>
        <v>19</v>
      </c>
      <c r="O189" s="138">
        <f ca="1" t="shared" si="70"/>
        <v>10.75648</v>
      </c>
      <c r="P189">
        <f ca="1" t="shared" si="71"/>
        <v>285.925739721179</v>
      </c>
      <c r="R189" s="35"/>
      <c r="S189" s="35">
        <v>43</v>
      </c>
      <c r="T189" s="35">
        <v>36</v>
      </c>
      <c r="U189" s="35">
        <v>36</v>
      </c>
      <c r="V189" s="35">
        <v>52</v>
      </c>
      <c r="W189" s="35">
        <v>52</v>
      </c>
      <c r="Y189" s="35">
        <v>43</v>
      </c>
      <c r="Z189" s="3">
        <f t="shared" si="72"/>
        <v>470</v>
      </c>
      <c r="AA189" s="3">
        <f t="shared" si="73"/>
        <v>520</v>
      </c>
      <c r="AB189" s="3">
        <f t="shared" si="74"/>
        <v>520</v>
      </c>
      <c r="AC189" s="3">
        <f t="shared" si="75"/>
        <v>520</v>
      </c>
      <c r="AE189" s="134">
        <v>43</v>
      </c>
      <c r="AF189" s="137">
        <f ca="1" t="shared" si="54"/>
        <v>4</v>
      </c>
      <c r="AG189" s="137">
        <f ca="1" t="shared" si="55"/>
        <v>5</v>
      </c>
      <c r="AH189" s="137">
        <f ca="1" t="shared" si="56"/>
        <v>6</v>
      </c>
      <c r="AI189" s="137">
        <f ca="1" t="shared" si="57"/>
        <v>6</v>
      </c>
      <c r="AJ189" s="137" t="str">
        <f ca="1" t="shared" si="58"/>
        <v>海拉</v>
      </c>
      <c r="AK189" s="137" t="str">
        <f ca="1" t="shared" si="59"/>
        <v>海拉</v>
      </c>
      <c r="AL189" s="137" t="str">
        <f ca="1" t="shared" si="60"/>
        <v>海拉</v>
      </c>
      <c r="AM189" s="137" t="str">
        <f ca="1" t="shared" si="61"/>
        <v>海拉</v>
      </c>
      <c r="AO189" s="134">
        <v>43</v>
      </c>
      <c r="AP189" s="137">
        <f ca="1" t="shared" si="62"/>
        <v>450</v>
      </c>
      <c r="AQ189" s="137">
        <f ca="1" t="shared" si="63"/>
        <v>909</v>
      </c>
      <c r="AR189" s="137">
        <f ca="1" t="shared" si="64"/>
        <v>1818</v>
      </c>
      <c r="AS189" s="137">
        <f ca="1" t="shared" si="65"/>
        <v>2727</v>
      </c>
      <c r="AT189" s="137">
        <f ca="1" t="shared" si="66"/>
        <v>3636</v>
      </c>
      <c r="AU189" s="137">
        <f ca="1" t="shared" si="67"/>
        <v>1112.88571428573</v>
      </c>
      <c r="AV189" s="137">
        <f ca="1" t="shared" si="68"/>
        <v>0</v>
      </c>
      <c r="AW189">
        <f ca="1" t="shared" si="69"/>
        <v>6</v>
      </c>
    </row>
    <row r="190" spans="4:49">
      <c r="D190" s="134">
        <v>44</v>
      </c>
      <c r="E190" s="137">
        <f ca="1" t="shared" si="50"/>
        <v>5690.94285714284</v>
      </c>
      <c r="F190" s="137">
        <f ca="1" t="shared" si="51"/>
        <v>7036.60952380952</v>
      </c>
      <c r="G190" s="137">
        <f ca="1" t="shared" si="52"/>
        <v>10881.3714285714</v>
      </c>
      <c r="H190" s="137">
        <f ca="1" t="shared" si="53"/>
        <v>14120.7142857143</v>
      </c>
      <c r="J190" s="134">
        <v>44</v>
      </c>
      <c r="K190" s="137" cm="1">
        <f ca="1" t="array" ref="K190">IFERROR(MATCH(SUMPRODUCT($AP190:$AV190,TRANSPOSE(J$34:J$40))*10/K$145,梦灵属性!$K$56:$K$104,1),0)</f>
        <v>39</v>
      </c>
      <c r="L190" s="137" cm="1">
        <f ca="1" t="array" ref="L190">IFERROR(MATCH(SUMPRODUCT($AP190:$AV190,TRANSPOSE(K$34:K$40))*10/L$145,梦灵属性!$K$56:$K$104,1),0)</f>
        <v>29</v>
      </c>
      <c r="M190" s="137" cm="1">
        <f ca="1" t="array" ref="M190">IFERROR(MATCH(SUMPRODUCT($AP190:$AV190,TRANSPOSE(L$34:L$40))*10/M$145+(INT(J190/7)+1)*70,梦灵属性!$K$56:$K$104,1)+1,0)</f>
        <v>25</v>
      </c>
      <c r="N190" s="137" cm="1">
        <f ca="1" t="array" ref="N190">IFERROR(MATCH(SUMPRODUCT($AP190:$AV190,TRANSPOSE(M$34:M$40))*10/N$145+(INT((J190-14)/7)+1)*70,梦灵属性!$K$56:$K$104,1)+1,0)</f>
        <v>19</v>
      </c>
      <c r="O190" s="138">
        <f ca="1" t="shared" si="70"/>
        <v>10.75648</v>
      </c>
      <c r="P190">
        <f ca="1" t="shared" si="71"/>
        <v>291.75847774798</v>
      </c>
      <c r="R190" s="35"/>
      <c r="S190" s="35">
        <v>44</v>
      </c>
      <c r="T190" s="35">
        <v>36</v>
      </c>
      <c r="U190" s="35">
        <v>36</v>
      </c>
      <c r="V190" s="35">
        <v>52</v>
      </c>
      <c r="W190" s="35">
        <v>52</v>
      </c>
      <c r="Y190" s="35">
        <v>44</v>
      </c>
      <c r="Z190" s="3">
        <f t="shared" si="72"/>
        <v>470</v>
      </c>
      <c r="AA190" s="3">
        <f t="shared" si="73"/>
        <v>520</v>
      </c>
      <c r="AB190" s="3">
        <f t="shared" si="74"/>
        <v>520</v>
      </c>
      <c r="AC190" s="3">
        <f t="shared" si="75"/>
        <v>520</v>
      </c>
      <c r="AE190" s="134">
        <v>44</v>
      </c>
      <c r="AF190" s="137">
        <f ca="1" t="shared" si="54"/>
        <v>4</v>
      </c>
      <c r="AG190" s="137">
        <f ca="1" t="shared" si="55"/>
        <v>5</v>
      </c>
      <c r="AH190" s="137">
        <f ca="1" t="shared" si="56"/>
        <v>6</v>
      </c>
      <c r="AI190" s="137">
        <f ca="1" t="shared" si="57"/>
        <v>7</v>
      </c>
      <c r="AJ190" s="137" t="str">
        <f ca="1" t="shared" si="58"/>
        <v>海拉</v>
      </c>
      <c r="AK190" s="137" t="str">
        <f ca="1" t="shared" si="59"/>
        <v>海拉</v>
      </c>
      <c r="AL190" s="137" t="str">
        <f ca="1" t="shared" si="60"/>
        <v>海拉</v>
      </c>
      <c r="AM190" s="137" t="str">
        <f ca="1" t="shared" si="61"/>
        <v>海拉</v>
      </c>
      <c r="AO190" s="134">
        <v>44</v>
      </c>
      <c r="AP190" s="137">
        <f ca="1" t="shared" si="62"/>
        <v>450</v>
      </c>
      <c r="AQ190" s="137">
        <f ca="1" t="shared" si="63"/>
        <v>909</v>
      </c>
      <c r="AR190" s="137">
        <f ca="1" t="shared" si="64"/>
        <v>1818</v>
      </c>
      <c r="AS190" s="137">
        <f ca="1" t="shared" si="65"/>
        <v>2727</v>
      </c>
      <c r="AT190" s="137">
        <f ca="1" t="shared" si="66"/>
        <v>3636</v>
      </c>
      <c r="AU190" s="137">
        <f ca="1" t="shared" si="67"/>
        <v>1341.37142857144</v>
      </c>
      <c r="AV190" s="137">
        <f ca="1" t="shared" si="68"/>
        <v>0</v>
      </c>
      <c r="AW190">
        <f ca="1" t="shared" si="69"/>
        <v>6</v>
      </c>
    </row>
    <row r="191" spans="4:49">
      <c r="D191" s="134">
        <v>45</v>
      </c>
      <c r="E191" s="137">
        <f ca="1" t="shared" si="50"/>
        <v>5804.71428571427</v>
      </c>
      <c r="F191" s="137">
        <f ca="1" t="shared" si="51"/>
        <v>7179.71428571428</v>
      </c>
      <c r="G191" s="137">
        <f ca="1" t="shared" si="52"/>
        <v>11109.8571428572</v>
      </c>
      <c r="H191" s="137">
        <f ca="1" t="shared" si="53"/>
        <v>14422.8214285714</v>
      </c>
      <c r="J191" s="134">
        <v>45</v>
      </c>
      <c r="K191" s="137" cm="1">
        <f ca="1" t="array" ref="K191">IFERROR(MATCH(SUMPRODUCT($AP191:$AV191,TRANSPOSE(J$34:J$40))*10/K$145,梦灵属性!$K$56:$K$104,1),0)</f>
        <v>39</v>
      </c>
      <c r="L191" s="137" cm="1">
        <f ca="1" t="array" ref="L191">IFERROR(MATCH(SUMPRODUCT($AP191:$AV191,TRANSPOSE(K$34:K$40))*10/L$145,梦灵属性!$K$56:$K$104,1),0)</f>
        <v>29</v>
      </c>
      <c r="M191" s="137" cm="1">
        <f ca="1" t="array" ref="M191">IFERROR(MATCH(SUMPRODUCT($AP191:$AV191,TRANSPOSE(L$34:L$40))*10/M$145+(INT(J191/7)+1)*70,梦灵属性!$K$56:$K$104,1)+1,0)</f>
        <v>25</v>
      </c>
      <c r="N191" s="137" cm="1">
        <f ca="1" t="array" ref="N191">IFERROR(MATCH(SUMPRODUCT($AP191:$AV191,TRANSPOSE(M$34:M$40))*10/N$145+(INT((J191-14)/7)+1)*70,梦灵属性!$K$56:$K$104,1)+1,0)</f>
        <v>19</v>
      </c>
      <c r="O191" s="138">
        <f ca="1" t="shared" si="70"/>
        <v>10.75648</v>
      </c>
      <c r="P191">
        <f ca="1" t="shared" si="71"/>
        <v>297.591215774782</v>
      </c>
      <c r="R191" s="35"/>
      <c r="S191" s="35">
        <v>45</v>
      </c>
      <c r="T191" s="35">
        <v>36</v>
      </c>
      <c r="U191" s="35">
        <v>36</v>
      </c>
      <c r="V191" s="35">
        <v>52</v>
      </c>
      <c r="W191" s="35">
        <v>52</v>
      </c>
      <c r="Y191" s="35">
        <v>45</v>
      </c>
      <c r="Z191" s="3">
        <f t="shared" si="72"/>
        <v>470</v>
      </c>
      <c r="AA191" s="3">
        <f t="shared" si="73"/>
        <v>520</v>
      </c>
      <c r="AB191" s="3">
        <f t="shared" si="74"/>
        <v>520</v>
      </c>
      <c r="AC191" s="3">
        <f t="shared" si="75"/>
        <v>520</v>
      </c>
      <c r="AE191" s="134">
        <v>45</v>
      </c>
      <c r="AF191" s="137">
        <f ca="1" t="shared" si="54"/>
        <v>4</v>
      </c>
      <c r="AG191" s="137">
        <f ca="1" t="shared" si="55"/>
        <v>5</v>
      </c>
      <c r="AH191" s="137">
        <f ca="1" t="shared" si="56"/>
        <v>6</v>
      </c>
      <c r="AI191" s="137">
        <f ca="1" t="shared" si="57"/>
        <v>7</v>
      </c>
      <c r="AJ191" s="137" t="str">
        <f ca="1" t="shared" si="58"/>
        <v>海拉</v>
      </c>
      <c r="AK191" s="137" t="str">
        <f ca="1" t="shared" si="59"/>
        <v>海拉</v>
      </c>
      <c r="AL191" s="137" t="str">
        <f ca="1" t="shared" si="60"/>
        <v>海拉</v>
      </c>
      <c r="AM191" s="137" t="str">
        <f ca="1" t="shared" si="61"/>
        <v>海拉</v>
      </c>
      <c r="AO191" s="134">
        <v>45</v>
      </c>
      <c r="AP191" s="137">
        <f ca="1" t="shared" si="62"/>
        <v>450</v>
      </c>
      <c r="AQ191" s="137">
        <f ca="1" t="shared" si="63"/>
        <v>909</v>
      </c>
      <c r="AR191" s="137">
        <f ca="1" t="shared" si="64"/>
        <v>1818</v>
      </c>
      <c r="AS191" s="137">
        <f ca="1" t="shared" si="65"/>
        <v>2727</v>
      </c>
      <c r="AT191" s="137">
        <f ca="1" t="shared" si="66"/>
        <v>3636</v>
      </c>
      <c r="AU191" s="137">
        <f ca="1" t="shared" si="67"/>
        <v>1569.85714285716</v>
      </c>
      <c r="AV191" s="137">
        <f ca="1" t="shared" si="68"/>
        <v>0</v>
      </c>
      <c r="AW191">
        <f ca="1" t="shared" si="69"/>
        <v>6</v>
      </c>
    </row>
    <row r="192" spans="4:49">
      <c r="D192" s="134">
        <v>46</v>
      </c>
      <c r="E192" s="137">
        <f ca="1" t="shared" si="50"/>
        <v>5918.48571428569</v>
      </c>
      <c r="F192" s="137">
        <f ca="1" t="shared" si="51"/>
        <v>7322.81904761904</v>
      </c>
      <c r="G192" s="137">
        <f ca="1" t="shared" si="52"/>
        <v>11338.3428571429</v>
      </c>
      <c r="H192" s="137">
        <f ca="1" t="shared" si="53"/>
        <v>14724.9285714286</v>
      </c>
      <c r="J192" s="134">
        <v>46</v>
      </c>
      <c r="K192" s="137" cm="1">
        <f ca="1" t="array" ref="K192">IFERROR(MATCH(SUMPRODUCT($AP192:$AV192,TRANSPOSE(J$34:J$40))*10/K$145,梦灵属性!$K$56:$K$104,1),0)</f>
        <v>39</v>
      </c>
      <c r="L192" s="137" cm="1">
        <f ca="1" t="array" ref="L192">IFERROR(MATCH(SUMPRODUCT($AP192:$AV192,TRANSPOSE(K$34:K$40))*10/L$145,梦灵属性!$K$56:$K$104,1),0)</f>
        <v>29</v>
      </c>
      <c r="M192" s="137" cm="1">
        <f ca="1" t="array" ref="M192">IFERROR(MATCH(SUMPRODUCT($AP192:$AV192,TRANSPOSE(L$34:L$40))*10/M$145+(INT(J192/7)+1)*70,梦灵属性!$K$56:$K$104,1)+1,0)</f>
        <v>25</v>
      </c>
      <c r="N192" s="137" cm="1">
        <f ca="1" t="array" ref="N192">IFERROR(MATCH(SUMPRODUCT($AP192:$AV192,TRANSPOSE(M$34:M$40))*10/N$145+(INT((J192-14)/7)+1)*70,梦灵属性!$K$56:$K$104,1)+1,0)</f>
        <v>20</v>
      </c>
      <c r="O192" s="138">
        <f ca="1" t="shared" si="70"/>
        <v>11.14064</v>
      </c>
      <c r="P192">
        <f ca="1" t="shared" si="71"/>
        <v>299.006983586981</v>
      </c>
      <c r="R192" s="35"/>
      <c r="S192" s="35">
        <v>46</v>
      </c>
      <c r="T192" s="35">
        <v>36</v>
      </c>
      <c r="U192" s="35">
        <v>36</v>
      </c>
      <c r="V192" s="35">
        <v>52</v>
      </c>
      <c r="W192" s="35">
        <v>52</v>
      </c>
      <c r="Y192" s="35">
        <v>46</v>
      </c>
      <c r="Z192" s="3">
        <f t="shared" si="72"/>
        <v>470</v>
      </c>
      <c r="AA192" s="3">
        <f t="shared" si="73"/>
        <v>520</v>
      </c>
      <c r="AB192" s="3">
        <f t="shared" si="74"/>
        <v>520</v>
      </c>
      <c r="AC192" s="3">
        <f t="shared" si="75"/>
        <v>520</v>
      </c>
      <c r="AE192" s="134">
        <v>46</v>
      </c>
      <c r="AF192" s="137">
        <f ca="1" t="shared" si="54"/>
        <v>5</v>
      </c>
      <c r="AG192" s="137">
        <f ca="1" t="shared" si="55"/>
        <v>5</v>
      </c>
      <c r="AH192" s="137">
        <f ca="1" t="shared" si="56"/>
        <v>6</v>
      </c>
      <c r="AI192" s="137">
        <f ca="1" t="shared" si="57"/>
        <v>7</v>
      </c>
      <c r="AJ192" s="137" t="str">
        <f ca="1" t="shared" si="58"/>
        <v>海拉</v>
      </c>
      <c r="AK192" s="137" t="str">
        <f ca="1" t="shared" si="59"/>
        <v>海拉</v>
      </c>
      <c r="AL192" s="137" t="str">
        <f ca="1" t="shared" si="60"/>
        <v>海拉</v>
      </c>
      <c r="AM192" s="137" t="str">
        <f ca="1" t="shared" si="61"/>
        <v>海拉</v>
      </c>
      <c r="AO192" s="134">
        <v>46</v>
      </c>
      <c r="AP192" s="137">
        <f ca="1" t="shared" si="62"/>
        <v>450</v>
      </c>
      <c r="AQ192" s="137">
        <f ca="1" t="shared" si="63"/>
        <v>909</v>
      </c>
      <c r="AR192" s="137">
        <f ca="1" t="shared" si="64"/>
        <v>1818</v>
      </c>
      <c r="AS192" s="137">
        <f ca="1" t="shared" si="65"/>
        <v>2727</v>
      </c>
      <c r="AT192" s="137">
        <f ca="1" t="shared" si="66"/>
        <v>3636</v>
      </c>
      <c r="AU192" s="137">
        <f ca="1" t="shared" si="67"/>
        <v>1798.34285714287</v>
      </c>
      <c r="AV192" s="137">
        <f ca="1" t="shared" si="68"/>
        <v>0</v>
      </c>
      <c r="AW192">
        <f ca="1" t="shared" si="69"/>
        <v>6</v>
      </c>
    </row>
    <row r="193" spans="4:49">
      <c r="D193" s="134">
        <v>47</v>
      </c>
      <c r="E193" s="137">
        <f ca="1" t="shared" si="50"/>
        <v>6032.25714285712</v>
      </c>
      <c r="F193" s="137">
        <f ca="1" t="shared" si="51"/>
        <v>7465.9238095238</v>
      </c>
      <c r="G193" s="137">
        <f ca="1" t="shared" si="52"/>
        <v>11566.8285714286</v>
      </c>
      <c r="H193" s="137">
        <f ca="1" t="shared" si="53"/>
        <v>15027.0357142857</v>
      </c>
      <c r="J193" s="134">
        <v>47</v>
      </c>
      <c r="K193" s="137" cm="1">
        <f ca="1" t="array" ref="K193">IFERROR(MATCH(SUMPRODUCT($AP193:$AV193,TRANSPOSE(J$34:J$40))*10/K$145,梦灵属性!$K$56:$K$104,1),0)</f>
        <v>39</v>
      </c>
      <c r="L193" s="137" cm="1">
        <f ca="1" t="array" ref="L193">IFERROR(MATCH(SUMPRODUCT($AP193:$AV193,TRANSPOSE(K$34:K$40))*10/L$145,梦灵属性!$K$56:$K$104,1),0)</f>
        <v>29</v>
      </c>
      <c r="M193" s="137" cm="1">
        <f ca="1" t="array" ref="M193">IFERROR(MATCH(SUMPRODUCT($AP193:$AV193,TRANSPOSE(L$34:L$40))*10/M$145+(INT(J193/7)+1)*70,梦灵属性!$K$56:$K$104,1)+1,0)</f>
        <v>25</v>
      </c>
      <c r="N193" s="137" cm="1">
        <f ca="1" t="array" ref="N193">IFERROR(MATCH(SUMPRODUCT($AP193:$AV193,TRANSPOSE(M$34:M$40))*10/N$145+(INT((J193-14)/7)+1)*70,梦灵属性!$K$56:$K$104,1)+1,0)</f>
        <v>20</v>
      </c>
      <c r="O193" s="138">
        <f ca="1" t="shared" si="70"/>
        <v>11.14064</v>
      </c>
      <c r="P193">
        <f ca="1" t="shared" si="71"/>
        <v>304.75481391348</v>
      </c>
      <c r="R193" s="35"/>
      <c r="S193" s="35">
        <v>47</v>
      </c>
      <c r="T193" s="35">
        <v>36</v>
      </c>
      <c r="U193" s="35">
        <v>36</v>
      </c>
      <c r="V193" s="35">
        <v>52</v>
      </c>
      <c r="W193" s="35">
        <v>52</v>
      </c>
      <c r="Y193" s="35">
        <v>47</v>
      </c>
      <c r="Z193" s="3">
        <f t="shared" si="72"/>
        <v>470</v>
      </c>
      <c r="AA193" s="3">
        <f t="shared" si="73"/>
        <v>520</v>
      </c>
      <c r="AB193" s="3">
        <f t="shared" si="74"/>
        <v>520</v>
      </c>
      <c r="AC193" s="3">
        <f t="shared" si="75"/>
        <v>520</v>
      </c>
      <c r="AE193" s="134">
        <v>47</v>
      </c>
      <c r="AF193" s="137">
        <f ca="1" t="shared" si="54"/>
        <v>5</v>
      </c>
      <c r="AG193" s="137">
        <f ca="1" t="shared" si="55"/>
        <v>5</v>
      </c>
      <c r="AH193" s="137">
        <f ca="1" t="shared" si="56"/>
        <v>6</v>
      </c>
      <c r="AI193" s="137">
        <f ca="1" t="shared" si="57"/>
        <v>7</v>
      </c>
      <c r="AJ193" s="137" t="str">
        <f ca="1" t="shared" si="58"/>
        <v>海拉</v>
      </c>
      <c r="AK193" s="137" t="str">
        <f ca="1" t="shared" si="59"/>
        <v>海拉</v>
      </c>
      <c r="AL193" s="137" t="str">
        <f ca="1" t="shared" si="60"/>
        <v>海拉</v>
      </c>
      <c r="AM193" s="137" t="str">
        <f ca="1" t="shared" si="61"/>
        <v>海拉</v>
      </c>
      <c r="AO193" s="134">
        <v>47</v>
      </c>
      <c r="AP193" s="137">
        <f ca="1" t="shared" si="62"/>
        <v>450</v>
      </c>
      <c r="AQ193" s="137">
        <f ca="1" t="shared" si="63"/>
        <v>909</v>
      </c>
      <c r="AR193" s="137">
        <f ca="1" t="shared" si="64"/>
        <v>1818</v>
      </c>
      <c r="AS193" s="137">
        <f ca="1" t="shared" si="65"/>
        <v>2727</v>
      </c>
      <c r="AT193" s="137">
        <f ca="1" t="shared" si="66"/>
        <v>3636</v>
      </c>
      <c r="AU193" s="137">
        <f ca="1" t="shared" si="67"/>
        <v>2026.82857142859</v>
      </c>
      <c r="AV193" s="137">
        <f ca="1" t="shared" si="68"/>
        <v>0</v>
      </c>
      <c r="AW193">
        <f ca="1" t="shared" si="69"/>
        <v>6</v>
      </c>
    </row>
    <row r="194" spans="4:49">
      <c r="D194" s="134">
        <v>48</v>
      </c>
      <c r="E194" s="137">
        <f ca="1" t="shared" si="50"/>
        <v>6146.02857142855</v>
      </c>
      <c r="F194" s="137">
        <f ca="1" t="shared" si="51"/>
        <v>7609.02857142857</v>
      </c>
      <c r="G194" s="137">
        <f ca="1" t="shared" si="52"/>
        <v>11795.3142857143</v>
      </c>
      <c r="H194" s="137">
        <f ca="1" t="shared" si="53"/>
        <v>15329.1428571429</v>
      </c>
      <c r="J194" s="134">
        <v>48</v>
      </c>
      <c r="K194" s="137" cm="1">
        <f ca="1" t="array" ref="K194">IFERROR(MATCH(SUMPRODUCT($AP194:$AV194,TRANSPOSE(J$34:J$40))*10/K$145,梦灵属性!$K$56:$K$104,1),0)</f>
        <v>40</v>
      </c>
      <c r="L194" s="137" cm="1">
        <f ca="1" t="array" ref="L194">IFERROR(MATCH(SUMPRODUCT($AP194:$AV194,TRANSPOSE(K$34:K$40))*10/L$145,梦灵属性!$K$56:$K$104,1),0)</f>
        <v>30</v>
      </c>
      <c r="M194" s="137" cm="1">
        <f ca="1" t="array" ref="M194">IFERROR(MATCH(SUMPRODUCT($AP194:$AV194,TRANSPOSE(L$34:L$40))*10/M$145+(INT(J194/7)+1)*70,梦灵属性!$K$56:$K$104,1)+1,0)</f>
        <v>26</v>
      </c>
      <c r="N194" s="137" cm="1">
        <f ca="1" t="array" ref="N194">IFERROR(MATCH(SUMPRODUCT($AP194:$AV194,TRANSPOSE(M$34:M$40))*10/N$145+(INT((J194-14)/7)+1)*70,梦灵属性!$K$56:$K$104,1)+1,0)</f>
        <v>20</v>
      </c>
      <c r="O194" s="138">
        <f ca="1" t="shared" si="70"/>
        <v>11.14064</v>
      </c>
      <c r="P194">
        <f ca="1" t="shared" si="71"/>
        <v>310.502644239979</v>
      </c>
      <c r="R194" s="35"/>
      <c r="S194" s="35">
        <v>48</v>
      </c>
      <c r="T194" s="35">
        <v>36</v>
      </c>
      <c r="U194" s="35">
        <v>36</v>
      </c>
      <c r="V194" s="35">
        <v>52</v>
      </c>
      <c r="W194" s="35">
        <v>52</v>
      </c>
      <c r="Y194" s="35">
        <v>48</v>
      </c>
      <c r="Z194" s="3">
        <f t="shared" si="72"/>
        <v>470</v>
      </c>
      <c r="AA194" s="3">
        <f t="shared" si="73"/>
        <v>520</v>
      </c>
      <c r="AB194" s="3">
        <f t="shared" si="74"/>
        <v>520</v>
      </c>
      <c r="AC194" s="3">
        <f t="shared" si="75"/>
        <v>520</v>
      </c>
      <c r="AE194" s="134">
        <v>48</v>
      </c>
      <c r="AF194" s="137">
        <f ca="1" t="shared" si="54"/>
        <v>5</v>
      </c>
      <c r="AG194" s="137">
        <f ca="1" t="shared" si="55"/>
        <v>5</v>
      </c>
      <c r="AH194" s="137">
        <f ca="1" t="shared" si="56"/>
        <v>6</v>
      </c>
      <c r="AI194" s="137">
        <f ca="1" t="shared" si="57"/>
        <v>7</v>
      </c>
      <c r="AJ194" s="137" t="str">
        <f ca="1" t="shared" si="58"/>
        <v>海拉</v>
      </c>
      <c r="AK194" s="137" t="str">
        <f ca="1" t="shared" si="59"/>
        <v>海拉</v>
      </c>
      <c r="AL194" s="137" t="str">
        <f ca="1" t="shared" si="60"/>
        <v>海拉</v>
      </c>
      <c r="AM194" s="137" t="str">
        <f ca="1" t="shared" si="61"/>
        <v>海拉</v>
      </c>
      <c r="AO194" s="134">
        <v>48</v>
      </c>
      <c r="AP194" s="137">
        <f ca="1" t="shared" si="62"/>
        <v>450</v>
      </c>
      <c r="AQ194" s="137">
        <f ca="1" t="shared" si="63"/>
        <v>909</v>
      </c>
      <c r="AR194" s="137">
        <f ca="1" t="shared" si="64"/>
        <v>1818</v>
      </c>
      <c r="AS194" s="137">
        <f ca="1" t="shared" si="65"/>
        <v>2727</v>
      </c>
      <c r="AT194" s="137">
        <f ca="1" t="shared" si="66"/>
        <v>3636</v>
      </c>
      <c r="AU194" s="137">
        <f ca="1" t="shared" si="67"/>
        <v>2255.3142857143</v>
      </c>
      <c r="AV194" s="137">
        <f ca="1" t="shared" si="68"/>
        <v>0</v>
      </c>
      <c r="AW194">
        <f ca="1" t="shared" si="69"/>
        <v>6</v>
      </c>
    </row>
    <row r="195" spans="4:49">
      <c r="D195" s="134">
        <v>49</v>
      </c>
      <c r="E195" s="137">
        <f ca="1" t="shared" si="50"/>
        <v>6259.79999999998</v>
      </c>
      <c r="F195" s="137">
        <f ca="1" t="shared" si="51"/>
        <v>7752.13333333333</v>
      </c>
      <c r="G195" s="137">
        <f ca="1" t="shared" si="52"/>
        <v>12023.8</v>
      </c>
      <c r="H195" s="137">
        <f ca="1" t="shared" si="53"/>
        <v>15631.25</v>
      </c>
      <c r="J195" s="134">
        <v>49</v>
      </c>
      <c r="K195" s="137" cm="1">
        <f ca="1" t="array" ref="K195">IFERROR(MATCH(SUMPRODUCT($AP195:$AV195,TRANSPOSE(J$34:J$40))*10/K$145,梦灵属性!$K$56:$K$104,1),0)</f>
        <v>40</v>
      </c>
      <c r="L195" s="137" cm="1">
        <f ca="1" t="array" ref="L195">IFERROR(MATCH(SUMPRODUCT($AP195:$AV195,TRANSPOSE(K$34:K$40))*10/L$145,梦灵属性!$K$56:$K$104,1),0)</f>
        <v>30</v>
      </c>
      <c r="M195" s="137" cm="1">
        <f ca="1" t="array" ref="M195">IFERROR(MATCH(SUMPRODUCT($AP195:$AV195,TRANSPOSE(L$34:L$40))*10/M$145+(INT(J195/7)+1)*70,梦灵属性!$K$56:$K$104,1)+1,0)</f>
        <v>26</v>
      </c>
      <c r="N195" s="137" cm="1">
        <f ca="1" t="array" ref="N195">IFERROR(MATCH(SUMPRODUCT($AP195:$AV195,TRANSPOSE(M$34:M$40))*10/N$145+(INT((J195-14)/7)+1)*70,梦灵属性!$K$56:$K$104,1)+1,0)</f>
        <v>21</v>
      </c>
      <c r="O195" s="138">
        <f ca="1" t="shared" si="70"/>
        <v>11.5248</v>
      </c>
      <c r="P195">
        <f ca="1" t="shared" si="71"/>
        <v>311.864556632875</v>
      </c>
      <c r="R195" s="35"/>
      <c r="S195" s="35">
        <v>49</v>
      </c>
      <c r="T195" s="35">
        <v>36</v>
      </c>
      <c r="U195" s="35">
        <v>36</v>
      </c>
      <c r="V195" s="35">
        <v>52</v>
      </c>
      <c r="W195" s="35">
        <v>52</v>
      </c>
      <c r="Y195" s="35">
        <v>49</v>
      </c>
      <c r="Z195" s="3">
        <f t="shared" si="72"/>
        <v>470</v>
      </c>
      <c r="AA195" s="3">
        <f t="shared" si="73"/>
        <v>520</v>
      </c>
      <c r="AB195" s="3">
        <f t="shared" si="74"/>
        <v>520</v>
      </c>
      <c r="AC195" s="3">
        <f t="shared" si="75"/>
        <v>520</v>
      </c>
      <c r="AE195" s="134">
        <v>49</v>
      </c>
      <c r="AF195" s="137">
        <f ca="1" t="shared" si="54"/>
        <v>5</v>
      </c>
      <c r="AG195" s="137">
        <f ca="1" t="shared" si="55"/>
        <v>5</v>
      </c>
      <c r="AH195" s="137">
        <f ca="1" t="shared" si="56"/>
        <v>6</v>
      </c>
      <c r="AI195" s="137">
        <f ca="1" t="shared" si="57"/>
        <v>7</v>
      </c>
      <c r="AJ195" s="137" t="str">
        <f ca="1" t="shared" si="58"/>
        <v>海拉</v>
      </c>
      <c r="AK195" s="137" t="str">
        <f ca="1" t="shared" si="59"/>
        <v>海拉</v>
      </c>
      <c r="AL195" s="137" t="str">
        <f ca="1" t="shared" si="60"/>
        <v>海拉</v>
      </c>
      <c r="AM195" s="137" t="str">
        <f ca="1" t="shared" si="61"/>
        <v>海拉</v>
      </c>
      <c r="AO195" s="134">
        <v>49</v>
      </c>
      <c r="AP195" s="137">
        <f ca="1" t="shared" si="62"/>
        <v>450</v>
      </c>
      <c r="AQ195" s="137">
        <f ca="1" t="shared" si="63"/>
        <v>909</v>
      </c>
      <c r="AR195" s="137">
        <f ca="1" t="shared" si="64"/>
        <v>1818</v>
      </c>
      <c r="AS195" s="137">
        <f ca="1" t="shared" si="65"/>
        <v>2727</v>
      </c>
      <c r="AT195" s="137">
        <f ca="1" t="shared" si="66"/>
        <v>3636</v>
      </c>
      <c r="AU195" s="137">
        <f ca="1" t="shared" si="67"/>
        <v>2483.80000000002</v>
      </c>
      <c r="AV195" s="137">
        <f ca="1" t="shared" si="68"/>
        <v>0</v>
      </c>
      <c r="AW195">
        <f ca="1" t="shared" si="69"/>
        <v>6</v>
      </c>
    </row>
    <row r="196" spans="4:49">
      <c r="D196" s="134">
        <v>50</v>
      </c>
      <c r="E196" s="137">
        <f ca="1" t="shared" si="50"/>
        <v>6373.57142857141</v>
      </c>
      <c r="F196" s="137">
        <f ca="1" t="shared" si="51"/>
        <v>7895.23809523809</v>
      </c>
      <c r="G196" s="137">
        <f ca="1" t="shared" si="52"/>
        <v>12252.2857142857</v>
      </c>
      <c r="H196" s="137">
        <f ca="1" t="shared" si="53"/>
        <v>15933.3571428571</v>
      </c>
      <c r="J196" s="134">
        <v>50</v>
      </c>
      <c r="K196" s="137" cm="1">
        <f ca="1" t="array" ref="K196">IFERROR(MATCH(SUMPRODUCT($AP196:$AV196,TRANSPOSE(J$34:J$40))*10/K$145,梦灵属性!$K$56:$K$104,1),0)</f>
        <v>40</v>
      </c>
      <c r="L196" s="137" cm="1">
        <f ca="1" t="array" ref="L196">IFERROR(MATCH(SUMPRODUCT($AP196:$AV196,TRANSPOSE(K$34:K$40))*10/L$145,梦灵属性!$K$56:$K$104,1),0)</f>
        <v>30</v>
      </c>
      <c r="M196" s="137" cm="1">
        <f ca="1" t="array" ref="M196">IFERROR(MATCH(SUMPRODUCT($AP196:$AV196,TRANSPOSE(L$34:L$40))*10/M$145+(INT(J196/7)+1)*70,梦灵属性!$K$56:$K$104,1)+1,0)</f>
        <v>26</v>
      </c>
      <c r="N196" s="137" cm="1">
        <f ca="1" t="array" ref="N196">IFERROR(MATCH(SUMPRODUCT($AP196:$AV196,TRANSPOSE(M$34:M$40))*10/N$145+(INT((J196-14)/7)+1)*70,梦灵属性!$K$56:$K$104,1)+1,0)</f>
        <v>21</v>
      </c>
      <c r="O196" s="138">
        <f ca="1" t="shared" si="70"/>
        <v>11.5248</v>
      </c>
      <c r="P196">
        <f ca="1" t="shared" si="71"/>
        <v>317.532673206714</v>
      </c>
      <c r="R196" s="35"/>
      <c r="S196" s="35">
        <v>50</v>
      </c>
      <c r="T196" s="35">
        <v>36</v>
      </c>
      <c r="U196" s="35">
        <v>36</v>
      </c>
      <c r="V196" s="35">
        <v>52</v>
      </c>
      <c r="W196" s="35">
        <v>52</v>
      </c>
      <c r="Y196" s="35">
        <v>50</v>
      </c>
      <c r="Z196" s="3">
        <f t="shared" si="72"/>
        <v>470</v>
      </c>
      <c r="AA196" s="3">
        <f t="shared" si="73"/>
        <v>520</v>
      </c>
      <c r="AB196" s="3">
        <f t="shared" si="74"/>
        <v>520</v>
      </c>
      <c r="AC196" s="3">
        <f t="shared" si="75"/>
        <v>520</v>
      </c>
      <c r="AE196" s="134">
        <v>50</v>
      </c>
      <c r="AF196" s="137">
        <f ca="1" t="shared" si="54"/>
        <v>5</v>
      </c>
      <c r="AG196" s="137">
        <f ca="1" t="shared" si="55"/>
        <v>5</v>
      </c>
      <c r="AH196" s="137">
        <f ca="1" t="shared" si="56"/>
        <v>6</v>
      </c>
      <c r="AI196" s="137">
        <f ca="1" t="shared" si="57"/>
        <v>7</v>
      </c>
      <c r="AJ196" s="137" t="str">
        <f ca="1" t="shared" si="58"/>
        <v>海拉</v>
      </c>
      <c r="AK196" s="137" t="str">
        <f ca="1" t="shared" si="59"/>
        <v>海拉</v>
      </c>
      <c r="AL196" s="137" t="str">
        <f ca="1" t="shared" si="60"/>
        <v>海拉</v>
      </c>
      <c r="AM196" s="137" t="str">
        <f ca="1" t="shared" si="61"/>
        <v>海拉</v>
      </c>
      <c r="AO196" s="134">
        <v>50</v>
      </c>
      <c r="AP196" s="137">
        <f ca="1" t="shared" si="62"/>
        <v>450</v>
      </c>
      <c r="AQ196" s="137">
        <f ca="1" t="shared" si="63"/>
        <v>909</v>
      </c>
      <c r="AR196" s="137">
        <f ca="1" t="shared" si="64"/>
        <v>1818</v>
      </c>
      <c r="AS196" s="137">
        <f ca="1" t="shared" si="65"/>
        <v>2727</v>
      </c>
      <c r="AT196" s="137">
        <f ca="1" t="shared" si="66"/>
        <v>3636</v>
      </c>
      <c r="AU196" s="137">
        <f ca="1" t="shared" si="67"/>
        <v>2712.28571428573</v>
      </c>
      <c r="AV196" s="137">
        <f ca="1" t="shared" si="68"/>
        <v>0</v>
      </c>
      <c r="AW196">
        <f ca="1" t="shared" si="69"/>
        <v>6</v>
      </c>
    </row>
    <row r="197" spans="4:49">
      <c r="D197" s="134">
        <v>51</v>
      </c>
      <c r="E197" s="137">
        <f ca="1" t="shared" si="50"/>
        <v>6487.34285714283</v>
      </c>
      <c r="F197" s="137">
        <f ca="1" t="shared" si="51"/>
        <v>8038.34285714285</v>
      </c>
      <c r="G197" s="137">
        <f ca="1" t="shared" si="52"/>
        <v>12480.7714285714</v>
      </c>
      <c r="H197" s="137">
        <f ca="1" t="shared" si="53"/>
        <v>16235.4642857143</v>
      </c>
      <c r="J197" s="134">
        <v>51</v>
      </c>
      <c r="K197" s="137" cm="1">
        <f ca="1" t="array" ref="K197">IFERROR(MATCH(SUMPRODUCT($AP197:$AV197,TRANSPOSE(J$34:J$40))*10/K$145,梦灵属性!$K$56:$K$104,1),0)</f>
        <v>40</v>
      </c>
      <c r="L197" s="137" cm="1">
        <f ca="1" t="array" ref="L197">IFERROR(MATCH(SUMPRODUCT($AP197:$AV197,TRANSPOSE(K$34:K$40))*10/L$145,梦灵属性!$K$56:$K$104,1),0)</f>
        <v>30</v>
      </c>
      <c r="M197" s="137" cm="1">
        <f ca="1" t="array" ref="M197">IFERROR(MATCH(SUMPRODUCT($AP197:$AV197,TRANSPOSE(L$34:L$40))*10/M$145+(INT(J197/7)+1)*70,梦灵属性!$K$56:$K$104,1)+1,0)</f>
        <v>26</v>
      </c>
      <c r="N197" s="137" cm="1">
        <f ca="1" t="array" ref="N197">IFERROR(MATCH(SUMPRODUCT($AP197:$AV197,TRANSPOSE(M$34:M$40))*10/N$145+(INT((J197-14)/7)+1)*70,梦灵属性!$K$56:$K$104,1)+1,0)</f>
        <v>21</v>
      </c>
      <c r="O197" s="138">
        <f ca="1" t="shared" si="70"/>
        <v>11.5248</v>
      </c>
      <c r="P197">
        <f ca="1" t="shared" si="71"/>
        <v>323.200789780553</v>
      </c>
      <c r="R197" s="35"/>
      <c r="S197" s="35">
        <v>51</v>
      </c>
      <c r="T197" s="35">
        <v>36</v>
      </c>
      <c r="U197" s="35">
        <v>36</v>
      </c>
      <c r="V197" s="35">
        <v>52</v>
      </c>
      <c r="W197" s="35">
        <v>52</v>
      </c>
      <c r="Y197" s="35">
        <v>51</v>
      </c>
      <c r="Z197" s="3">
        <f t="shared" si="72"/>
        <v>470</v>
      </c>
      <c r="AA197" s="3">
        <f t="shared" si="73"/>
        <v>520</v>
      </c>
      <c r="AB197" s="3">
        <f t="shared" si="74"/>
        <v>520</v>
      </c>
      <c r="AC197" s="3">
        <f t="shared" si="75"/>
        <v>520</v>
      </c>
      <c r="AE197" s="134">
        <v>51</v>
      </c>
      <c r="AF197" s="137">
        <f ca="1" t="shared" si="54"/>
        <v>5</v>
      </c>
      <c r="AG197" s="137">
        <f ca="1" t="shared" si="55"/>
        <v>5</v>
      </c>
      <c r="AH197" s="137">
        <f ca="1" t="shared" si="56"/>
        <v>6</v>
      </c>
      <c r="AI197" s="137">
        <f ca="1" t="shared" si="57"/>
        <v>7</v>
      </c>
      <c r="AJ197" s="137" t="str">
        <f ca="1" t="shared" si="58"/>
        <v>海拉</v>
      </c>
      <c r="AK197" s="137" t="str">
        <f ca="1" t="shared" si="59"/>
        <v>海拉</v>
      </c>
      <c r="AL197" s="137" t="str">
        <f ca="1" t="shared" si="60"/>
        <v>海拉</v>
      </c>
      <c r="AM197" s="137" t="str">
        <f ca="1" t="shared" si="61"/>
        <v>海拉</v>
      </c>
      <c r="AO197" s="134">
        <v>51</v>
      </c>
      <c r="AP197" s="137">
        <f ca="1" t="shared" si="62"/>
        <v>450</v>
      </c>
      <c r="AQ197" s="137">
        <f ca="1" t="shared" si="63"/>
        <v>909</v>
      </c>
      <c r="AR197" s="137">
        <f ca="1" t="shared" si="64"/>
        <v>1818</v>
      </c>
      <c r="AS197" s="137">
        <f ca="1" t="shared" si="65"/>
        <v>2727</v>
      </c>
      <c r="AT197" s="137">
        <f ca="1" t="shared" si="66"/>
        <v>3636</v>
      </c>
      <c r="AU197" s="137">
        <f ca="1" t="shared" si="67"/>
        <v>2940.77142857145</v>
      </c>
      <c r="AV197" s="137">
        <f ca="1" t="shared" si="68"/>
        <v>0</v>
      </c>
      <c r="AW197">
        <f ca="1" t="shared" si="69"/>
        <v>6</v>
      </c>
    </row>
    <row r="198" spans="4:49">
      <c r="D198" s="134">
        <v>52</v>
      </c>
      <c r="E198" s="137">
        <f ca="1" t="shared" si="50"/>
        <v>6601.11428571426</v>
      </c>
      <c r="F198" s="137">
        <f ca="1" t="shared" si="51"/>
        <v>8181.44761904761</v>
      </c>
      <c r="G198" s="137">
        <f ca="1" t="shared" si="52"/>
        <v>12709.2571428572</v>
      </c>
      <c r="H198" s="137">
        <f ca="1" t="shared" si="53"/>
        <v>16537.5714285714</v>
      </c>
      <c r="J198" s="134">
        <v>52</v>
      </c>
      <c r="K198" s="137" cm="1">
        <f ca="1" t="array" ref="K198">IFERROR(MATCH(SUMPRODUCT($AP198:$AV198,TRANSPOSE(J$34:J$40))*10/K$145,梦灵属性!$K$56:$K$104,1),0)</f>
        <v>40</v>
      </c>
      <c r="L198" s="137" cm="1">
        <f ca="1" t="array" ref="L198">IFERROR(MATCH(SUMPRODUCT($AP198:$AV198,TRANSPOSE(K$34:K$40))*10/L$145,梦灵属性!$K$56:$K$104,1),0)</f>
        <v>30</v>
      </c>
      <c r="M198" s="137" cm="1">
        <f ca="1" t="array" ref="M198">IFERROR(MATCH(SUMPRODUCT($AP198:$AV198,TRANSPOSE(L$34:L$40))*10/M$145+(INT(J198/7)+1)*70,梦灵属性!$K$56:$K$104,1)+1,0)</f>
        <v>27</v>
      </c>
      <c r="N198" s="137" cm="1">
        <f ca="1" t="array" ref="N198">IFERROR(MATCH(SUMPRODUCT($AP198:$AV198,TRANSPOSE(M$34:M$40))*10/N$145+(INT((J198-14)/7)+1)*70,梦灵属性!$K$56:$K$104,1)+1,0)</f>
        <v>21</v>
      </c>
      <c r="O198" s="138">
        <f ca="1" t="shared" si="70"/>
        <v>11.5248</v>
      </c>
      <c r="P198">
        <f ca="1" t="shared" si="71"/>
        <v>328.868906354392</v>
      </c>
      <c r="R198" s="35"/>
      <c r="S198" s="35">
        <v>52</v>
      </c>
      <c r="T198" s="35">
        <v>36</v>
      </c>
      <c r="U198" s="35">
        <v>36</v>
      </c>
      <c r="V198" s="35">
        <v>52</v>
      </c>
      <c r="W198" s="35">
        <v>52</v>
      </c>
      <c r="Y198" s="35">
        <v>52</v>
      </c>
      <c r="Z198" s="3">
        <f t="shared" si="72"/>
        <v>470</v>
      </c>
      <c r="AA198" s="3">
        <f t="shared" si="73"/>
        <v>520</v>
      </c>
      <c r="AB198" s="3">
        <f t="shared" si="74"/>
        <v>520</v>
      </c>
      <c r="AC198" s="3">
        <f t="shared" si="75"/>
        <v>520</v>
      </c>
      <c r="AE198" s="134">
        <v>52</v>
      </c>
      <c r="AF198" s="137">
        <f ca="1" t="shared" si="54"/>
        <v>5</v>
      </c>
      <c r="AG198" s="137">
        <f ca="1" t="shared" si="55"/>
        <v>5</v>
      </c>
      <c r="AH198" s="137">
        <f ca="1" t="shared" si="56"/>
        <v>6</v>
      </c>
      <c r="AI198" s="137">
        <f ca="1" t="shared" si="57"/>
        <v>7</v>
      </c>
      <c r="AJ198" s="137" t="str">
        <f ca="1" t="shared" si="58"/>
        <v>海拉</v>
      </c>
      <c r="AK198" s="137" t="str">
        <f ca="1" t="shared" si="59"/>
        <v>海拉</v>
      </c>
      <c r="AL198" s="137" t="str">
        <f ca="1" t="shared" si="60"/>
        <v>海拉</v>
      </c>
      <c r="AM198" s="137" t="str">
        <f ca="1" t="shared" si="61"/>
        <v>海拉</v>
      </c>
      <c r="AO198" s="134">
        <v>52</v>
      </c>
      <c r="AP198" s="137">
        <f ca="1" t="shared" si="62"/>
        <v>450</v>
      </c>
      <c r="AQ198" s="137">
        <f ca="1" t="shared" si="63"/>
        <v>909</v>
      </c>
      <c r="AR198" s="137">
        <f ca="1" t="shared" si="64"/>
        <v>1818</v>
      </c>
      <c r="AS198" s="137">
        <f ca="1" t="shared" si="65"/>
        <v>2727</v>
      </c>
      <c r="AT198" s="137">
        <f ca="1" t="shared" si="66"/>
        <v>3636</v>
      </c>
      <c r="AU198" s="137">
        <f ca="1" t="shared" si="67"/>
        <v>3169.25714285716</v>
      </c>
      <c r="AV198" s="137">
        <f ca="1" t="shared" si="68"/>
        <v>0</v>
      </c>
      <c r="AW198">
        <f ca="1" t="shared" si="69"/>
        <v>6</v>
      </c>
    </row>
    <row r="199" spans="4:49">
      <c r="D199" s="134">
        <v>53</v>
      </c>
      <c r="E199" s="137">
        <f ca="1" t="shared" si="50"/>
        <v>6714.88571428569</v>
      </c>
      <c r="F199" s="137">
        <f ca="1" t="shared" si="51"/>
        <v>8324.55238095238</v>
      </c>
      <c r="G199" s="137">
        <f ca="1" t="shared" si="52"/>
        <v>12937.7428571429</v>
      </c>
      <c r="H199" s="137">
        <f ca="1" t="shared" si="53"/>
        <v>16839.6785714286</v>
      </c>
      <c r="J199" s="134">
        <v>53</v>
      </c>
      <c r="K199" s="137" cm="1">
        <f ca="1" t="array" ref="K199">IFERROR(MATCH(SUMPRODUCT($AP199:$AV199,TRANSPOSE(J$34:J$40))*10/K$145,梦灵属性!$K$56:$K$104,1),0)</f>
        <v>40</v>
      </c>
      <c r="L199" s="137" cm="1">
        <f ca="1" t="array" ref="L199">IFERROR(MATCH(SUMPRODUCT($AP199:$AV199,TRANSPOSE(K$34:K$40))*10/L$145,梦灵属性!$K$56:$K$104,1),0)</f>
        <v>30</v>
      </c>
      <c r="M199" s="137" cm="1">
        <f ca="1" t="array" ref="M199">IFERROR(MATCH(SUMPRODUCT($AP199:$AV199,TRANSPOSE(L$34:L$40))*10/M$145+(INT(J199/7)+1)*70,梦灵属性!$K$56:$K$104,1)+1,0)</f>
        <v>27</v>
      </c>
      <c r="N199" s="137" cm="1">
        <f ca="1" t="array" ref="N199">IFERROR(MATCH(SUMPRODUCT($AP199:$AV199,TRANSPOSE(M$34:M$40))*10/N$145+(INT((J199-14)/7)+1)*70,梦灵属性!$K$56:$K$104,1)+1,0)</f>
        <v>22</v>
      </c>
      <c r="O199" s="138">
        <f ca="1" t="shared" si="70"/>
        <v>11.90896</v>
      </c>
      <c r="P199">
        <f ca="1" t="shared" si="71"/>
        <v>330.109037094983</v>
      </c>
      <c r="R199" s="35"/>
      <c r="S199" s="35">
        <v>53</v>
      </c>
      <c r="T199" s="35">
        <v>36</v>
      </c>
      <c r="U199" s="35">
        <v>36</v>
      </c>
      <c r="V199" s="35">
        <v>52</v>
      </c>
      <c r="W199" s="35">
        <v>52</v>
      </c>
      <c r="Y199" s="35">
        <v>53</v>
      </c>
      <c r="Z199" s="3">
        <f t="shared" si="72"/>
        <v>470</v>
      </c>
      <c r="AA199" s="3">
        <f t="shared" si="73"/>
        <v>520</v>
      </c>
      <c r="AB199" s="3">
        <f t="shared" si="74"/>
        <v>520</v>
      </c>
      <c r="AC199" s="3">
        <f t="shared" si="75"/>
        <v>520</v>
      </c>
      <c r="AE199" s="134">
        <v>53</v>
      </c>
      <c r="AF199" s="137">
        <f ca="1" t="shared" si="54"/>
        <v>5</v>
      </c>
      <c r="AG199" s="137">
        <f ca="1" t="shared" si="55"/>
        <v>5</v>
      </c>
      <c r="AH199" s="137">
        <f ca="1" t="shared" si="56"/>
        <v>6</v>
      </c>
      <c r="AI199" s="137">
        <f ca="1" t="shared" si="57"/>
        <v>7</v>
      </c>
      <c r="AJ199" s="137" t="str">
        <f ca="1" t="shared" si="58"/>
        <v>海拉</v>
      </c>
      <c r="AK199" s="137" t="str">
        <f ca="1" t="shared" si="59"/>
        <v>海拉</v>
      </c>
      <c r="AL199" s="137" t="str">
        <f ca="1" t="shared" si="60"/>
        <v>海拉</v>
      </c>
      <c r="AM199" s="137" t="str">
        <f ca="1" t="shared" si="61"/>
        <v>海拉</v>
      </c>
      <c r="AO199" s="134">
        <v>53</v>
      </c>
      <c r="AP199" s="137">
        <f ca="1" t="shared" si="62"/>
        <v>450</v>
      </c>
      <c r="AQ199" s="137">
        <f ca="1" t="shared" si="63"/>
        <v>909</v>
      </c>
      <c r="AR199" s="137">
        <f ca="1" t="shared" si="64"/>
        <v>1818</v>
      </c>
      <c r="AS199" s="137">
        <f ca="1" t="shared" si="65"/>
        <v>2727</v>
      </c>
      <c r="AT199" s="137">
        <f ca="1" t="shared" si="66"/>
        <v>3636</v>
      </c>
      <c r="AU199" s="137">
        <f ca="1" t="shared" si="67"/>
        <v>3397.74285714287</v>
      </c>
      <c r="AV199" s="137">
        <f ca="1" t="shared" si="68"/>
        <v>0</v>
      </c>
      <c r="AW199">
        <f ca="1" t="shared" si="69"/>
        <v>6</v>
      </c>
    </row>
    <row r="200" spans="4:49">
      <c r="D200" s="134">
        <v>54</v>
      </c>
      <c r="E200" s="137">
        <f ca="1" t="shared" si="50"/>
        <v>6828.65714285712</v>
      </c>
      <c r="F200" s="137">
        <f ca="1" t="shared" si="51"/>
        <v>8467.65714285714</v>
      </c>
      <c r="G200" s="137">
        <f ca="1" t="shared" si="52"/>
        <v>13166.2285714286</v>
      </c>
      <c r="H200" s="137">
        <f ca="1" t="shared" si="53"/>
        <v>17141.7857142857</v>
      </c>
      <c r="J200" s="134">
        <v>54</v>
      </c>
      <c r="K200" s="137" cm="1">
        <f ca="1" t="array" ref="K200">IFERROR(MATCH(SUMPRODUCT($AP200:$AV200,TRANSPOSE(J$34:J$40))*10/K$145,梦灵属性!$K$56:$K$104,1),0)</f>
        <v>40</v>
      </c>
      <c r="L200" s="137" cm="1">
        <f ca="1" t="array" ref="L200">IFERROR(MATCH(SUMPRODUCT($AP200:$AV200,TRANSPOSE(K$34:K$40))*10/L$145,梦灵属性!$K$56:$K$104,1),0)</f>
        <v>31</v>
      </c>
      <c r="M200" s="137" cm="1">
        <f ca="1" t="array" ref="M200">IFERROR(MATCH(SUMPRODUCT($AP200:$AV200,TRANSPOSE(L$34:L$40))*10/M$145+(INT(J200/7)+1)*70,梦灵属性!$K$56:$K$104,1)+1,0)</f>
        <v>27</v>
      </c>
      <c r="N200" s="137" cm="1">
        <f ca="1" t="array" ref="N200">IFERROR(MATCH(SUMPRODUCT($AP200:$AV200,TRANSPOSE(M$34:M$40))*10/N$145+(INT((J200-14)/7)+1)*70,梦灵属性!$K$56:$K$104,1)+1,0)</f>
        <v>22</v>
      </c>
      <c r="O200" s="138">
        <f ca="1" t="shared" si="70"/>
        <v>11.90896</v>
      </c>
      <c r="P200">
        <f ca="1" t="shared" si="71"/>
        <v>335.702129566346</v>
      </c>
      <c r="R200" s="35"/>
      <c r="S200" s="35">
        <v>54</v>
      </c>
      <c r="T200" s="35">
        <v>36</v>
      </c>
      <c r="U200" s="35">
        <v>36</v>
      </c>
      <c r="V200" s="35">
        <v>52</v>
      </c>
      <c r="W200" s="35">
        <v>52</v>
      </c>
      <c r="Y200" s="35">
        <v>54</v>
      </c>
      <c r="Z200" s="3">
        <f t="shared" si="72"/>
        <v>470</v>
      </c>
      <c r="AA200" s="3">
        <f t="shared" si="73"/>
        <v>520</v>
      </c>
      <c r="AB200" s="3">
        <f t="shared" si="74"/>
        <v>520</v>
      </c>
      <c r="AC200" s="3">
        <f t="shared" si="75"/>
        <v>520</v>
      </c>
      <c r="AE200" s="134">
        <v>54</v>
      </c>
      <c r="AF200" s="137">
        <f ca="1" t="shared" si="54"/>
        <v>5</v>
      </c>
      <c r="AG200" s="137">
        <f ca="1" t="shared" si="55"/>
        <v>5</v>
      </c>
      <c r="AH200" s="137">
        <f ca="1" t="shared" si="56"/>
        <v>6</v>
      </c>
      <c r="AI200" s="137">
        <f ca="1" t="shared" si="57"/>
        <v>7</v>
      </c>
      <c r="AJ200" s="137" t="str">
        <f ca="1" t="shared" si="58"/>
        <v>海拉</v>
      </c>
      <c r="AK200" s="137" t="str">
        <f ca="1" t="shared" si="59"/>
        <v>海拉</v>
      </c>
      <c r="AL200" s="137" t="str">
        <f ca="1" t="shared" si="60"/>
        <v>海拉</v>
      </c>
      <c r="AM200" s="137" t="str">
        <f ca="1" t="shared" si="61"/>
        <v>海拉</v>
      </c>
      <c r="AO200" s="134">
        <v>54</v>
      </c>
      <c r="AP200" s="137">
        <f ca="1" t="shared" si="62"/>
        <v>450</v>
      </c>
      <c r="AQ200" s="137">
        <f ca="1" t="shared" si="63"/>
        <v>909</v>
      </c>
      <c r="AR200" s="137">
        <f ca="1" t="shared" si="64"/>
        <v>1818</v>
      </c>
      <c r="AS200" s="137">
        <f ca="1" t="shared" si="65"/>
        <v>2727</v>
      </c>
      <c r="AT200" s="137">
        <f ca="1" t="shared" si="66"/>
        <v>3636</v>
      </c>
      <c r="AU200" s="137">
        <f ca="1" t="shared" si="67"/>
        <v>3626.22857142859</v>
      </c>
      <c r="AV200" s="137">
        <f ca="1" t="shared" si="68"/>
        <v>0</v>
      </c>
      <c r="AW200">
        <f ca="1" t="shared" si="69"/>
        <v>6</v>
      </c>
    </row>
    <row r="201" spans="4:49">
      <c r="D201" s="134">
        <v>55</v>
      </c>
      <c r="E201" s="137">
        <f ca="1" t="shared" si="50"/>
        <v>6942.42857142855</v>
      </c>
      <c r="F201" s="137">
        <f ca="1" t="shared" si="51"/>
        <v>8610.7619047619</v>
      </c>
      <c r="G201" s="137">
        <f ca="1" t="shared" si="52"/>
        <v>13394.7142857143</v>
      </c>
      <c r="H201" s="137">
        <f ca="1" t="shared" si="53"/>
        <v>17443.8928571428</v>
      </c>
      <c r="J201" s="134">
        <v>55</v>
      </c>
      <c r="K201" s="137" cm="1">
        <f ca="1" t="array" ref="K201">IFERROR(MATCH(SUMPRODUCT($AP201:$AV201,TRANSPOSE(J$34:J$40))*10/K$145,梦灵属性!$K$56:$K$104,1),0)</f>
        <v>40</v>
      </c>
      <c r="L201" s="137" cm="1">
        <f ca="1" t="array" ref="L201">IFERROR(MATCH(SUMPRODUCT($AP201:$AV201,TRANSPOSE(K$34:K$40))*10/L$145,梦灵属性!$K$56:$K$104,1),0)</f>
        <v>31</v>
      </c>
      <c r="M201" s="137" cm="1">
        <f ca="1" t="array" ref="M201">IFERROR(MATCH(SUMPRODUCT($AP201:$AV201,TRANSPOSE(L$34:L$40))*10/M$145+(INT(J201/7)+1)*70,梦灵属性!$K$56:$K$104,1)+1,0)</f>
        <v>27</v>
      </c>
      <c r="N201" s="137" cm="1">
        <f ca="1" t="array" ref="N201">IFERROR(MATCH(SUMPRODUCT($AP201:$AV201,TRANSPOSE(M$34:M$40))*10/N$145+(INT((J201-14)/7)+1)*70,梦灵属性!$K$56:$K$104,1)+1,0)</f>
        <v>22</v>
      </c>
      <c r="O201" s="138">
        <f ca="1" t="shared" si="70"/>
        <v>11.90896</v>
      </c>
      <c r="P201">
        <f ca="1" t="shared" si="71"/>
        <v>341.295222037709</v>
      </c>
      <c r="R201" s="35"/>
      <c r="S201" s="35">
        <v>55</v>
      </c>
      <c r="T201" s="35">
        <v>36</v>
      </c>
      <c r="U201" s="35">
        <v>36</v>
      </c>
      <c r="V201" s="35">
        <v>52</v>
      </c>
      <c r="W201" s="35">
        <v>52</v>
      </c>
      <c r="Y201" s="35">
        <v>55</v>
      </c>
      <c r="Z201" s="3">
        <f t="shared" si="72"/>
        <v>470</v>
      </c>
      <c r="AA201" s="3">
        <f t="shared" si="73"/>
        <v>520</v>
      </c>
      <c r="AB201" s="3">
        <f t="shared" si="74"/>
        <v>520</v>
      </c>
      <c r="AC201" s="3">
        <f t="shared" si="75"/>
        <v>520</v>
      </c>
      <c r="AE201" s="134">
        <v>55</v>
      </c>
      <c r="AF201" s="137">
        <f ca="1" t="shared" si="54"/>
        <v>5</v>
      </c>
      <c r="AG201" s="137">
        <f ca="1" t="shared" si="55"/>
        <v>5</v>
      </c>
      <c r="AH201" s="137">
        <f ca="1" t="shared" si="56"/>
        <v>6</v>
      </c>
      <c r="AI201" s="137">
        <f ca="1" t="shared" si="57"/>
        <v>7</v>
      </c>
      <c r="AJ201" s="137" t="str">
        <f ca="1" t="shared" si="58"/>
        <v>海拉</v>
      </c>
      <c r="AK201" s="137" t="str">
        <f ca="1" t="shared" si="59"/>
        <v>海拉</v>
      </c>
      <c r="AL201" s="137" t="str">
        <f ca="1" t="shared" si="60"/>
        <v>海拉</v>
      </c>
      <c r="AM201" s="137" t="str">
        <f ca="1" t="shared" si="61"/>
        <v>海拉</v>
      </c>
      <c r="AO201" s="134">
        <v>55</v>
      </c>
      <c r="AP201" s="137">
        <f ca="1" t="shared" si="62"/>
        <v>450</v>
      </c>
      <c r="AQ201" s="137">
        <f ca="1" t="shared" si="63"/>
        <v>909</v>
      </c>
      <c r="AR201" s="137">
        <f ca="1" t="shared" si="64"/>
        <v>1818</v>
      </c>
      <c r="AS201" s="137">
        <f ca="1" t="shared" si="65"/>
        <v>2727</v>
      </c>
      <c r="AT201" s="137">
        <f ca="1" t="shared" si="66"/>
        <v>3636</v>
      </c>
      <c r="AU201" s="137">
        <f ca="1" t="shared" si="67"/>
        <v>3854.7142857143</v>
      </c>
      <c r="AV201" s="137">
        <f ca="1" t="shared" si="68"/>
        <v>0</v>
      </c>
      <c r="AW201">
        <f ca="1" t="shared" si="69"/>
        <v>6</v>
      </c>
    </row>
    <row r="202" spans="4:49">
      <c r="D202" s="134">
        <v>56</v>
      </c>
      <c r="E202" s="137">
        <f ca="1" t="shared" si="50"/>
        <v>7056.19999999997</v>
      </c>
      <c r="F202" s="137">
        <f ca="1" t="shared" si="51"/>
        <v>8753.86666666666</v>
      </c>
      <c r="G202" s="137">
        <f ca="1" t="shared" si="52"/>
        <v>13623.2</v>
      </c>
      <c r="H202" s="137">
        <f ca="1" t="shared" si="53"/>
        <v>17746</v>
      </c>
      <c r="J202" s="134">
        <v>56</v>
      </c>
      <c r="K202" s="137" cm="1">
        <f ca="1" t="array" ref="K202">IFERROR(MATCH(SUMPRODUCT($AP202:$AV202,TRANSPOSE(J$34:J$40))*10/K$145,梦灵属性!$K$56:$K$104,1),0)</f>
        <v>40</v>
      </c>
      <c r="L202" s="137" cm="1">
        <f ca="1" t="array" ref="L202">IFERROR(MATCH(SUMPRODUCT($AP202:$AV202,TRANSPOSE(K$34:K$40))*10/L$145,梦灵属性!$K$56:$K$104,1),0)</f>
        <v>31</v>
      </c>
      <c r="M202" s="137" cm="1">
        <f ca="1" t="array" ref="M202">IFERROR(MATCH(SUMPRODUCT($AP202:$AV202,TRANSPOSE(L$34:L$40))*10/M$145+(INT(J202/7)+1)*70,梦灵属性!$K$56:$K$104,1)+1,0)</f>
        <v>27</v>
      </c>
      <c r="N202" s="137" cm="1">
        <f ca="1" t="array" ref="N202">IFERROR(MATCH(SUMPRODUCT($AP202:$AV202,TRANSPOSE(M$34:M$40))*10/N$145+(INT((J202-14)/7)+1)*70,梦灵属性!$K$56:$K$104,1)+1,0)</f>
        <v>23</v>
      </c>
      <c r="O202" s="138">
        <f ca="1" t="shared" si="70"/>
        <v>12.29312</v>
      </c>
      <c r="P202">
        <f ca="1" t="shared" si="71"/>
        <v>342.49888527879</v>
      </c>
      <c r="R202" s="35"/>
      <c r="S202" s="35">
        <v>56</v>
      </c>
      <c r="T202" s="35">
        <v>36</v>
      </c>
      <c r="U202" s="35">
        <v>36</v>
      </c>
      <c r="V202" s="35">
        <v>52</v>
      </c>
      <c r="W202" s="35">
        <v>52</v>
      </c>
      <c r="Y202" s="35">
        <v>56</v>
      </c>
      <c r="Z202" s="3">
        <f t="shared" si="72"/>
        <v>470</v>
      </c>
      <c r="AA202" s="3">
        <f t="shared" si="73"/>
        <v>520</v>
      </c>
      <c r="AB202" s="3">
        <f t="shared" si="74"/>
        <v>520</v>
      </c>
      <c r="AC202" s="3">
        <f t="shared" si="75"/>
        <v>520</v>
      </c>
      <c r="AE202" s="134">
        <v>56</v>
      </c>
      <c r="AF202" s="137">
        <f ca="1" t="shared" si="54"/>
        <v>5</v>
      </c>
      <c r="AG202" s="137">
        <f ca="1" t="shared" si="55"/>
        <v>5</v>
      </c>
      <c r="AH202" s="137">
        <f ca="1" t="shared" si="56"/>
        <v>6</v>
      </c>
      <c r="AI202" s="137">
        <f ca="1" t="shared" si="57"/>
        <v>7</v>
      </c>
      <c r="AJ202" s="137" t="str">
        <f ca="1" t="shared" si="58"/>
        <v>海拉</v>
      </c>
      <c r="AK202" s="137" t="str">
        <f ca="1" t="shared" si="59"/>
        <v>海拉</v>
      </c>
      <c r="AL202" s="137" t="str">
        <f ca="1" t="shared" si="60"/>
        <v>海拉</v>
      </c>
      <c r="AM202" s="137" t="str">
        <f ca="1" t="shared" si="61"/>
        <v>海拉</v>
      </c>
      <c r="AO202" s="134">
        <v>56</v>
      </c>
      <c r="AP202" s="137">
        <f ca="1" t="shared" si="62"/>
        <v>450</v>
      </c>
      <c r="AQ202" s="137">
        <f ca="1" t="shared" si="63"/>
        <v>909</v>
      </c>
      <c r="AR202" s="137">
        <f ca="1" t="shared" si="64"/>
        <v>1818</v>
      </c>
      <c r="AS202" s="137">
        <f ca="1" t="shared" si="65"/>
        <v>2727</v>
      </c>
      <c r="AT202" s="137">
        <f ca="1" t="shared" si="66"/>
        <v>3636</v>
      </c>
      <c r="AU202" s="137">
        <f ca="1" t="shared" si="67"/>
        <v>4083.20000000002</v>
      </c>
      <c r="AV202" s="137">
        <f ca="1" t="shared" si="68"/>
        <v>0</v>
      </c>
      <c r="AW202">
        <f ca="1" t="shared" si="69"/>
        <v>6</v>
      </c>
    </row>
    <row r="203" spans="4:49">
      <c r="D203" s="134">
        <v>57</v>
      </c>
      <c r="E203" s="137">
        <f ca="1" t="shared" si="50"/>
        <v>7169.9714285714</v>
      </c>
      <c r="F203" s="137">
        <f ca="1" t="shared" si="51"/>
        <v>8896.97142857142</v>
      </c>
      <c r="G203" s="137">
        <f ca="1" t="shared" si="52"/>
        <v>13851.6857142857</v>
      </c>
      <c r="H203" s="137">
        <f ca="1" t="shared" si="53"/>
        <v>18048.1071428571</v>
      </c>
      <c r="J203" s="134">
        <v>57</v>
      </c>
      <c r="K203" s="137" cm="1">
        <f ca="1" t="array" ref="K203">IFERROR(MATCH(SUMPRODUCT($AP203:$AV203,TRANSPOSE(J$34:J$40))*10/K$145,梦灵属性!$K$56:$K$104,1),0)</f>
        <v>41</v>
      </c>
      <c r="L203" s="137" cm="1">
        <f ca="1" t="array" ref="L203">IFERROR(MATCH(SUMPRODUCT($AP203:$AV203,TRANSPOSE(K$34:K$40))*10/L$145,梦灵属性!$K$56:$K$104,1),0)</f>
        <v>31</v>
      </c>
      <c r="M203" s="137" cm="1">
        <f ca="1" t="array" ref="M203">IFERROR(MATCH(SUMPRODUCT($AP203:$AV203,TRANSPOSE(L$34:L$40))*10/M$145+(INT(J203/7)+1)*70,梦灵属性!$K$56:$K$104,1)+1,0)</f>
        <v>28</v>
      </c>
      <c r="N203" s="137" cm="1">
        <f ca="1" t="array" ref="N203">IFERROR(MATCH(SUMPRODUCT($AP203:$AV203,TRANSPOSE(M$34:M$40))*10/N$145+(INT((J203-14)/7)+1)*70,梦灵属性!$K$56:$K$104,1)+1,0)</f>
        <v>23</v>
      </c>
      <c r="O203" s="138">
        <f ca="1" t="shared" si="70"/>
        <v>12.29312</v>
      </c>
      <c r="P203">
        <f ca="1" t="shared" si="71"/>
        <v>348.02120429785</v>
      </c>
      <c r="R203" s="35"/>
      <c r="S203" s="35">
        <v>57</v>
      </c>
      <c r="T203" s="35">
        <v>36</v>
      </c>
      <c r="U203" s="35">
        <v>36</v>
      </c>
      <c r="V203" s="35">
        <v>52</v>
      </c>
      <c r="W203" s="35">
        <v>52</v>
      </c>
      <c r="Y203" s="35">
        <v>57</v>
      </c>
      <c r="Z203" s="3">
        <f t="shared" si="72"/>
        <v>470</v>
      </c>
      <c r="AA203" s="3">
        <f t="shared" si="73"/>
        <v>520</v>
      </c>
      <c r="AB203" s="3">
        <f t="shared" si="74"/>
        <v>520</v>
      </c>
      <c r="AC203" s="3">
        <f t="shared" si="75"/>
        <v>520</v>
      </c>
      <c r="AE203" s="134">
        <v>57</v>
      </c>
      <c r="AF203" s="137">
        <f ca="1" t="shared" si="54"/>
        <v>5</v>
      </c>
      <c r="AG203" s="137">
        <f ca="1" t="shared" si="55"/>
        <v>5</v>
      </c>
      <c r="AH203" s="137">
        <f ca="1" t="shared" si="56"/>
        <v>6</v>
      </c>
      <c r="AI203" s="137">
        <f ca="1" t="shared" si="57"/>
        <v>7</v>
      </c>
      <c r="AJ203" s="137" t="str">
        <f ca="1" t="shared" si="58"/>
        <v>海拉</v>
      </c>
      <c r="AK203" s="137" t="str">
        <f ca="1" t="shared" si="59"/>
        <v>海拉</v>
      </c>
      <c r="AL203" s="137" t="str">
        <f ca="1" t="shared" si="60"/>
        <v>海拉</v>
      </c>
      <c r="AM203" s="137" t="str">
        <f ca="1" t="shared" si="61"/>
        <v>海拉</v>
      </c>
      <c r="AO203" s="134">
        <v>57</v>
      </c>
      <c r="AP203" s="137">
        <f ca="1" t="shared" si="62"/>
        <v>450</v>
      </c>
      <c r="AQ203" s="137">
        <f ca="1" t="shared" si="63"/>
        <v>909</v>
      </c>
      <c r="AR203" s="137">
        <f ca="1" t="shared" si="64"/>
        <v>1818</v>
      </c>
      <c r="AS203" s="137">
        <f ca="1" t="shared" si="65"/>
        <v>2727</v>
      </c>
      <c r="AT203" s="137">
        <f ca="1" t="shared" si="66"/>
        <v>3636</v>
      </c>
      <c r="AU203" s="137">
        <f ca="1" t="shared" si="67"/>
        <v>4311.68571428573</v>
      </c>
      <c r="AV203" s="137">
        <f ca="1" t="shared" si="68"/>
        <v>0</v>
      </c>
      <c r="AW203">
        <f ca="1" t="shared" si="69"/>
        <v>6</v>
      </c>
    </row>
    <row r="204" spans="4:49">
      <c r="D204" s="134">
        <v>58</v>
      </c>
      <c r="E204" s="137">
        <f ca="1" t="shared" si="50"/>
        <v>7283.74285714283</v>
      </c>
      <c r="F204" s="137">
        <f ca="1" t="shared" si="51"/>
        <v>9040.07619047618</v>
      </c>
      <c r="G204" s="137">
        <f ca="1" t="shared" si="52"/>
        <v>14080.1714285714</v>
      </c>
      <c r="H204" s="137">
        <f ca="1" t="shared" si="53"/>
        <v>18350.2142857143</v>
      </c>
      <c r="J204" s="134">
        <v>58</v>
      </c>
      <c r="K204" s="137" cm="1">
        <f ca="1" t="array" ref="K204">IFERROR(MATCH(SUMPRODUCT($AP204:$AV204,TRANSPOSE(J$34:J$40))*10/K$145,梦灵属性!$K$56:$K$104,1),0)</f>
        <v>41</v>
      </c>
      <c r="L204" s="137" cm="1">
        <f ca="1" t="array" ref="L204">IFERROR(MATCH(SUMPRODUCT($AP204:$AV204,TRANSPOSE(K$34:K$40))*10/L$145,梦灵属性!$K$56:$K$104,1),0)</f>
        <v>31</v>
      </c>
      <c r="M204" s="137" cm="1">
        <f ca="1" t="array" ref="M204">IFERROR(MATCH(SUMPRODUCT($AP204:$AV204,TRANSPOSE(L$34:L$40))*10/M$145+(INT(J204/7)+1)*70,梦灵属性!$K$56:$K$104,1)+1,0)</f>
        <v>28</v>
      </c>
      <c r="N204" s="137" cm="1">
        <f ca="1" t="array" ref="N204">IFERROR(MATCH(SUMPRODUCT($AP204:$AV204,TRANSPOSE(M$34:M$40))*10/N$145+(INT((J204-14)/7)+1)*70,梦灵属性!$K$56:$K$104,1)+1,0)</f>
        <v>23</v>
      </c>
      <c r="O204" s="138">
        <f ca="1" t="shared" si="70"/>
        <v>12.29312</v>
      </c>
      <c r="P204">
        <f ca="1" t="shared" si="71"/>
        <v>353.54352331691</v>
      </c>
      <c r="R204" s="35"/>
      <c r="S204" s="35">
        <v>58</v>
      </c>
      <c r="T204" s="35">
        <v>36</v>
      </c>
      <c r="U204" s="35">
        <v>36</v>
      </c>
      <c r="V204" s="35">
        <v>52</v>
      </c>
      <c r="W204" s="35">
        <v>52</v>
      </c>
      <c r="Y204" s="35">
        <v>58</v>
      </c>
      <c r="Z204" s="3">
        <f t="shared" si="72"/>
        <v>470</v>
      </c>
      <c r="AA204" s="3">
        <f t="shared" si="73"/>
        <v>520</v>
      </c>
      <c r="AB204" s="3">
        <f t="shared" si="74"/>
        <v>520</v>
      </c>
      <c r="AC204" s="3">
        <f t="shared" si="75"/>
        <v>520</v>
      </c>
      <c r="AE204" s="134">
        <v>58</v>
      </c>
      <c r="AF204" s="137">
        <f ca="1" t="shared" si="54"/>
        <v>5</v>
      </c>
      <c r="AG204" s="137">
        <f ca="1" t="shared" si="55"/>
        <v>5</v>
      </c>
      <c r="AH204" s="137">
        <f ca="1" t="shared" si="56"/>
        <v>6</v>
      </c>
      <c r="AI204" s="137">
        <f ca="1" t="shared" si="57"/>
        <v>7</v>
      </c>
      <c r="AJ204" s="137" t="str">
        <f ca="1" t="shared" si="58"/>
        <v>海拉</v>
      </c>
      <c r="AK204" s="137" t="str">
        <f ca="1" t="shared" si="59"/>
        <v>海拉</v>
      </c>
      <c r="AL204" s="137" t="str">
        <f ca="1" t="shared" si="60"/>
        <v>海拉</v>
      </c>
      <c r="AM204" s="137" t="str">
        <f ca="1" t="shared" si="61"/>
        <v>海拉</v>
      </c>
      <c r="AO204" s="134">
        <v>58</v>
      </c>
      <c r="AP204" s="137">
        <f ca="1" t="shared" si="62"/>
        <v>450</v>
      </c>
      <c r="AQ204" s="137">
        <f ca="1" t="shared" si="63"/>
        <v>909</v>
      </c>
      <c r="AR204" s="137">
        <f ca="1" t="shared" si="64"/>
        <v>1818</v>
      </c>
      <c r="AS204" s="137">
        <f ca="1" t="shared" si="65"/>
        <v>2727</v>
      </c>
      <c r="AT204" s="137">
        <f ca="1" t="shared" si="66"/>
        <v>3636</v>
      </c>
      <c r="AU204" s="137">
        <f ca="1" t="shared" si="67"/>
        <v>4540.17142857145</v>
      </c>
      <c r="AV204" s="137">
        <f ca="1" t="shared" si="68"/>
        <v>0</v>
      </c>
      <c r="AW204">
        <f ca="1" t="shared" si="69"/>
        <v>6</v>
      </c>
    </row>
    <row r="205" spans="4:49">
      <c r="D205" s="134">
        <v>59</v>
      </c>
      <c r="E205" s="137">
        <f ca="1" t="shared" si="50"/>
        <v>7397.51428571426</v>
      </c>
      <c r="F205" s="137">
        <f ca="1" t="shared" si="51"/>
        <v>9183.18095238095</v>
      </c>
      <c r="G205" s="137">
        <f ca="1" t="shared" si="52"/>
        <v>14308.6571428572</v>
      </c>
      <c r="H205" s="137">
        <f ca="1" t="shared" si="53"/>
        <v>18652.3214285714</v>
      </c>
      <c r="J205" s="134">
        <v>59</v>
      </c>
      <c r="K205" s="137" cm="1">
        <f ca="1" t="array" ref="K205">IFERROR(MATCH(SUMPRODUCT($AP205:$AV205,TRANSPOSE(J$34:J$40))*10/K$145,梦灵属性!$K$56:$K$104,1),0)</f>
        <v>41</v>
      </c>
      <c r="L205" s="137" cm="1">
        <f ca="1" t="array" ref="L205">IFERROR(MATCH(SUMPRODUCT($AP205:$AV205,TRANSPOSE(K$34:K$40))*10/L$145,梦灵属性!$K$56:$K$104,1),0)</f>
        <v>31</v>
      </c>
      <c r="M205" s="137" cm="1">
        <f ca="1" t="array" ref="M205">IFERROR(MATCH(SUMPRODUCT($AP205:$AV205,TRANSPOSE(L$34:L$40))*10/M$145+(INT(J205/7)+1)*70,梦灵属性!$K$56:$K$104,1)+1,0)</f>
        <v>28</v>
      </c>
      <c r="N205" s="137" cm="1">
        <f ca="1" t="array" ref="N205">IFERROR(MATCH(SUMPRODUCT($AP205:$AV205,TRANSPOSE(M$34:M$40))*10/N$145+(INT((J205-14)/7)+1)*70,梦灵属性!$K$56:$K$104,1)+1,0)</f>
        <v>24</v>
      </c>
      <c r="O205" s="138">
        <f ca="1" t="shared" si="70"/>
        <v>12.67728</v>
      </c>
      <c r="P205">
        <f ca="1" t="shared" si="71"/>
        <v>354.71549904899</v>
      </c>
      <c r="R205" s="35"/>
      <c r="S205" s="35">
        <v>59</v>
      </c>
      <c r="T205" s="35">
        <v>36</v>
      </c>
      <c r="U205" s="35">
        <v>36</v>
      </c>
      <c r="V205" s="35">
        <v>52</v>
      </c>
      <c r="W205" s="35">
        <v>52</v>
      </c>
      <c r="Y205" s="35">
        <v>59</v>
      </c>
      <c r="Z205" s="3">
        <f t="shared" si="72"/>
        <v>470</v>
      </c>
      <c r="AA205" s="3">
        <f t="shared" si="73"/>
        <v>520</v>
      </c>
      <c r="AB205" s="3">
        <f t="shared" si="74"/>
        <v>520</v>
      </c>
      <c r="AC205" s="3">
        <f t="shared" si="75"/>
        <v>520</v>
      </c>
      <c r="AE205" s="134">
        <v>59</v>
      </c>
      <c r="AF205" s="137">
        <f ca="1" t="shared" si="54"/>
        <v>5</v>
      </c>
      <c r="AG205" s="137">
        <f ca="1" t="shared" si="55"/>
        <v>5</v>
      </c>
      <c r="AH205" s="137">
        <f ca="1" t="shared" si="56"/>
        <v>7</v>
      </c>
      <c r="AI205" s="137">
        <f ca="1" t="shared" si="57"/>
        <v>7</v>
      </c>
      <c r="AJ205" s="137" t="str">
        <f ca="1" t="shared" si="58"/>
        <v>海拉</v>
      </c>
      <c r="AK205" s="137" t="str">
        <f ca="1" t="shared" si="59"/>
        <v>海拉</v>
      </c>
      <c r="AL205" s="137" t="str">
        <f ca="1" t="shared" si="60"/>
        <v>海拉</v>
      </c>
      <c r="AM205" s="137" t="str">
        <f ca="1" t="shared" si="61"/>
        <v>海拉</v>
      </c>
      <c r="AO205" s="134">
        <v>59</v>
      </c>
      <c r="AP205" s="137">
        <f ca="1" t="shared" si="62"/>
        <v>450</v>
      </c>
      <c r="AQ205" s="137">
        <f ca="1" t="shared" si="63"/>
        <v>909</v>
      </c>
      <c r="AR205" s="137">
        <f ca="1" t="shared" si="64"/>
        <v>1818</v>
      </c>
      <c r="AS205" s="137">
        <f ca="1" t="shared" si="65"/>
        <v>2727</v>
      </c>
      <c r="AT205" s="137">
        <f ca="1" t="shared" si="66"/>
        <v>3636</v>
      </c>
      <c r="AU205" s="137">
        <f ca="1" t="shared" si="67"/>
        <v>4545</v>
      </c>
      <c r="AV205" s="137">
        <f ca="1" t="shared" si="68"/>
        <v>223.657142857164</v>
      </c>
      <c r="AW205">
        <f ca="1" t="shared" si="69"/>
        <v>7</v>
      </c>
    </row>
    <row r="206" spans="4:49">
      <c r="D206" s="134">
        <v>60</v>
      </c>
      <c r="E206" s="137">
        <f ca="1" t="shared" si="50"/>
        <v>7511.28571428569</v>
      </c>
      <c r="F206" s="137">
        <f ca="1" t="shared" si="51"/>
        <v>9326.28571428571</v>
      </c>
      <c r="G206" s="137">
        <f ca="1" t="shared" si="52"/>
        <v>14537.1428571429</v>
      </c>
      <c r="H206" s="137">
        <f ca="1" t="shared" si="53"/>
        <v>18954.4285714286</v>
      </c>
      <c r="J206" s="134">
        <v>60</v>
      </c>
      <c r="K206" s="137" cm="1">
        <f ca="1" t="array" ref="K206">IFERROR(MATCH(SUMPRODUCT($AP206:$AV206,TRANSPOSE(J$34:J$40))*10/K$145,梦灵属性!$K$56:$K$104,1),0)</f>
        <v>41</v>
      </c>
      <c r="L206" s="137" cm="1">
        <f ca="1" t="array" ref="L206">IFERROR(MATCH(SUMPRODUCT($AP206:$AV206,TRANSPOSE(K$34:K$40))*10/L$145,梦灵属性!$K$56:$K$104,1),0)</f>
        <v>31</v>
      </c>
      <c r="M206" s="137" cm="1">
        <f ca="1" t="array" ref="M206">IFERROR(MATCH(SUMPRODUCT($AP206:$AV206,TRANSPOSE(L$34:L$40))*10/M$145+(INT(J206/7)+1)*70,梦灵属性!$K$56:$K$104,1)+1,0)</f>
        <v>28</v>
      </c>
      <c r="N206" s="137" cm="1">
        <f ca="1" t="array" ref="N206">IFERROR(MATCH(SUMPRODUCT($AP206:$AV206,TRANSPOSE(M$34:M$40))*10/N$145+(INT((J206-14)/7)+1)*70,梦灵属性!$K$56:$K$104,1)+1,0)</f>
        <v>24</v>
      </c>
      <c r="O206" s="138">
        <f ca="1" t="shared" si="70"/>
        <v>12.67728</v>
      </c>
      <c r="P206">
        <f ca="1" t="shared" si="71"/>
        <v>360.17091116508</v>
      </c>
      <c r="R206" s="35"/>
      <c r="S206" s="35">
        <v>60</v>
      </c>
      <c r="T206" s="35">
        <v>36</v>
      </c>
      <c r="U206" s="35">
        <v>36</v>
      </c>
      <c r="V206" s="35">
        <v>52</v>
      </c>
      <c r="W206" s="35">
        <v>52</v>
      </c>
      <c r="Y206" s="35">
        <v>60</v>
      </c>
      <c r="Z206" s="3">
        <f t="shared" si="72"/>
        <v>470</v>
      </c>
      <c r="AA206" s="3">
        <f t="shared" si="73"/>
        <v>520</v>
      </c>
      <c r="AB206" s="3">
        <f t="shared" si="74"/>
        <v>520</v>
      </c>
      <c r="AC206" s="3">
        <f t="shared" si="75"/>
        <v>520</v>
      </c>
      <c r="AE206" s="134">
        <v>60</v>
      </c>
      <c r="AF206" s="137">
        <f ca="1" t="shared" si="54"/>
        <v>5</v>
      </c>
      <c r="AG206" s="137">
        <f ca="1" t="shared" si="55"/>
        <v>5</v>
      </c>
      <c r="AH206" s="137">
        <f ca="1" t="shared" si="56"/>
        <v>7</v>
      </c>
      <c r="AI206" s="137">
        <f ca="1" t="shared" si="57"/>
        <v>7</v>
      </c>
      <c r="AJ206" s="137" t="str">
        <f ca="1" t="shared" si="58"/>
        <v>海拉</v>
      </c>
      <c r="AK206" s="137" t="str">
        <f ca="1" t="shared" si="59"/>
        <v>海拉</v>
      </c>
      <c r="AL206" s="137" t="str">
        <f ca="1" t="shared" si="60"/>
        <v>海拉</v>
      </c>
      <c r="AM206" s="137" t="str">
        <f ca="1" t="shared" si="61"/>
        <v>海拉</v>
      </c>
      <c r="AO206" s="134">
        <v>60</v>
      </c>
      <c r="AP206" s="137">
        <f ca="1" t="shared" si="62"/>
        <v>450</v>
      </c>
      <c r="AQ206" s="137">
        <f ca="1" t="shared" si="63"/>
        <v>909</v>
      </c>
      <c r="AR206" s="137">
        <f ca="1" t="shared" si="64"/>
        <v>1818</v>
      </c>
      <c r="AS206" s="137">
        <f ca="1" t="shared" si="65"/>
        <v>2727</v>
      </c>
      <c r="AT206" s="137">
        <f ca="1" t="shared" si="66"/>
        <v>3636</v>
      </c>
      <c r="AU206" s="137">
        <f ca="1" t="shared" si="67"/>
        <v>4545</v>
      </c>
      <c r="AV206" s="137">
        <f ca="1" t="shared" si="68"/>
        <v>452.142857142877</v>
      </c>
      <c r="AW206">
        <f ca="1" t="shared" si="69"/>
        <v>7</v>
      </c>
    </row>
    <row r="207" spans="4:49">
      <c r="N207" s="22"/>
      <c r="O207" s="138"/>
      <c r="R207" s="22"/>
      <c r="S207" s="22"/>
      <c r="T207" s="22"/>
      <c r="U207" s="22"/>
      <c r="V207" s="22"/>
    </row>
    <row r="208" spans="4:49">
      <c r="N208" s="22"/>
      <c r="O208" s="138"/>
      <c r="R208" s="22"/>
      <c r="S208" s="22"/>
      <c r="T208" s="22"/>
      <c r="U208" s="22"/>
      <c r="V208" s="22"/>
    </row>
    <row r="209" spans="14:22">
      <c r="N209" s="22"/>
      <c r="O209" s="138"/>
      <c r="R209" s="22"/>
      <c r="S209" s="22"/>
      <c r="T209" s="22"/>
      <c r="U209" s="22"/>
      <c r="V209" s="22"/>
    </row>
    <row r="210" spans="14:22">
      <c r="N210" s="22"/>
      <c r="O210" s="138"/>
      <c r="R210" s="22"/>
      <c r="S210" s="22"/>
      <c r="T210" s="22"/>
      <c r="U210" s="22"/>
      <c r="V210" s="22"/>
    </row>
    <row r="211" spans="14:22">
      <c r="N211" s="22"/>
      <c r="R211" s="22"/>
      <c r="S211" s="22"/>
      <c r="T211" s="22"/>
      <c r="U211" s="22"/>
      <c r="V211" s="22"/>
    </row>
    <row r="212" spans="14:22">
      <c r="N212" s="22"/>
    </row>
    <row r="213" spans="14:22">
      <c r="N213" s="22"/>
    </row>
    <row r="214" spans="14:22">
      <c r="N214" s="22"/>
    </row>
    <row r="215" spans="14:22">
      <c r="N215" s="22"/>
    </row>
    <row r="216" spans="14:22">
      <c r="N216" s="22"/>
    </row>
    <row r="217" spans="14:22">
      <c r="N217" s="22"/>
    </row>
    <row r="218" spans="14:22">
      <c r="N218" s="22"/>
    </row>
  </sheetData>
  <sortState ref="W31:X51">
    <sortCondition ref="X31"/>
  </sortState>
  <mergeCells count="1">
    <mergeCell ref="D58:D63"/>
  </mergeCells>
  <conditionalFormatting sqref="W36">
    <cfRule type="duplicateValues" dxfId="53" priority="14"/>
  </conditionalFormatting>
  <conditionalFormatting sqref="N7:N31">
    <cfRule type="duplicateValues" dxfId="53" priority="8"/>
    <cfRule type="duplicateValues" dxfId="54" priority="10"/>
  </conditionalFormatting>
  <conditionalFormatting sqref="W34:W35">
    <cfRule type="duplicateValues" dxfId="53" priority="18"/>
  </conditionalFormatting>
  <conditionalFormatting sqref="W34:W36">
    <cfRule type="duplicateValues" dxfId="54" priority="20"/>
  </conditionalFormatting>
  <conditionalFormatting sqref="W37:W43">
    <cfRule type="duplicateValues" dxfId="53" priority="15"/>
    <cfRule type="duplicateValues" dxfId="54" priority="16"/>
  </conditionalFormatting>
  <conditionalFormatting sqref="W50:W54">
    <cfRule type="duplicateValues" dxfId="53" priority="11"/>
    <cfRule type="duplicateValues" dxfId="54" priority="12"/>
  </conditionalFormatting>
  <dataValidations count="2">
    <dataValidation type="whole" operator="between" allowBlank="1" showInputMessage="1" showErrorMessage="1" errorTitle="输入有误" error="数值只能为(0 ~ 9999999999)" sqref="W50 W52 N7:N31 W34:W43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W44:W45 W48:W49">
      <formula1>0</formula1>
      <formula2>65535</formula2>
    </dataValidation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413"/>
  <sheetViews>
    <sheetView topLeftCell="A22" workbookViewId="0">
      <selection activeCell="H4" sqref="H4"/>
    </sheetView>
  </sheetViews>
  <sheetFormatPr defaultColWidth="9" defaultRowHeight="12.75"/>
  <cols>
    <col min="1" max="1" width="9.14285714285714" customWidth="1"/>
    <col min="2" max="2" width="2.42857142857143" customWidth="1"/>
    <col min="4" max="4" width="15.7142857142857" customWidth="1"/>
    <col min="5" max="5" width="9" customWidth="1"/>
    <col min="7" max="7" width="9.42857142857143" customWidth="1"/>
    <col min="8" max="8" width="14.5714285714286"/>
    <col min="15" max="17" width="12.8571428571429"/>
  </cols>
  <sheetData>
    <row r="1" ht="16.5" spans="1:22">
      <c r="A1" s="57" t="s">
        <v>31</v>
      </c>
      <c r="B1" s="57"/>
      <c r="C1" s="57"/>
      <c r="D1" s="69"/>
      <c r="E1" s="69"/>
      <c r="F1" s="69"/>
      <c r="G1" s="69"/>
      <c r="H1" s="69"/>
      <c r="I1" s="69"/>
      <c r="J1" s="22"/>
    </row>
    <row r="2" ht="16.5" spans="1:22">
      <c r="A2" s="58"/>
      <c r="B2" s="58"/>
      <c r="C2" s="59"/>
      <c r="D2" s="70"/>
      <c r="E2" s="70"/>
      <c r="F2" s="70"/>
      <c r="G2" s="70"/>
      <c r="H2" s="70"/>
      <c r="I2" s="70"/>
      <c r="J2" s="22"/>
    </row>
    <row r="3" ht="16.5" spans="1:22">
      <c r="A3" s="60"/>
      <c r="B3" s="61"/>
      <c r="C3" s="62" t="s">
        <v>306</v>
      </c>
      <c r="D3" s="22"/>
      <c r="E3" s="22"/>
      <c r="F3" s="22"/>
      <c r="G3" s="22"/>
      <c r="H3" s="22"/>
      <c r="I3" s="70"/>
      <c r="J3" s="22"/>
    </row>
    <row r="4" ht="16.5" spans="1:22">
      <c r="A4" s="60"/>
      <c r="B4" s="22"/>
      <c r="C4" s="62"/>
      <c r="D4" s="22" t="s">
        <v>307</v>
      </c>
      <c r="E4" s="22"/>
      <c r="F4" s="22"/>
      <c r="G4" s="22"/>
      <c r="H4" s="35"/>
      <c r="I4" s="70"/>
      <c r="J4" s="22"/>
    </row>
    <row r="5" ht="16.5" spans="1:22">
      <c r="A5" s="60"/>
      <c r="B5" s="58"/>
      <c r="C5" s="59"/>
      <c r="D5" s="71" t="s">
        <v>34</v>
      </c>
      <c r="E5" s="71"/>
      <c r="F5" s="58"/>
      <c r="G5" s="22"/>
      <c r="H5" s="35"/>
      <c r="I5" s="70"/>
      <c r="J5" s="22"/>
    </row>
    <row r="6" ht="16.5" spans="1:22">
      <c r="A6" s="60"/>
      <c r="B6" s="58"/>
      <c r="C6" s="59"/>
      <c r="D6" s="71" t="s">
        <v>35</v>
      </c>
      <c r="E6" s="71">
        <v>60</v>
      </c>
      <c r="F6" s="58" t="s">
        <v>36</v>
      </c>
      <c r="G6" s="22"/>
      <c r="H6" s="35"/>
      <c r="I6" s="70"/>
      <c r="J6" s="22"/>
    </row>
    <row r="7" ht="16.5" spans="1:22">
      <c r="A7" s="60"/>
      <c r="B7" s="58"/>
      <c r="C7" s="59"/>
      <c r="D7" s="71" t="s">
        <v>308</v>
      </c>
      <c r="E7" s="71">
        <f>45000*6*2</f>
        <v>540000</v>
      </c>
      <c r="F7" s="58" t="s">
        <v>36</v>
      </c>
      <c r="G7" s="22"/>
      <c r="H7" s="35"/>
      <c r="I7" s="70"/>
      <c r="J7" s="22"/>
      <c r="N7" s="72"/>
    </row>
    <row r="8" ht="16.5" spans="1:22">
      <c r="A8" s="60"/>
      <c r="B8" s="58"/>
      <c r="C8" s="59"/>
      <c r="D8" s="71" t="s">
        <v>309</v>
      </c>
      <c r="E8" s="71">
        <f>E7/E6/J385*G385</f>
        <v>3389.3368010403</v>
      </c>
      <c r="F8" s="58"/>
      <c r="G8" s="22"/>
      <c r="H8" s="35"/>
      <c r="I8" s="70"/>
      <c r="J8" s="22"/>
      <c r="M8" s="73"/>
      <c r="N8" s="74"/>
    </row>
    <row r="9" ht="16.5" spans="1:22">
      <c r="A9" s="60"/>
      <c r="B9" s="58"/>
      <c r="C9" s="59"/>
      <c r="D9" s="71" t="s">
        <v>310</v>
      </c>
      <c r="E9" s="71">
        <f>E7/E6</f>
        <v>9000</v>
      </c>
      <c r="F9" s="58"/>
      <c r="G9" s="22"/>
      <c r="H9" s="35"/>
      <c r="I9" s="70"/>
      <c r="J9" s="22"/>
      <c r="M9" s="73"/>
      <c r="N9" s="74"/>
      <c r="R9" s="64" t="s">
        <v>78</v>
      </c>
      <c r="S9" s="64" t="s">
        <v>311</v>
      </c>
      <c r="T9" s="64" t="s">
        <v>312</v>
      </c>
      <c r="U9" s="64" t="s">
        <v>313</v>
      </c>
      <c r="V9" s="64" t="s">
        <v>314</v>
      </c>
    </row>
    <row r="10" ht="16.5" spans="1:22">
      <c r="A10" s="60"/>
      <c r="B10" s="58"/>
      <c r="C10" s="59"/>
      <c r="D10" s="71" t="s">
        <v>315</v>
      </c>
      <c r="E10" s="75">
        <f>(E9-E8)/E9</f>
        <v>0.623407022106633</v>
      </c>
      <c r="F10" s="58"/>
      <c r="G10" s="22"/>
      <c r="H10" s="35"/>
      <c r="I10" s="70"/>
      <c r="J10" s="22"/>
      <c r="M10" s="73"/>
      <c r="N10" s="74"/>
      <c r="R10" s="76">
        <v>1</v>
      </c>
      <c r="S10" s="77">
        <v>0</v>
      </c>
      <c r="T10" s="77">
        <v>0</v>
      </c>
      <c r="U10" s="77">
        <v>0</v>
      </c>
      <c r="V10" s="77">
        <v>0</v>
      </c>
    </row>
    <row r="11" ht="16.5" spans="1:22">
      <c r="A11" s="60"/>
      <c r="B11" s="58"/>
      <c r="C11" s="59"/>
      <c r="D11" s="71"/>
      <c r="E11" s="71"/>
      <c r="F11" s="58"/>
      <c r="G11" s="22"/>
      <c r="H11" s="35"/>
      <c r="I11" s="70"/>
      <c r="J11" s="22"/>
      <c r="R11" s="76">
        <v>2</v>
      </c>
      <c r="S11" s="77">
        <v>24</v>
      </c>
      <c r="T11" s="77">
        <v>36</v>
      </c>
      <c r="U11" s="77">
        <v>48</v>
      </c>
      <c r="V11" s="77">
        <v>72</v>
      </c>
    </row>
    <row r="12" ht="16.5" spans="1:22">
      <c r="A12" s="60"/>
      <c r="B12" s="22"/>
      <c r="C12" s="62"/>
      <c r="D12" s="22" t="s">
        <v>316</v>
      </c>
      <c r="E12" s="22"/>
      <c r="F12" s="22"/>
      <c r="G12" s="22"/>
      <c r="H12" s="35"/>
      <c r="I12" s="70"/>
      <c r="J12" s="22"/>
      <c r="K12" t="s">
        <v>317</v>
      </c>
      <c r="R12" s="76">
        <v>3</v>
      </c>
      <c r="S12" s="77">
        <v>48</v>
      </c>
      <c r="T12" s="77">
        <v>72</v>
      </c>
      <c r="U12" s="77">
        <v>96</v>
      </c>
      <c r="V12" s="77">
        <v>144</v>
      </c>
    </row>
    <row r="13" ht="15.75" spans="1:22">
      <c r="D13" s="64" t="s">
        <v>47</v>
      </c>
      <c r="E13" s="64" t="s">
        <v>48</v>
      </c>
      <c r="F13" s="64" t="s">
        <v>49</v>
      </c>
      <c r="G13" s="64" t="s">
        <v>50</v>
      </c>
      <c r="H13" s="64" t="s">
        <v>51</v>
      </c>
      <c r="I13" s="64" t="s">
        <v>52</v>
      </c>
      <c r="J13" s="64" t="s">
        <v>53</v>
      </c>
      <c r="K13" s="64" t="s">
        <v>318</v>
      </c>
      <c r="L13" s="64" t="s">
        <v>319</v>
      </c>
      <c r="M13" s="64" t="s">
        <v>320</v>
      </c>
      <c r="N13" s="64" t="s">
        <v>69</v>
      </c>
      <c r="R13" s="76">
        <v>4</v>
      </c>
      <c r="S13" s="77">
        <v>72</v>
      </c>
      <c r="T13" s="77">
        <v>108</v>
      </c>
      <c r="U13" s="77">
        <v>144</v>
      </c>
      <c r="V13" s="77">
        <v>216</v>
      </c>
    </row>
    <row r="14" ht="15.75" spans="1:22">
      <c r="D14" s="71" t="s">
        <v>55</v>
      </c>
      <c r="E14" s="78"/>
      <c r="F14" s="78">
        <v>1</v>
      </c>
      <c r="G14" s="71">
        <v>1</v>
      </c>
      <c r="H14" s="71">
        <v>1</v>
      </c>
      <c r="I14" s="71"/>
      <c r="J14" s="71"/>
      <c r="K14" s="71"/>
      <c r="L14" s="71">
        <v>50</v>
      </c>
      <c r="M14" s="71"/>
      <c r="N14" s="71"/>
      <c r="R14" s="76">
        <v>5</v>
      </c>
      <c r="S14" s="77">
        <v>96</v>
      </c>
      <c r="T14" s="77">
        <v>144</v>
      </c>
      <c r="U14" s="77">
        <v>192</v>
      </c>
      <c r="V14" s="77">
        <v>288</v>
      </c>
    </row>
    <row r="15" ht="15.75" spans="1:22">
      <c r="D15" s="71" t="s">
        <v>56</v>
      </c>
      <c r="E15" s="78">
        <v>2</v>
      </c>
      <c r="F15" s="78">
        <v>1</v>
      </c>
      <c r="G15" s="71">
        <v>1</v>
      </c>
      <c r="H15" s="71">
        <v>1</v>
      </c>
      <c r="I15" s="71"/>
      <c r="J15" s="71">
        <v>1</v>
      </c>
      <c r="K15" s="71"/>
      <c r="L15" s="71">
        <v>40</v>
      </c>
      <c r="M15" s="71"/>
      <c r="N15" s="71"/>
      <c r="R15" s="76">
        <v>6</v>
      </c>
      <c r="S15" s="77">
        <v>120</v>
      </c>
      <c r="T15" s="77">
        <v>180</v>
      </c>
      <c r="U15" s="77">
        <v>240</v>
      </c>
      <c r="V15" s="77">
        <v>360</v>
      </c>
    </row>
    <row r="16" ht="15.75" spans="1:22">
      <c r="D16" s="71" t="s">
        <v>57</v>
      </c>
      <c r="E16" s="78">
        <v>1</v>
      </c>
      <c r="F16" s="78">
        <v>1</v>
      </c>
      <c r="G16" s="71">
        <v>1</v>
      </c>
      <c r="H16" s="71">
        <v>1</v>
      </c>
      <c r="I16" s="71">
        <v>1</v>
      </c>
      <c r="J16" s="71">
        <v>1</v>
      </c>
      <c r="K16" s="71">
        <v>1</v>
      </c>
      <c r="L16" s="71">
        <v>30</v>
      </c>
      <c r="M16" s="71"/>
      <c r="N16" s="71"/>
      <c r="R16" s="76">
        <v>7</v>
      </c>
      <c r="S16" s="77">
        <v>144</v>
      </c>
      <c r="T16" s="77">
        <v>216</v>
      </c>
      <c r="U16" s="77">
        <v>288</v>
      </c>
      <c r="V16" s="77">
        <v>432</v>
      </c>
    </row>
    <row r="17" ht="15.75" spans="4:22">
      <c r="D17" s="71" t="s">
        <v>58</v>
      </c>
      <c r="E17" s="78">
        <v>1</v>
      </c>
      <c r="F17" s="78">
        <v>1</v>
      </c>
      <c r="G17" s="71">
        <v>1</v>
      </c>
      <c r="H17" s="71">
        <v>1</v>
      </c>
      <c r="I17" s="71">
        <v>1</v>
      </c>
      <c r="J17" s="71">
        <v>1</v>
      </c>
      <c r="K17" s="71"/>
      <c r="L17" s="71">
        <v>30</v>
      </c>
      <c r="M17" s="71"/>
      <c r="N17" s="71"/>
      <c r="R17" s="76">
        <v>8</v>
      </c>
      <c r="S17" s="77">
        <v>168</v>
      </c>
      <c r="T17" s="77">
        <v>252</v>
      </c>
      <c r="U17" s="77">
        <v>336</v>
      </c>
      <c r="V17" s="77">
        <v>504</v>
      </c>
    </row>
    <row r="18" ht="15.75" spans="4:22">
      <c r="D18" s="78" t="s">
        <v>321</v>
      </c>
      <c r="E18" s="79">
        <f>--SUM(E14:E17)</f>
        <v>4</v>
      </c>
      <c r="F18" s="79">
        <f t="shared" ref="F18:K18" si="0">SUM(F14:F17)</f>
        <v>4</v>
      </c>
      <c r="G18" s="79">
        <f t="shared" si="0"/>
        <v>4</v>
      </c>
      <c r="H18" s="79">
        <f t="shared" si="0"/>
        <v>4</v>
      </c>
      <c r="I18" s="79">
        <f t="shared" si="0"/>
        <v>2</v>
      </c>
      <c r="J18" s="79">
        <f t="shared" si="0"/>
        <v>3</v>
      </c>
      <c r="K18" s="79">
        <f t="shared" si="0"/>
        <v>1</v>
      </c>
      <c r="L18" s="78"/>
      <c r="M18" s="78"/>
      <c r="N18" s="78"/>
      <c r="R18" s="76">
        <v>9</v>
      </c>
      <c r="S18" s="77">
        <v>192</v>
      </c>
      <c r="T18" s="77">
        <v>288</v>
      </c>
      <c r="U18" s="77">
        <v>384</v>
      </c>
      <c r="V18" s="77">
        <v>576</v>
      </c>
    </row>
    <row r="19" ht="15.75" spans="4:22">
      <c r="D19" s="78" t="s">
        <v>322</v>
      </c>
      <c r="E19" s="78"/>
      <c r="F19" s="78"/>
      <c r="G19" s="78"/>
      <c r="H19" s="78"/>
      <c r="I19" s="78"/>
      <c r="J19" s="78"/>
      <c r="K19" s="78"/>
      <c r="L19" s="78"/>
      <c r="R19" s="76">
        <v>10</v>
      </c>
      <c r="S19" s="77">
        <v>216</v>
      </c>
      <c r="T19" s="77">
        <v>324</v>
      </c>
      <c r="U19" s="77">
        <v>432</v>
      </c>
      <c r="V19" s="77">
        <v>648</v>
      </c>
    </row>
    <row r="20" spans="4:22">
      <c r="R20" s="76">
        <v>11</v>
      </c>
      <c r="S20" s="77">
        <v>480</v>
      </c>
      <c r="T20" s="77">
        <v>720</v>
      </c>
      <c r="U20" s="77">
        <v>960</v>
      </c>
      <c r="V20" s="77">
        <v>1440</v>
      </c>
    </row>
    <row r="21" spans="4:22">
      <c r="R21" s="76">
        <v>12</v>
      </c>
      <c r="S21" s="77">
        <v>528</v>
      </c>
      <c r="T21" s="77">
        <v>792</v>
      </c>
      <c r="U21" s="77">
        <v>1056</v>
      </c>
      <c r="V21" s="77">
        <v>1584</v>
      </c>
    </row>
    <row r="22" spans="4:22">
      <c r="D22" s="80"/>
      <c r="E22" s="80"/>
      <c r="F22" s="80"/>
      <c r="G22" s="81" t="s">
        <v>323</v>
      </c>
      <c r="H22" s="80"/>
      <c r="I22" s="80"/>
      <c r="J22" s="80"/>
      <c r="K22" s="80"/>
      <c r="L22" s="80" t="s">
        <v>324</v>
      </c>
      <c r="M22" s="80"/>
      <c r="R22" s="76">
        <v>13</v>
      </c>
      <c r="S22" s="77">
        <v>576</v>
      </c>
      <c r="T22" s="77">
        <v>864</v>
      </c>
      <c r="U22" s="77">
        <v>1152</v>
      </c>
      <c r="V22" s="77">
        <v>1728</v>
      </c>
    </row>
    <row r="23" ht="15.75" spans="4:22">
      <c r="D23" s="64" t="s">
        <v>325</v>
      </c>
      <c r="E23" s="64" t="s">
        <v>78</v>
      </c>
      <c r="F23" s="64" t="s">
        <v>326</v>
      </c>
      <c r="G23" s="64" t="s">
        <v>311</v>
      </c>
      <c r="H23" s="64" t="s">
        <v>312</v>
      </c>
      <c r="I23" s="64" t="s">
        <v>313</v>
      </c>
      <c r="J23" s="64" t="s">
        <v>314</v>
      </c>
      <c r="K23" s="64" t="s">
        <v>327</v>
      </c>
      <c r="L23" s="82" t="s">
        <v>322</v>
      </c>
      <c r="M23" s="82" t="s">
        <v>328</v>
      </c>
      <c r="R23" s="76">
        <v>14</v>
      </c>
      <c r="S23" s="77">
        <v>624</v>
      </c>
      <c r="T23" s="77">
        <v>936</v>
      </c>
      <c r="U23" s="77">
        <v>1248</v>
      </c>
      <c r="V23" s="77">
        <v>1872</v>
      </c>
    </row>
    <row r="24" spans="4:22">
      <c r="D24" s="81">
        <v>1</v>
      </c>
      <c r="E24" s="81">
        <v>1</v>
      </c>
      <c r="F24" s="81" t="s">
        <v>323</v>
      </c>
      <c r="G24" s="83">
        <v>24</v>
      </c>
      <c r="H24" s="83">
        <v>36</v>
      </c>
      <c r="I24" s="83">
        <v>48</v>
      </c>
      <c r="J24" s="83">
        <v>48</v>
      </c>
      <c r="K24" s="83">
        <v>60</v>
      </c>
      <c r="L24" s="84">
        <v>1</v>
      </c>
      <c r="M24" s="81"/>
      <c r="R24" s="76">
        <v>15</v>
      </c>
      <c r="S24" s="77">
        <v>672</v>
      </c>
      <c r="T24" s="77">
        <v>1008</v>
      </c>
      <c r="U24" s="77">
        <v>1344</v>
      </c>
      <c r="V24" s="77">
        <v>2016</v>
      </c>
    </row>
    <row r="25" spans="4:22">
      <c r="D25" s="81">
        <v>2</v>
      </c>
      <c r="E25" s="81">
        <v>2</v>
      </c>
      <c r="F25" s="81" t="s">
        <v>323</v>
      </c>
      <c r="G25" s="81">
        <v>48</v>
      </c>
      <c r="H25" s="81">
        <v>72</v>
      </c>
      <c r="I25" s="81">
        <v>96</v>
      </c>
      <c r="J25" s="81">
        <v>96</v>
      </c>
      <c r="K25" s="81">
        <v>120</v>
      </c>
      <c r="L25" s="84">
        <v>2</v>
      </c>
      <c r="M25" s="81"/>
      <c r="R25" s="76">
        <v>16</v>
      </c>
      <c r="S25" s="77">
        <v>720</v>
      </c>
      <c r="T25" s="77">
        <v>1080</v>
      </c>
      <c r="U25" s="77">
        <v>1440</v>
      </c>
      <c r="V25" s="77">
        <v>2160</v>
      </c>
    </row>
    <row r="26" spans="4:22">
      <c r="D26" s="81">
        <v>3</v>
      </c>
      <c r="E26" s="81">
        <v>3</v>
      </c>
      <c r="F26" s="81" t="s">
        <v>323</v>
      </c>
      <c r="G26" s="81">
        <v>72</v>
      </c>
      <c r="H26" s="81">
        <v>108</v>
      </c>
      <c r="I26" s="81">
        <v>144</v>
      </c>
      <c r="J26" s="81">
        <v>144</v>
      </c>
      <c r="K26" s="81">
        <v>180</v>
      </c>
      <c r="L26" s="84">
        <v>3</v>
      </c>
      <c r="M26" s="81"/>
      <c r="R26" s="76">
        <v>17</v>
      </c>
      <c r="S26" s="77">
        <v>768</v>
      </c>
      <c r="T26" s="77">
        <v>1152</v>
      </c>
      <c r="U26" s="77">
        <v>1536</v>
      </c>
      <c r="V26" s="77">
        <v>2304</v>
      </c>
    </row>
    <row r="27" spans="4:22">
      <c r="D27" s="81">
        <v>4</v>
      </c>
      <c r="E27" s="81">
        <v>4</v>
      </c>
      <c r="F27" s="81" t="s">
        <v>323</v>
      </c>
      <c r="G27" s="81">
        <v>120</v>
      </c>
      <c r="H27" s="81">
        <v>180</v>
      </c>
      <c r="I27" s="81">
        <v>240</v>
      </c>
      <c r="J27" s="81">
        <v>240</v>
      </c>
      <c r="K27" s="81">
        <v>300</v>
      </c>
      <c r="L27" s="84">
        <v>5</v>
      </c>
      <c r="M27" s="81"/>
      <c r="R27" s="76">
        <v>18</v>
      </c>
      <c r="S27" s="77">
        <v>816</v>
      </c>
      <c r="T27" s="77">
        <v>1224</v>
      </c>
      <c r="U27" s="77">
        <v>1632</v>
      </c>
      <c r="V27" s="77">
        <v>2448</v>
      </c>
    </row>
    <row r="28" spans="4:22">
      <c r="D28" s="81">
        <v>5</v>
      </c>
      <c r="E28" s="81">
        <v>5</v>
      </c>
      <c r="F28" s="81" t="s">
        <v>323</v>
      </c>
      <c r="G28" s="81">
        <v>168</v>
      </c>
      <c r="H28" s="81">
        <v>252</v>
      </c>
      <c r="I28" s="81">
        <v>336</v>
      </c>
      <c r="J28" s="81">
        <v>336</v>
      </c>
      <c r="K28" s="81">
        <v>420</v>
      </c>
      <c r="L28" s="84">
        <v>7</v>
      </c>
      <c r="M28" s="81"/>
      <c r="R28" s="76">
        <v>19</v>
      </c>
      <c r="S28" s="77">
        <v>864</v>
      </c>
      <c r="T28" s="77">
        <v>1296</v>
      </c>
      <c r="U28" s="77">
        <v>1728</v>
      </c>
      <c r="V28" s="77">
        <v>2592</v>
      </c>
    </row>
    <row r="29" spans="4:22">
      <c r="D29" s="81">
        <v>6</v>
      </c>
      <c r="E29" s="81">
        <v>6</v>
      </c>
      <c r="F29" s="81" t="s">
        <v>323</v>
      </c>
      <c r="G29" s="81">
        <v>216</v>
      </c>
      <c r="H29" s="81">
        <v>324</v>
      </c>
      <c r="I29" s="81">
        <v>432</v>
      </c>
      <c r="J29" s="81">
        <v>432</v>
      </c>
      <c r="K29" s="81">
        <v>540</v>
      </c>
      <c r="L29" s="85">
        <v>9</v>
      </c>
      <c r="M29" s="81"/>
      <c r="R29" s="76">
        <v>20</v>
      </c>
      <c r="S29" s="77">
        <v>912</v>
      </c>
      <c r="T29" s="77">
        <v>1368</v>
      </c>
      <c r="U29" s="77">
        <v>1824</v>
      </c>
      <c r="V29" s="77">
        <v>2736</v>
      </c>
    </row>
    <row r="30" spans="4:22">
      <c r="D30" s="81">
        <v>7</v>
      </c>
      <c r="E30" s="81">
        <v>7</v>
      </c>
      <c r="F30" s="81" t="s">
        <v>323</v>
      </c>
      <c r="G30" s="81">
        <v>264</v>
      </c>
      <c r="H30" s="81">
        <v>396</v>
      </c>
      <c r="I30" s="81">
        <v>528</v>
      </c>
      <c r="J30" s="81">
        <v>528</v>
      </c>
      <c r="K30" s="81">
        <v>660</v>
      </c>
      <c r="L30" s="85">
        <v>11</v>
      </c>
      <c r="M30" s="81"/>
      <c r="R30" s="76">
        <v>21</v>
      </c>
      <c r="S30" s="77">
        <v>960</v>
      </c>
      <c r="T30" s="77">
        <v>1440</v>
      </c>
      <c r="U30" s="77">
        <v>1920</v>
      </c>
      <c r="V30" s="77">
        <v>2880</v>
      </c>
    </row>
    <row r="31" spans="4:22">
      <c r="D31" s="81">
        <v>8</v>
      </c>
      <c r="E31" s="81">
        <v>8</v>
      </c>
      <c r="F31" s="81" t="s">
        <v>323</v>
      </c>
      <c r="G31" s="81">
        <v>312</v>
      </c>
      <c r="H31" s="81">
        <v>468</v>
      </c>
      <c r="I31" s="81">
        <v>624</v>
      </c>
      <c r="J31" s="81">
        <v>624</v>
      </c>
      <c r="K31" s="81">
        <v>780</v>
      </c>
      <c r="L31" s="85">
        <v>13</v>
      </c>
      <c r="M31" s="81"/>
      <c r="R31" s="76">
        <v>22</v>
      </c>
      <c r="S31" s="77">
        <v>1008</v>
      </c>
      <c r="T31" s="77">
        <v>1512</v>
      </c>
      <c r="U31" s="77">
        <v>2016</v>
      </c>
      <c r="V31" s="77">
        <v>3024</v>
      </c>
    </row>
    <row r="32" spans="4:22">
      <c r="D32" s="81">
        <v>9</v>
      </c>
      <c r="E32" s="81">
        <v>9</v>
      </c>
      <c r="F32" s="81" t="s">
        <v>323</v>
      </c>
      <c r="G32" s="81">
        <v>360</v>
      </c>
      <c r="H32" s="81">
        <v>540</v>
      </c>
      <c r="I32" s="81">
        <v>720</v>
      </c>
      <c r="J32" s="81">
        <v>720</v>
      </c>
      <c r="K32" s="81">
        <v>900</v>
      </c>
      <c r="L32" s="85">
        <v>15</v>
      </c>
      <c r="M32" s="81"/>
      <c r="R32" s="76">
        <v>23</v>
      </c>
      <c r="S32" s="77">
        <v>1056</v>
      </c>
      <c r="T32" s="77">
        <v>1584</v>
      </c>
      <c r="U32" s="77">
        <v>2112</v>
      </c>
      <c r="V32" s="77">
        <v>3168</v>
      </c>
    </row>
    <row r="33" spans="4:22">
      <c r="D33" s="81">
        <v>10</v>
      </c>
      <c r="E33" s="81">
        <v>10</v>
      </c>
      <c r="F33" s="81" t="s">
        <v>323</v>
      </c>
      <c r="G33" s="81">
        <v>408</v>
      </c>
      <c r="H33" s="81">
        <v>612</v>
      </c>
      <c r="I33" s="81">
        <v>816</v>
      </c>
      <c r="J33" s="81">
        <v>816</v>
      </c>
      <c r="K33" s="81">
        <v>1020</v>
      </c>
      <c r="L33" s="85">
        <v>17</v>
      </c>
      <c r="M33" s="81"/>
      <c r="R33" s="76">
        <v>24</v>
      </c>
      <c r="S33" s="77">
        <v>1104</v>
      </c>
      <c r="T33" s="77">
        <v>1656</v>
      </c>
      <c r="U33" s="77">
        <v>2208</v>
      </c>
      <c r="V33" s="77">
        <v>3312</v>
      </c>
    </row>
    <row r="34" spans="4:22">
      <c r="D34" s="81">
        <v>11</v>
      </c>
      <c r="E34" s="81">
        <v>11</v>
      </c>
      <c r="F34" s="81" t="s">
        <v>323</v>
      </c>
      <c r="G34" s="81">
        <v>456</v>
      </c>
      <c r="H34" s="81">
        <v>684</v>
      </c>
      <c r="I34" s="81">
        <v>912</v>
      </c>
      <c r="J34" s="81">
        <v>912</v>
      </c>
      <c r="K34" s="81">
        <v>1140</v>
      </c>
      <c r="L34" s="85">
        <v>19</v>
      </c>
      <c r="M34" s="81"/>
      <c r="R34" s="76">
        <v>25</v>
      </c>
      <c r="S34" s="77">
        <v>1152</v>
      </c>
      <c r="T34" s="77">
        <v>1728</v>
      </c>
      <c r="U34" s="77">
        <v>2304</v>
      </c>
      <c r="V34" s="77">
        <v>3456</v>
      </c>
    </row>
    <row r="35" spans="4:22">
      <c r="D35" s="81">
        <v>12</v>
      </c>
      <c r="E35" s="81">
        <v>12</v>
      </c>
      <c r="F35" s="81" t="s">
        <v>323</v>
      </c>
      <c r="G35" s="81">
        <v>504</v>
      </c>
      <c r="H35" s="81">
        <v>756</v>
      </c>
      <c r="I35" s="81">
        <v>1008</v>
      </c>
      <c r="J35" s="81">
        <v>1008</v>
      </c>
      <c r="K35" s="81">
        <v>1260</v>
      </c>
      <c r="L35" s="85">
        <v>21</v>
      </c>
      <c r="M35" s="81"/>
      <c r="R35" s="76">
        <v>26</v>
      </c>
      <c r="S35" s="77">
        <v>1200</v>
      </c>
      <c r="T35" s="77">
        <v>1800</v>
      </c>
      <c r="U35" s="77">
        <v>2400</v>
      </c>
      <c r="V35" s="77">
        <v>3600</v>
      </c>
    </row>
    <row r="36" spans="4:22">
      <c r="D36" s="81">
        <v>13</v>
      </c>
      <c r="E36" s="81">
        <v>13</v>
      </c>
      <c r="F36" s="81" t="s">
        <v>323</v>
      </c>
      <c r="G36" s="81">
        <v>552</v>
      </c>
      <c r="H36" s="81">
        <v>828</v>
      </c>
      <c r="I36" s="81">
        <v>1104</v>
      </c>
      <c r="J36" s="81">
        <v>1104</v>
      </c>
      <c r="K36" s="81">
        <v>1380</v>
      </c>
      <c r="L36" s="85">
        <v>23</v>
      </c>
      <c r="M36" s="81"/>
      <c r="R36" s="76">
        <v>27</v>
      </c>
      <c r="S36" s="77">
        <v>1248</v>
      </c>
      <c r="T36" s="77">
        <v>1872</v>
      </c>
      <c r="U36" s="77">
        <v>2496</v>
      </c>
      <c r="V36" s="77">
        <v>3744</v>
      </c>
    </row>
    <row r="37" spans="4:22">
      <c r="D37" s="81">
        <v>14</v>
      </c>
      <c r="E37" s="81">
        <v>14</v>
      </c>
      <c r="F37" s="81" t="s">
        <v>323</v>
      </c>
      <c r="G37" s="81">
        <v>600</v>
      </c>
      <c r="H37" s="81">
        <v>900</v>
      </c>
      <c r="I37" s="81">
        <v>1200</v>
      </c>
      <c r="J37" s="81">
        <v>1200</v>
      </c>
      <c r="K37" s="81">
        <v>1500</v>
      </c>
      <c r="L37" s="85">
        <v>25</v>
      </c>
      <c r="M37" s="81"/>
      <c r="R37" s="76">
        <v>28</v>
      </c>
      <c r="S37" s="77">
        <v>1296</v>
      </c>
      <c r="T37" s="77">
        <v>1944</v>
      </c>
      <c r="U37" s="77">
        <v>2592</v>
      </c>
      <c r="V37" s="77">
        <v>3888</v>
      </c>
    </row>
    <row r="38" spans="4:22">
      <c r="D38" s="81">
        <v>15</v>
      </c>
      <c r="E38" s="81">
        <v>15</v>
      </c>
      <c r="F38" s="81" t="s">
        <v>323</v>
      </c>
      <c r="G38" s="81">
        <v>648</v>
      </c>
      <c r="H38" s="81">
        <v>972</v>
      </c>
      <c r="I38" s="81">
        <v>1296</v>
      </c>
      <c r="J38" s="81">
        <v>1296</v>
      </c>
      <c r="K38" s="81">
        <v>1620</v>
      </c>
      <c r="L38" s="85">
        <v>27</v>
      </c>
      <c r="M38" s="81"/>
      <c r="R38" s="76">
        <v>29</v>
      </c>
      <c r="S38" s="77">
        <v>1344</v>
      </c>
      <c r="T38" s="77">
        <v>2016</v>
      </c>
      <c r="U38" s="77">
        <v>2688</v>
      </c>
      <c r="V38" s="77">
        <v>4032</v>
      </c>
    </row>
    <row r="39" spans="4:22">
      <c r="D39" s="81">
        <v>16</v>
      </c>
      <c r="E39" s="81">
        <v>16</v>
      </c>
      <c r="F39" s="81" t="s">
        <v>323</v>
      </c>
      <c r="G39" s="81">
        <v>696</v>
      </c>
      <c r="H39" s="81">
        <v>1044</v>
      </c>
      <c r="I39" s="81">
        <v>1392</v>
      </c>
      <c r="J39" s="81">
        <v>1392</v>
      </c>
      <c r="K39" s="81">
        <v>1740</v>
      </c>
      <c r="L39" s="85">
        <v>29</v>
      </c>
      <c r="M39" s="81"/>
      <c r="R39" s="76">
        <v>30</v>
      </c>
      <c r="S39" s="77">
        <v>1392</v>
      </c>
      <c r="T39" s="77">
        <v>2088</v>
      </c>
      <c r="U39" s="77">
        <v>2784</v>
      </c>
      <c r="V39" s="77">
        <v>4176</v>
      </c>
    </row>
    <row r="40" spans="4:22">
      <c r="D40" s="81">
        <v>17</v>
      </c>
      <c r="E40" s="81">
        <v>17</v>
      </c>
      <c r="F40" s="81" t="s">
        <v>323</v>
      </c>
      <c r="G40" s="81">
        <v>744</v>
      </c>
      <c r="H40" s="81">
        <v>1116</v>
      </c>
      <c r="I40" s="81">
        <v>1488</v>
      </c>
      <c r="J40" s="81">
        <v>1488</v>
      </c>
      <c r="K40" s="81">
        <v>1860</v>
      </c>
      <c r="L40" s="85">
        <v>31</v>
      </c>
      <c r="M40" s="81"/>
      <c r="R40" s="76">
        <v>31</v>
      </c>
      <c r="S40" s="77">
        <v>2160</v>
      </c>
      <c r="T40" s="77">
        <v>2160</v>
      </c>
      <c r="U40" s="77">
        <v>2880</v>
      </c>
      <c r="V40" s="77">
        <v>4320</v>
      </c>
    </row>
    <row r="41" spans="4:22">
      <c r="D41" s="81">
        <v>18</v>
      </c>
      <c r="E41" s="81">
        <v>18</v>
      </c>
      <c r="F41" s="81" t="s">
        <v>323</v>
      </c>
      <c r="G41" s="81">
        <v>816</v>
      </c>
      <c r="H41" s="81">
        <v>1224</v>
      </c>
      <c r="I41" s="81">
        <v>1632</v>
      </c>
      <c r="J41" s="81">
        <v>1632</v>
      </c>
      <c r="K41" s="81">
        <v>2040</v>
      </c>
      <c r="L41" s="85">
        <v>34</v>
      </c>
      <c r="M41" s="81"/>
      <c r="R41" s="76">
        <v>32</v>
      </c>
      <c r="S41" s="77">
        <v>2232</v>
      </c>
      <c r="T41" s="77">
        <v>2232</v>
      </c>
      <c r="U41" s="77">
        <v>2976</v>
      </c>
      <c r="V41" s="77">
        <v>4464</v>
      </c>
    </row>
    <row r="42" spans="4:22">
      <c r="D42" s="81">
        <v>19</v>
      </c>
      <c r="E42" s="81">
        <v>19</v>
      </c>
      <c r="F42" s="81" t="s">
        <v>323</v>
      </c>
      <c r="G42" s="81">
        <v>888</v>
      </c>
      <c r="H42" s="81">
        <v>1332</v>
      </c>
      <c r="I42" s="81">
        <v>1776</v>
      </c>
      <c r="J42" s="81">
        <v>1776</v>
      </c>
      <c r="K42" s="81">
        <v>2220</v>
      </c>
      <c r="L42" s="85">
        <v>37</v>
      </c>
      <c r="M42" s="81"/>
      <c r="R42" s="76">
        <v>33</v>
      </c>
      <c r="S42" s="77">
        <v>2304</v>
      </c>
      <c r="T42" s="77">
        <v>2304</v>
      </c>
      <c r="U42" s="77">
        <v>3072</v>
      </c>
      <c r="V42" s="77">
        <v>4608</v>
      </c>
    </row>
    <row r="43" spans="4:22">
      <c r="D43" s="81">
        <v>20</v>
      </c>
      <c r="E43" s="81">
        <v>20</v>
      </c>
      <c r="F43" s="81" t="s">
        <v>323</v>
      </c>
      <c r="G43" s="81">
        <v>960</v>
      </c>
      <c r="H43" s="81">
        <v>1440</v>
      </c>
      <c r="I43" s="81">
        <v>1920</v>
      </c>
      <c r="J43" s="81">
        <v>1920</v>
      </c>
      <c r="K43" s="81">
        <v>2400</v>
      </c>
      <c r="L43" s="85">
        <v>40</v>
      </c>
      <c r="M43" s="81"/>
      <c r="R43" s="76">
        <v>34</v>
      </c>
      <c r="S43" s="77">
        <v>2376</v>
      </c>
      <c r="T43" s="77">
        <v>2376</v>
      </c>
      <c r="U43" s="77">
        <v>3168</v>
      </c>
      <c r="V43" s="77">
        <v>4752</v>
      </c>
    </row>
    <row r="44" spans="4:22">
      <c r="D44" s="81">
        <v>21</v>
      </c>
      <c r="E44" s="81">
        <v>21</v>
      </c>
      <c r="F44" s="81" t="s">
        <v>323</v>
      </c>
      <c r="G44" s="81">
        <v>1032</v>
      </c>
      <c r="H44" s="81">
        <v>1548</v>
      </c>
      <c r="I44" s="81">
        <v>2064</v>
      </c>
      <c r="J44" s="81">
        <v>2064</v>
      </c>
      <c r="K44" s="81">
        <v>2580</v>
      </c>
      <c r="L44" s="85">
        <v>43</v>
      </c>
      <c r="M44" s="81"/>
      <c r="R44" s="76">
        <v>35</v>
      </c>
      <c r="S44" s="77">
        <v>2448</v>
      </c>
      <c r="T44" s="77">
        <v>2448</v>
      </c>
      <c r="U44" s="77">
        <v>3264</v>
      </c>
      <c r="V44" s="77">
        <v>4896</v>
      </c>
    </row>
    <row r="45" spans="4:22">
      <c r="D45" s="81">
        <v>22</v>
      </c>
      <c r="E45" s="81">
        <v>22</v>
      </c>
      <c r="F45" s="81" t="s">
        <v>323</v>
      </c>
      <c r="G45" s="81">
        <v>1104</v>
      </c>
      <c r="H45" s="81">
        <v>1656</v>
      </c>
      <c r="I45" s="81">
        <v>2208</v>
      </c>
      <c r="J45" s="81">
        <v>2208</v>
      </c>
      <c r="K45" s="81">
        <v>2760</v>
      </c>
      <c r="L45" s="85">
        <v>46</v>
      </c>
      <c r="M45" s="81"/>
      <c r="R45" s="76">
        <v>36</v>
      </c>
      <c r="S45" s="77">
        <v>2520</v>
      </c>
      <c r="T45" s="77">
        <v>2520</v>
      </c>
      <c r="U45" s="77">
        <v>3360</v>
      </c>
      <c r="V45" s="77">
        <v>5040</v>
      </c>
    </row>
    <row r="46" spans="4:22">
      <c r="D46" s="81">
        <v>23</v>
      </c>
      <c r="E46" s="81">
        <v>23</v>
      </c>
      <c r="F46" s="81" t="s">
        <v>323</v>
      </c>
      <c r="G46" s="81">
        <v>1176</v>
      </c>
      <c r="H46" s="81">
        <v>1764</v>
      </c>
      <c r="I46" s="81">
        <v>2352</v>
      </c>
      <c r="J46" s="81">
        <v>2352</v>
      </c>
      <c r="K46" s="81">
        <v>2940</v>
      </c>
      <c r="L46" s="85">
        <v>49</v>
      </c>
      <c r="M46" s="81"/>
      <c r="R46" s="76">
        <v>37</v>
      </c>
      <c r="S46" s="77">
        <v>2592</v>
      </c>
      <c r="T46" s="77">
        <v>2592</v>
      </c>
      <c r="U46" s="77">
        <v>3456</v>
      </c>
      <c r="V46" s="77">
        <v>5184</v>
      </c>
    </row>
    <row r="47" spans="4:22">
      <c r="D47" s="81">
        <v>24</v>
      </c>
      <c r="E47" s="81">
        <v>24</v>
      </c>
      <c r="F47" s="81" t="s">
        <v>323</v>
      </c>
      <c r="G47" s="81">
        <v>1248</v>
      </c>
      <c r="H47" s="81">
        <v>1872</v>
      </c>
      <c r="I47" s="81">
        <v>2496</v>
      </c>
      <c r="J47" s="81">
        <v>2496</v>
      </c>
      <c r="K47" s="81">
        <v>3120</v>
      </c>
      <c r="L47" s="85">
        <v>52</v>
      </c>
      <c r="M47" s="81"/>
      <c r="R47" s="76">
        <v>38</v>
      </c>
      <c r="S47" s="77">
        <v>2664</v>
      </c>
      <c r="T47" s="77">
        <v>2664</v>
      </c>
      <c r="U47" s="77">
        <v>3552</v>
      </c>
      <c r="V47" s="77">
        <v>5328</v>
      </c>
    </row>
    <row r="48" spans="4:22">
      <c r="D48" s="81">
        <v>25</v>
      </c>
      <c r="E48" s="81">
        <v>25</v>
      </c>
      <c r="F48" s="81" t="s">
        <v>323</v>
      </c>
      <c r="G48" s="81">
        <v>1320</v>
      </c>
      <c r="H48" s="81">
        <v>1980</v>
      </c>
      <c r="I48" s="81">
        <v>2640</v>
      </c>
      <c r="J48" s="81">
        <v>2640</v>
      </c>
      <c r="K48" s="81">
        <v>3300</v>
      </c>
      <c r="L48" s="85">
        <v>55</v>
      </c>
      <c r="M48" s="81"/>
      <c r="R48" s="76">
        <v>39</v>
      </c>
      <c r="S48" s="77">
        <v>2736</v>
      </c>
      <c r="T48" s="77">
        <v>2736</v>
      </c>
      <c r="U48" s="77">
        <v>3648</v>
      </c>
      <c r="V48" s="77">
        <v>5472</v>
      </c>
    </row>
    <row r="49" spans="4:22">
      <c r="D49" s="81">
        <v>26</v>
      </c>
      <c r="E49" s="81">
        <v>26</v>
      </c>
      <c r="F49" s="81" t="s">
        <v>323</v>
      </c>
      <c r="G49" s="81">
        <v>1392</v>
      </c>
      <c r="H49" s="81">
        <v>2088</v>
      </c>
      <c r="I49" s="81">
        <v>2784</v>
      </c>
      <c r="J49" s="81">
        <v>2784</v>
      </c>
      <c r="K49" s="81">
        <v>3480</v>
      </c>
      <c r="L49" s="85">
        <v>58</v>
      </c>
      <c r="M49" s="81"/>
      <c r="R49" s="76">
        <v>40</v>
      </c>
      <c r="S49" s="77">
        <v>2808</v>
      </c>
      <c r="T49" s="77">
        <v>2808</v>
      </c>
      <c r="U49" s="77">
        <v>3744</v>
      </c>
      <c r="V49" s="77">
        <v>5616</v>
      </c>
    </row>
    <row r="50" spans="4:22">
      <c r="D50" s="81">
        <v>27</v>
      </c>
      <c r="E50" s="81">
        <v>27</v>
      </c>
      <c r="F50" s="81" t="s">
        <v>323</v>
      </c>
      <c r="G50" s="81">
        <v>1464</v>
      </c>
      <c r="H50" s="81">
        <v>2196</v>
      </c>
      <c r="I50" s="81">
        <v>2928</v>
      </c>
      <c r="J50" s="81">
        <v>2928</v>
      </c>
      <c r="K50" s="81">
        <v>3660</v>
      </c>
      <c r="L50" s="85">
        <v>61</v>
      </c>
      <c r="M50" s="81"/>
      <c r="R50" s="76">
        <v>41</v>
      </c>
      <c r="S50" s="77">
        <v>2880</v>
      </c>
      <c r="T50" s="77">
        <v>2880</v>
      </c>
      <c r="U50" s="77">
        <v>3840</v>
      </c>
      <c r="V50" s="77">
        <v>5760</v>
      </c>
    </row>
    <row r="51" spans="4:22">
      <c r="D51" s="81">
        <v>28</v>
      </c>
      <c r="E51" s="81">
        <v>28</v>
      </c>
      <c r="F51" s="81" t="s">
        <v>323</v>
      </c>
      <c r="G51" s="81">
        <v>1536</v>
      </c>
      <c r="H51" s="81">
        <v>2304</v>
      </c>
      <c r="I51" s="81">
        <v>3072</v>
      </c>
      <c r="J51" s="81">
        <v>3072</v>
      </c>
      <c r="K51" s="81">
        <v>3840</v>
      </c>
      <c r="L51" s="85">
        <v>64</v>
      </c>
      <c r="M51" s="81"/>
      <c r="R51" s="76">
        <v>42</v>
      </c>
      <c r="S51" s="77">
        <v>2952</v>
      </c>
      <c r="T51" s="77">
        <v>2952</v>
      </c>
      <c r="U51" s="77">
        <v>3936</v>
      </c>
      <c r="V51" s="77">
        <v>5904</v>
      </c>
    </row>
    <row r="52" spans="4:22">
      <c r="D52" s="81">
        <v>29</v>
      </c>
      <c r="E52" s="81">
        <v>29</v>
      </c>
      <c r="F52" s="81" t="s">
        <v>323</v>
      </c>
      <c r="G52" s="81">
        <v>1608</v>
      </c>
      <c r="H52" s="81">
        <v>2412</v>
      </c>
      <c r="I52" s="81">
        <v>3216</v>
      </c>
      <c r="J52" s="81">
        <v>3216</v>
      </c>
      <c r="K52" s="81">
        <v>4020</v>
      </c>
      <c r="L52" s="85">
        <v>67</v>
      </c>
      <c r="M52" s="81"/>
      <c r="R52" s="76">
        <v>43</v>
      </c>
      <c r="S52" s="77">
        <v>3024</v>
      </c>
      <c r="T52" s="77">
        <v>3024</v>
      </c>
      <c r="U52" s="77">
        <v>4032</v>
      </c>
      <c r="V52" s="77">
        <v>6048</v>
      </c>
    </row>
    <row r="53" spans="4:22">
      <c r="D53" s="81">
        <v>30</v>
      </c>
      <c r="E53" s="81">
        <v>30</v>
      </c>
      <c r="F53" s="81" t="s">
        <v>323</v>
      </c>
      <c r="G53" s="81">
        <v>1680</v>
      </c>
      <c r="H53" s="81">
        <v>2520</v>
      </c>
      <c r="I53" s="81">
        <v>3360</v>
      </c>
      <c r="J53" s="81">
        <v>3360</v>
      </c>
      <c r="K53" s="81">
        <v>4200</v>
      </c>
      <c r="L53" s="85">
        <v>70</v>
      </c>
      <c r="M53" s="81"/>
      <c r="R53" s="76">
        <v>44</v>
      </c>
      <c r="S53" s="77">
        <v>3096</v>
      </c>
      <c r="T53" s="77">
        <v>3096</v>
      </c>
      <c r="U53" s="77">
        <v>4128</v>
      </c>
      <c r="V53" s="77">
        <v>6192</v>
      </c>
    </row>
    <row r="54" spans="4:22">
      <c r="D54" s="81">
        <v>31</v>
      </c>
      <c r="E54" s="81">
        <v>31</v>
      </c>
      <c r="F54" s="81" t="s">
        <v>323</v>
      </c>
      <c r="G54" s="81">
        <v>1752</v>
      </c>
      <c r="H54" s="81">
        <v>2628</v>
      </c>
      <c r="I54" s="81">
        <v>3504</v>
      </c>
      <c r="J54" s="81">
        <v>3504</v>
      </c>
      <c r="K54" s="81">
        <v>4380</v>
      </c>
      <c r="L54" s="85">
        <v>73</v>
      </c>
      <c r="M54" s="81"/>
      <c r="R54" s="76">
        <v>45</v>
      </c>
      <c r="S54" s="77">
        <v>3168</v>
      </c>
      <c r="T54" s="77">
        <v>3168</v>
      </c>
      <c r="U54" s="77">
        <v>4224</v>
      </c>
      <c r="V54" s="77">
        <v>6336</v>
      </c>
    </row>
    <row r="55" spans="4:22">
      <c r="D55" s="81">
        <v>32</v>
      </c>
      <c r="E55" s="81">
        <v>32</v>
      </c>
      <c r="F55" s="81" t="s">
        <v>323</v>
      </c>
      <c r="G55" s="81">
        <v>1824</v>
      </c>
      <c r="H55" s="81">
        <v>2736</v>
      </c>
      <c r="I55" s="81">
        <v>3648</v>
      </c>
      <c r="J55" s="81">
        <v>3648</v>
      </c>
      <c r="K55" s="81">
        <v>4560</v>
      </c>
      <c r="L55" s="85">
        <v>76</v>
      </c>
      <c r="M55" s="81"/>
      <c r="R55" s="76">
        <v>46</v>
      </c>
      <c r="S55" s="77">
        <v>3240</v>
      </c>
      <c r="T55" s="77">
        <v>3240</v>
      </c>
      <c r="U55" s="77">
        <v>4320</v>
      </c>
      <c r="V55" s="77">
        <v>6480</v>
      </c>
    </row>
    <row r="56" spans="4:22">
      <c r="D56" s="81">
        <v>33</v>
      </c>
      <c r="E56" s="81">
        <v>33</v>
      </c>
      <c r="F56" s="81" t="s">
        <v>323</v>
      </c>
      <c r="G56" s="81">
        <v>1896</v>
      </c>
      <c r="H56" s="81">
        <v>2844</v>
      </c>
      <c r="I56" s="81">
        <v>3792</v>
      </c>
      <c r="J56" s="81">
        <v>3792</v>
      </c>
      <c r="K56" s="81">
        <v>4740</v>
      </c>
      <c r="L56" s="85">
        <v>79</v>
      </c>
      <c r="M56" s="81"/>
      <c r="R56" s="76">
        <v>47</v>
      </c>
      <c r="S56" s="77">
        <v>3312</v>
      </c>
      <c r="T56" s="77">
        <v>3312</v>
      </c>
      <c r="U56" s="77">
        <v>4416</v>
      </c>
      <c r="V56" s="77">
        <v>6624</v>
      </c>
    </row>
    <row r="57" spans="4:22">
      <c r="D57" s="81">
        <v>34</v>
      </c>
      <c r="E57" s="81">
        <v>34</v>
      </c>
      <c r="F57" s="81" t="s">
        <v>323</v>
      </c>
      <c r="G57" s="81">
        <v>1968</v>
      </c>
      <c r="H57" s="81">
        <v>2952</v>
      </c>
      <c r="I57" s="81">
        <v>3936</v>
      </c>
      <c r="J57" s="81">
        <v>3936</v>
      </c>
      <c r="K57" s="81">
        <v>4920</v>
      </c>
      <c r="L57" s="85">
        <v>82</v>
      </c>
      <c r="M57" s="81"/>
      <c r="R57" s="76">
        <v>48</v>
      </c>
      <c r="S57" s="77">
        <v>3384</v>
      </c>
      <c r="T57" s="77">
        <v>3384</v>
      </c>
      <c r="U57" s="77">
        <v>4512</v>
      </c>
      <c r="V57" s="77">
        <v>6768</v>
      </c>
    </row>
    <row r="58" spans="4:22">
      <c r="D58" s="81">
        <v>35</v>
      </c>
      <c r="E58" s="81">
        <v>35</v>
      </c>
      <c r="F58" s="81" t="s">
        <v>323</v>
      </c>
      <c r="G58" s="81">
        <v>2040</v>
      </c>
      <c r="H58" s="81">
        <v>3060</v>
      </c>
      <c r="I58" s="81">
        <v>4080</v>
      </c>
      <c r="J58" s="81">
        <v>4080</v>
      </c>
      <c r="K58" s="81">
        <v>5100</v>
      </c>
      <c r="L58" s="85">
        <v>85</v>
      </c>
      <c r="M58" s="81"/>
      <c r="R58" s="76">
        <v>49</v>
      </c>
      <c r="S58" s="77">
        <v>3456</v>
      </c>
      <c r="T58" s="77">
        <v>3456</v>
      </c>
      <c r="U58" s="77">
        <v>4608</v>
      </c>
      <c r="V58" s="77">
        <v>6912</v>
      </c>
    </row>
    <row r="59" spans="4:22">
      <c r="D59" s="81">
        <v>36</v>
      </c>
      <c r="E59" s="81">
        <v>36</v>
      </c>
      <c r="F59" s="81" t="s">
        <v>323</v>
      </c>
      <c r="G59" s="81">
        <v>2112</v>
      </c>
      <c r="H59" s="81">
        <v>3168</v>
      </c>
      <c r="I59" s="81">
        <v>4224</v>
      </c>
      <c r="J59" s="81">
        <v>4224</v>
      </c>
      <c r="K59" s="81">
        <v>5280</v>
      </c>
      <c r="L59" s="85">
        <v>88</v>
      </c>
      <c r="M59" s="81"/>
    </row>
    <row r="60" spans="4:22">
      <c r="D60" s="81">
        <v>37</v>
      </c>
      <c r="E60" s="81">
        <v>37</v>
      </c>
      <c r="F60" s="81" t="s">
        <v>323</v>
      </c>
      <c r="G60" s="81">
        <v>2184</v>
      </c>
      <c r="H60" s="81">
        <v>3276</v>
      </c>
      <c r="I60" s="81">
        <v>4368</v>
      </c>
      <c r="J60" s="81">
        <v>4368</v>
      </c>
      <c r="K60" s="81">
        <v>5460</v>
      </c>
      <c r="L60" s="85">
        <v>91</v>
      </c>
      <c r="M60" s="81"/>
    </row>
    <row r="61" spans="4:22">
      <c r="D61" s="81">
        <v>38</v>
      </c>
      <c r="E61" s="81">
        <v>38</v>
      </c>
      <c r="F61" s="81" t="s">
        <v>323</v>
      </c>
      <c r="G61" s="81">
        <v>2256</v>
      </c>
      <c r="H61" s="81">
        <v>3384</v>
      </c>
      <c r="I61" s="81">
        <v>4512</v>
      </c>
      <c r="J61" s="81">
        <v>4512</v>
      </c>
      <c r="K61" s="81">
        <v>5640</v>
      </c>
      <c r="L61" s="85">
        <v>94</v>
      </c>
      <c r="M61" s="81"/>
    </row>
    <row r="62" spans="4:22">
      <c r="D62" s="81">
        <v>39</v>
      </c>
      <c r="E62" s="81">
        <v>39</v>
      </c>
      <c r="F62" s="81" t="s">
        <v>323</v>
      </c>
      <c r="G62" s="81">
        <v>2328</v>
      </c>
      <c r="H62" s="81">
        <v>3492</v>
      </c>
      <c r="I62" s="81">
        <v>4656</v>
      </c>
      <c r="J62" s="81">
        <v>4656</v>
      </c>
      <c r="K62" s="81">
        <v>5820</v>
      </c>
      <c r="L62" s="85">
        <v>97</v>
      </c>
      <c r="M62" s="81"/>
    </row>
    <row r="63" spans="4:22">
      <c r="D63" s="81">
        <v>40</v>
      </c>
      <c r="E63" s="81">
        <v>40</v>
      </c>
      <c r="F63" s="81" t="s">
        <v>323</v>
      </c>
      <c r="G63" s="81">
        <v>2400</v>
      </c>
      <c r="H63" s="81">
        <v>3600</v>
      </c>
      <c r="I63" s="81">
        <v>4800</v>
      </c>
      <c r="J63" s="81">
        <v>4800</v>
      </c>
      <c r="K63" s="81">
        <v>6000</v>
      </c>
      <c r="L63" s="85">
        <v>100</v>
      </c>
      <c r="M63" s="81"/>
    </row>
    <row r="64" spans="4:22">
      <c r="D64" s="81">
        <v>41</v>
      </c>
      <c r="E64" s="81">
        <v>41</v>
      </c>
      <c r="F64" s="81" t="s">
        <v>323</v>
      </c>
      <c r="G64" s="81">
        <v>2520</v>
      </c>
      <c r="H64" s="81">
        <v>3780</v>
      </c>
      <c r="I64" s="81">
        <v>5040</v>
      </c>
      <c r="J64" s="81">
        <v>5040</v>
      </c>
      <c r="K64" s="81">
        <v>6300</v>
      </c>
      <c r="L64" s="85">
        <v>105</v>
      </c>
      <c r="M64" s="81"/>
    </row>
    <row r="65" spans="4:13">
      <c r="D65" s="81">
        <v>42</v>
      </c>
      <c r="E65" s="81">
        <v>42</v>
      </c>
      <c r="F65" s="81" t="s">
        <v>323</v>
      </c>
      <c r="G65" s="81">
        <v>2640</v>
      </c>
      <c r="H65" s="81">
        <v>3960</v>
      </c>
      <c r="I65" s="81">
        <v>5280</v>
      </c>
      <c r="J65" s="81">
        <v>5280</v>
      </c>
      <c r="K65" s="81">
        <v>6600</v>
      </c>
      <c r="L65" s="85">
        <v>110</v>
      </c>
      <c r="M65" s="81"/>
    </row>
    <row r="66" spans="4:13">
      <c r="D66" s="81">
        <v>43</v>
      </c>
      <c r="E66" s="81">
        <v>43</v>
      </c>
      <c r="F66" s="81" t="s">
        <v>323</v>
      </c>
      <c r="G66" s="81">
        <v>2760</v>
      </c>
      <c r="H66" s="81">
        <v>4140</v>
      </c>
      <c r="I66" s="81">
        <v>5520</v>
      </c>
      <c r="J66" s="81">
        <v>5520</v>
      </c>
      <c r="K66" s="81">
        <v>6900</v>
      </c>
      <c r="L66" s="85">
        <v>115</v>
      </c>
      <c r="M66" s="81"/>
    </row>
    <row r="67" spans="4:13">
      <c r="D67" s="81">
        <v>44</v>
      </c>
      <c r="E67" s="81">
        <v>44</v>
      </c>
      <c r="F67" s="81" t="s">
        <v>323</v>
      </c>
      <c r="G67" s="81">
        <v>2880</v>
      </c>
      <c r="H67" s="81">
        <v>4320</v>
      </c>
      <c r="I67" s="81">
        <v>5760</v>
      </c>
      <c r="J67" s="81">
        <v>5760</v>
      </c>
      <c r="K67" s="81">
        <v>7200</v>
      </c>
      <c r="L67" s="85">
        <v>120</v>
      </c>
      <c r="M67" s="81"/>
    </row>
    <row r="68" spans="4:13">
      <c r="D68" s="81">
        <v>45</v>
      </c>
      <c r="E68" s="81">
        <v>45</v>
      </c>
      <c r="F68" s="81" t="s">
        <v>323</v>
      </c>
      <c r="G68" s="81">
        <v>3000</v>
      </c>
      <c r="H68" s="81">
        <v>4500</v>
      </c>
      <c r="I68" s="81">
        <v>6000</v>
      </c>
      <c r="J68" s="81">
        <v>6000</v>
      </c>
      <c r="K68" s="81">
        <v>7500</v>
      </c>
      <c r="L68" s="85">
        <v>125</v>
      </c>
      <c r="M68" s="81"/>
    </row>
    <row r="69" spans="4:13">
      <c r="D69" s="81">
        <v>46</v>
      </c>
      <c r="E69" s="81">
        <v>46</v>
      </c>
      <c r="F69" s="81" t="s">
        <v>323</v>
      </c>
      <c r="G69" s="81">
        <v>3120</v>
      </c>
      <c r="H69" s="81">
        <v>4680</v>
      </c>
      <c r="I69" s="81">
        <v>6240</v>
      </c>
      <c r="J69" s="81">
        <v>6240</v>
      </c>
      <c r="K69" s="81">
        <v>7800</v>
      </c>
      <c r="L69" s="85">
        <v>130</v>
      </c>
      <c r="M69" s="81"/>
    </row>
    <row r="70" spans="4:13">
      <c r="D70" s="81">
        <v>47</v>
      </c>
      <c r="E70" s="81">
        <v>47</v>
      </c>
      <c r="F70" s="81" t="s">
        <v>323</v>
      </c>
      <c r="G70" s="81">
        <v>3240</v>
      </c>
      <c r="H70" s="81">
        <v>4860</v>
      </c>
      <c r="I70" s="81">
        <v>6480</v>
      </c>
      <c r="J70" s="81">
        <v>6480</v>
      </c>
      <c r="K70" s="81">
        <v>8100</v>
      </c>
      <c r="L70" s="85">
        <v>135</v>
      </c>
      <c r="M70" s="81"/>
    </row>
    <row r="71" spans="4:13">
      <c r="D71" s="81">
        <v>48</v>
      </c>
      <c r="E71" s="81">
        <v>48</v>
      </c>
      <c r="F71" s="81" t="s">
        <v>323</v>
      </c>
      <c r="G71" s="81">
        <v>3360</v>
      </c>
      <c r="H71" s="81">
        <v>5040</v>
      </c>
      <c r="I71" s="81">
        <v>6720</v>
      </c>
      <c r="J71" s="81">
        <v>6720</v>
      </c>
      <c r="K71" s="81">
        <v>8400</v>
      </c>
      <c r="L71" s="85">
        <v>140</v>
      </c>
      <c r="M71" s="81"/>
    </row>
    <row r="72" spans="4:13">
      <c r="D72" s="81">
        <v>49</v>
      </c>
      <c r="E72" s="81">
        <v>49</v>
      </c>
      <c r="F72" s="81" t="s">
        <v>323</v>
      </c>
      <c r="G72" s="81">
        <v>3480</v>
      </c>
      <c r="H72" s="81">
        <v>5220</v>
      </c>
      <c r="I72" s="81">
        <v>6960</v>
      </c>
      <c r="J72" s="81">
        <v>6960</v>
      </c>
      <c r="K72" s="81">
        <v>8700</v>
      </c>
      <c r="L72" s="85">
        <v>145</v>
      </c>
      <c r="M72" s="81"/>
    </row>
    <row r="73" spans="4:13">
      <c r="D73" s="81">
        <v>50</v>
      </c>
      <c r="E73" s="81">
        <v>50</v>
      </c>
      <c r="F73" s="81" t="s">
        <v>323</v>
      </c>
      <c r="G73" s="81"/>
      <c r="H73" s="81"/>
      <c r="I73" s="81"/>
      <c r="J73" s="81"/>
      <c r="K73" s="81"/>
      <c r="L73" s="85">
        <v>150</v>
      </c>
      <c r="M73" s="81"/>
    </row>
    <row r="74" spans="4:13">
      <c r="D74" s="81">
        <v>51</v>
      </c>
      <c r="E74" s="81">
        <v>1</v>
      </c>
      <c r="F74" s="81" t="s">
        <v>48</v>
      </c>
      <c r="G74" s="86">
        <v>24</v>
      </c>
      <c r="H74" s="86">
        <v>34</v>
      </c>
      <c r="I74" s="86">
        <v>46</v>
      </c>
      <c r="J74" s="86">
        <v>46</v>
      </c>
      <c r="K74" s="86">
        <v>56</v>
      </c>
      <c r="L74" s="81"/>
      <c r="M74" s="80"/>
    </row>
    <row r="75" spans="4:13">
      <c r="D75" s="81">
        <v>52</v>
      </c>
      <c r="E75" s="81">
        <v>2</v>
      </c>
      <c r="F75" s="81" t="s">
        <v>48</v>
      </c>
      <c r="G75" s="86">
        <v>46</v>
      </c>
      <c r="H75" s="86">
        <v>68</v>
      </c>
      <c r="I75" s="86">
        <v>90</v>
      </c>
      <c r="J75" s="86">
        <v>90</v>
      </c>
      <c r="K75" s="86">
        <v>112</v>
      </c>
      <c r="L75" s="81"/>
      <c r="M75" s="80"/>
    </row>
    <row r="76" spans="4:13">
      <c r="D76" s="81">
        <v>53</v>
      </c>
      <c r="E76" s="81">
        <v>3</v>
      </c>
      <c r="F76" s="81" t="s">
        <v>48</v>
      </c>
      <c r="G76" s="86">
        <v>68</v>
      </c>
      <c r="H76" s="86">
        <v>102</v>
      </c>
      <c r="I76" s="86">
        <v>134</v>
      </c>
      <c r="J76" s="86">
        <v>134</v>
      </c>
      <c r="K76" s="86">
        <v>168</v>
      </c>
      <c r="L76" s="81"/>
      <c r="M76" s="80"/>
    </row>
    <row r="77" spans="4:13">
      <c r="D77" s="81">
        <v>54</v>
      </c>
      <c r="E77" s="81">
        <v>4</v>
      </c>
      <c r="F77" s="81" t="s">
        <v>48</v>
      </c>
      <c r="G77" s="86">
        <v>112</v>
      </c>
      <c r="H77" s="86">
        <v>168</v>
      </c>
      <c r="I77" s="86">
        <v>224</v>
      </c>
      <c r="J77" s="86">
        <v>224</v>
      </c>
      <c r="K77" s="86">
        <v>280</v>
      </c>
      <c r="L77" s="81"/>
      <c r="M77" s="80"/>
    </row>
    <row r="78" spans="4:13">
      <c r="D78" s="81">
        <v>55</v>
      </c>
      <c r="E78" s="81">
        <v>5</v>
      </c>
      <c r="F78" s="81" t="s">
        <v>48</v>
      </c>
      <c r="G78" s="86">
        <v>156</v>
      </c>
      <c r="H78" s="86">
        <v>234</v>
      </c>
      <c r="I78" s="86">
        <v>312</v>
      </c>
      <c r="J78" s="86">
        <v>312</v>
      </c>
      <c r="K78" s="86">
        <v>390</v>
      </c>
      <c r="L78" s="81"/>
      <c r="M78" s="80"/>
    </row>
    <row r="79" spans="4:13">
      <c r="D79" s="81">
        <v>56</v>
      </c>
      <c r="E79" s="81">
        <v>6</v>
      </c>
      <c r="F79" s="81" t="s">
        <v>48</v>
      </c>
      <c r="G79" s="86">
        <v>202</v>
      </c>
      <c r="H79" s="86">
        <v>302</v>
      </c>
      <c r="I79" s="86">
        <v>402</v>
      </c>
      <c r="J79" s="86">
        <v>402</v>
      </c>
      <c r="K79" s="86">
        <v>502</v>
      </c>
      <c r="L79" s="81"/>
      <c r="M79" s="80"/>
    </row>
    <row r="80" spans="4:13">
      <c r="D80" s="81">
        <v>57</v>
      </c>
      <c r="E80" s="81">
        <v>7</v>
      </c>
      <c r="F80" s="81" t="s">
        <v>48</v>
      </c>
      <c r="G80" s="86">
        <v>246</v>
      </c>
      <c r="H80" s="86">
        <v>368</v>
      </c>
      <c r="I80" s="86">
        <v>492</v>
      </c>
      <c r="J80" s="86">
        <v>492</v>
      </c>
      <c r="K80" s="86">
        <v>614</v>
      </c>
      <c r="L80" s="81"/>
      <c r="M80" s="80"/>
    </row>
    <row r="81" spans="4:13">
      <c r="D81" s="81">
        <v>58</v>
      </c>
      <c r="E81" s="81">
        <v>8</v>
      </c>
      <c r="F81" s="81" t="s">
        <v>48</v>
      </c>
      <c r="G81" s="86">
        <v>290</v>
      </c>
      <c r="H81" s="86">
        <v>436</v>
      </c>
      <c r="I81" s="86">
        <v>580</v>
      </c>
      <c r="J81" s="86">
        <v>580</v>
      </c>
      <c r="K81" s="86">
        <v>726</v>
      </c>
      <c r="L81" s="81"/>
      <c r="M81" s="80"/>
    </row>
    <row r="82" spans="4:13">
      <c r="D82" s="81">
        <v>59</v>
      </c>
      <c r="E82" s="81">
        <v>9</v>
      </c>
      <c r="F82" s="81" t="s">
        <v>48</v>
      </c>
      <c r="G82" s="86">
        <v>336</v>
      </c>
      <c r="H82" s="86">
        <v>502</v>
      </c>
      <c r="I82" s="86">
        <v>670</v>
      </c>
      <c r="J82" s="86">
        <v>670</v>
      </c>
      <c r="K82" s="86">
        <v>836</v>
      </c>
      <c r="L82" s="81"/>
      <c r="M82" s="80"/>
    </row>
    <row r="83" spans="4:13">
      <c r="D83" s="81">
        <v>60</v>
      </c>
      <c r="E83" s="81">
        <v>10</v>
      </c>
      <c r="F83" s="81" t="s">
        <v>48</v>
      </c>
      <c r="G83" s="86">
        <v>380</v>
      </c>
      <c r="H83" s="86">
        <v>570</v>
      </c>
      <c r="I83" s="86">
        <v>758</v>
      </c>
      <c r="J83" s="86">
        <v>758</v>
      </c>
      <c r="K83" s="86">
        <v>948</v>
      </c>
      <c r="L83" s="81"/>
      <c r="M83" s="80"/>
    </row>
    <row r="84" spans="4:13">
      <c r="D84" s="81">
        <v>61</v>
      </c>
      <c r="E84" s="81">
        <v>11</v>
      </c>
      <c r="F84" s="81" t="s">
        <v>48</v>
      </c>
      <c r="G84" s="86">
        <v>424</v>
      </c>
      <c r="H84" s="86">
        <v>636</v>
      </c>
      <c r="I84" s="86">
        <v>848</v>
      </c>
      <c r="J84" s="86">
        <v>848</v>
      </c>
      <c r="K84" s="86">
        <v>1060</v>
      </c>
      <c r="L84" s="81"/>
      <c r="M84" s="80"/>
    </row>
    <row r="85" spans="4:13">
      <c r="D85" s="81">
        <v>62</v>
      </c>
      <c r="E85" s="81">
        <v>12</v>
      </c>
      <c r="F85" s="81" t="s">
        <v>48</v>
      </c>
      <c r="G85" s="86">
        <v>468</v>
      </c>
      <c r="H85" s="86">
        <v>702</v>
      </c>
      <c r="I85" s="86">
        <v>936</v>
      </c>
      <c r="J85" s="86">
        <v>936</v>
      </c>
      <c r="K85" s="86">
        <v>1170</v>
      </c>
      <c r="L85" s="81"/>
      <c r="M85" s="80"/>
    </row>
    <row r="86" spans="4:13">
      <c r="D86" s="81">
        <v>63</v>
      </c>
      <c r="E86" s="81">
        <v>13</v>
      </c>
      <c r="F86" s="81" t="s">
        <v>48</v>
      </c>
      <c r="G86" s="86">
        <v>514</v>
      </c>
      <c r="H86" s="86">
        <v>770</v>
      </c>
      <c r="I86" s="86">
        <v>1026</v>
      </c>
      <c r="J86" s="86">
        <v>1026</v>
      </c>
      <c r="K86" s="86">
        <v>1282</v>
      </c>
      <c r="L86" s="81"/>
      <c r="M86" s="80"/>
    </row>
    <row r="87" spans="4:13">
      <c r="D87" s="81">
        <v>64</v>
      </c>
      <c r="E87" s="81">
        <v>14</v>
      </c>
      <c r="F87" s="81" t="s">
        <v>48</v>
      </c>
      <c r="G87" s="86">
        <v>558</v>
      </c>
      <c r="H87" s="86">
        <v>836</v>
      </c>
      <c r="I87" s="86">
        <v>1116</v>
      </c>
      <c r="J87" s="86">
        <v>1116</v>
      </c>
      <c r="K87" s="86">
        <v>1394</v>
      </c>
      <c r="L87" s="81"/>
      <c r="M87" s="80"/>
    </row>
    <row r="88" spans="4:13">
      <c r="D88" s="81">
        <v>65</v>
      </c>
      <c r="E88" s="81">
        <v>15</v>
      </c>
      <c r="F88" s="81" t="s">
        <v>48</v>
      </c>
      <c r="G88" s="86">
        <v>602</v>
      </c>
      <c r="H88" s="86">
        <v>904</v>
      </c>
      <c r="I88" s="86">
        <v>1204</v>
      </c>
      <c r="J88" s="86">
        <v>1204</v>
      </c>
      <c r="K88" s="86">
        <v>1506</v>
      </c>
      <c r="L88" s="81"/>
      <c r="M88" s="80"/>
    </row>
    <row r="89" spans="4:13">
      <c r="D89" s="81">
        <v>66</v>
      </c>
      <c r="E89" s="81">
        <v>16</v>
      </c>
      <c r="F89" s="81" t="s">
        <v>48</v>
      </c>
      <c r="G89" s="86">
        <v>648</v>
      </c>
      <c r="H89" s="86">
        <v>970</v>
      </c>
      <c r="I89" s="86">
        <v>1294</v>
      </c>
      <c r="J89" s="86">
        <v>1294</v>
      </c>
      <c r="K89" s="86">
        <v>1616</v>
      </c>
      <c r="L89" s="81"/>
      <c r="M89" s="80"/>
    </row>
    <row r="90" spans="4:13">
      <c r="D90" s="81">
        <v>67</v>
      </c>
      <c r="E90" s="81">
        <v>17</v>
      </c>
      <c r="F90" s="81" t="s">
        <v>48</v>
      </c>
      <c r="G90" s="86">
        <v>692</v>
      </c>
      <c r="H90" s="86">
        <v>1038</v>
      </c>
      <c r="I90" s="86">
        <v>1382</v>
      </c>
      <c r="J90" s="86">
        <v>1382</v>
      </c>
      <c r="K90" s="86">
        <v>1728</v>
      </c>
      <c r="L90" s="81"/>
      <c r="M90" s="80"/>
    </row>
    <row r="91" spans="4:13">
      <c r="D91" s="81">
        <v>68</v>
      </c>
      <c r="E91" s="81">
        <v>18</v>
      </c>
      <c r="F91" s="81" t="s">
        <v>48</v>
      </c>
      <c r="G91" s="86">
        <v>758</v>
      </c>
      <c r="H91" s="86">
        <v>1138</v>
      </c>
      <c r="I91" s="86">
        <v>1516</v>
      </c>
      <c r="J91" s="86">
        <v>1516</v>
      </c>
      <c r="K91" s="86">
        <v>1896</v>
      </c>
      <c r="L91" s="81"/>
      <c r="M91" s="80"/>
    </row>
    <row r="92" spans="4:13">
      <c r="D92" s="81">
        <v>69</v>
      </c>
      <c r="E92" s="81">
        <v>19</v>
      </c>
      <c r="F92" s="81" t="s">
        <v>48</v>
      </c>
      <c r="G92" s="86">
        <v>826</v>
      </c>
      <c r="H92" s="86">
        <v>1238</v>
      </c>
      <c r="I92" s="86">
        <v>1650</v>
      </c>
      <c r="J92" s="86">
        <v>1650</v>
      </c>
      <c r="K92" s="86">
        <v>2062</v>
      </c>
      <c r="L92" s="81"/>
      <c r="M92" s="80"/>
    </row>
    <row r="93" spans="4:13">
      <c r="D93" s="81">
        <v>70</v>
      </c>
      <c r="E93" s="81">
        <v>20</v>
      </c>
      <c r="F93" s="81" t="s">
        <v>48</v>
      </c>
      <c r="G93" s="86">
        <v>892</v>
      </c>
      <c r="H93" s="86">
        <v>1338</v>
      </c>
      <c r="I93" s="86">
        <v>1784</v>
      </c>
      <c r="J93" s="86">
        <v>1784</v>
      </c>
      <c r="K93" s="86">
        <v>2230</v>
      </c>
      <c r="L93" s="81"/>
      <c r="M93" s="80"/>
    </row>
    <row r="94" spans="4:13">
      <c r="D94" s="81">
        <v>71</v>
      </c>
      <c r="E94" s="81">
        <v>21</v>
      </c>
      <c r="F94" s="81" t="s">
        <v>48</v>
      </c>
      <c r="G94" s="86">
        <v>960</v>
      </c>
      <c r="H94" s="86">
        <v>1438</v>
      </c>
      <c r="I94" s="86">
        <v>1918</v>
      </c>
      <c r="J94" s="86">
        <v>1918</v>
      </c>
      <c r="K94" s="86">
        <v>2396</v>
      </c>
      <c r="L94" s="81"/>
      <c r="M94" s="80"/>
    </row>
    <row r="95" spans="4:13">
      <c r="D95" s="81">
        <v>72</v>
      </c>
      <c r="E95" s="81">
        <v>22</v>
      </c>
      <c r="F95" s="81" t="s">
        <v>48</v>
      </c>
      <c r="G95" s="86">
        <v>1026</v>
      </c>
      <c r="H95" s="86">
        <v>1538</v>
      </c>
      <c r="I95" s="86">
        <v>2052</v>
      </c>
      <c r="J95" s="86">
        <v>2052</v>
      </c>
      <c r="K95" s="86">
        <v>2564</v>
      </c>
      <c r="L95" s="81"/>
      <c r="M95" s="80"/>
    </row>
    <row r="96" spans="4:13">
      <c r="D96" s="81">
        <v>73</v>
      </c>
      <c r="E96" s="81">
        <v>23</v>
      </c>
      <c r="F96" s="81" t="s">
        <v>48</v>
      </c>
      <c r="G96" s="86">
        <v>1092</v>
      </c>
      <c r="H96" s="86">
        <v>1638</v>
      </c>
      <c r="I96" s="86">
        <v>2184</v>
      </c>
      <c r="J96" s="86">
        <v>2184</v>
      </c>
      <c r="K96" s="86">
        <v>2730</v>
      </c>
      <c r="L96" s="81"/>
      <c r="M96" s="80"/>
    </row>
    <row r="97" spans="4:13">
      <c r="D97" s="81">
        <v>74</v>
      </c>
      <c r="E97" s="81">
        <v>24</v>
      </c>
      <c r="F97" s="81" t="s">
        <v>48</v>
      </c>
      <c r="G97" s="86">
        <v>1160</v>
      </c>
      <c r="H97" s="86">
        <v>1740</v>
      </c>
      <c r="I97" s="86">
        <v>2318</v>
      </c>
      <c r="J97" s="86">
        <v>2318</v>
      </c>
      <c r="K97" s="86">
        <v>2898</v>
      </c>
      <c r="L97" s="81"/>
      <c r="M97" s="80"/>
    </row>
    <row r="98" spans="4:13">
      <c r="D98" s="81">
        <v>75</v>
      </c>
      <c r="E98" s="81">
        <v>25</v>
      </c>
      <c r="F98" s="81" t="s">
        <v>48</v>
      </c>
      <c r="G98" s="86">
        <v>1226</v>
      </c>
      <c r="H98" s="86">
        <v>1840</v>
      </c>
      <c r="I98" s="86">
        <v>2452</v>
      </c>
      <c r="J98" s="86">
        <v>2452</v>
      </c>
      <c r="K98" s="86">
        <v>3066</v>
      </c>
      <c r="L98" s="81"/>
      <c r="M98" s="80"/>
    </row>
    <row r="99" spans="4:13">
      <c r="D99" s="81">
        <v>76</v>
      </c>
      <c r="E99" s="81">
        <v>26</v>
      </c>
      <c r="F99" s="81" t="s">
        <v>48</v>
      </c>
      <c r="G99" s="86">
        <v>1294</v>
      </c>
      <c r="H99" s="86">
        <v>1940</v>
      </c>
      <c r="I99" s="86">
        <v>2586</v>
      </c>
      <c r="J99" s="86">
        <v>2586</v>
      </c>
      <c r="K99" s="86">
        <v>3232</v>
      </c>
      <c r="L99" s="81"/>
      <c r="M99" s="80"/>
    </row>
    <row r="100" spans="4:13">
      <c r="D100" s="81">
        <v>77</v>
      </c>
      <c r="E100" s="81">
        <v>27</v>
      </c>
      <c r="F100" s="81" t="s">
        <v>48</v>
      </c>
      <c r="G100" s="86">
        <v>1360</v>
      </c>
      <c r="H100" s="86">
        <v>2040</v>
      </c>
      <c r="I100" s="86">
        <v>2720</v>
      </c>
      <c r="J100" s="86">
        <v>2720</v>
      </c>
      <c r="K100" s="86">
        <v>3400</v>
      </c>
      <c r="L100" s="81"/>
      <c r="M100" s="80"/>
    </row>
    <row r="101" spans="4:13">
      <c r="D101" s="81">
        <v>78</v>
      </c>
      <c r="E101" s="81">
        <v>28</v>
      </c>
      <c r="F101" s="81" t="s">
        <v>48</v>
      </c>
      <c r="G101" s="86">
        <v>1428</v>
      </c>
      <c r="H101" s="86">
        <v>2140</v>
      </c>
      <c r="I101" s="86">
        <v>2854</v>
      </c>
      <c r="J101" s="86">
        <v>2854</v>
      </c>
      <c r="K101" s="86">
        <v>3566</v>
      </c>
      <c r="L101" s="81"/>
      <c r="M101" s="80"/>
    </row>
    <row r="102" spans="4:13">
      <c r="D102" s="81">
        <v>79</v>
      </c>
      <c r="E102" s="81">
        <v>29</v>
      </c>
      <c r="F102" s="81" t="s">
        <v>48</v>
      </c>
      <c r="G102" s="86">
        <v>1494</v>
      </c>
      <c r="H102" s="86">
        <v>2240</v>
      </c>
      <c r="I102" s="86">
        <v>2988</v>
      </c>
      <c r="J102" s="86">
        <v>2988</v>
      </c>
      <c r="K102" s="86">
        <v>3734</v>
      </c>
      <c r="L102" s="81"/>
      <c r="M102" s="80"/>
    </row>
    <row r="103" spans="4:13">
      <c r="D103" s="81">
        <v>80</v>
      </c>
      <c r="E103" s="81">
        <v>30</v>
      </c>
      <c r="F103" s="81" t="s">
        <v>48</v>
      </c>
      <c r="G103" s="86">
        <v>1560</v>
      </c>
      <c r="H103" s="86">
        <v>2340</v>
      </c>
      <c r="I103" s="86">
        <v>3120</v>
      </c>
      <c r="J103" s="86">
        <v>3120</v>
      </c>
      <c r="K103" s="86">
        <v>3900</v>
      </c>
      <c r="L103" s="81"/>
      <c r="M103" s="80"/>
    </row>
    <row r="104" spans="4:13">
      <c r="D104" s="81">
        <v>81</v>
      </c>
      <c r="E104" s="81">
        <v>31</v>
      </c>
      <c r="F104" s="81" t="s">
        <v>48</v>
      </c>
      <c r="G104" s="86">
        <v>1628</v>
      </c>
      <c r="H104" s="86">
        <v>2442</v>
      </c>
      <c r="I104" s="86">
        <v>3254</v>
      </c>
      <c r="J104" s="86">
        <v>3254</v>
      </c>
      <c r="K104" s="86">
        <v>4068</v>
      </c>
      <c r="L104" s="81"/>
      <c r="M104" s="80"/>
    </row>
    <row r="105" spans="4:13">
      <c r="D105" s="81">
        <v>82</v>
      </c>
      <c r="E105" s="81">
        <v>32</v>
      </c>
      <c r="F105" s="81" t="s">
        <v>48</v>
      </c>
      <c r="G105" s="86">
        <v>1694</v>
      </c>
      <c r="H105" s="86">
        <v>2542</v>
      </c>
      <c r="I105" s="86">
        <v>3388</v>
      </c>
      <c r="J105" s="86">
        <v>3388</v>
      </c>
      <c r="K105" s="86">
        <v>4236</v>
      </c>
      <c r="L105" s="81"/>
      <c r="M105" s="80"/>
    </row>
    <row r="106" spans="4:13">
      <c r="D106" s="81">
        <v>83</v>
      </c>
      <c r="E106" s="81">
        <v>33</v>
      </c>
      <c r="F106" s="81" t="s">
        <v>48</v>
      </c>
      <c r="G106" s="86">
        <v>1762</v>
      </c>
      <c r="H106" s="86">
        <v>2642</v>
      </c>
      <c r="I106" s="86">
        <v>3522</v>
      </c>
      <c r="J106" s="86">
        <v>3522</v>
      </c>
      <c r="K106" s="86">
        <v>4402</v>
      </c>
      <c r="L106" s="81"/>
      <c r="M106" s="80"/>
    </row>
    <row r="107" spans="4:13">
      <c r="D107" s="81">
        <v>84</v>
      </c>
      <c r="E107" s="81">
        <v>34</v>
      </c>
      <c r="F107" s="81" t="s">
        <v>48</v>
      </c>
      <c r="G107" s="86">
        <v>1828</v>
      </c>
      <c r="H107" s="86">
        <v>2742</v>
      </c>
      <c r="I107" s="86">
        <v>3656</v>
      </c>
      <c r="J107" s="86">
        <v>3656</v>
      </c>
      <c r="K107" s="86">
        <v>4570</v>
      </c>
      <c r="L107" s="81"/>
      <c r="M107" s="80"/>
    </row>
    <row r="108" spans="4:13">
      <c r="D108" s="81">
        <v>85</v>
      </c>
      <c r="E108" s="81">
        <v>35</v>
      </c>
      <c r="F108" s="81" t="s">
        <v>48</v>
      </c>
      <c r="G108" s="86">
        <v>1896</v>
      </c>
      <c r="H108" s="86">
        <v>2842</v>
      </c>
      <c r="I108" s="86">
        <v>3790</v>
      </c>
      <c r="J108" s="86">
        <v>3790</v>
      </c>
      <c r="K108" s="86">
        <v>4736</v>
      </c>
      <c r="L108" s="81"/>
      <c r="M108" s="80"/>
    </row>
    <row r="109" spans="4:13">
      <c r="D109" s="81">
        <v>86</v>
      </c>
      <c r="E109" s="81">
        <v>36</v>
      </c>
      <c r="F109" s="81" t="s">
        <v>48</v>
      </c>
      <c r="G109" s="86">
        <v>1962</v>
      </c>
      <c r="H109" s="86">
        <v>2942</v>
      </c>
      <c r="I109" s="86">
        <v>3924</v>
      </c>
      <c r="J109" s="86">
        <v>3924</v>
      </c>
      <c r="K109" s="86">
        <v>4904</v>
      </c>
      <c r="L109" s="81"/>
      <c r="M109" s="80"/>
    </row>
    <row r="110" spans="4:13">
      <c r="D110" s="81">
        <v>87</v>
      </c>
      <c r="E110" s="81">
        <v>37</v>
      </c>
      <c r="F110" s="81" t="s">
        <v>48</v>
      </c>
      <c r="G110" s="86">
        <v>2030</v>
      </c>
      <c r="H110" s="86">
        <v>3042</v>
      </c>
      <c r="I110" s="86">
        <v>4058</v>
      </c>
      <c r="J110" s="86">
        <v>4058</v>
      </c>
      <c r="K110" s="86">
        <v>5070</v>
      </c>
      <c r="L110" s="81"/>
      <c r="M110" s="80"/>
    </row>
    <row r="111" spans="4:13">
      <c r="D111" s="81">
        <v>88</v>
      </c>
      <c r="E111" s="81">
        <v>38</v>
      </c>
      <c r="F111" s="81" t="s">
        <v>48</v>
      </c>
      <c r="G111" s="86">
        <v>2096</v>
      </c>
      <c r="H111" s="86">
        <v>3144</v>
      </c>
      <c r="I111" s="86">
        <v>4190</v>
      </c>
      <c r="J111" s="86">
        <v>4190</v>
      </c>
      <c r="K111" s="86">
        <v>5238</v>
      </c>
      <c r="L111" s="81"/>
      <c r="M111" s="80"/>
    </row>
    <row r="112" spans="4:13">
      <c r="D112" s="81">
        <v>89</v>
      </c>
      <c r="E112" s="81">
        <v>39</v>
      </c>
      <c r="F112" s="81" t="s">
        <v>48</v>
      </c>
      <c r="G112" s="86">
        <v>2162</v>
      </c>
      <c r="H112" s="86">
        <v>3244</v>
      </c>
      <c r="I112" s="86">
        <v>4324</v>
      </c>
      <c r="J112" s="86">
        <v>4324</v>
      </c>
      <c r="K112" s="86">
        <v>5406</v>
      </c>
      <c r="L112" s="81"/>
      <c r="M112" s="80"/>
    </row>
    <row r="113" spans="4:13">
      <c r="D113" s="81">
        <v>90</v>
      </c>
      <c r="E113" s="81">
        <v>40</v>
      </c>
      <c r="F113" s="81" t="s">
        <v>48</v>
      </c>
      <c r="G113" s="86">
        <v>2230</v>
      </c>
      <c r="H113" s="86">
        <v>3344</v>
      </c>
      <c r="I113" s="86">
        <v>4458</v>
      </c>
      <c r="J113" s="86">
        <v>4458</v>
      </c>
      <c r="K113" s="86">
        <v>5572</v>
      </c>
      <c r="L113" s="81"/>
      <c r="M113" s="80"/>
    </row>
    <row r="114" spans="4:13">
      <c r="D114" s="81">
        <v>91</v>
      </c>
      <c r="E114" s="81">
        <v>41</v>
      </c>
      <c r="F114" s="81" t="s">
        <v>48</v>
      </c>
      <c r="G114" s="86">
        <v>2340</v>
      </c>
      <c r="H114" s="86">
        <v>3510</v>
      </c>
      <c r="I114" s="86">
        <v>4680</v>
      </c>
      <c r="J114" s="86">
        <v>4680</v>
      </c>
      <c r="K114" s="86">
        <v>5850</v>
      </c>
      <c r="L114" s="81"/>
      <c r="M114" s="80"/>
    </row>
    <row r="115" spans="4:13">
      <c r="D115" s="81">
        <v>92</v>
      </c>
      <c r="E115" s="81">
        <v>42</v>
      </c>
      <c r="F115" s="81" t="s">
        <v>48</v>
      </c>
      <c r="G115" s="86">
        <v>2452</v>
      </c>
      <c r="H115" s="86">
        <v>3678</v>
      </c>
      <c r="I115" s="86">
        <v>4904</v>
      </c>
      <c r="J115" s="86">
        <v>4904</v>
      </c>
      <c r="K115" s="86">
        <v>6130</v>
      </c>
      <c r="L115" s="81"/>
      <c r="M115" s="80"/>
    </row>
    <row r="116" spans="4:13">
      <c r="D116" s="81">
        <v>93</v>
      </c>
      <c r="E116" s="81">
        <v>43</v>
      </c>
      <c r="F116" s="81" t="s">
        <v>48</v>
      </c>
      <c r="G116" s="86">
        <v>2564</v>
      </c>
      <c r="H116" s="86">
        <v>3846</v>
      </c>
      <c r="I116" s="86">
        <v>5126</v>
      </c>
      <c r="J116" s="86">
        <v>5126</v>
      </c>
      <c r="K116" s="86">
        <v>6408</v>
      </c>
      <c r="L116" s="81"/>
      <c r="M116" s="80"/>
    </row>
    <row r="117" spans="4:13">
      <c r="D117" s="81">
        <v>94</v>
      </c>
      <c r="E117" s="81">
        <v>44</v>
      </c>
      <c r="F117" s="81" t="s">
        <v>48</v>
      </c>
      <c r="G117" s="86">
        <v>2676</v>
      </c>
      <c r="H117" s="86">
        <v>4012</v>
      </c>
      <c r="I117" s="86">
        <v>5350</v>
      </c>
      <c r="J117" s="86">
        <v>5350</v>
      </c>
      <c r="K117" s="86">
        <v>6686</v>
      </c>
      <c r="L117" s="81"/>
      <c r="M117" s="80"/>
    </row>
    <row r="118" spans="4:13">
      <c r="D118" s="81">
        <v>95</v>
      </c>
      <c r="E118" s="81">
        <v>45</v>
      </c>
      <c r="F118" s="81" t="s">
        <v>48</v>
      </c>
      <c r="G118" s="86">
        <v>2786</v>
      </c>
      <c r="H118" s="86">
        <v>4180</v>
      </c>
      <c r="I118" s="86">
        <v>5572</v>
      </c>
      <c r="J118" s="86">
        <v>5572</v>
      </c>
      <c r="K118" s="86">
        <v>6966</v>
      </c>
      <c r="L118" s="81"/>
      <c r="M118" s="80"/>
    </row>
    <row r="119" spans="4:13">
      <c r="D119" s="81">
        <v>96</v>
      </c>
      <c r="E119" s="81">
        <v>46</v>
      </c>
      <c r="F119" s="81" t="s">
        <v>48</v>
      </c>
      <c r="G119" s="86">
        <v>2898</v>
      </c>
      <c r="H119" s="86">
        <v>4346</v>
      </c>
      <c r="I119" s="86">
        <v>5796</v>
      </c>
      <c r="J119" s="86">
        <v>5796</v>
      </c>
      <c r="K119" s="86">
        <v>7244</v>
      </c>
      <c r="L119" s="81"/>
      <c r="M119" s="80"/>
    </row>
    <row r="120" spans="4:13">
      <c r="D120" s="81">
        <v>97</v>
      </c>
      <c r="E120" s="81">
        <v>47</v>
      </c>
      <c r="F120" s="81" t="s">
        <v>48</v>
      </c>
      <c r="G120" s="86">
        <v>3010</v>
      </c>
      <c r="H120" s="86">
        <v>4514</v>
      </c>
      <c r="I120" s="86">
        <v>6018</v>
      </c>
      <c r="J120" s="86">
        <v>6018</v>
      </c>
      <c r="K120" s="86">
        <v>7522</v>
      </c>
      <c r="L120" s="81"/>
      <c r="M120" s="80"/>
    </row>
    <row r="121" spans="4:13">
      <c r="D121" s="81">
        <v>98</v>
      </c>
      <c r="E121" s="81">
        <v>48</v>
      </c>
      <c r="F121" s="81" t="s">
        <v>48</v>
      </c>
      <c r="G121" s="86">
        <v>3120</v>
      </c>
      <c r="H121" s="86">
        <v>4680</v>
      </c>
      <c r="I121" s="86">
        <v>6240</v>
      </c>
      <c r="J121" s="86">
        <v>6240</v>
      </c>
      <c r="K121" s="86">
        <v>7800</v>
      </c>
      <c r="L121" s="81"/>
      <c r="M121" s="80"/>
    </row>
    <row r="122" spans="4:13">
      <c r="D122" s="81">
        <v>99</v>
      </c>
      <c r="E122" s="81">
        <v>49</v>
      </c>
      <c r="F122" s="81" t="s">
        <v>48</v>
      </c>
      <c r="G122" s="86">
        <v>3232</v>
      </c>
      <c r="H122" s="86">
        <v>4848</v>
      </c>
      <c r="I122" s="86">
        <v>6464</v>
      </c>
      <c r="J122" s="86">
        <v>6464</v>
      </c>
      <c r="K122" s="86">
        <v>8080</v>
      </c>
      <c r="L122" s="81"/>
      <c r="M122" s="80"/>
    </row>
    <row r="123" spans="4:13">
      <c r="D123" s="81">
        <v>100</v>
      </c>
      <c r="E123" s="81">
        <v>50</v>
      </c>
      <c r="F123" s="81" t="s">
        <v>48</v>
      </c>
      <c r="G123" s="86">
        <v>0</v>
      </c>
      <c r="H123" s="86">
        <v>0</v>
      </c>
      <c r="I123" s="86">
        <v>0</v>
      </c>
      <c r="J123" s="86">
        <v>0</v>
      </c>
      <c r="K123" s="86">
        <v>0</v>
      </c>
      <c r="L123" s="81"/>
      <c r="M123" s="80"/>
    </row>
    <row r="124" spans="4:13">
      <c r="D124" s="81">
        <v>101</v>
      </c>
      <c r="E124" s="81">
        <v>1</v>
      </c>
      <c r="F124" s="81" t="s">
        <v>49</v>
      </c>
      <c r="G124" s="86">
        <v>24</v>
      </c>
      <c r="H124" s="86">
        <v>36</v>
      </c>
      <c r="I124" s="86">
        <v>48</v>
      </c>
      <c r="J124" s="86">
        <v>48</v>
      </c>
      <c r="K124" s="86">
        <v>60</v>
      </c>
      <c r="L124" s="81"/>
      <c r="M124" s="80"/>
    </row>
    <row r="125" spans="4:13">
      <c r="D125" s="81">
        <v>102</v>
      </c>
      <c r="E125" s="81">
        <v>2</v>
      </c>
      <c r="F125" s="81" t="s">
        <v>49</v>
      </c>
      <c r="G125" s="86">
        <v>48</v>
      </c>
      <c r="H125" s="86">
        <v>72</v>
      </c>
      <c r="I125" s="86">
        <v>96</v>
      </c>
      <c r="J125" s="86">
        <v>96</v>
      </c>
      <c r="K125" s="86">
        <v>120</v>
      </c>
      <c r="L125" s="81"/>
      <c r="M125" s="80"/>
    </row>
    <row r="126" spans="4:13">
      <c r="D126" s="81">
        <v>103</v>
      </c>
      <c r="E126" s="81">
        <v>3</v>
      </c>
      <c r="F126" s="81" t="s">
        <v>49</v>
      </c>
      <c r="G126" s="86">
        <v>72</v>
      </c>
      <c r="H126" s="86">
        <v>108</v>
      </c>
      <c r="I126" s="86">
        <v>144</v>
      </c>
      <c r="J126" s="86">
        <v>144</v>
      </c>
      <c r="K126" s="86">
        <v>180</v>
      </c>
      <c r="L126" s="81"/>
      <c r="M126" s="80"/>
    </row>
    <row r="127" spans="4:13">
      <c r="D127" s="81">
        <v>104</v>
      </c>
      <c r="E127" s="81">
        <v>4</v>
      </c>
      <c r="F127" s="81" t="s">
        <v>49</v>
      </c>
      <c r="G127" s="86">
        <v>120</v>
      </c>
      <c r="H127" s="86">
        <v>180</v>
      </c>
      <c r="I127" s="86">
        <v>240</v>
      </c>
      <c r="J127" s="86">
        <v>240</v>
      </c>
      <c r="K127" s="86">
        <v>300</v>
      </c>
      <c r="L127" s="81"/>
      <c r="M127" s="80"/>
    </row>
    <row r="128" spans="4:13">
      <c r="D128" s="81">
        <v>105</v>
      </c>
      <c r="E128" s="81">
        <v>5</v>
      </c>
      <c r="F128" s="81" t="s">
        <v>49</v>
      </c>
      <c r="G128" s="86">
        <v>168</v>
      </c>
      <c r="H128" s="86">
        <v>252</v>
      </c>
      <c r="I128" s="86">
        <v>336</v>
      </c>
      <c r="J128" s="86">
        <v>336</v>
      </c>
      <c r="K128" s="86">
        <v>420</v>
      </c>
      <c r="L128" s="81"/>
      <c r="M128" s="80"/>
    </row>
    <row r="129" spans="4:13">
      <c r="D129" s="81">
        <v>106</v>
      </c>
      <c r="E129" s="81">
        <v>6</v>
      </c>
      <c r="F129" s="81" t="s">
        <v>49</v>
      </c>
      <c r="G129" s="86">
        <v>216</v>
      </c>
      <c r="H129" s="86">
        <v>324</v>
      </c>
      <c r="I129" s="86">
        <v>432</v>
      </c>
      <c r="J129" s="86">
        <v>432</v>
      </c>
      <c r="K129" s="86">
        <v>540</v>
      </c>
      <c r="L129" s="81"/>
      <c r="M129" s="80"/>
    </row>
    <row r="130" spans="4:13">
      <c r="D130" s="81">
        <v>107</v>
      </c>
      <c r="E130" s="81">
        <v>7</v>
      </c>
      <c r="F130" s="81" t="s">
        <v>49</v>
      </c>
      <c r="G130" s="86">
        <v>264</v>
      </c>
      <c r="H130" s="86">
        <v>396</v>
      </c>
      <c r="I130" s="86">
        <v>528</v>
      </c>
      <c r="J130" s="86">
        <v>528</v>
      </c>
      <c r="K130" s="86">
        <v>660</v>
      </c>
      <c r="L130" s="81"/>
      <c r="M130" s="80"/>
    </row>
    <row r="131" spans="4:13">
      <c r="D131" s="81">
        <v>108</v>
      </c>
      <c r="E131" s="81">
        <v>8</v>
      </c>
      <c r="F131" s="81" t="s">
        <v>49</v>
      </c>
      <c r="G131" s="86">
        <v>312</v>
      </c>
      <c r="H131" s="86">
        <v>468</v>
      </c>
      <c r="I131" s="86">
        <v>624</v>
      </c>
      <c r="J131" s="86">
        <v>624</v>
      </c>
      <c r="K131" s="86">
        <v>780</v>
      </c>
      <c r="L131" s="81"/>
      <c r="M131" s="80"/>
    </row>
    <row r="132" spans="4:13">
      <c r="D132" s="81">
        <v>109</v>
      </c>
      <c r="E132" s="81">
        <v>9</v>
      </c>
      <c r="F132" s="81" t="s">
        <v>49</v>
      </c>
      <c r="G132" s="86">
        <v>360</v>
      </c>
      <c r="H132" s="86">
        <v>540</v>
      </c>
      <c r="I132" s="86">
        <v>720</v>
      </c>
      <c r="J132" s="86">
        <v>720</v>
      </c>
      <c r="K132" s="86">
        <v>900</v>
      </c>
      <c r="L132" s="81"/>
      <c r="M132" s="80"/>
    </row>
    <row r="133" spans="4:13">
      <c r="D133" s="81">
        <v>110</v>
      </c>
      <c r="E133" s="81">
        <v>10</v>
      </c>
      <c r="F133" s="81" t="s">
        <v>49</v>
      </c>
      <c r="G133" s="86">
        <v>408</v>
      </c>
      <c r="H133" s="86">
        <v>612</v>
      </c>
      <c r="I133" s="86">
        <v>816</v>
      </c>
      <c r="J133" s="86">
        <v>816</v>
      </c>
      <c r="K133" s="86">
        <v>1020</v>
      </c>
      <c r="L133" s="81"/>
      <c r="M133" s="80"/>
    </row>
    <row r="134" spans="4:13">
      <c r="D134" s="81">
        <v>111</v>
      </c>
      <c r="E134" s="81">
        <v>11</v>
      </c>
      <c r="F134" s="81" t="s">
        <v>49</v>
      </c>
      <c r="G134" s="86">
        <v>456</v>
      </c>
      <c r="H134" s="86">
        <v>684</v>
      </c>
      <c r="I134" s="86">
        <v>912</v>
      </c>
      <c r="J134" s="86">
        <v>912</v>
      </c>
      <c r="K134" s="86">
        <v>1140</v>
      </c>
      <c r="L134" s="81"/>
      <c r="M134" s="80"/>
    </row>
    <row r="135" spans="4:13">
      <c r="D135" s="81">
        <v>112</v>
      </c>
      <c r="E135" s="81">
        <v>12</v>
      </c>
      <c r="F135" s="81" t="s">
        <v>49</v>
      </c>
      <c r="G135" s="86">
        <v>504</v>
      </c>
      <c r="H135" s="86">
        <v>756</v>
      </c>
      <c r="I135" s="86">
        <v>1008</v>
      </c>
      <c r="J135" s="86">
        <v>1008</v>
      </c>
      <c r="K135" s="86">
        <v>1260</v>
      </c>
      <c r="L135" s="81"/>
      <c r="M135" s="80"/>
    </row>
    <row r="136" spans="4:13">
      <c r="D136" s="81">
        <v>113</v>
      </c>
      <c r="E136" s="81">
        <v>13</v>
      </c>
      <c r="F136" s="81" t="s">
        <v>49</v>
      </c>
      <c r="G136" s="86">
        <v>552</v>
      </c>
      <c r="H136" s="86">
        <v>828</v>
      </c>
      <c r="I136" s="86">
        <v>1104</v>
      </c>
      <c r="J136" s="86">
        <v>1104</v>
      </c>
      <c r="K136" s="86">
        <v>1380</v>
      </c>
      <c r="L136" s="81"/>
      <c r="M136" s="80"/>
    </row>
    <row r="137" spans="4:13">
      <c r="D137" s="81">
        <v>114</v>
      </c>
      <c r="E137" s="81">
        <v>14</v>
      </c>
      <c r="F137" s="81" t="s">
        <v>49</v>
      </c>
      <c r="G137" s="86">
        <v>600</v>
      </c>
      <c r="H137" s="86">
        <v>900</v>
      </c>
      <c r="I137" s="86">
        <v>1200</v>
      </c>
      <c r="J137" s="86">
        <v>1200</v>
      </c>
      <c r="K137" s="86">
        <v>1500</v>
      </c>
      <c r="L137" s="81"/>
      <c r="M137" s="80"/>
    </row>
    <row r="138" spans="4:13">
      <c r="D138" s="81">
        <v>115</v>
      </c>
      <c r="E138" s="81">
        <v>15</v>
      </c>
      <c r="F138" s="81" t="s">
        <v>49</v>
      </c>
      <c r="G138" s="86">
        <v>648</v>
      </c>
      <c r="H138" s="86">
        <v>972</v>
      </c>
      <c r="I138" s="86">
        <v>1296</v>
      </c>
      <c r="J138" s="86">
        <v>1296</v>
      </c>
      <c r="K138" s="86">
        <v>1620</v>
      </c>
      <c r="L138" s="81"/>
      <c r="M138" s="80"/>
    </row>
    <row r="139" spans="4:13">
      <c r="D139" s="81">
        <v>116</v>
      </c>
      <c r="E139" s="81">
        <v>16</v>
      </c>
      <c r="F139" s="81" t="s">
        <v>49</v>
      </c>
      <c r="G139" s="86">
        <v>696</v>
      </c>
      <c r="H139" s="86">
        <v>1044</v>
      </c>
      <c r="I139" s="86">
        <v>1392</v>
      </c>
      <c r="J139" s="86">
        <v>1392</v>
      </c>
      <c r="K139" s="86">
        <v>1740</v>
      </c>
      <c r="L139" s="81"/>
      <c r="M139" s="80"/>
    </row>
    <row r="140" spans="4:13">
      <c r="D140" s="81">
        <v>117</v>
      </c>
      <c r="E140" s="81">
        <v>17</v>
      </c>
      <c r="F140" s="81" t="s">
        <v>49</v>
      </c>
      <c r="G140" s="86">
        <v>744</v>
      </c>
      <c r="H140" s="86">
        <v>1116</v>
      </c>
      <c r="I140" s="86">
        <v>1488</v>
      </c>
      <c r="J140" s="86">
        <v>1488</v>
      </c>
      <c r="K140" s="86">
        <v>1860</v>
      </c>
      <c r="L140" s="81"/>
      <c r="M140" s="80"/>
    </row>
    <row r="141" spans="4:13">
      <c r="D141" s="81">
        <v>118</v>
      </c>
      <c r="E141" s="81">
        <v>18</v>
      </c>
      <c r="F141" s="81" t="s">
        <v>49</v>
      </c>
      <c r="G141" s="86">
        <v>816</v>
      </c>
      <c r="H141" s="86">
        <v>1224</v>
      </c>
      <c r="I141" s="86">
        <v>1632</v>
      </c>
      <c r="J141" s="86">
        <v>1632</v>
      </c>
      <c r="K141" s="86">
        <v>2040</v>
      </c>
      <c r="L141" s="81"/>
      <c r="M141" s="80"/>
    </row>
    <row r="142" spans="4:13">
      <c r="D142" s="81">
        <v>119</v>
      </c>
      <c r="E142" s="81">
        <v>19</v>
      </c>
      <c r="F142" s="81" t="s">
        <v>49</v>
      </c>
      <c r="G142" s="86">
        <v>888</v>
      </c>
      <c r="H142" s="86">
        <v>1332</v>
      </c>
      <c r="I142" s="86">
        <v>1776</v>
      </c>
      <c r="J142" s="86">
        <v>1776</v>
      </c>
      <c r="K142" s="86">
        <v>2220</v>
      </c>
      <c r="L142" s="81"/>
      <c r="M142" s="80"/>
    </row>
    <row r="143" spans="4:13">
      <c r="D143" s="81">
        <v>120</v>
      </c>
      <c r="E143" s="81">
        <v>20</v>
      </c>
      <c r="F143" s="81" t="s">
        <v>49</v>
      </c>
      <c r="G143" s="86">
        <v>960</v>
      </c>
      <c r="H143" s="86">
        <v>1440</v>
      </c>
      <c r="I143" s="86">
        <v>1920</v>
      </c>
      <c r="J143" s="86">
        <v>1920</v>
      </c>
      <c r="K143" s="86">
        <v>2400</v>
      </c>
      <c r="L143" s="81"/>
      <c r="M143" s="80"/>
    </row>
    <row r="144" spans="4:13">
      <c r="D144" s="81">
        <v>121</v>
      </c>
      <c r="E144" s="81">
        <v>21</v>
      </c>
      <c r="F144" s="81" t="s">
        <v>49</v>
      </c>
      <c r="G144" s="86">
        <v>1032</v>
      </c>
      <c r="H144" s="86">
        <v>1548</v>
      </c>
      <c r="I144" s="86">
        <v>2064</v>
      </c>
      <c r="J144" s="86">
        <v>2064</v>
      </c>
      <c r="K144" s="86">
        <v>2580</v>
      </c>
      <c r="L144" s="81"/>
      <c r="M144" s="80"/>
    </row>
    <row r="145" spans="4:13">
      <c r="D145" s="81">
        <v>122</v>
      </c>
      <c r="E145" s="81">
        <v>22</v>
      </c>
      <c r="F145" s="81" t="s">
        <v>49</v>
      </c>
      <c r="G145" s="86">
        <v>1104</v>
      </c>
      <c r="H145" s="86">
        <v>1656</v>
      </c>
      <c r="I145" s="86">
        <v>2208</v>
      </c>
      <c r="J145" s="86">
        <v>2208</v>
      </c>
      <c r="K145" s="86">
        <v>2760</v>
      </c>
      <c r="L145" s="81"/>
      <c r="M145" s="80"/>
    </row>
    <row r="146" spans="4:13">
      <c r="D146" s="81">
        <v>123</v>
      </c>
      <c r="E146" s="81">
        <v>23</v>
      </c>
      <c r="F146" s="81" t="s">
        <v>49</v>
      </c>
      <c r="G146" s="86">
        <v>1176</v>
      </c>
      <c r="H146" s="86">
        <v>1764</v>
      </c>
      <c r="I146" s="86">
        <v>2352</v>
      </c>
      <c r="J146" s="86">
        <v>2352</v>
      </c>
      <c r="K146" s="86">
        <v>2940</v>
      </c>
      <c r="L146" s="81"/>
      <c r="M146" s="80"/>
    </row>
    <row r="147" spans="4:13">
      <c r="D147" s="81">
        <v>124</v>
      </c>
      <c r="E147" s="81">
        <v>24</v>
      </c>
      <c r="F147" s="81" t="s">
        <v>49</v>
      </c>
      <c r="G147" s="86">
        <v>1248</v>
      </c>
      <c r="H147" s="86">
        <v>1872</v>
      </c>
      <c r="I147" s="86">
        <v>2496</v>
      </c>
      <c r="J147" s="86">
        <v>2496</v>
      </c>
      <c r="K147" s="86">
        <v>3120</v>
      </c>
      <c r="L147" s="81"/>
      <c r="M147" s="80"/>
    </row>
    <row r="148" spans="4:13">
      <c r="D148" s="81">
        <v>125</v>
      </c>
      <c r="E148" s="81">
        <v>25</v>
      </c>
      <c r="F148" s="81" t="s">
        <v>49</v>
      </c>
      <c r="G148" s="86">
        <v>1320</v>
      </c>
      <c r="H148" s="86">
        <v>1980</v>
      </c>
      <c r="I148" s="86">
        <v>2640</v>
      </c>
      <c r="J148" s="86">
        <v>2640</v>
      </c>
      <c r="K148" s="86">
        <v>3300</v>
      </c>
      <c r="L148" s="81"/>
      <c r="M148" s="80"/>
    </row>
    <row r="149" spans="4:13">
      <c r="D149" s="81">
        <v>126</v>
      </c>
      <c r="E149" s="81">
        <v>26</v>
      </c>
      <c r="F149" s="81" t="s">
        <v>49</v>
      </c>
      <c r="G149" s="86">
        <v>1392</v>
      </c>
      <c r="H149" s="86">
        <v>2088</v>
      </c>
      <c r="I149" s="86">
        <v>2784</v>
      </c>
      <c r="J149" s="86">
        <v>2784</v>
      </c>
      <c r="K149" s="86">
        <v>3480</v>
      </c>
      <c r="L149" s="81"/>
      <c r="M149" s="80"/>
    </row>
    <row r="150" spans="4:13">
      <c r="D150" s="81">
        <v>127</v>
      </c>
      <c r="E150" s="81">
        <v>27</v>
      </c>
      <c r="F150" s="81" t="s">
        <v>49</v>
      </c>
      <c r="G150" s="86">
        <v>1464</v>
      </c>
      <c r="H150" s="86">
        <v>2196</v>
      </c>
      <c r="I150" s="86">
        <v>2928</v>
      </c>
      <c r="J150" s="86">
        <v>2928</v>
      </c>
      <c r="K150" s="86">
        <v>3660</v>
      </c>
      <c r="L150" s="81"/>
      <c r="M150" s="80"/>
    </row>
    <row r="151" spans="4:13">
      <c r="D151" s="81">
        <v>128</v>
      </c>
      <c r="E151" s="81">
        <v>28</v>
      </c>
      <c r="F151" s="81" t="s">
        <v>49</v>
      </c>
      <c r="G151" s="86">
        <v>1536</v>
      </c>
      <c r="H151" s="86">
        <v>2304</v>
      </c>
      <c r="I151" s="86">
        <v>3072</v>
      </c>
      <c r="J151" s="86">
        <v>3072</v>
      </c>
      <c r="K151" s="86">
        <v>3840</v>
      </c>
      <c r="L151" s="81"/>
      <c r="M151" s="80"/>
    </row>
    <row r="152" spans="4:13">
      <c r="D152" s="81">
        <v>129</v>
      </c>
      <c r="E152" s="81">
        <v>29</v>
      </c>
      <c r="F152" s="81" t="s">
        <v>49</v>
      </c>
      <c r="G152" s="86">
        <v>1608</v>
      </c>
      <c r="H152" s="86">
        <v>2412</v>
      </c>
      <c r="I152" s="86">
        <v>3216</v>
      </c>
      <c r="J152" s="86">
        <v>3216</v>
      </c>
      <c r="K152" s="86">
        <v>4020</v>
      </c>
      <c r="L152" s="81"/>
      <c r="M152" s="80"/>
    </row>
    <row r="153" spans="4:13">
      <c r="D153" s="81">
        <v>130</v>
      </c>
      <c r="E153" s="81">
        <v>30</v>
      </c>
      <c r="F153" s="81" t="s">
        <v>49</v>
      </c>
      <c r="G153" s="86">
        <v>1680</v>
      </c>
      <c r="H153" s="86">
        <v>2520</v>
      </c>
      <c r="I153" s="86">
        <v>3360</v>
      </c>
      <c r="J153" s="86">
        <v>3360</v>
      </c>
      <c r="K153" s="86">
        <v>4200</v>
      </c>
      <c r="L153" s="81"/>
      <c r="M153" s="80"/>
    </row>
    <row r="154" spans="4:13">
      <c r="D154" s="81">
        <v>131</v>
      </c>
      <c r="E154" s="81">
        <v>31</v>
      </c>
      <c r="F154" s="81" t="s">
        <v>49</v>
      </c>
      <c r="G154" s="86">
        <v>1752</v>
      </c>
      <c r="H154" s="86">
        <v>2628</v>
      </c>
      <c r="I154" s="86">
        <v>3504</v>
      </c>
      <c r="J154" s="86">
        <v>3504</v>
      </c>
      <c r="K154" s="86">
        <v>4380</v>
      </c>
      <c r="L154" s="81"/>
      <c r="M154" s="80"/>
    </row>
    <row r="155" spans="4:13">
      <c r="D155" s="81">
        <v>132</v>
      </c>
      <c r="E155" s="81">
        <v>32</v>
      </c>
      <c r="F155" s="81" t="s">
        <v>49</v>
      </c>
      <c r="G155" s="86">
        <v>1824</v>
      </c>
      <c r="H155" s="86">
        <v>2736</v>
      </c>
      <c r="I155" s="86">
        <v>3648</v>
      </c>
      <c r="J155" s="86">
        <v>3648</v>
      </c>
      <c r="K155" s="86">
        <v>4560</v>
      </c>
      <c r="L155" s="81"/>
      <c r="M155" s="80"/>
    </row>
    <row r="156" spans="4:13">
      <c r="D156" s="81">
        <v>133</v>
      </c>
      <c r="E156" s="81">
        <v>33</v>
      </c>
      <c r="F156" s="81" t="s">
        <v>49</v>
      </c>
      <c r="G156" s="86">
        <v>1896</v>
      </c>
      <c r="H156" s="86">
        <v>2844</v>
      </c>
      <c r="I156" s="86">
        <v>3792</v>
      </c>
      <c r="J156" s="86">
        <v>3792</v>
      </c>
      <c r="K156" s="86">
        <v>4740</v>
      </c>
      <c r="L156" s="81"/>
      <c r="M156" s="80"/>
    </row>
    <row r="157" spans="4:13">
      <c r="D157" s="81">
        <v>134</v>
      </c>
      <c r="E157" s="81">
        <v>34</v>
      </c>
      <c r="F157" s="81" t="s">
        <v>49</v>
      </c>
      <c r="G157" s="86">
        <v>1968</v>
      </c>
      <c r="H157" s="86">
        <v>2952</v>
      </c>
      <c r="I157" s="86">
        <v>3936</v>
      </c>
      <c r="J157" s="86">
        <v>3936</v>
      </c>
      <c r="K157" s="86">
        <v>4920</v>
      </c>
      <c r="L157" s="81"/>
      <c r="M157" s="80"/>
    </row>
    <row r="158" spans="4:13">
      <c r="D158" s="81">
        <v>135</v>
      </c>
      <c r="E158" s="81">
        <v>35</v>
      </c>
      <c r="F158" s="81" t="s">
        <v>49</v>
      </c>
      <c r="G158" s="86">
        <v>2040</v>
      </c>
      <c r="H158" s="86">
        <v>3060</v>
      </c>
      <c r="I158" s="86">
        <v>4080</v>
      </c>
      <c r="J158" s="86">
        <v>4080</v>
      </c>
      <c r="K158" s="86">
        <v>5100</v>
      </c>
      <c r="L158" s="81"/>
      <c r="M158" s="80"/>
    </row>
    <row r="159" spans="4:13">
      <c r="D159" s="81">
        <v>136</v>
      </c>
      <c r="E159" s="81">
        <v>36</v>
      </c>
      <c r="F159" s="81" t="s">
        <v>49</v>
      </c>
      <c r="G159" s="86">
        <v>2112</v>
      </c>
      <c r="H159" s="86">
        <v>3168</v>
      </c>
      <c r="I159" s="86">
        <v>4224</v>
      </c>
      <c r="J159" s="86">
        <v>4224</v>
      </c>
      <c r="K159" s="86">
        <v>5280</v>
      </c>
      <c r="L159" s="81"/>
      <c r="M159" s="80"/>
    </row>
    <row r="160" spans="4:13">
      <c r="D160" s="81">
        <v>137</v>
      </c>
      <c r="E160" s="81">
        <v>37</v>
      </c>
      <c r="F160" s="81" t="s">
        <v>49</v>
      </c>
      <c r="G160" s="86">
        <v>2184</v>
      </c>
      <c r="H160" s="86">
        <v>3276</v>
      </c>
      <c r="I160" s="86">
        <v>4368</v>
      </c>
      <c r="J160" s="86">
        <v>4368</v>
      </c>
      <c r="K160" s="86">
        <v>5460</v>
      </c>
      <c r="L160" s="81"/>
      <c r="M160" s="80"/>
    </row>
    <row r="161" spans="4:13">
      <c r="D161" s="81">
        <v>138</v>
      </c>
      <c r="E161" s="81">
        <v>38</v>
      </c>
      <c r="F161" s="81" t="s">
        <v>49</v>
      </c>
      <c r="G161" s="86">
        <v>2256</v>
      </c>
      <c r="H161" s="86">
        <v>3384</v>
      </c>
      <c r="I161" s="86">
        <v>4512</v>
      </c>
      <c r="J161" s="86">
        <v>4512</v>
      </c>
      <c r="K161" s="86">
        <v>5640</v>
      </c>
      <c r="L161" s="81"/>
      <c r="M161" s="80"/>
    </row>
    <row r="162" spans="4:13">
      <c r="D162" s="81">
        <v>139</v>
      </c>
      <c r="E162" s="81">
        <v>39</v>
      </c>
      <c r="F162" s="81" t="s">
        <v>49</v>
      </c>
      <c r="G162" s="86">
        <v>2328</v>
      </c>
      <c r="H162" s="86">
        <v>3492</v>
      </c>
      <c r="I162" s="86">
        <v>4656</v>
      </c>
      <c r="J162" s="86">
        <v>4656</v>
      </c>
      <c r="K162" s="86">
        <v>5820</v>
      </c>
      <c r="L162" s="81"/>
      <c r="M162" s="80"/>
    </row>
    <row r="163" spans="4:13">
      <c r="D163" s="81">
        <v>140</v>
      </c>
      <c r="E163" s="81">
        <v>40</v>
      </c>
      <c r="F163" s="81" t="s">
        <v>49</v>
      </c>
      <c r="G163" s="86">
        <v>2400</v>
      </c>
      <c r="H163" s="86">
        <v>3600</v>
      </c>
      <c r="I163" s="86">
        <v>4800</v>
      </c>
      <c r="J163" s="86">
        <v>4800</v>
      </c>
      <c r="K163" s="86">
        <v>6000</v>
      </c>
      <c r="L163" s="81"/>
      <c r="M163" s="80"/>
    </row>
    <row r="164" spans="4:13">
      <c r="D164" s="81">
        <v>141</v>
      </c>
      <c r="E164" s="81">
        <v>41</v>
      </c>
      <c r="F164" s="81" t="s">
        <v>49</v>
      </c>
      <c r="G164" s="86">
        <v>2520</v>
      </c>
      <c r="H164" s="86">
        <v>3780</v>
      </c>
      <c r="I164" s="86">
        <v>5040</v>
      </c>
      <c r="J164" s="86">
        <v>5040</v>
      </c>
      <c r="K164" s="86">
        <v>6300</v>
      </c>
      <c r="L164" s="81"/>
      <c r="M164" s="80"/>
    </row>
    <row r="165" spans="4:13">
      <c r="D165" s="81">
        <v>142</v>
      </c>
      <c r="E165" s="81">
        <v>42</v>
      </c>
      <c r="F165" s="81" t="s">
        <v>49</v>
      </c>
      <c r="G165" s="86">
        <v>2640</v>
      </c>
      <c r="H165" s="86">
        <v>3960</v>
      </c>
      <c r="I165" s="86">
        <v>5280</v>
      </c>
      <c r="J165" s="86">
        <v>5280</v>
      </c>
      <c r="K165" s="86">
        <v>6600</v>
      </c>
      <c r="L165" s="81"/>
      <c r="M165" s="80"/>
    </row>
    <row r="166" spans="4:13">
      <c r="D166" s="81">
        <v>143</v>
      </c>
      <c r="E166" s="81">
        <v>43</v>
      </c>
      <c r="F166" s="81" t="s">
        <v>49</v>
      </c>
      <c r="G166" s="86">
        <v>2760</v>
      </c>
      <c r="H166" s="86">
        <v>4140</v>
      </c>
      <c r="I166" s="86">
        <v>5520</v>
      </c>
      <c r="J166" s="86">
        <v>5520</v>
      </c>
      <c r="K166" s="86">
        <v>6900</v>
      </c>
      <c r="L166" s="81"/>
      <c r="M166" s="80"/>
    </row>
    <row r="167" spans="4:13">
      <c r="D167" s="81">
        <v>144</v>
      </c>
      <c r="E167" s="81">
        <v>44</v>
      </c>
      <c r="F167" s="81" t="s">
        <v>49</v>
      </c>
      <c r="G167" s="86">
        <v>2880</v>
      </c>
      <c r="H167" s="86">
        <v>4320</v>
      </c>
      <c r="I167" s="86">
        <v>5760</v>
      </c>
      <c r="J167" s="86">
        <v>5760</v>
      </c>
      <c r="K167" s="86">
        <v>7200</v>
      </c>
      <c r="L167" s="81"/>
      <c r="M167" s="80"/>
    </row>
    <row r="168" spans="4:13">
      <c r="D168" s="81">
        <v>145</v>
      </c>
      <c r="E168" s="81">
        <v>45</v>
      </c>
      <c r="F168" s="81" t="s">
        <v>49</v>
      </c>
      <c r="G168" s="86">
        <v>3000</v>
      </c>
      <c r="H168" s="86">
        <v>4500</v>
      </c>
      <c r="I168" s="86">
        <v>6000</v>
      </c>
      <c r="J168" s="86">
        <v>6000</v>
      </c>
      <c r="K168" s="86">
        <v>7500</v>
      </c>
      <c r="L168" s="81"/>
      <c r="M168" s="80"/>
    </row>
    <row r="169" spans="4:13">
      <c r="D169" s="81">
        <v>146</v>
      </c>
      <c r="E169" s="81">
        <v>46</v>
      </c>
      <c r="F169" s="81" t="s">
        <v>49</v>
      </c>
      <c r="G169" s="86">
        <v>3120</v>
      </c>
      <c r="H169" s="86">
        <v>4680</v>
      </c>
      <c r="I169" s="86">
        <v>6240</v>
      </c>
      <c r="J169" s="86">
        <v>6240</v>
      </c>
      <c r="K169" s="86">
        <v>7800</v>
      </c>
      <c r="L169" s="81"/>
      <c r="M169" s="80"/>
    </row>
    <row r="170" spans="4:13">
      <c r="D170" s="81">
        <v>147</v>
      </c>
      <c r="E170" s="81">
        <v>47</v>
      </c>
      <c r="F170" s="81" t="s">
        <v>49</v>
      </c>
      <c r="G170" s="86">
        <v>3240</v>
      </c>
      <c r="H170" s="86">
        <v>4860</v>
      </c>
      <c r="I170" s="86">
        <v>6480</v>
      </c>
      <c r="J170" s="86">
        <v>6480</v>
      </c>
      <c r="K170" s="86">
        <v>8100</v>
      </c>
      <c r="L170" s="81"/>
      <c r="M170" s="80"/>
    </row>
    <row r="171" spans="4:13">
      <c r="D171" s="81">
        <v>148</v>
      </c>
      <c r="E171" s="81">
        <v>48</v>
      </c>
      <c r="F171" s="81" t="s">
        <v>49</v>
      </c>
      <c r="G171" s="86">
        <v>3360</v>
      </c>
      <c r="H171" s="86">
        <v>5040</v>
      </c>
      <c r="I171" s="86">
        <v>6720</v>
      </c>
      <c r="J171" s="86">
        <v>6720</v>
      </c>
      <c r="K171" s="86">
        <v>8400</v>
      </c>
      <c r="L171" s="81"/>
      <c r="M171" s="80"/>
    </row>
    <row r="172" spans="4:13">
      <c r="D172" s="81">
        <v>149</v>
      </c>
      <c r="E172" s="81">
        <v>49</v>
      </c>
      <c r="F172" s="81" t="s">
        <v>49</v>
      </c>
      <c r="G172" s="86">
        <v>3480</v>
      </c>
      <c r="H172" s="86">
        <v>5220</v>
      </c>
      <c r="I172" s="86">
        <v>6960</v>
      </c>
      <c r="J172" s="86">
        <v>6960</v>
      </c>
      <c r="K172" s="86">
        <v>8700</v>
      </c>
      <c r="L172" s="81"/>
      <c r="M172" s="80"/>
    </row>
    <row r="173" spans="4:13">
      <c r="D173" s="81">
        <v>150</v>
      </c>
      <c r="E173" s="81">
        <v>50</v>
      </c>
      <c r="F173" s="81" t="s">
        <v>49</v>
      </c>
      <c r="G173" s="86">
        <v>0</v>
      </c>
      <c r="H173" s="86">
        <v>0</v>
      </c>
      <c r="I173" s="86">
        <v>0</v>
      </c>
      <c r="J173" s="86">
        <v>0</v>
      </c>
      <c r="K173" s="86">
        <v>0</v>
      </c>
      <c r="L173" s="81"/>
      <c r="M173" s="80"/>
    </row>
    <row r="174" spans="4:13">
      <c r="D174" s="81">
        <v>151</v>
      </c>
      <c r="E174" s="81">
        <v>1</v>
      </c>
      <c r="F174" s="81" t="s">
        <v>50</v>
      </c>
      <c r="G174" s="86">
        <v>24</v>
      </c>
      <c r="H174" s="86">
        <v>36</v>
      </c>
      <c r="I174" s="86">
        <v>48</v>
      </c>
      <c r="J174" s="86">
        <v>48</v>
      </c>
      <c r="K174" s="86">
        <v>60</v>
      </c>
      <c r="L174" s="81"/>
      <c r="M174" s="80"/>
    </row>
    <row r="175" spans="4:13">
      <c r="D175" s="81">
        <v>152</v>
      </c>
      <c r="E175" s="81">
        <v>2</v>
      </c>
      <c r="F175" s="81" t="s">
        <v>50</v>
      </c>
      <c r="G175" s="86">
        <v>48</v>
      </c>
      <c r="H175" s="86">
        <v>72</v>
      </c>
      <c r="I175" s="86">
        <v>96</v>
      </c>
      <c r="J175" s="86">
        <v>96</v>
      </c>
      <c r="K175" s="86">
        <v>120</v>
      </c>
      <c r="L175" s="81"/>
      <c r="M175" s="80"/>
    </row>
    <row r="176" spans="4:13">
      <c r="D176" s="81">
        <v>153</v>
      </c>
      <c r="E176" s="81">
        <v>3</v>
      </c>
      <c r="F176" s="81" t="s">
        <v>50</v>
      </c>
      <c r="G176" s="86">
        <v>72</v>
      </c>
      <c r="H176" s="86">
        <v>108</v>
      </c>
      <c r="I176" s="86">
        <v>144</v>
      </c>
      <c r="J176" s="86">
        <v>144</v>
      </c>
      <c r="K176" s="86">
        <v>180</v>
      </c>
      <c r="L176" s="81"/>
      <c r="M176" s="80"/>
    </row>
    <row r="177" spans="4:13">
      <c r="D177" s="81">
        <v>154</v>
      </c>
      <c r="E177" s="81">
        <v>4</v>
      </c>
      <c r="F177" s="81" t="s">
        <v>50</v>
      </c>
      <c r="G177" s="86">
        <v>120</v>
      </c>
      <c r="H177" s="86">
        <v>180</v>
      </c>
      <c r="I177" s="86">
        <v>240</v>
      </c>
      <c r="J177" s="86">
        <v>240</v>
      </c>
      <c r="K177" s="86">
        <v>300</v>
      </c>
      <c r="L177" s="81"/>
      <c r="M177" s="80"/>
    </row>
    <row r="178" spans="4:13">
      <c r="D178" s="81">
        <v>155</v>
      </c>
      <c r="E178" s="81">
        <v>5</v>
      </c>
      <c r="F178" s="81" t="s">
        <v>50</v>
      </c>
      <c r="G178" s="86">
        <v>168</v>
      </c>
      <c r="H178" s="86">
        <v>252</v>
      </c>
      <c r="I178" s="86">
        <v>336</v>
      </c>
      <c r="J178" s="86">
        <v>336</v>
      </c>
      <c r="K178" s="86">
        <v>420</v>
      </c>
      <c r="L178" s="81"/>
      <c r="M178" s="80"/>
    </row>
    <row r="179" spans="4:13">
      <c r="D179" s="81">
        <v>156</v>
      </c>
      <c r="E179" s="81">
        <v>6</v>
      </c>
      <c r="F179" s="81" t="s">
        <v>50</v>
      </c>
      <c r="G179" s="86">
        <v>216</v>
      </c>
      <c r="H179" s="86">
        <v>324</v>
      </c>
      <c r="I179" s="86">
        <v>432</v>
      </c>
      <c r="J179" s="86">
        <v>432</v>
      </c>
      <c r="K179" s="86">
        <v>540</v>
      </c>
      <c r="L179" s="81"/>
      <c r="M179" s="80"/>
    </row>
    <row r="180" spans="4:13">
      <c r="D180" s="81">
        <v>157</v>
      </c>
      <c r="E180" s="81">
        <v>7</v>
      </c>
      <c r="F180" s="81" t="s">
        <v>50</v>
      </c>
      <c r="G180" s="86">
        <v>264</v>
      </c>
      <c r="H180" s="86">
        <v>396</v>
      </c>
      <c r="I180" s="86">
        <v>528</v>
      </c>
      <c r="J180" s="86">
        <v>528</v>
      </c>
      <c r="K180" s="86">
        <v>660</v>
      </c>
      <c r="L180" s="81"/>
      <c r="M180" s="80"/>
    </row>
    <row r="181" spans="4:13">
      <c r="D181" s="81">
        <v>158</v>
      </c>
      <c r="E181" s="81">
        <v>8</v>
      </c>
      <c r="F181" s="81" t="s">
        <v>50</v>
      </c>
      <c r="G181" s="86">
        <v>312</v>
      </c>
      <c r="H181" s="86">
        <v>468</v>
      </c>
      <c r="I181" s="86">
        <v>624</v>
      </c>
      <c r="J181" s="86">
        <v>624</v>
      </c>
      <c r="K181" s="86">
        <v>780</v>
      </c>
      <c r="L181" s="81"/>
      <c r="M181" s="80"/>
    </row>
    <row r="182" spans="4:13">
      <c r="D182" s="81">
        <v>159</v>
      </c>
      <c r="E182" s="81">
        <v>9</v>
      </c>
      <c r="F182" s="81" t="s">
        <v>50</v>
      </c>
      <c r="G182" s="86">
        <v>360</v>
      </c>
      <c r="H182" s="86">
        <v>540</v>
      </c>
      <c r="I182" s="86">
        <v>720</v>
      </c>
      <c r="J182" s="86">
        <v>720</v>
      </c>
      <c r="K182" s="86">
        <v>900</v>
      </c>
      <c r="L182" s="81"/>
      <c r="M182" s="80"/>
    </row>
    <row r="183" spans="4:13">
      <c r="D183" s="81">
        <v>160</v>
      </c>
      <c r="E183" s="81">
        <v>10</v>
      </c>
      <c r="F183" s="81" t="s">
        <v>50</v>
      </c>
      <c r="G183" s="86">
        <v>408</v>
      </c>
      <c r="H183" s="86">
        <v>612</v>
      </c>
      <c r="I183" s="86">
        <v>816</v>
      </c>
      <c r="J183" s="86">
        <v>816</v>
      </c>
      <c r="K183" s="86">
        <v>1020</v>
      </c>
      <c r="L183" s="81"/>
      <c r="M183" s="80"/>
    </row>
    <row r="184" spans="4:13">
      <c r="D184" s="81">
        <v>161</v>
      </c>
      <c r="E184" s="81">
        <v>11</v>
      </c>
      <c r="F184" s="81" t="s">
        <v>50</v>
      </c>
      <c r="G184" s="86">
        <v>456</v>
      </c>
      <c r="H184" s="86">
        <v>684</v>
      </c>
      <c r="I184" s="86">
        <v>912</v>
      </c>
      <c r="J184" s="86">
        <v>912</v>
      </c>
      <c r="K184" s="86">
        <v>1140</v>
      </c>
      <c r="L184" s="81"/>
      <c r="M184" s="80"/>
    </row>
    <row r="185" spans="4:13">
      <c r="D185" s="81">
        <v>162</v>
      </c>
      <c r="E185" s="81">
        <v>12</v>
      </c>
      <c r="F185" s="81" t="s">
        <v>50</v>
      </c>
      <c r="G185" s="86">
        <v>504</v>
      </c>
      <c r="H185" s="86">
        <v>756</v>
      </c>
      <c r="I185" s="86">
        <v>1008</v>
      </c>
      <c r="J185" s="86">
        <v>1008</v>
      </c>
      <c r="K185" s="86">
        <v>1260</v>
      </c>
      <c r="L185" s="81"/>
      <c r="M185" s="80"/>
    </row>
    <row r="186" spans="4:13">
      <c r="D186" s="81">
        <v>163</v>
      </c>
      <c r="E186" s="81">
        <v>13</v>
      </c>
      <c r="F186" s="81" t="s">
        <v>50</v>
      </c>
      <c r="G186" s="86">
        <v>552</v>
      </c>
      <c r="H186" s="86">
        <v>828</v>
      </c>
      <c r="I186" s="86">
        <v>1104</v>
      </c>
      <c r="J186" s="86">
        <v>1104</v>
      </c>
      <c r="K186" s="86">
        <v>1380</v>
      </c>
      <c r="L186" s="81"/>
      <c r="M186" s="80"/>
    </row>
    <row r="187" spans="4:13">
      <c r="D187" s="81">
        <v>164</v>
      </c>
      <c r="E187" s="81">
        <v>14</v>
      </c>
      <c r="F187" s="81" t="s">
        <v>50</v>
      </c>
      <c r="G187" s="86">
        <v>600</v>
      </c>
      <c r="H187" s="86">
        <v>900</v>
      </c>
      <c r="I187" s="86">
        <v>1200</v>
      </c>
      <c r="J187" s="86">
        <v>1200</v>
      </c>
      <c r="K187" s="86">
        <v>1500</v>
      </c>
      <c r="L187" s="81"/>
      <c r="M187" s="80"/>
    </row>
    <row r="188" spans="4:13">
      <c r="D188" s="81">
        <v>165</v>
      </c>
      <c r="E188" s="81">
        <v>15</v>
      </c>
      <c r="F188" s="81" t="s">
        <v>50</v>
      </c>
      <c r="G188" s="86">
        <v>648</v>
      </c>
      <c r="H188" s="86">
        <v>972</v>
      </c>
      <c r="I188" s="86">
        <v>1296</v>
      </c>
      <c r="J188" s="86">
        <v>1296</v>
      </c>
      <c r="K188" s="86">
        <v>1620</v>
      </c>
      <c r="L188" s="81"/>
      <c r="M188" s="80"/>
    </row>
    <row r="189" spans="4:13">
      <c r="D189" s="81">
        <v>166</v>
      </c>
      <c r="E189" s="81">
        <v>16</v>
      </c>
      <c r="F189" s="81" t="s">
        <v>50</v>
      </c>
      <c r="G189" s="86">
        <v>696</v>
      </c>
      <c r="H189" s="86">
        <v>1044</v>
      </c>
      <c r="I189" s="86">
        <v>1392</v>
      </c>
      <c r="J189" s="86">
        <v>1392</v>
      </c>
      <c r="K189" s="86">
        <v>1740</v>
      </c>
      <c r="L189" s="81"/>
      <c r="M189" s="80"/>
    </row>
    <row r="190" spans="4:13">
      <c r="D190" s="81">
        <v>167</v>
      </c>
      <c r="E190" s="81">
        <v>17</v>
      </c>
      <c r="F190" s="81" t="s">
        <v>50</v>
      </c>
      <c r="G190" s="86">
        <v>744</v>
      </c>
      <c r="H190" s="86">
        <v>1116</v>
      </c>
      <c r="I190" s="86">
        <v>1488</v>
      </c>
      <c r="J190" s="86">
        <v>1488</v>
      </c>
      <c r="K190" s="86">
        <v>1860</v>
      </c>
      <c r="L190" s="81"/>
      <c r="M190" s="80"/>
    </row>
    <row r="191" spans="4:13">
      <c r="D191" s="81">
        <v>168</v>
      </c>
      <c r="E191" s="81">
        <v>18</v>
      </c>
      <c r="F191" s="81" t="s">
        <v>50</v>
      </c>
      <c r="G191" s="86">
        <v>816</v>
      </c>
      <c r="H191" s="86">
        <v>1224</v>
      </c>
      <c r="I191" s="86">
        <v>1632</v>
      </c>
      <c r="J191" s="86">
        <v>1632</v>
      </c>
      <c r="K191" s="86">
        <v>2040</v>
      </c>
      <c r="L191" s="81"/>
      <c r="M191" s="80"/>
    </row>
    <row r="192" spans="4:13">
      <c r="D192" s="81">
        <v>169</v>
      </c>
      <c r="E192" s="81">
        <v>19</v>
      </c>
      <c r="F192" s="81" t="s">
        <v>50</v>
      </c>
      <c r="G192" s="86">
        <v>888</v>
      </c>
      <c r="H192" s="86">
        <v>1332</v>
      </c>
      <c r="I192" s="86">
        <v>1776</v>
      </c>
      <c r="J192" s="86">
        <v>1776</v>
      </c>
      <c r="K192" s="86">
        <v>2220</v>
      </c>
      <c r="L192" s="81"/>
      <c r="M192" s="80"/>
    </row>
    <row r="193" spans="4:13">
      <c r="D193" s="81">
        <v>170</v>
      </c>
      <c r="E193" s="81">
        <v>20</v>
      </c>
      <c r="F193" s="81" t="s">
        <v>50</v>
      </c>
      <c r="G193" s="86">
        <v>960</v>
      </c>
      <c r="H193" s="86">
        <v>1440</v>
      </c>
      <c r="I193" s="86">
        <v>1920</v>
      </c>
      <c r="J193" s="86">
        <v>1920</v>
      </c>
      <c r="K193" s="86">
        <v>2400</v>
      </c>
      <c r="L193" s="81"/>
      <c r="M193" s="80"/>
    </row>
    <row r="194" spans="4:13">
      <c r="D194" s="81">
        <v>171</v>
      </c>
      <c r="E194" s="81">
        <v>21</v>
      </c>
      <c r="F194" s="81" t="s">
        <v>50</v>
      </c>
      <c r="G194" s="86">
        <v>1032</v>
      </c>
      <c r="H194" s="86">
        <v>1548</v>
      </c>
      <c r="I194" s="86">
        <v>2064</v>
      </c>
      <c r="J194" s="86">
        <v>2064</v>
      </c>
      <c r="K194" s="86">
        <v>2580</v>
      </c>
      <c r="L194" s="81"/>
      <c r="M194" s="80"/>
    </row>
    <row r="195" spans="4:13">
      <c r="D195" s="81">
        <v>172</v>
      </c>
      <c r="E195" s="81">
        <v>22</v>
      </c>
      <c r="F195" s="81" t="s">
        <v>50</v>
      </c>
      <c r="G195" s="86">
        <v>1104</v>
      </c>
      <c r="H195" s="86">
        <v>1656</v>
      </c>
      <c r="I195" s="86">
        <v>2208</v>
      </c>
      <c r="J195" s="86">
        <v>2208</v>
      </c>
      <c r="K195" s="86">
        <v>2760</v>
      </c>
      <c r="L195" s="81"/>
      <c r="M195" s="80"/>
    </row>
    <row r="196" spans="4:13">
      <c r="D196" s="81">
        <v>173</v>
      </c>
      <c r="E196" s="81">
        <v>23</v>
      </c>
      <c r="F196" s="81" t="s">
        <v>50</v>
      </c>
      <c r="G196" s="86">
        <v>1176</v>
      </c>
      <c r="H196" s="86">
        <v>1764</v>
      </c>
      <c r="I196" s="86">
        <v>2352</v>
      </c>
      <c r="J196" s="86">
        <v>2352</v>
      </c>
      <c r="K196" s="86">
        <v>2940</v>
      </c>
      <c r="L196" s="81"/>
      <c r="M196" s="80"/>
    </row>
    <row r="197" spans="4:13">
      <c r="D197" s="81">
        <v>174</v>
      </c>
      <c r="E197" s="81">
        <v>24</v>
      </c>
      <c r="F197" s="81" t="s">
        <v>50</v>
      </c>
      <c r="G197" s="86">
        <v>1248</v>
      </c>
      <c r="H197" s="86">
        <v>1872</v>
      </c>
      <c r="I197" s="86">
        <v>2496</v>
      </c>
      <c r="J197" s="86">
        <v>2496</v>
      </c>
      <c r="K197" s="86">
        <v>3120</v>
      </c>
      <c r="L197" s="81"/>
      <c r="M197" s="80"/>
    </row>
    <row r="198" spans="4:13">
      <c r="D198" s="81">
        <v>175</v>
      </c>
      <c r="E198" s="81">
        <v>25</v>
      </c>
      <c r="F198" s="81" t="s">
        <v>50</v>
      </c>
      <c r="G198" s="86">
        <v>1320</v>
      </c>
      <c r="H198" s="86">
        <v>1980</v>
      </c>
      <c r="I198" s="86">
        <v>2640</v>
      </c>
      <c r="J198" s="86">
        <v>2640</v>
      </c>
      <c r="K198" s="86">
        <v>3300</v>
      </c>
      <c r="L198" s="81"/>
      <c r="M198" s="80"/>
    </row>
    <row r="199" spans="4:13">
      <c r="D199" s="81">
        <v>176</v>
      </c>
      <c r="E199" s="81">
        <v>26</v>
      </c>
      <c r="F199" s="81" t="s">
        <v>50</v>
      </c>
      <c r="G199" s="86">
        <v>1392</v>
      </c>
      <c r="H199" s="86">
        <v>2088</v>
      </c>
      <c r="I199" s="86">
        <v>2784</v>
      </c>
      <c r="J199" s="86">
        <v>2784</v>
      </c>
      <c r="K199" s="86">
        <v>3480</v>
      </c>
      <c r="L199" s="81"/>
      <c r="M199" s="80"/>
    </row>
    <row r="200" spans="4:13">
      <c r="D200" s="81">
        <v>177</v>
      </c>
      <c r="E200" s="81">
        <v>27</v>
      </c>
      <c r="F200" s="81" t="s">
        <v>50</v>
      </c>
      <c r="G200" s="86">
        <v>1464</v>
      </c>
      <c r="H200" s="86">
        <v>2196</v>
      </c>
      <c r="I200" s="86">
        <v>2928</v>
      </c>
      <c r="J200" s="86">
        <v>2928</v>
      </c>
      <c r="K200" s="86">
        <v>3660</v>
      </c>
      <c r="L200" s="81"/>
      <c r="M200" s="80"/>
    </row>
    <row r="201" spans="4:13">
      <c r="D201" s="81">
        <v>178</v>
      </c>
      <c r="E201" s="81">
        <v>28</v>
      </c>
      <c r="F201" s="81" t="s">
        <v>50</v>
      </c>
      <c r="G201" s="86">
        <v>1536</v>
      </c>
      <c r="H201" s="86">
        <v>2304</v>
      </c>
      <c r="I201" s="86">
        <v>3072</v>
      </c>
      <c r="J201" s="86">
        <v>3072</v>
      </c>
      <c r="K201" s="86">
        <v>3840</v>
      </c>
      <c r="L201" s="81"/>
      <c r="M201" s="80"/>
    </row>
    <row r="202" spans="4:13">
      <c r="D202" s="81">
        <v>179</v>
      </c>
      <c r="E202" s="81">
        <v>29</v>
      </c>
      <c r="F202" s="81" t="s">
        <v>50</v>
      </c>
      <c r="G202" s="86">
        <v>1608</v>
      </c>
      <c r="H202" s="86">
        <v>2412</v>
      </c>
      <c r="I202" s="86">
        <v>3216</v>
      </c>
      <c r="J202" s="86">
        <v>3216</v>
      </c>
      <c r="K202" s="86">
        <v>4020</v>
      </c>
      <c r="L202" s="81"/>
      <c r="M202" s="80"/>
    </row>
    <row r="203" spans="4:13">
      <c r="D203" s="81">
        <v>180</v>
      </c>
      <c r="E203" s="81">
        <v>30</v>
      </c>
      <c r="F203" s="81" t="s">
        <v>50</v>
      </c>
      <c r="G203" s="86">
        <v>1680</v>
      </c>
      <c r="H203" s="86">
        <v>2520</v>
      </c>
      <c r="I203" s="86">
        <v>3360</v>
      </c>
      <c r="J203" s="86">
        <v>3360</v>
      </c>
      <c r="K203" s="86">
        <v>4200</v>
      </c>
      <c r="L203" s="81"/>
      <c r="M203" s="80"/>
    </row>
    <row r="204" spans="4:13">
      <c r="D204" s="81">
        <v>181</v>
      </c>
      <c r="E204" s="81">
        <v>31</v>
      </c>
      <c r="F204" s="81" t="s">
        <v>50</v>
      </c>
      <c r="G204" s="86">
        <v>1752</v>
      </c>
      <c r="H204" s="86">
        <v>2628</v>
      </c>
      <c r="I204" s="86">
        <v>3504</v>
      </c>
      <c r="J204" s="86">
        <v>3504</v>
      </c>
      <c r="K204" s="86">
        <v>4380</v>
      </c>
      <c r="L204" s="81"/>
      <c r="M204" s="80"/>
    </row>
    <row r="205" spans="4:13">
      <c r="D205" s="81">
        <v>182</v>
      </c>
      <c r="E205" s="81">
        <v>32</v>
      </c>
      <c r="F205" s="81" t="s">
        <v>50</v>
      </c>
      <c r="G205" s="86">
        <v>1824</v>
      </c>
      <c r="H205" s="86">
        <v>2736</v>
      </c>
      <c r="I205" s="86">
        <v>3648</v>
      </c>
      <c r="J205" s="86">
        <v>3648</v>
      </c>
      <c r="K205" s="86">
        <v>4560</v>
      </c>
      <c r="L205" s="81"/>
      <c r="M205" s="80"/>
    </row>
    <row r="206" spans="4:13">
      <c r="D206" s="81">
        <v>183</v>
      </c>
      <c r="E206" s="81">
        <v>33</v>
      </c>
      <c r="F206" s="81" t="s">
        <v>50</v>
      </c>
      <c r="G206" s="86">
        <v>1896</v>
      </c>
      <c r="H206" s="86">
        <v>2844</v>
      </c>
      <c r="I206" s="86">
        <v>3792</v>
      </c>
      <c r="J206" s="86">
        <v>3792</v>
      </c>
      <c r="K206" s="86">
        <v>4740</v>
      </c>
      <c r="L206" s="81"/>
      <c r="M206" s="80"/>
    </row>
    <row r="207" spans="4:13">
      <c r="D207" s="81">
        <v>184</v>
      </c>
      <c r="E207" s="81">
        <v>34</v>
      </c>
      <c r="F207" s="81" t="s">
        <v>50</v>
      </c>
      <c r="G207" s="86">
        <v>1968</v>
      </c>
      <c r="H207" s="86">
        <v>2952</v>
      </c>
      <c r="I207" s="86">
        <v>3936</v>
      </c>
      <c r="J207" s="86">
        <v>3936</v>
      </c>
      <c r="K207" s="86">
        <v>4920</v>
      </c>
      <c r="L207" s="81"/>
      <c r="M207" s="80"/>
    </row>
    <row r="208" spans="4:13">
      <c r="D208" s="81">
        <v>185</v>
      </c>
      <c r="E208" s="81">
        <v>35</v>
      </c>
      <c r="F208" s="81" t="s">
        <v>50</v>
      </c>
      <c r="G208" s="86">
        <v>2040</v>
      </c>
      <c r="H208" s="86">
        <v>3060</v>
      </c>
      <c r="I208" s="86">
        <v>4080</v>
      </c>
      <c r="J208" s="86">
        <v>4080</v>
      </c>
      <c r="K208" s="86">
        <v>5100</v>
      </c>
      <c r="L208" s="81"/>
      <c r="M208" s="80"/>
    </row>
    <row r="209" spans="4:13">
      <c r="D209" s="81">
        <v>186</v>
      </c>
      <c r="E209" s="81">
        <v>36</v>
      </c>
      <c r="F209" s="81" t="s">
        <v>50</v>
      </c>
      <c r="G209" s="86">
        <v>2112</v>
      </c>
      <c r="H209" s="86">
        <v>3168</v>
      </c>
      <c r="I209" s="86">
        <v>4224</v>
      </c>
      <c r="J209" s="86">
        <v>4224</v>
      </c>
      <c r="K209" s="86">
        <v>5280</v>
      </c>
      <c r="L209" s="81"/>
      <c r="M209" s="80"/>
    </row>
    <row r="210" spans="4:13">
      <c r="D210" s="81">
        <v>187</v>
      </c>
      <c r="E210" s="81">
        <v>37</v>
      </c>
      <c r="F210" s="81" t="s">
        <v>50</v>
      </c>
      <c r="G210" s="86">
        <v>2184</v>
      </c>
      <c r="H210" s="86">
        <v>3276</v>
      </c>
      <c r="I210" s="86">
        <v>4368</v>
      </c>
      <c r="J210" s="86">
        <v>4368</v>
      </c>
      <c r="K210" s="86">
        <v>5460</v>
      </c>
      <c r="L210" s="81"/>
      <c r="M210" s="80"/>
    </row>
    <row r="211" spans="4:13">
      <c r="D211" s="81">
        <v>188</v>
      </c>
      <c r="E211" s="81">
        <v>38</v>
      </c>
      <c r="F211" s="81" t="s">
        <v>50</v>
      </c>
      <c r="G211" s="86">
        <v>2256</v>
      </c>
      <c r="H211" s="86">
        <v>3384</v>
      </c>
      <c r="I211" s="86">
        <v>4512</v>
      </c>
      <c r="J211" s="86">
        <v>4512</v>
      </c>
      <c r="K211" s="86">
        <v>5640</v>
      </c>
      <c r="L211" s="81"/>
      <c r="M211" s="80"/>
    </row>
    <row r="212" spans="4:13">
      <c r="D212" s="81">
        <v>189</v>
      </c>
      <c r="E212" s="81">
        <v>39</v>
      </c>
      <c r="F212" s="81" t="s">
        <v>50</v>
      </c>
      <c r="G212" s="86">
        <v>2328</v>
      </c>
      <c r="H212" s="86">
        <v>3492</v>
      </c>
      <c r="I212" s="86">
        <v>4656</v>
      </c>
      <c r="J212" s="86">
        <v>4656</v>
      </c>
      <c r="K212" s="86">
        <v>5820</v>
      </c>
      <c r="L212" s="81"/>
      <c r="M212" s="80"/>
    </row>
    <row r="213" spans="4:13">
      <c r="D213" s="81">
        <v>190</v>
      </c>
      <c r="E213" s="81">
        <v>40</v>
      </c>
      <c r="F213" s="81" t="s">
        <v>50</v>
      </c>
      <c r="G213" s="86">
        <v>2400</v>
      </c>
      <c r="H213" s="86">
        <v>3600</v>
      </c>
      <c r="I213" s="86">
        <v>4800</v>
      </c>
      <c r="J213" s="86">
        <v>4800</v>
      </c>
      <c r="K213" s="86">
        <v>6000</v>
      </c>
      <c r="L213" s="81"/>
      <c r="M213" s="80"/>
    </row>
    <row r="214" spans="4:13">
      <c r="D214" s="81">
        <v>191</v>
      </c>
      <c r="E214" s="81">
        <v>41</v>
      </c>
      <c r="F214" s="81" t="s">
        <v>50</v>
      </c>
      <c r="G214" s="86">
        <v>2520</v>
      </c>
      <c r="H214" s="86">
        <v>3780</v>
      </c>
      <c r="I214" s="86">
        <v>5040</v>
      </c>
      <c r="J214" s="86">
        <v>5040</v>
      </c>
      <c r="K214" s="86">
        <v>6300</v>
      </c>
      <c r="L214" s="81"/>
      <c r="M214" s="80"/>
    </row>
    <row r="215" spans="4:13">
      <c r="D215" s="81">
        <v>192</v>
      </c>
      <c r="E215" s="81">
        <v>42</v>
      </c>
      <c r="F215" s="81" t="s">
        <v>50</v>
      </c>
      <c r="G215" s="86">
        <v>2640</v>
      </c>
      <c r="H215" s="86">
        <v>3960</v>
      </c>
      <c r="I215" s="86">
        <v>5280</v>
      </c>
      <c r="J215" s="86">
        <v>5280</v>
      </c>
      <c r="K215" s="86">
        <v>6600</v>
      </c>
      <c r="L215" s="81"/>
      <c r="M215" s="80"/>
    </row>
    <row r="216" spans="4:13">
      <c r="D216" s="81">
        <v>193</v>
      </c>
      <c r="E216" s="81">
        <v>43</v>
      </c>
      <c r="F216" s="81" t="s">
        <v>50</v>
      </c>
      <c r="G216" s="86">
        <v>2760</v>
      </c>
      <c r="H216" s="86">
        <v>4140</v>
      </c>
      <c r="I216" s="86">
        <v>5520</v>
      </c>
      <c r="J216" s="86">
        <v>5520</v>
      </c>
      <c r="K216" s="86">
        <v>6900</v>
      </c>
      <c r="L216" s="81"/>
      <c r="M216" s="80"/>
    </row>
    <row r="217" spans="4:13">
      <c r="D217" s="81">
        <v>194</v>
      </c>
      <c r="E217" s="81">
        <v>44</v>
      </c>
      <c r="F217" s="81" t="s">
        <v>50</v>
      </c>
      <c r="G217" s="86">
        <v>2880</v>
      </c>
      <c r="H217" s="86">
        <v>4320</v>
      </c>
      <c r="I217" s="86">
        <v>5760</v>
      </c>
      <c r="J217" s="86">
        <v>5760</v>
      </c>
      <c r="K217" s="86">
        <v>7200</v>
      </c>
      <c r="L217" s="81"/>
      <c r="M217" s="80"/>
    </row>
    <row r="218" spans="4:13">
      <c r="D218" s="81">
        <v>195</v>
      </c>
      <c r="E218" s="81">
        <v>45</v>
      </c>
      <c r="F218" s="81" t="s">
        <v>50</v>
      </c>
      <c r="G218" s="86">
        <v>3000</v>
      </c>
      <c r="H218" s="86">
        <v>4500</v>
      </c>
      <c r="I218" s="86">
        <v>6000</v>
      </c>
      <c r="J218" s="86">
        <v>6000</v>
      </c>
      <c r="K218" s="86">
        <v>7500</v>
      </c>
      <c r="L218" s="81"/>
      <c r="M218" s="80"/>
    </row>
    <row r="219" spans="4:13">
      <c r="D219" s="81">
        <v>196</v>
      </c>
      <c r="E219" s="81">
        <v>46</v>
      </c>
      <c r="F219" s="81" t="s">
        <v>50</v>
      </c>
      <c r="G219" s="86">
        <v>3120</v>
      </c>
      <c r="H219" s="86">
        <v>4680</v>
      </c>
      <c r="I219" s="86">
        <v>6240</v>
      </c>
      <c r="J219" s="86">
        <v>6240</v>
      </c>
      <c r="K219" s="86">
        <v>7800</v>
      </c>
      <c r="L219" s="81"/>
      <c r="M219" s="80"/>
    </row>
    <row r="220" spans="4:13">
      <c r="D220" s="81">
        <v>197</v>
      </c>
      <c r="E220" s="81">
        <v>47</v>
      </c>
      <c r="F220" s="81" t="s">
        <v>50</v>
      </c>
      <c r="G220" s="86">
        <v>3240</v>
      </c>
      <c r="H220" s="86">
        <v>4860</v>
      </c>
      <c r="I220" s="86">
        <v>6480</v>
      </c>
      <c r="J220" s="86">
        <v>6480</v>
      </c>
      <c r="K220" s="86">
        <v>8100</v>
      </c>
      <c r="L220" s="81"/>
      <c r="M220" s="80"/>
    </row>
    <row r="221" spans="4:13">
      <c r="D221" s="81">
        <v>198</v>
      </c>
      <c r="E221" s="81">
        <v>48</v>
      </c>
      <c r="F221" s="81" t="s">
        <v>50</v>
      </c>
      <c r="G221" s="86">
        <v>3360</v>
      </c>
      <c r="H221" s="86">
        <v>5040</v>
      </c>
      <c r="I221" s="86">
        <v>6720</v>
      </c>
      <c r="J221" s="86">
        <v>6720</v>
      </c>
      <c r="K221" s="86">
        <v>8400</v>
      </c>
      <c r="L221" s="81"/>
      <c r="M221" s="80"/>
    </row>
    <row r="222" spans="4:13">
      <c r="D222" s="81">
        <v>199</v>
      </c>
      <c r="E222" s="81">
        <v>49</v>
      </c>
      <c r="F222" s="81" t="s">
        <v>50</v>
      </c>
      <c r="G222" s="86">
        <v>3480</v>
      </c>
      <c r="H222" s="86">
        <v>5220</v>
      </c>
      <c r="I222" s="86">
        <v>6960</v>
      </c>
      <c r="J222" s="86">
        <v>6960</v>
      </c>
      <c r="K222" s="86">
        <v>8700</v>
      </c>
      <c r="L222" s="81"/>
      <c r="M222" s="80"/>
    </row>
    <row r="223" spans="4:13">
      <c r="D223" s="81">
        <v>200</v>
      </c>
      <c r="E223" s="81">
        <v>50</v>
      </c>
      <c r="F223" s="81" t="s">
        <v>50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1"/>
      <c r="M223" s="80"/>
    </row>
    <row r="224" spans="4:13">
      <c r="D224" s="81">
        <v>201</v>
      </c>
      <c r="E224" s="81">
        <v>1</v>
      </c>
      <c r="F224" s="81" t="s">
        <v>51</v>
      </c>
      <c r="G224" s="86">
        <v>24</v>
      </c>
      <c r="H224" s="86">
        <v>36</v>
      </c>
      <c r="I224" s="86">
        <v>48</v>
      </c>
      <c r="J224" s="86">
        <v>48</v>
      </c>
      <c r="K224" s="86">
        <v>60</v>
      </c>
      <c r="L224" s="81"/>
      <c r="M224" s="80"/>
    </row>
    <row r="225" spans="4:13">
      <c r="D225" s="81">
        <v>202</v>
      </c>
      <c r="E225" s="81">
        <v>2</v>
      </c>
      <c r="F225" s="81" t="s">
        <v>51</v>
      </c>
      <c r="G225" s="86">
        <v>48</v>
      </c>
      <c r="H225" s="86">
        <v>72</v>
      </c>
      <c r="I225" s="86">
        <v>96</v>
      </c>
      <c r="J225" s="86">
        <v>96</v>
      </c>
      <c r="K225" s="86">
        <v>120</v>
      </c>
      <c r="L225" s="81"/>
      <c r="M225" s="80"/>
    </row>
    <row r="226" spans="4:13">
      <c r="D226" s="81">
        <v>203</v>
      </c>
      <c r="E226" s="81">
        <v>3</v>
      </c>
      <c r="F226" s="81" t="s">
        <v>51</v>
      </c>
      <c r="G226" s="86">
        <v>72</v>
      </c>
      <c r="H226" s="86">
        <v>108</v>
      </c>
      <c r="I226" s="86">
        <v>144</v>
      </c>
      <c r="J226" s="86">
        <v>144</v>
      </c>
      <c r="K226" s="86">
        <v>180</v>
      </c>
      <c r="L226" s="81"/>
      <c r="M226" s="80"/>
    </row>
    <row r="227" spans="4:13">
      <c r="D227" s="81">
        <v>204</v>
      </c>
      <c r="E227" s="81">
        <v>4</v>
      </c>
      <c r="F227" s="81" t="s">
        <v>51</v>
      </c>
      <c r="G227" s="86">
        <v>120</v>
      </c>
      <c r="H227" s="86">
        <v>180</v>
      </c>
      <c r="I227" s="86">
        <v>240</v>
      </c>
      <c r="J227" s="86">
        <v>240</v>
      </c>
      <c r="K227" s="86">
        <v>300</v>
      </c>
      <c r="L227" s="81"/>
      <c r="M227" s="80"/>
    </row>
    <row r="228" spans="4:13">
      <c r="D228" s="81">
        <v>205</v>
      </c>
      <c r="E228" s="81">
        <v>5</v>
      </c>
      <c r="F228" s="81" t="s">
        <v>51</v>
      </c>
      <c r="G228" s="86">
        <v>168</v>
      </c>
      <c r="H228" s="86">
        <v>252</v>
      </c>
      <c r="I228" s="86">
        <v>336</v>
      </c>
      <c r="J228" s="86">
        <v>336</v>
      </c>
      <c r="K228" s="86">
        <v>420</v>
      </c>
      <c r="L228" s="81"/>
      <c r="M228" s="80"/>
    </row>
    <row r="229" spans="4:13">
      <c r="D229" s="81">
        <v>206</v>
      </c>
      <c r="E229" s="81">
        <v>6</v>
      </c>
      <c r="F229" s="81" t="s">
        <v>51</v>
      </c>
      <c r="G229" s="86">
        <v>216</v>
      </c>
      <c r="H229" s="86">
        <v>324</v>
      </c>
      <c r="I229" s="86">
        <v>432</v>
      </c>
      <c r="J229" s="86">
        <v>432</v>
      </c>
      <c r="K229" s="86">
        <v>540</v>
      </c>
      <c r="L229" s="81"/>
      <c r="M229" s="80"/>
    </row>
    <row r="230" spans="4:13">
      <c r="D230" s="81">
        <v>207</v>
      </c>
      <c r="E230" s="81">
        <v>7</v>
      </c>
      <c r="F230" s="81" t="s">
        <v>51</v>
      </c>
      <c r="G230" s="86">
        <v>264</v>
      </c>
      <c r="H230" s="86">
        <v>396</v>
      </c>
      <c r="I230" s="86">
        <v>528</v>
      </c>
      <c r="J230" s="86">
        <v>528</v>
      </c>
      <c r="K230" s="86">
        <v>660</v>
      </c>
      <c r="L230" s="81"/>
      <c r="M230" s="80"/>
    </row>
    <row r="231" spans="4:13">
      <c r="D231" s="81">
        <v>208</v>
      </c>
      <c r="E231" s="81">
        <v>8</v>
      </c>
      <c r="F231" s="81" t="s">
        <v>51</v>
      </c>
      <c r="G231" s="86">
        <v>312</v>
      </c>
      <c r="H231" s="86">
        <v>468</v>
      </c>
      <c r="I231" s="86">
        <v>624</v>
      </c>
      <c r="J231" s="86">
        <v>624</v>
      </c>
      <c r="K231" s="86">
        <v>780</v>
      </c>
      <c r="L231" s="81"/>
      <c r="M231" s="80"/>
    </row>
    <row r="232" spans="4:13">
      <c r="D232" s="81">
        <v>209</v>
      </c>
      <c r="E232" s="81">
        <v>9</v>
      </c>
      <c r="F232" s="81" t="s">
        <v>51</v>
      </c>
      <c r="G232" s="86">
        <v>360</v>
      </c>
      <c r="H232" s="86">
        <v>540</v>
      </c>
      <c r="I232" s="86">
        <v>720</v>
      </c>
      <c r="J232" s="86">
        <v>720</v>
      </c>
      <c r="K232" s="86">
        <v>900</v>
      </c>
      <c r="L232" s="81"/>
      <c r="M232" s="80"/>
    </row>
    <row r="233" spans="4:13">
      <c r="D233" s="81">
        <v>210</v>
      </c>
      <c r="E233" s="81">
        <v>10</v>
      </c>
      <c r="F233" s="81" t="s">
        <v>51</v>
      </c>
      <c r="G233" s="86">
        <v>408</v>
      </c>
      <c r="H233" s="86">
        <v>612</v>
      </c>
      <c r="I233" s="86">
        <v>816</v>
      </c>
      <c r="J233" s="86">
        <v>816</v>
      </c>
      <c r="K233" s="86">
        <v>1020</v>
      </c>
      <c r="L233" s="81"/>
      <c r="M233" s="80"/>
    </row>
    <row r="234" spans="4:13">
      <c r="D234" s="81">
        <v>211</v>
      </c>
      <c r="E234" s="81">
        <v>11</v>
      </c>
      <c r="F234" s="81" t="s">
        <v>51</v>
      </c>
      <c r="G234" s="86">
        <v>456</v>
      </c>
      <c r="H234" s="86">
        <v>684</v>
      </c>
      <c r="I234" s="86">
        <v>912</v>
      </c>
      <c r="J234" s="86">
        <v>912</v>
      </c>
      <c r="K234" s="86">
        <v>1140</v>
      </c>
      <c r="L234" s="81"/>
      <c r="M234" s="80"/>
    </row>
    <row r="235" spans="4:13">
      <c r="D235" s="81">
        <v>212</v>
      </c>
      <c r="E235" s="81">
        <v>12</v>
      </c>
      <c r="F235" s="81" t="s">
        <v>51</v>
      </c>
      <c r="G235" s="86">
        <v>504</v>
      </c>
      <c r="H235" s="86">
        <v>756</v>
      </c>
      <c r="I235" s="86">
        <v>1008</v>
      </c>
      <c r="J235" s="86">
        <v>1008</v>
      </c>
      <c r="K235" s="86">
        <v>1260</v>
      </c>
      <c r="L235" s="81"/>
      <c r="M235" s="80"/>
    </row>
    <row r="236" spans="4:13">
      <c r="D236" s="81">
        <v>213</v>
      </c>
      <c r="E236" s="81">
        <v>13</v>
      </c>
      <c r="F236" s="81" t="s">
        <v>51</v>
      </c>
      <c r="G236" s="86">
        <v>552</v>
      </c>
      <c r="H236" s="86">
        <v>828</v>
      </c>
      <c r="I236" s="86">
        <v>1104</v>
      </c>
      <c r="J236" s="86">
        <v>1104</v>
      </c>
      <c r="K236" s="86">
        <v>1380</v>
      </c>
      <c r="L236" s="81"/>
      <c r="M236" s="80"/>
    </row>
    <row r="237" spans="4:13">
      <c r="D237" s="81">
        <v>214</v>
      </c>
      <c r="E237" s="81">
        <v>14</v>
      </c>
      <c r="F237" s="81" t="s">
        <v>51</v>
      </c>
      <c r="G237" s="86">
        <v>600</v>
      </c>
      <c r="H237" s="86">
        <v>900</v>
      </c>
      <c r="I237" s="86">
        <v>1200</v>
      </c>
      <c r="J237" s="86">
        <v>1200</v>
      </c>
      <c r="K237" s="86">
        <v>1500</v>
      </c>
      <c r="L237" s="81"/>
      <c r="M237" s="80"/>
    </row>
    <row r="238" spans="4:13">
      <c r="D238" s="81">
        <v>215</v>
      </c>
      <c r="E238" s="81">
        <v>15</v>
      </c>
      <c r="F238" s="81" t="s">
        <v>51</v>
      </c>
      <c r="G238" s="86">
        <v>648</v>
      </c>
      <c r="H238" s="86">
        <v>972</v>
      </c>
      <c r="I238" s="86">
        <v>1296</v>
      </c>
      <c r="J238" s="86">
        <v>1296</v>
      </c>
      <c r="K238" s="86">
        <v>1620</v>
      </c>
      <c r="L238" s="81"/>
      <c r="M238" s="80"/>
    </row>
    <row r="239" spans="4:13">
      <c r="D239" s="81">
        <v>216</v>
      </c>
      <c r="E239" s="81">
        <v>16</v>
      </c>
      <c r="F239" s="81" t="s">
        <v>51</v>
      </c>
      <c r="G239" s="86">
        <v>696</v>
      </c>
      <c r="H239" s="86">
        <v>1044</v>
      </c>
      <c r="I239" s="86">
        <v>1392</v>
      </c>
      <c r="J239" s="86">
        <v>1392</v>
      </c>
      <c r="K239" s="86">
        <v>1740</v>
      </c>
      <c r="L239" s="81"/>
      <c r="M239" s="80"/>
    </row>
    <row r="240" spans="4:13">
      <c r="D240" s="81">
        <v>217</v>
      </c>
      <c r="E240" s="81">
        <v>17</v>
      </c>
      <c r="F240" s="81" t="s">
        <v>51</v>
      </c>
      <c r="G240" s="86">
        <v>744</v>
      </c>
      <c r="H240" s="86">
        <v>1116</v>
      </c>
      <c r="I240" s="86">
        <v>1488</v>
      </c>
      <c r="J240" s="86">
        <v>1488</v>
      </c>
      <c r="K240" s="86">
        <v>1860</v>
      </c>
      <c r="L240" s="81"/>
      <c r="M240" s="80"/>
    </row>
    <row r="241" spans="4:13">
      <c r="D241" s="81">
        <v>218</v>
      </c>
      <c r="E241" s="81">
        <v>18</v>
      </c>
      <c r="F241" s="81" t="s">
        <v>51</v>
      </c>
      <c r="G241" s="86">
        <v>816</v>
      </c>
      <c r="H241" s="86">
        <v>1224</v>
      </c>
      <c r="I241" s="86">
        <v>1632</v>
      </c>
      <c r="J241" s="86">
        <v>1632</v>
      </c>
      <c r="K241" s="86">
        <v>2040</v>
      </c>
      <c r="L241" s="81"/>
      <c r="M241" s="80"/>
    </row>
    <row r="242" spans="4:13">
      <c r="D242" s="81">
        <v>219</v>
      </c>
      <c r="E242" s="81">
        <v>19</v>
      </c>
      <c r="F242" s="81" t="s">
        <v>51</v>
      </c>
      <c r="G242" s="86">
        <v>888</v>
      </c>
      <c r="H242" s="86">
        <v>1332</v>
      </c>
      <c r="I242" s="86">
        <v>1776</v>
      </c>
      <c r="J242" s="86">
        <v>1776</v>
      </c>
      <c r="K242" s="86">
        <v>2220</v>
      </c>
      <c r="L242" s="81"/>
      <c r="M242" s="80"/>
    </row>
    <row r="243" spans="4:13">
      <c r="D243" s="81">
        <v>220</v>
      </c>
      <c r="E243" s="81">
        <v>20</v>
      </c>
      <c r="F243" s="81" t="s">
        <v>51</v>
      </c>
      <c r="G243" s="86">
        <v>960</v>
      </c>
      <c r="H243" s="86">
        <v>1440</v>
      </c>
      <c r="I243" s="86">
        <v>1920</v>
      </c>
      <c r="J243" s="86">
        <v>1920</v>
      </c>
      <c r="K243" s="86">
        <v>2400</v>
      </c>
      <c r="L243" s="81"/>
      <c r="M243" s="80"/>
    </row>
    <row r="244" spans="4:13">
      <c r="D244" s="81">
        <v>221</v>
      </c>
      <c r="E244" s="81">
        <v>21</v>
      </c>
      <c r="F244" s="81" t="s">
        <v>51</v>
      </c>
      <c r="G244" s="86">
        <v>1032</v>
      </c>
      <c r="H244" s="86">
        <v>1548</v>
      </c>
      <c r="I244" s="86">
        <v>2064</v>
      </c>
      <c r="J244" s="86">
        <v>2064</v>
      </c>
      <c r="K244" s="86">
        <v>2580</v>
      </c>
      <c r="L244" s="81"/>
      <c r="M244" s="80"/>
    </row>
    <row r="245" spans="4:13">
      <c r="D245" s="81">
        <v>222</v>
      </c>
      <c r="E245" s="81">
        <v>22</v>
      </c>
      <c r="F245" s="81" t="s">
        <v>51</v>
      </c>
      <c r="G245" s="86">
        <v>1104</v>
      </c>
      <c r="H245" s="86">
        <v>1656</v>
      </c>
      <c r="I245" s="86">
        <v>2208</v>
      </c>
      <c r="J245" s="86">
        <v>2208</v>
      </c>
      <c r="K245" s="86">
        <v>2760</v>
      </c>
      <c r="L245" s="81"/>
      <c r="M245" s="80"/>
    </row>
    <row r="246" spans="4:13">
      <c r="D246" s="81">
        <v>223</v>
      </c>
      <c r="E246" s="81">
        <v>23</v>
      </c>
      <c r="F246" s="81" t="s">
        <v>51</v>
      </c>
      <c r="G246" s="86">
        <v>1176</v>
      </c>
      <c r="H246" s="86">
        <v>1764</v>
      </c>
      <c r="I246" s="86">
        <v>2352</v>
      </c>
      <c r="J246" s="86">
        <v>2352</v>
      </c>
      <c r="K246" s="86">
        <v>2940</v>
      </c>
      <c r="L246" s="81"/>
      <c r="M246" s="80"/>
    </row>
    <row r="247" spans="4:13">
      <c r="D247" s="81">
        <v>224</v>
      </c>
      <c r="E247" s="81">
        <v>24</v>
      </c>
      <c r="F247" s="81" t="s">
        <v>51</v>
      </c>
      <c r="G247" s="86">
        <v>1248</v>
      </c>
      <c r="H247" s="86">
        <v>1872</v>
      </c>
      <c r="I247" s="86">
        <v>2496</v>
      </c>
      <c r="J247" s="86">
        <v>2496</v>
      </c>
      <c r="K247" s="86">
        <v>3120</v>
      </c>
      <c r="L247" s="81"/>
      <c r="M247" s="80"/>
    </row>
    <row r="248" spans="4:13">
      <c r="D248" s="81">
        <v>225</v>
      </c>
      <c r="E248" s="81">
        <v>25</v>
      </c>
      <c r="F248" s="81" t="s">
        <v>51</v>
      </c>
      <c r="G248" s="86">
        <v>1320</v>
      </c>
      <c r="H248" s="86">
        <v>1980</v>
      </c>
      <c r="I248" s="86">
        <v>2640</v>
      </c>
      <c r="J248" s="86">
        <v>2640</v>
      </c>
      <c r="K248" s="86">
        <v>3300</v>
      </c>
      <c r="L248" s="81"/>
      <c r="M248" s="80"/>
    </row>
    <row r="249" spans="4:13">
      <c r="D249" s="81">
        <v>226</v>
      </c>
      <c r="E249" s="81">
        <v>26</v>
      </c>
      <c r="F249" s="81" t="s">
        <v>51</v>
      </c>
      <c r="G249" s="86">
        <v>1392</v>
      </c>
      <c r="H249" s="86">
        <v>2088</v>
      </c>
      <c r="I249" s="86">
        <v>2784</v>
      </c>
      <c r="J249" s="86">
        <v>2784</v>
      </c>
      <c r="K249" s="86">
        <v>3480</v>
      </c>
      <c r="L249" s="81"/>
      <c r="M249" s="80"/>
    </row>
    <row r="250" spans="4:13">
      <c r="D250" s="81">
        <v>227</v>
      </c>
      <c r="E250" s="81">
        <v>27</v>
      </c>
      <c r="F250" s="81" t="s">
        <v>51</v>
      </c>
      <c r="G250" s="86">
        <v>1464</v>
      </c>
      <c r="H250" s="86">
        <v>2196</v>
      </c>
      <c r="I250" s="86">
        <v>2928</v>
      </c>
      <c r="J250" s="86">
        <v>2928</v>
      </c>
      <c r="K250" s="86">
        <v>3660</v>
      </c>
      <c r="L250" s="81"/>
      <c r="M250" s="80"/>
    </row>
    <row r="251" spans="4:13">
      <c r="D251" s="81">
        <v>228</v>
      </c>
      <c r="E251" s="81">
        <v>28</v>
      </c>
      <c r="F251" s="81" t="s">
        <v>51</v>
      </c>
      <c r="G251" s="86">
        <v>1536</v>
      </c>
      <c r="H251" s="86">
        <v>2304</v>
      </c>
      <c r="I251" s="86">
        <v>3072</v>
      </c>
      <c r="J251" s="86">
        <v>3072</v>
      </c>
      <c r="K251" s="86">
        <v>3840</v>
      </c>
      <c r="L251" s="81"/>
      <c r="M251" s="80"/>
    </row>
    <row r="252" spans="4:13">
      <c r="D252" s="81">
        <v>229</v>
      </c>
      <c r="E252" s="81">
        <v>29</v>
      </c>
      <c r="F252" s="81" t="s">
        <v>51</v>
      </c>
      <c r="G252" s="86">
        <v>1608</v>
      </c>
      <c r="H252" s="86">
        <v>2412</v>
      </c>
      <c r="I252" s="86">
        <v>3216</v>
      </c>
      <c r="J252" s="86">
        <v>3216</v>
      </c>
      <c r="K252" s="86">
        <v>4020</v>
      </c>
      <c r="L252" s="81"/>
      <c r="M252" s="80"/>
    </row>
    <row r="253" spans="4:13">
      <c r="D253" s="81">
        <v>230</v>
      </c>
      <c r="E253" s="81">
        <v>30</v>
      </c>
      <c r="F253" s="81" t="s">
        <v>51</v>
      </c>
      <c r="G253" s="86">
        <v>1680</v>
      </c>
      <c r="H253" s="86">
        <v>2520</v>
      </c>
      <c r="I253" s="86">
        <v>3360</v>
      </c>
      <c r="J253" s="86">
        <v>3360</v>
      </c>
      <c r="K253" s="86">
        <v>4200</v>
      </c>
      <c r="L253" s="81"/>
      <c r="M253" s="80"/>
    </row>
    <row r="254" spans="4:13">
      <c r="D254" s="81">
        <v>231</v>
      </c>
      <c r="E254" s="81">
        <v>31</v>
      </c>
      <c r="F254" s="81" t="s">
        <v>51</v>
      </c>
      <c r="G254" s="86">
        <v>1752</v>
      </c>
      <c r="H254" s="86">
        <v>2628</v>
      </c>
      <c r="I254" s="86">
        <v>3504</v>
      </c>
      <c r="J254" s="86">
        <v>3504</v>
      </c>
      <c r="K254" s="86">
        <v>4380</v>
      </c>
      <c r="L254" s="81"/>
      <c r="M254" s="80"/>
    </row>
    <row r="255" spans="4:13">
      <c r="D255" s="81">
        <v>232</v>
      </c>
      <c r="E255" s="81">
        <v>32</v>
      </c>
      <c r="F255" s="81" t="s">
        <v>51</v>
      </c>
      <c r="G255" s="86">
        <v>1824</v>
      </c>
      <c r="H255" s="86">
        <v>2736</v>
      </c>
      <c r="I255" s="86">
        <v>3648</v>
      </c>
      <c r="J255" s="86">
        <v>3648</v>
      </c>
      <c r="K255" s="86">
        <v>4560</v>
      </c>
      <c r="L255" s="81"/>
      <c r="M255" s="80"/>
    </row>
    <row r="256" spans="4:13">
      <c r="D256" s="81">
        <v>233</v>
      </c>
      <c r="E256" s="81">
        <v>33</v>
      </c>
      <c r="F256" s="81" t="s">
        <v>51</v>
      </c>
      <c r="G256" s="86">
        <v>1896</v>
      </c>
      <c r="H256" s="86">
        <v>2844</v>
      </c>
      <c r="I256" s="86">
        <v>3792</v>
      </c>
      <c r="J256" s="86">
        <v>3792</v>
      </c>
      <c r="K256" s="86">
        <v>4740</v>
      </c>
      <c r="L256" s="81"/>
      <c r="M256" s="80"/>
    </row>
    <row r="257" spans="4:13">
      <c r="D257" s="81">
        <v>234</v>
      </c>
      <c r="E257" s="81">
        <v>34</v>
      </c>
      <c r="F257" s="81" t="s">
        <v>51</v>
      </c>
      <c r="G257" s="86">
        <v>1968</v>
      </c>
      <c r="H257" s="86">
        <v>2952</v>
      </c>
      <c r="I257" s="86">
        <v>3936</v>
      </c>
      <c r="J257" s="86">
        <v>3936</v>
      </c>
      <c r="K257" s="86">
        <v>4920</v>
      </c>
      <c r="L257" s="81"/>
      <c r="M257" s="80"/>
    </row>
    <row r="258" spans="4:13">
      <c r="D258" s="81">
        <v>235</v>
      </c>
      <c r="E258" s="81">
        <v>35</v>
      </c>
      <c r="F258" s="81" t="s">
        <v>51</v>
      </c>
      <c r="G258" s="86">
        <v>2040</v>
      </c>
      <c r="H258" s="86">
        <v>3060</v>
      </c>
      <c r="I258" s="86">
        <v>4080</v>
      </c>
      <c r="J258" s="86">
        <v>4080</v>
      </c>
      <c r="K258" s="86">
        <v>5100</v>
      </c>
      <c r="L258" s="81"/>
      <c r="M258" s="80"/>
    </row>
    <row r="259" spans="4:13">
      <c r="D259" s="81">
        <v>236</v>
      </c>
      <c r="E259" s="81">
        <v>36</v>
      </c>
      <c r="F259" s="81" t="s">
        <v>51</v>
      </c>
      <c r="G259" s="86">
        <v>2112</v>
      </c>
      <c r="H259" s="86">
        <v>3168</v>
      </c>
      <c r="I259" s="86">
        <v>4224</v>
      </c>
      <c r="J259" s="86">
        <v>4224</v>
      </c>
      <c r="K259" s="86">
        <v>5280</v>
      </c>
      <c r="L259" s="81"/>
      <c r="M259" s="80"/>
    </row>
    <row r="260" spans="4:13">
      <c r="D260" s="81">
        <v>237</v>
      </c>
      <c r="E260" s="81">
        <v>37</v>
      </c>
      <c r="F260" s="81" t="s">
        <v>51</v>
      </c>
      <c r="G260" s="86">
        <v>2184</v>
      </c>
      <c r="H260" s="86">
        <v>3276</v>
      </c>
      <c r="I260" s="86">
        <v>4368</v>
      </c>
      <c r="J260" s="86">
        <v>4368</v>
      </c>
      <c r="K260" s="86">
        <v>5460</v>
      </c>
      <c r="L260" s="81"/>
      <c r="M260" s="80"/>
    </row>
    <row r="261" spans="4:13">
      <c r="D261" s="81">
        <v>238</v>
      </c>
      <c r="E261" s="81">
        <v>38</v>
      </c>
      <c r="F261" s="81" t="s">
        <v>51</v>
      </c>
      <c r="G261" s="86">
        <v>2256</v>
      </c>
      <c r="H261" s="86">
        <v>3384</v>
      </c>
      <c r="I261" s="86">
        <v>4512</v>
      </c>
      <c r="J261" s="86">
        <v>4512</v>
      </c>
      <c r="K261" s="86">
        <v>5640</v>
      </c>
      <c r="L261" s="81"/>
      <c r="M261" s="80"/>
    </row>
    <row r="262" spans="4:13">
      <c r="D262" s="81">
        <v>239</v>
      </c>
      <c r="E262" s="81">
        <v>39</v>
      </c>
      <c r="F262" s="81" t="s">
        <v>51</v>
      </c>
      <c r="G262" s="86">
        <v>2328</v>
      </c>
      <c r="H262" s="86">
        <v>3492</v>
      </c>
      <c r="I262" s="86">
        <v>4656</v>
      </c>
      <c r="J262" s="86">
        <v>4656</v>
      </c>
      <c r="K262" s="86">
        <v>5820</v>
      </c>
      <c r="L262" s="81"/>
      <c r="M262" s="80"/>
    </row>
    <row r="263" spans="4:13">
      <c r="D263" s="81">
        <v>240</v>
      </c>
      <c r="E263" s="81">
        <v>40</v>
      </c>
      <c r="F263" s="81" t="s">
        <v>51</v>
      </c>
      <c r="G263" s="86">
        <v>2400</v>
      </c>
      <c r="H263" s="86">
        <v>3600</v>
      </c>
      <c r="I263" s="86">
        <v>4800</v>
      </c>
      <c r="J263" s="86">
        <v>4800</v>
      </c>
      <c r="K263" s="86">
        <v>6000</v>
      </c>
      <c r="L263" s="81"/>
      <c r="M263" s="80"/>
    </row>
    <row r="264" spans="4:13">
      <c r="D264" s="81">
        <v>241</v>
      </c>
      <c r="E264" s="81">
        <v>41</v>
      </c>
      <c r="F264" s="81" t="s">
        <v>51</v>
      </c>
      <c r="G264" s="86">
        <v>2520</v>
      </c>
      <c r="H264" s="86">
        <v>3780</v>
      </c>
      <c r="I264" s="86">
        <v>5040</v>
      </c>
      <c r="J264" s="86">
        <v>5040</v>
      </c>
      <c r="K264" s="86">
        <v>6300</v>
      </c>
      <c r="L264" s="81"/>
      <c r="M264" s="80"/>
    </row>
    <row r="265" spans="4:13">
      <c r="D265" s="81">
        <v>242</v>
      </c>
      <c r="E265" s="81">
        <v>42</v>
      </c>
      <c r="F265" s="81" t="s">
        <v>51</v>
      </c>
      <c r="G265" s="86">
        <v>2640</v>
      </c>
      <c r="H265" s="86">
        <v>3960</v>
      </c>
      <c r="I265" s="86">
        <v>5280</v>
      </c>
      <c r="J265" s="86">
        <v>5280</v>
      </c>
      <c r="K265" s="86">
        <v>6600</v>
      </c>
      <c r="L265" s="81"/>
      <c r="M265" s="80"/>
    </row>
    <row r="266" spans="4:13">
      <c r="D266" s="81">
        <v>243</v>
      </c>
      <c r="E266" s="81">
        <v>43</v>
      </c>
      <c r="F266" s="81" t="s">
        <v>51</v>
      </c>
      <c r="G266" s="86">
        <v>2760</v>
      </c>
      <c r="H266" s="86">
        <v>4140</v>
      </c>
      <c r="I266" s="86">
        <v>5520</v>
      </c>
      <c r="J266" s="86">
        <v>5520</v>
      </c>
      <c r="K266" s="86">
        <v>6900</v>
      </c>
      <c r="L266" s="81"/>
      <c r="M266" s="80"/>
    </row>
    <row r="267" spans="4:13">
      <c r="D267" s="81">
        <v>244</v>
      </c>
      <c r="E267" s="81">
        <v>44</v>
      </c>
      <c r="F267" s="81" t="s">
        <v>51</v>
      </c>
      <c r="G267" s="86">
        <v>2880</v>
      </c>
      <c r="H267" s="86">
        <v>4320</v>
      </c>
      <c r="I267" s="86">
        <v>5760</v>
      </c>
      <c r="J267" s="86">
        <v>5760</v>
      </c>
      <c r="K267" s="86">
        <v>7200</v>
      </c>
      <c r="L267" s="81"/>
      <c r="M267" s="80"/>
    </row>
    <row r="268" spans="4:13">
      <c r="D268" s="81">
        <v>245</v>
      </c>
      <c r="E268" s="81">
        <v>45</v>
      </c>
      <c r="F268" s="81" t="s">
        <v>51</v>
      </c>
      <c r="G268" s="86">
        <v>3000</v>
      </c>
      <c r="H268" s="86">
        <v>4500</v>
      </c>
      <c r="I268" s="86">
        <v>6000</v>
      </c>
      <c r="J268" s="86">
        <v>6000</v>
      </c>
      <c r="K268" s="86">
        <v>7500</v>
      </c>
      <c r="L268" s="81"/>
      <c r="M268" s="80"/>
    </row>
    <row r="269" spans="4:13">
      <c r="D269" s="81">
        <v>246</v>
      </c>
      <c r="E269" s="81">
        <v>46</v>
      </c>
      <c r="F269" s="81" t="s">
        <v>51</v>
      </c>
      <c r="G269" s="86">
        <v>3120</v>
      </c>
      <c r="H269" s="86">
        <v>4680</v>
      </c>
      <c r="I269" s="86">
        <v>6240</v>
      </c>
      <c r="J269" s="86">
        <v>6240</v>
      </c>
      <c r="K269" s="86">
        <v>7800</v>
      </c>
      <c r="L269" s="81"/>
      <c r="M269" s="80"/>
    </row>
    <row r="270" spans="4:13">
      <c r="D270" s="81">
        <v>247</v>
      </c>
      <c r="E270" s="81">
        <v>47</v>
      </c>
      <c r="F270" s="81" t="s">
        <v>51</v>
      </c>
      <c r="G270" s="86">
        <v>3240</v>
      </c>
      <c r="H270" s="86">
        <v>4860</v>
      </c>
      <c r="I270" s="86">
        <v>6480</v>
      </c>
      <c r="J270" s="86">
        <v>6480</v>
      </c>
      <c r="K270" s="86">
        <v>8100</v>
      </c>
      <c r="L270" s="81"/>
      <c r="M270" s="80"/>
    </row>
    <row r="271" spans="4:13">
      <c r="D271" s="81">
        <v>248</v>
      </c>
      <c r="E271" s="81">
        <v>48</v>
      </c>
      <c r="F271" s="81" t="s">
        <v>51</v>
      </c>
      <c r="G271" s="86">
        <v>3360</v>
      </c>
      <c r="H271" s="86">
        <v>5040</v>
      </c>
      <c r="I271" s="86">
        <v>6720</v>
      </c>
      <c r="J271" s="86">
        <v>6720</v>
      </c>
      <c r="K271" s="86">
        <v>8400</v>
      </c>
      <c r="L271" s="81"/>
      <c r="M271" s="80"/>
    </row>
    <row r="272" spans="4:13">
      <c r="D272" s="81">
        <v>249</v>
      </c>
      <c r="E272" s="81">
        <v>49</v>
      </c>
      <c r="F272" s="81" t="s">
        <v>51</v>
      </c>
      <c r="G272" s="86">
        <v>3480</v>
      </c>
      <c r="H272" s="86">
        <v>5220</v>
      </c>
      <c r="I272" s="86">
        <v>6960</v>
      </c>
      <c r="J272" s="86">
        <v>6960</v>
      </c>
      <c r="K272" s="86">
        <v>8700</v>
      </c>
      <c r="L272" s="81"/>
      <c r="M272" s="80"/>
    </row>
    <row r="273" spans="4:13">
      <c r="D273" s="81">
        <v>250</v>
      </c>
      <c r="E273" s="81">
        <v>50</v>
      </c>
      <c r="F273" s="81" t="s">
        <v>51</v>
      </c>
      <c r="G273" s="86">
        <v>0</v>
      </c>
      <c r="H273" s="86">
        <v>0</v>
      </c>
      <c r="I273" s="86">
        <v>0</v>
      </c>
      <c r="J273" s="86">
        <v>0</v>
      </c>
      <c r="K273" s="86">
        <v>0</v>
      </c>
      <c r="L273" s="81"/>
      <c r="M273" s="80"/>
    </row>
    <row r="274" spans="4:13">
      <c r="D274" s="81">
        <v>251</v>
      </c>
      <c r="E274" s="81">
        <v>1</v>
      </c>
      <c r="F274" s="81" t="s">
        <v>52</v>
      </c>
      <c r="G274" s="86">
        <v>40</v>
      </c>
      <c r="H274" s="86">
        <v>60</v>
      </c>
      <c r="I274" s="86">
        <v>78</v>
      </c>
      <c r="J274" s="86">
        <v>78</v>
      </c>
      <c r="K274" s="86">
        <v>98</v>
      </c>
      <c r="L274" s="81"/>
      <c r="M274" s="80"/>
    </row>
    <row r="275" spans="4:13">
      <c r="D275" s="81">
        <v>252</v>
      </c>
      <c r="E275" s="81">
        <v>2</v>
      </c>
      <c r="F275" s="81" t="s">
        <v>52</v>
      </c>
      <c r="G275" s="86">
        <v>78</v>
      </c>
      <c r="H275" s="86">
        <v>118</v>
      </c>
      <c r="I275" s="86">
        <v>156</v>
      </c>
      <c r="J275" s="86">
        <v>156</v>
      </c>
      <c r="K275" s="86">
        <v>196</v>
      </c>
      <c r="L275" s="81"/>
      <c r="M275" s="80"/>
    </row>
    <row r="276" spans="4:13">
      <c r="D276" s="81">
        <v>253</v>
      </c>
      <c r="E276" s="81">
        <v>3</v>
      </c>
      <c r="F276" s="81" t="s">
        <v>52</v>
      </c>
      <c r="G276" s="86">
        <v>118</v>
      </c>
      <c r="H276" s="86">
        <v>176</v>
      </c>
      <c r="I276" s="86">
        <v>234</v>
      </c>
      <c r="J276" s="86">
        <v>234</v>
      </c>
      <c r="K276" s="86">
        <v>294</v>
      </c>
      <c r="L276" s="81"/>
      <c r="M276" s="80"/>
    </row>
    <row r="277" spans="4:13">
      <c r="D277" s="81">
        <v>254</v>
      </c>
      <c r="E277" s="81">
        <v>4</v>
      </c>
      <c r="F277" s="81" t="s">
        <v>52</v>
      </c>
      <c r="G277" s="86">
        <v>196</v>
      </c>
      <c r="H277" s="86">
        <v>294</v>
      </c>
      <c r="I277" s="86">
        <v>390</v>
      </c>
      <c r="J277" s="86">
        <v>390</v>
      </c>
      <c r="K277" s="86">
        <v>488</v>
      </c>
      <c r="L277" s="81"/>
      <c r="M277" s="80"/>
    </row>
    <row r="278" spans="4:13">
      <c r="D278" s="81">
        <v>255</v>
      </c>
      <c r="E278" s="81">
        <v>5</v>
      </c>
      <c r="F278" s="81" t="s">
        <v>52</v>
      </c>
      <c r="G278" s="86">
        <v>274</v>
      </c>
      <c r="H278" s="86">
        <v>410</v>
      </c>
      <c r="I278" s="86">
        <v>546</v>
      </c>
      <c r="J278" s="86">
        <v>546</v>
      </c>
      <c r="K278" s="86">
        <v>684</v>
      </c>
      <c r="L278" s="81"/>
      <c r="M278" s="80"/>
    </row>
    <row r="279" spans="4:13">
      <c r="D279" s="81">
        <v>256</v>
      </c>
      <c r="E279" s="81">
        <v>6</v>
      </c>
      <c r="F279" s="81" t="s">
        <v>52</v>
      </c>
      <c r="G279" s="86">
        <v>352</v>
      </c>
      <c r="H279" s="86">
        <v>528</v>
      </c>
      <c r="I279" s="86">
        <v>702</v>
      </c>
      <c r="J279" s="86">
        <v>702</v>
      </c>
      <c r="K279" s="86">
        <v>878</v>
      </c>
      <c r="L279" s="81"/>
      <c r="M279" s="80"/>
    </row>
    <row r="280" spans="4:13">
      <c r="D280" s="81">
        <v>257</v>
      </c>
      <c r="E280" s="81">
        <v>7</v>
      </c>
      <c r="F280" s="81" t="s">
        <v>52</v>
      </c>
      <c r="G280" s="86">
        <v>430</v>
      </c>
      <c r="H280" s="86">
        <v>644</v>
      </c>
      <c r="I280" s="86">
        <v>858</v>
      </c>
      <c r="J280" s="86">
        <v>858</v>
      </c>
      <c r="K280" s="86">
        <v>1074</v>
      </c>
      <c r="L280" s="81"/>
      <c r="M280" s="80"/>
    </row>
    <row r="281" spans="4:13">
      <c r="D281" s="81">
        <v>258</v>
      </c>
      <c r="E281" s="81">
        <v>8</v>
      </c>
      <c r="F281" s="81" t="s">
        <v>52</v>
      </c>
      <c r="G281" s="86">
        <v>508</v>
      </c>
      <c r="H281" s="86">
        <v>762</v>
      </c>
      <c r="I281" s="86">
        <v>1014</v>
      </c>
      <c r="J281" s="86">
        <v>1014</v>
      </c>
      <c r="K281" s="86">
        <v>1268</v>
      </c>
      <c r="L281" s="81"/>
      <c r="M281" s="80"/>
    </row>
    <row r="282" spans="4:13">
      <c r="D282" s="81">
        <v>259</v>
      </c>
      <c r="E282" s="81">
        <v>9</v>
      </c>
      <c r="F282" s="81" t="s">
        <v>52</v>
      </c>
      <c r="G282" s="86">
        <v>586</v>
      </c>
      <c r="H282" s="86">
        <v>878</v>
      </c>
      <c r="I282" s="86">
        <v>1170</v>
      </c>
      <c r="J282" s="86">
        <v>1170</v>
      </c>
      <c r="K282" s="86">
        <v>1464</v>
      </c>
      <c r="L282" s="81"/>
      <c r="M282" s="80"/>
    </row>
    <row r="283" spans="4:13">
      <c r="D283" s="81">
        <v>260</v>
      </c>
      <c r="E283" s="81">
        <v>10</v>
      </c>
      <c r="F283" s="81" t="s">
        <v>52</v>
      </c>
      <c r="G283" s="86">
        <v>664</v>
      </c>
      <c r="H283" s="86">
        <v>996</v>
      </c>
      <c r="I283" s="86">
        <v>1326</v>
      </c>
      <c r="J283" s="86">
        <v>1326</v>
      </c>
      <c r="K283" s="86">
        <v>1658</v>
      </c>
      <c r="L283" s="81"/>
      <c r="M283" s="80"/>
    </row>
    <row r="284" spans="4:13">
      <c r="D284" s="81">
        <v>261</v>
      </c>
      <c r="E284" s="81">
        <v>11</v>
      </c>
      <c r="F284" s="81" t="s">
        <v>52</v>
      </c>
      <c r="G284" s="86">
        <v>742</v>
      </c>
      <c r="H284" s="86">
        <v>1112</v>
      </c>
      <c r="I284" s="86">
        <v>1482</v>
      </c>
      <c r="J284" s="86">
        <v>1482</v>
      </c>
      <c r="K284" s="86">
        <v>1854</v>
      </c>
      <c r="L284" s="81"/>
      <c r="M284" s="80"/>
    </row>
    <row r="285" spans="4:13">
      <c r="D285" s="81">
        <v>262</v>
      </c>
      <c r="E285" s="81">
        <v>12</v>
      </c>
      <c r="F285" s="81" t="s">
        <v>52</v>
      </c>
      <c r="G285" s="86">
        <v>820</v>
      </c>
      <c r="H285" s="86">
        <v>1230</v>
      </c>
      <c r="I285" s="86">
        <v>1638</v>
      </c>
      <c r="J285" s="86">
        <v>1638</v>
      </c>
      <c r="K285" s="86">
        <v>2048</v>
      </c>
      <c r="L285" s="81"/>
      <c r="M285" s="80"/>
    </row>
    <row r="286" spans="4:13">
      <c r="D286" s="81">
        <v>263</v>
      </c>
      <c r="E286" s="81">
        <v>13</v>
      </c>
      <c r="F286" s="81" t="s">
        <v>52</v>
      </c>
      <c r="G286" s="86">
        <v>898</v>
      </c>
      <c r="H286" s="86">
        <v>1346</v>
      </c>
      <c r="I286" s="86">
        <v>1794</v>
      </c>
      <c r="J286" s="86">
        <v>1794</v>
      </c>
      <c r="K286" s="86">
        <v>2244</v>
      </c>
      <c r="L286" s="81"/>
      <c r="M286" s="80"/>
    </row>
    <row r="287" spans="4:13">
      <c r="D287" s="81">
        <v>264</v>
      </c>
      <c r="E287" s="81">
        <v>14</v>
      </c>
      <c r="F287" s="81" t="s">
        <v>52</v>
      </c>
      <c r="G287" s="86">
        <v>976</v>
      </c>
      <c r="H287" s="86">
        <v>1464</v>
      </c>
      <c r="I287" s="86">
        <v>1950</v>
      </c>
      <c r="J287" s="86">
        <v>1950</v>
      </c>
      <c r="K287" s="86">
        <v>2438</v>
      </c>
      <c r="L287" s="81"/>
      <c r="M287" s="80"/>
    </row>
    <row r="288" spans="4:13">
      <c r="D288" s="81">
        <v>265</v>
      </c>
      <c r="E288" s="81">
        <v>15</v>
      </c>
      <c r="F288" s="81" t="s">
        <v>52</v>
      </c>
      <c r="G288" s="86">
        <v>1054</v>
      </c>
      <c r="H288" s="86">
        <v>1580</v>
      </c>
      <c r="I288" s="86">
        <v>2106</v>
      </c>
      <c r="J288" s="86">
        <v>2106</v>
      </c>
      <c r="K288" s="86">
        <v>2634</v>
      </c>
      <c r="L288" s="81"/>
      <c r="M288" s="80"/>
    </row>
    <row r="289" spans="4:13">
      <c r="D289" s="81">
        <v>266</v>
      </c>
      <c r="E289" s="81">
        <v>16</v>
      </c>
      <c r="F289" s="81" t="s">
        <v>52</v>
      </c>
      <c r="G289" s="86">
        <v>1132</v>
      </c>
      <c r="H289" s="86">
        <v>1698</v>
      </c>
      <c r="I289" s="86">
        <v>2262</v>
      </c>
      <c r="J289" s="86">
        <v>2262</v>
      </c>
      <c r="K289" s="86">
        <v>2828</v>
      </c>
      <c r="L289" s="81"/>
      <c r="M289" s="80"/>
    </row>
    <row r="290" spans="4:13">
      <c r="D290" s="81">
        <v>267</v>
      </c>
      <c r="E290" s="81">
        <v>17</v>
      </c>
      <c r="F290" s="81" t="s">
        <v>52</v>
      </c>
      <c r="G290" s="86">
        <v>1210</v>
      </c>
      <c r="H290" s="86">
        <v>1814</v>
      </c>
      <c r="I290" s="86">
        <v>2418</v>
      </c>
      <c r="J290" s="86">
        <v>2418</v>
      </c>
      <c r="K290" s="86">
        <v>3024</v>
      </c>
      <c r="L290" s="81"/>
      <c r="M290" s="80"/>
    </row>
    <row r="291" spans="4:13">
      <c r="D291" s="81">
        <v>268</v>
      </c>
      <c r="E291" s="81">
        <v>18</v>
      </c>
      <c r="F291" s="81" t="s">
        <v>52</v>
      </c>
      <c r="G291" s="86">
        <v>1326</v>
      </c>
      <c r="H291" s="86">
        <v>1990</v>
      </c>
      <c r="I291" s="86">
        <v>2652</v>
      </c>
      <c r="J291" s="86">
        <v>2652</v>
      </c>
      <c r="K291" s="86">
        <v>3316</v>
      </c>
      <c r="L291" s="81"/>
      <c r="M291" s="80"/>
    </row>
    <row r="292" spans="4:13">
      <c r="D292" s="81">
        <v>269</v>
      </c>
      <c r="E292" s="81">
        <v>19</v>
      </c>
      <c r="F292" s="81" t="s">
        <v>52</v>
      </c>
      <c r="G292" s="86">
        <v>1444</v>
      </c>
      <c r="H292" s="86">
        <v>2166</v>
      </c>
      <c r="I292" s="86">
        <v>2886</v>
      </c>
      <c r="J292" s="86">
        <v>2886</v>
      </c>
      <c r="K292" s="86">
        <v>3608</v>
      </c>
      <c r="L292" s="81"/>
      <c r="M292" s="80"/>
    </row>
    <row r="293" spans="4:13">
      <c r="D293" s="81">
        <v>270</v>
      </c>
      <c r="E293" s="81">
        <v>20</v>
      </c>
      <c r="F293" s="81" t="s">
        <v>52</v>
      </c>
      <c r="G293" s="86">
        <v>1560</v>
      </c>
      <c r="H293" s="86">
        <v>2340</v>
      </c>
      <c r="I293" s="86">
        <v>3120</v>
      </c>
      <c r="J293" s="86">
        <v>3120</v>
      </c>
      <c r="K293" s="86">
        <v>3900</v>
      </c>
      <c r="L293" s="81"/>
      <c r="M293" s="80"/>
    </row>
    <row r="294" spans="4:13">
      <c r="D294" s="81">
        <v>271</v>
      </c>
      <c r="E294" s="81">
        <v>21</v>
      </c>
      <c r="F294" s="81" t="s">
        <v>52</v>
      </c>
      <c r="G294" s="86">
        <v>1678</v>
      </c>
      <c r="H294" s="86">
        <v>2516</v>
      </c>
      <c r="I294" s="86">
        <v>3354</v>
      </c>
      <c r="J294" s="86">
        <v>3354</v>
      </c>
      <c r="K294" s="86">
        <v>4194</v>
      </c>
      <c r="L294" s="81"/>
      <c r="M294" s="80"/>
    </row>
    <row r="295" spans="4:13">
      <c r="D295" s="81">
        <v>272</v>
      </c>
      <c r="E295" s="81">
        <v>22</v>
      </c>
      <c r="F295" s="81" t="s">
        <v>52</v>
      </c>
      <c r="G295" s="86">
        <v>1794</v>
      </c>
      <c r="H295" s="86">
        <v>2692</v>
      </c>
      <c r="I295" s="86">
        <v>3588</v>
      </c>
      <c r="J295" s="86">
        <v>3588</v>
      </c>
      <c r="K295" s="86">
        <v>4486</v>
      </c>
      <c r="L295" s="81"/>
      <c r="M295" s="80"/>
    </row>
    <row r="296" spans="4:13">
      <c r="D296" s="81">
        <v>273</v>
      </c>
      <c r="E296" s="81">
        <v>23</v>
      </c>
      <c r="F296" s="81" t="s">
        <v>52</v>
      </c>
      <c r="G296" s="86">
        <v>1912</v>
      </c>
      <c r="H296" s="86">
        <v>2868</v>
      </c>
      <c r="I296" s="86">
        <v>3822</v>
      </c>
      <c r="J296" s="86">
        <v>3822</v>
      </c>
      <c r="K296" s="86">
        <v>4778</v>
      </c>
      <c r="L296" s="81"/>
      <c r="M296" s="80"/>
    </row>
    <row r="297" spans="4:13">
      <c r="D297" s="81">
        <v>274</v>
      </c>
      <c r="E297" s="81">
        <v>24</v>
      </c>
      <c r="F297" s="81" t="s">
        <v>52</v>
      </c>
      <c r="G297" s="86">
        <v>2028</v>
      </c>
      <c r="H297" s="86">
        <v>3042</v>
      </c>
      <c r="I297" s="86">
        <v>4056</v>
      </c>
      <c r="J297" s="86">
        <v>4056</v>
      </c>
      <c r="K297" s="86">
        <v>5070</v>
      </c>
      <c r="L297" s="81"/>
      <c r="M297" s="80"/>
    </row>
    <row r="298" spans="4:13">
      <c r="D298" s="81">
        <v>275</v>
      </c>
      <c r="E298" s="81">
        <v>25</v>
      </c>
      <c r="F298" s="81" t="s">
        <v>52</v>
      </c>
      <c r="G298" s="86">
        <v>2146</v>
      </c>
      <c r="H298" s="86">
        <v>3218</v>
      </c>
      <c r="I298" s="86">
        <v>4290</v>
      </c>
      <c r="J298" s="86">
        <v>4290</v>
      </c>
      <c r="K298" s="86">
        <v>5364</v>
      </c>
      <c r="L298" s="81"/>
      <c r="M298" s="80"/>
    </row>
    <row r="299" spans="4:13">
      <c r="D299" s="81">
        <v>276</v>
      </c>
      <c r="E299" s="81">
        <v>26</v>
      </c>
      <c r="F299" s="81" t="s">
        <v>52</v>
      </c>
      <c r="G299" s="86">
        <v>2262</v>
      </c>
      <c r="H299" s="86">
        <v>3394</v>
      </c>
      <c r="I299" s="86">
        <v>4524</v>
      </c>
      <c r="J299" s="86">
        <v>4524</v>
      </c>
      <c r="K299" s="86">
        <v>5656</v>
      </c>
      <c r="L299" s="81"/>
      <c r="M299" s="80"/>
    </row>
    <row r="300" spans="4:13">
      <c r="D300" s="81">
        <v>277</v>
      </c>
      <c r="E300" s="81">
        <v>27</v>
      </c>
      <c r="F300" s="81" t="s">
        <v>52</v>
      </c>
      <c r="G300" s="86">
        <v>2380</v>
      </c>
      <c r="H300" s="86">
        <v>3570</v>
      </c>
      <c r="I300" s="86">
        <v>4758</v>
      </c>
      <c r="J300" s="86">
        <v>4758</v>
      </c>
      <c r="K300" s="86">
        <v>5948</v>
      </c>
      <c r="L300" s="81"/>
      <c r="M300" s="80"/>
    </row>
    <row r="301" spans="4:13">
      <c r="D301" s="81">
        <v>278</v>
      </c>
      <c r="E301" s="81">
        <v>28</v>
      </c>
      <c r="F301" s="81" t="s">
        <v>52</v>
      </c>
      <c r="G301" s="86">
        <v>2496</v>
      </c>
      <c r="H301" s="86">
        <v>3744</v>
      </c>
      <c r="I301" s="86">
        <v>4992</v>
      </c>
      <c r="J301" s="86">
        <v>4992</v>
      </c>
      <c r="K301" s="86">
        <v>6240</v>
      </c>
      <c r="L301" s="81"/>
      <c r="M301" s="80"/>
    </row>
    <row r="302" spans="4:13">
      <c r="D302" s="81">
        <v>279</v>
      </c>
      <c r="E302" s="81">
        <v>29</v>
      </c>
      <c r="F302" s="81" t="s">
        <v>52</v>
      </c>
      <c r="G302" s="86">
        <v>2614</v>
      </c>
      <c r="H302" s="86">
        <v>3920</v>
      </c>
      <c r="I302" s="86">
        <v>5226</v>
      </c>
      <c r="J302" s="86">
        <v>5226</v>
      </c>
      <c r="K302" s="86">
        <v>6534</v>
      </c>
      <c r="L302" s="81"/>
      <c r="M302" s="80"/>
    </row>
    <row r="303" spans="4:13">
      <c r="D303" s="81">
        <v>280</v>
      </c>
      <c r="E303" s="81">
        <v>30</v>
      </c>
      <c r="F303" s="81" t="s">
        <v>52</v>
      </c>
      <c r="G303" s="86">
        <v>2730</v>
      </c>
      <c r="H303" s="86">
        <v>4096</v>
      </c>
      <c r="I303" s="86">
        <v>5460</v>
      </c>
      <c r="J303" s="86">
        <v>5460</v>
      </c>
      <c r="K303" s="86">
        <v>6826</v>
      </c>
      <c r="L303" s="81"/>
      <c r="M303" s="80"/>
    </row>
    <row r="304" spans="4:13">
      <c r="D304" s="81">
        <v>281</v>
      </c>
      <c r="E304" s="81">
        <v>31</v>
      </c>
      <c r="F304" s="81" t="s">
        <v>52</v>
      </c>
      <c r="G304" s="86">
        <v>2848</v>
      </c>
      <c r="H304" s="86">
        <v>4272</v>
      </c>
      <c r="I304" s="86">
        <v>5694</v>
      </c>
      <c r="J304" s="86">
        <v>5694</v>
      </c>
      <c r="K304" s="86">
        <v>7118</v>
      </c>
      <c r="L304" s="81"/>
      <c r="M304" s="80"/>
    </row>
    <row r="305" spans="4:13">
      <c r="D305" s="81">
        <v>282</v>
      </c>
      <c r="E305" s="81">
        <v>32</v>
      </c>
      <c r="F305" s="81" t="s">
        <v>52</v>
      </c>
      <c r="G305" s="86">
        <v>2964</v>
      </c>
      <c r="H305" s="86">
        <v>4446</v>
      </c>
      <c r="I305" s="86">
        <v>5928</v>
      </c>
      <c r="J305" s="86">
        <v>5928</v>
      </c>
      <c r="K305" s="86">
        <v>7410</v>
      </c>
      <c r="L305" s="81"/>
      <c r="M305" s="80"/>
    </row>
    <row r="306" spans="4:13">
      <c r="D306" s="81">
        <v>283</v>
      </c>
      <c r="E306" s="81">
        <v>33</v>
      </c>
      <c r="F306" s="81" t="s">
        <v>52</v>
      </c>
      <c r="G306" s="86">
        <v>3082</v>
      </c>
      <c r="H306" s="86">
        <v>4622</v>
      </c>
      <c r="I306" s="86">
        <v>6162</v>
      </c>
      <c r="J306" s="86">
        <v>6162</v>
      </c>
      <c r="K306" s="86">
        <v>7704</v>
      </c>
      <c r="L306" s="81"/>
      <c r="M306" s="80"/>
    </row>
    <row r="307" spans="4:13">
      <c r="D307" s="81">
        <v>284</v>
      </c>
      <c r="E307" s="81">
        <v>34</v>
      </c>
      <c r="F307" s="81" t="s">
        <v>52</v>
      </c>
      <c r="G307" s="86">
        <v>3198</v>
      </c>
      <c r="H307" s="86">
        <v>4798</v>
      </c>
      <c r="I307" s="86">
        <v>6396</v>
      </c>
      <c r="J307" s="86">
        <v>6396</v>
      </c>
      <c r="K307" s="86">
        <v>7996</v>
      </c>
      <c r="L307" s="81"/>
      <c r="M307" s="80"/>
    </row>
    <row r="308" spans="4:13">
      <c r="D308" s="81">
        <v>285</v>
      </c>
      <c r="E308" s="81">
        <v>35</v>
      </c>
      <c r="F308" s="81" t="s">
        <v>52</v>
      </c>
      <c r="G308" s="86">
        <v>3316</v>
      </c>
      <c r="H308" s="86">
        <v>4974</v>
      </c>
      <c r="I308" s="86">
        <v>6630</v>
      </c>
      <c r="J308" s="86">
        <v>6630</v>
      </c>
      <c r="K308" s="86">
        <v>8288</v>
      </c>
      <c r="L308" s="81"/>
      <c r="M308" s="80"/>
    </row>
    <row r="309" spans="4:13">
      <c r="D309" s="81">
        <v>286</v>
      </c>
      <c r="E309" s="81">
        <v>36</v>
      </c>
      <c r="F309" s="81" t="s">
        <v>52</v>
      </c>
      <c r="G309" s="86">
        <v>3432</v>
      </c>
      <c r="H309" s="86">
        <v>5148</v>
      </c>
      <c r="I309" s="86">
        <v>6864</v>
      </c>
      <c r="J309" s="86">
        <v>6864</v>
      </c>
      <c r="K309" s="86">
        <v>8580</v>
      </c>
      <c r="L309" s="81"/>
      <c r="M309" s="80"/>
    </row>
    <row r="310" spans="4:13">
      <c r="D310" s="81">
        <v>287</v>
      </c>
      <c r="E310" s="81">
        <v>37</v>
      </c>
      <c r="F310" s="81" t="s">
        <v>52</v>
      </c>
      <c r="G310" s="86">
        <v>3550</v>
      </c>
      <c r="H310" s="86">
        <v>5324</v>
      </c>
      <c r="I310" s="86">
        <v>7098</v>
      </c>
      <c r="J310" s="86">
        <v>7098</v>
      </c>
      <c r="K310" s="86">
        <v>8874</v>
      </c>
      <c r="L310" s="81"/>
      <c r="M310" s="80"/>
    </row>
    <row r="311" spans="4:13">
      <c r="D311" s="81">
        <v>288</v>
      </c>
      <c r="E311" s="81">
        <v>38</v>
      </c>
      <c r="F311" s="81" t="s">
        <v>52</v>
      </c>
      <c r="G311" s="86">
        <v>3666</v>
      </c>
      <c r="H311" s="86">
        <v>5500</v>
      </c>
      <c r="I311" s="86">
        <v>7332</v>
      </c>
      <c r="J311" s="86">
        <v>7332</v>
      </c>
      <c r="K311" s="86">
        <v>9166</v>
      </c>
      <c r="L311" s="81"/>
      <c r="M311" s="80"/>
    </row>
    <row r="312" spans="4:13">
      <c r="D312" s="81">
        <v>289</v>
      </c>
      <c r="E312" s="81">
        <v>39</v>
      </c>
      <c r="F312" s="81" t="s">
        <v>52</v>
      </c>
      <c r="G312" s="86">
        <v>3784</v>
      </c>
      <c r="H312" s="86">
        <v>5676</v>
      </c>
      <c r="I312" s="86">
        <v>7566</v>
      </c>
      <c r="J312" s="86">
        <v>7566</v>
      </c>
      <c r="K312" s="86">
        <v>9458</v>
      </c>
      <c r="L312" s="81"/>
      <c r="M312" s="80"/>
    </row>
    <row r="313" spans="4:13">
      <c r="D313" s="81">
        <v>290</v>
      </c>
      <c r="E313" s="81">
        <v>40</v>
      </c>
      <c r="F313" s="81" t="s">
        <v>52</v>
      </c>
      <c r="G313" s="86">
        <v>3900</v>
      </c>
      <c r="H313" s="86">
        <v>5850</v>
      </c>
      <c r="I313" s="86">
        <v>7800</v>
      </c>
      <c r="J313" s="86">
        <v>7800</v>
      </c>
      <c r="K313" s="86">
        <v>9750</v>
      </c>
      <c r="L313" s="81"/>
      <c r="M313" s="80"/>
    </row>
    <row r="314" spans="4:13">
      <c r="D314" s="81">
        <v>291</v>
      </c>
      <c r="E314" s="81">
        <v>41</v>
      </c>
      <c r="F314" s="81" t="s">
        <v>52</v>
      </c>
      <c r="G314" s="86">
        <v>4096</v>
      </c>
      <c r="H314" s="86">
        <v>6144</v>
      </c>
      <c r="I314" s="86">
        <v>8190</v>
      </c>
      <c r="J314" s="86">
        <v>8190</v>
      </c>
      <c r="K314" s="86">
        <v>10238</v>
      </c>
      <c r="L314" s="81"/>
      <c r="M314" s="80"/>
    </row>
    <row r="315" spans="4:13">
      <c r="D315" s="81">
        <v>292</v>
      </c>
      <c r="E315" s="81">
        <v>42</v>
      </c>
      <c r="F315" s="81" t="s">
        <v>52</v>
      </c>
      <c r="G315" s="86">
        <v>4290</v>
      </c>
      <c r="H315" s="86">
        <v>6436</v>
      </c>
      <c r="I315" s="86">
        <v>8580</v>
      </c>
      <c r="J315" s="86">
        <v>8580</v>
      </c>
      <c r="K315" s="86">
        <v>10726</v>
      </c>
      <c r="L315" s="81"/>
      <c r="M315" s="80"/>
    </row>
    <row r="316" spans="4:13">
      <c r="D316" s="81">
        <v>293</v>
      </c>
      <c r="E316" s="81">
        <v>43</v>
      </c>
      <c r="F316" s="81" t="s">
        <v>52</v>
      </c>
      <c r="G316" s="86">
        <v>4486</v>
      </c>
      <c r="H316" s="86">
        <v>6728</v>
      </c>
      <c r="I316" s="86">
        <v>8970</v>
      </c>
      <c r="J316" s="86">
        <v>8970</v>
      </c>
      <c r="K316" s="86">
        <v>11214</v>
      </c>
      <c r="L316" s="81"/>
      <c r="M316" s="80"/>
    </row>
    <row r="317" spans="4:13">
      <c r="D317" s="81">
        <v>294</v>
      </c>
      <c r="E317" s="81">
        <v>44</v>
      </c>
      <c r="F317" s="81" t="s">
        <v>52</v>
      </c>
      <c r="G317" s="86">
        <v>4680</v>
      </c>
      <c r="H317" s="86">
        <v>7020</v>
      </c>
      <c r="I317" s="86">
        <v>9360</v>
      </c>
      <c r="J317" s="86">
        <v>9360</v>
      </c>
      <c r="K317" s="86">
        <v>11700</v>
      </c>
      <c r="L317" s="81"/>
      <c r="M317" s="80"/>
    </row>
    <row r="318" spans="4:13">
      <c r="D318" s="81">
        <v>295</v>
      </c>
      <c r="E318" s="81">
        <v>45</v>
      </c>
      <c r="F318" s="81" t="s">
        <v>52</v>
      </c>
      <c r="G318" s="86">
        <v>4876</v>
      </c>
      <c r="H318" s="86">
        <v>7314</v>
      </c>
      <c r="I318" s="86">
        <v>9750</v>
      </c>
      <c r="J318" s="86">
        <v>9750</v>
      </c>
      <c r="K318" s="86">
        <v>12188</v>
      </c>
      <c r="L318" s="81"/>
      <c r="M318" s="80"/>
    </row>
    <row r="319" spans="4:13">
      <c r="D319" s="81">
        <v>296</v>
      </c>
      <c r="E319" s="81">
        <v>46</v>
      </c>
      <c r="F319" s="81" t="s">
        <v>52</v>
      </c>
      <c r="G319" s="86">
        <v>5070</v>
      </c>
      <c r="H319" s="86">
        <v>7606</v>
      </c>
      <c r="I319" s="86">
        <v>10140</v>
      </c>
      <c r="J319" s="86">
        <v>10140</v>
      </c>
      <c r="K319" s="86">
        <v>12676</v>
      </c>
      <c r="L319" s="81"/>
      <c r="M319" s="80"/>
    </row>
    <row r="320" spans="4:13">
      <c r="D320" s="81">
        <v>297</v>
      </c>
      <c r="E320" s="81">
        <v>47</v>
      </c>
      <c r="F320" s="81" t="s">
        <v>52</v>
      </c>
      <c r="G320" s="86">
        <v>5266</v>
      </c>
      <c r="H320" s="86">
        <v>7898</v>
      </c>
      <c r="I320" s="86">
        <v>10530</v>
      </c>
      <c r="J320" s="86">
        <v>10530</v>
      </c>
      <c r="K320" s="86">
        <v>13164</v>
      </c>
      <c r="L320" s="81"/>
      <c r="M320" s="80"/>
    </row>
    <row r="321" spans="4:13">
      <c r="D321" s="81">
        <v>298</v>
      </c>
      <c r="E321" s="81">
        <v>48</v>
      </c>
      <c r="F321" s="81" t="s">
        <v>52</v>
      </c>
      <c r="G321" s="86">
        <v>5460</v>
      </c>
      <c r="H321" s="86">
        <v>8190</v>
      </c>
      <c r="I321" s="86">
        <v>10920</v>
      </c>
      <c r="J321" s="86">
        <v>10920</v>
      </c>
      <c r="K321" s="86">
        <v>13650</v>
      </c>
      <c r="L321" s="81"/>
      <c r="M321" s="80"/>
    </row>
    <row r="322" spans="4:13">
      <c r="D322" s="81">
        <v>299</v>
      </c>
      <c r="E322" s="81">
        <v>49</v>
      </c>
      <c r="F322" s="81" t="s">
        <v>52</v>
      </c>
      <c r="G322" s="86">
        <v>5656</v>
      </c>
      <c r="H322" s="86">
        <v>8484</v>
      </c>
      <c r="I322" s="86">
        <v>11310</v>
      </c>
      <c r="J322" s="86">
        <v>11310</v>
      </c>
      <c r="K322" s="86">
        <v>14138</v>
      </c>
      <c r="L322" s="81"/>
      <c r="M322" s="80"/>
    </row>
    <row r="323" spans="4:13">
      <c r="D323" s="81">
        <v>300</v>
      </c>
      <c r="E323" s="81">
        <v>50</v>
      </c>
      <c r="F323" s="81" t="s">
        <v>52</v>
      </c>
      <c r="G323" s="86">
        <v>0</v>
      </c>
      <c r="H323" s="86">
        <v>0</v>
      </c>
      <c r="I323" s="86">
        <v>0</v>
      </c>
      <c r="J323" s="86">
        <v>0</v>
      </c>
      <c r="K323" s="86">
        <v>0</v>
      </c>
      <c r="L323" s="81"/>
      <c r="M323" s="80"/>
    </row>
    <row r="324" spans="4:13">
      <c r="D324" s="81">
        <v>301</v>
      </c>
      <c r="E324" s="81">
        <v>1</v>
      </c>
      <c r="F324" s="81" t="s">
        <v>53</v>
      </c>
      <c r="G324" s="86">
        <v>30</v>
      </c>
      <c r="H324" s="86">
        <v>44</v>
      </c>
      <c r="I324" s="86">
        <v>58</v>
      </c>
      <c r="J324" s="86">
        <v>58</v>
      </c>
      <c r="K324" s="86">
        <v>72</v>
      </c>
      <c r="L324" s="81"/>
      <c r="M324" s="80"/>
    </row>
    <row r="325" spans="4:13">
      <c r="D325" s="81">
        <v>302</v>
      </c>
      <c r="E325" s="81">
        <v>2</v>
      </c>
      <c r="F325" s="81" t="s">
        <v>53</v>
      </c>
      <c r="G325" s="86">
        <v>58</v>
      </c>
      <c r="H325" s="86">
        <v>86</v>
      </c>
      <c r="I325" s="86">
        <v>114</v>
      </c>
      <c r="J325" s="86">
        <v>114</v>
      </c>
      <c r="K325" s="86">
        <v>142</v>
      </c>
      <c r="L325" s="81"/>
      <c r="M325" s="80"/>
    </row>
    <row r="326" spans="4:13">
      <c r="D326" s="81">
        <v>303</v>
      </c>
      <c r="E326" s="81">
        <v>3</v>
      </c>
      <c r="F326" s="81" t="s">
        <v>53</v>
      </c>
      <c r="G326" s="86">
        <v>86</v>
      </c>
      <c r="H326" s="86">
        <v>128</v>
      </c>
      <c r="I326" s="86">
        <v>172</v>
      </c>
      <c r="J326" s="86">
        <v>172</v>
      </c>
      <c r="K326" s="86">
        <v>214</v>
      </c>
      <c r="L326" s="81"/>
      <c r="M326" s="80"/>
    </row>
    <row r="327" spans="4:13">
      <c r="D327" s="81">
        <v>304</v>
      </c>
      <c r="E327" s="81">
        <v>4</v>
      </c>
      <c r="F327" s="81" t="s">
        <v>53</v>
      </c>
      <c r="G327" s="86">
        <v>142</v>
      </c>
      <c r="H327" s="86">
        <v>214</v>
      </c>
      <c r="I327" s="86">
        <v>284</v>
      </c>
      <c r="J327" s="86">
        <v>284</v>
      </c>
      <c r="K327" s="86">
        <v>356</v>
      </c>
      <c r="L327" s="81"/>
      <c r="M327" s="80"/>
    </row>
    <row r="328" spans="4:13">
      <c r="D328" s="81">
        <v>305</v>
      </c>
      <c r="E328" s="81">
        <v>5</v>
      </c>
      <c r="F328" s="81" t="s">
        <v>53</v>
      </c>
      <c r="G328" s="86">
        <v>200</v>
      </c>
      <c r="H328" s="86">
        <v>298</v>
      </c>
      <c r="I328" s="86">
        <v>398</v>
      </c>
      <c r="J328" s="86">
        <v>398</v>
      </c>
      <c r="K328" s="86">
        <v>498</v>
      </c>
      <c r="L328" s="81"/>
      <c r="M328" s="80"/>
    </row>
    <row r="329" spans="4:13">
      <c r="D329" s="81">
        <v>306</v>
      </c>
      <c r="E329" s="81">
        <v>6</v>
      </c>
      <c r="F329" s="81" t="s">
        <v>53</v>
      </c>
      <c r="G329" s="86">
        <v>256</v>
      </c>
      <c r="H329" s="86">
        <v>384</v>
      </c>
      <c r="I329" s="86">
        <v>512</v>
      </c>
      <c r="J329" s="86">
        <v>512</v>
      </c>
      <c r="K329" s="86">
        <v>640</v>
      </c>
      <c r="L329" s="81"/>
      <c r="M329" s="80"/>
    </row>
    <row r="330" spans="4:13">
      <c r="D330" s="81">
        <v>307</v>
      </c>
      <c r="E330" s="81">
        <v>7</v>
      </c>
      <c r="F330" s="81" t="s">
        <v>53</v>
      </c>
      <c r="G330" s="86">
        <v>312</v>
      </c>
      <c r="H330" s="86">
        <v>468</v>
      </c>
      <c r="I330" s="86">
        <v>624</v>
      </c>
      <c r="J330" s="86">
        <v>624</v>
      </c>
      <c r="K330" s="86">
        <v>780</v>
      </c>
      <c r="L330" s="81"/>
      <c r="M330" s="80"/>
    </row>
    <row r="331" spans="4:13">
      <c r="D331" s="81">
        <v>308</v>
      </c>
      <c r="E331" s="81">
        <v>8</v>
      </c>
      <c r="F331" s="81" t="s">
        <v>53</v>
      </c>
      <c r="G331" s="86">
        <v>370</v>
      </c>
      <c r="H331" s="86">
        <v>554</v>
      </c>
      <c r="I331" s="86">
        <v>738</v>
      </c>
      <c r="J331" s="86">
        <v>738</v>
      </c>
      <c r="K331" s="86">
        <v>922</v>
      </c>
      <c r="L331" s="81"/>
      <c r="M331" s="80"/>
    </row>
    <row r="332" spans="4:13">
      <c r="D332" s="81">
        <v>309</v>
      </c>
      <c r="E332" s="81">
        <v>9</v>
      </c>
      <c r="F332" s="81" t="s">
        <v>53</v>
      </c>
      <c r="G332" s="86">
        <v>426</v>
      </c>
      <c r="H332" s="86">
        <v>640</v>
      </c>
      <c r="I332" s="86">
        <v>852</v>
      </c>
      <c r="J332" s="86">
        <v>852</v>
      </c>
      <c r="K332" s="86">
        <v>1064</v>
      </c>
      <c r="L332" s="81"/>
      <c r="M332" s="80"/>
    </row>
    <row r="333" spans="4:13">
      <c r="D333" s="81">
        <v>310</v>
      </c>
      <c r="E333" s="81">
        <v>10</v>
      </c>
      <c r="F333" s="81" t="s">
        <v>53</v>
      </c>
      <c r="G333" s="86">
        <v>484</v>
      </c>
      <c r="H333" s="86">
        <v>724</v>
      </c>
      <c r="I333" s="86">
        <v>966</v>
      </c>
      <c r="J333" s="86">
        <v>966</v>
      </c>
      <c r="K333" s="86">
        <v>1206</v>
      </c>
      <c r="L333" s="81"/>
      <c r="M333" s="80"/>
    </row>
    <row r="334" spans="4:13">
      <c r="D334" s="81">
        <v>311</v>
      </c>
      <c r="E334" s="81">
        <v>11</v>
      </c>
      <c r="F334" s="81" t="s">
        <v>53</v>
      </c>
      <c r="G334" s="86">
        <v>540</v>
      </c>
      <c r="H334" s="86">
        <v>810</v>
      </c>
      <c r="I334" s="86">
        <v>1078</v>
      </c>
      <c r="J334" s="86">
        <v>1078</v>
      </c>
      <c r="K334" s="86">
        <v>1348</v>
      </c>
      <c r="L334" s="81"/>
      <c r="M334" s="80"/>
    </row>
    <row r="335" spans="4:13">
      <c r="D335" s="81">
        <v>312</v>
      </c>
      <c r="E335" s="81">
        <v>12</v>
      </c>
      <c r="F335" s="81" t="s">
        <v>53</v>
      </c>
      <c r="G335" s="86">
        <v>596</v>
      </c>
      <c r="H335" s="86">
        <v>894</v>
      </c>
      <c r="I335" s="86">
        <v>1192</v>
      </c>
      <c r="J335" s="86">
        <v>1192</v>
      </c>
      <c r="K335" s="86">
        <v>1490</v>
      </c>
      <c r="L335" s="81"/>
      <c r="M335" s="80"/>
    </row>
    <row r="336" spans="4:13">
      <c r="D336" s="81">
        <v>313</v>
      </c>
      <c r="E336" s="81">
        <v>13</v>
      </c>
      <c r="F336" s="81" t="s">
        <v>53</v>
      </c>
      <c r="G336" s="86">
        <v>654</v>
      </c>
      <c r="H336" s="86">
        <v>980</v>
      </c>
      <c r="I336" s="86">
        <v>1306</v>
      </c>
      <c r="J336" s="86">
        <v>1306</v>
      </c>
      <c r="K336" s="86">
        <v>1632</v>
      </c>
      <c r="L336" s="81"/>
      <c r="M336" s="80"/>
    </row>
    <row r="337" spans="4:13">
      <c r="D337" s="81">
        <v>314</v>
      </c>
      <c r="E337" s="81">
        <v>14</v>
      </c>
      <c r="F337" s="81" t="s">
        <v>53</v>
      </c>
      <c r="G337" s="86">
        <v>710</v>
      </c>
      <c r="H337" s="86">
        <v>1064</v>
      </c>
      <c r="I337" s="86">
        <v>1420</v>
      </c>
      <c r="J337" s="86">
        <v>1420</v>
      </c>
      <c r="K337" s="86">
        <v>1774</v>
      </c>
      <c r="L337" s="81"/>
      <c r="M337" s="80"/>
    </row>
    <row r="338" spans="4:13">
      <c r="D338" s="81">
        <v>315</v>
      </c>
      <c r="E338" s="81">
        <v>15</v>
      </c>
      <c r="F338" s="81" t="s">
        <v>53</v>
      </c>
      <c r="G338" s="86">
        <v>766</v>
      </c>
      <c r="H338" s="86">
        <v>1150</v>
      </c>
      <c r="I338" s="86">
        <v>1532</v>
      </c>
      <c r="J338" s="86">
        <v>1532</v>
      </c>
      <c r="K338" s="86">
        <v>1916</v>
      </c>
      <c r="L338" s="81"/>
      <c r="M338" s="80"/>
    </row>
    <row r="339" spans="4:13">
      <c r="D339" s="81">
        <v>316</v>
      </c>
      <c r="E339" s="81">
        <v>16</v>
      </c>
      <c r="F339" s="81" t="s">
        <v>53</v>
      </c>
      <c r="G339" s="86">
        <v>824</v>
      </c>
      <c r="H339" s="86">
        <v>1234</v>
      </c>
      <c r="I339" s="86">
        <v>1646</v>
      </c>
      <c r="J339" s="86">
        <v>1646</v>
      </c>
      <c r="K339" s="86">
        <v>2058</v>
      </c>
      <c r="L339" s="81"/>
      <c r="M339" s="80"/>
    </row>
    <row r="340" spans="4:13">
      <c r="D340" s="81">
        <v>317</v>
      </c>
      <c r="E340" s="81">
        <v>17</v>
      </c>
      <c r="F340" s="81" t="s">
        <v>53</v>
      </c>
      <c r="G340" s="86">
        <v>880</v>
      </c>
      <c r="H340" s="86">
        <v>1320</v>
      </c>
      <c r="I340" s="86">
        <v>1760</v>
      </c>
      <c r="J340" s="86">
        <v>1760</v>
      </c>
      <c r="K340" s="86">
        <v>2200</v>
      </c>
      <c r="L340" s="81"/>
      <c r="M340" s="80"/>
    </row>
    <row r="341" spans="4:13">
      <c r="D341" s="81">
        <v>318</v>
      </c>
      <c r="E341" s="81">
        <v>18</v>
      </c>
      <c r="F341" s="81" t="s">
        <v>53</v>
      </c>
      <c r="G341" s="86">
        <v>966</v>
      </c>
      <c r="H341" s="86">
        <v>1448</v>
      </c>
      <c r="I341" s="86">
        <v>1930</v>
      </c>
      <c r="J341" s="86">
        <v>1930</v>
      </c>
      <c r="K341" s="86">
        <v>2412</v>
      </c>
      <c r="L341" s="81"/>
      <c r="M341" s="80"/>
    </row>
    <row r="342" spans="4:13">
      <c r="D342" s="81">
        <v>319</v>
      </c>
      <c r="E342" s="81">
        <v>19</v>
      </c>
      <c r="F342" s="81" t="s">
        <v>53</v>
      </c>
      <c r="G342" s="86">
        <v>1050</v>
      </c>
      <c r="H342" s="86">
        <v>1576</v>
      </c>
      <c r="I342" s="86">
        <v>2100</v>
      </c>
      <c r="J342" s="86">
        <v>2100</v>
      </c>
      <c r="K342" s="86">
        <v>2624</v>
      </c>
      <c r="L342" s="81"/>
      <c r="M342" s="80"/>
    </row>
    <row r="343" spans="4:13">
      <c r="D343" s="81">
        <v>320</v>
      </c>
      <c r="E343" s="81">
        <v>20</v>
      </c>
      <c r="F343" s="81" t="s">
        <v>53</v>
      </c>
      <c r="G343" s="86">
        <v>1136</v>
      </c>
      <c r="H343" s="86">
        <v>1702</v>
      </c>
      <c r="I343" s="86">
        <v>2270</v>
      </c>
      <c r="J343" s="86">
        <v>2270</v>
      </c>
      <c r="K343" s="86">
        <v>2838</v>
      </c>
      <c r="L343" s="81"/>
      <c r="M343" s="80"/>
    </row>
    <row r="344" spans="4:13">
      <c r="D344" s="81">
        <v>321</v>
      </c>
      <c r="E344" s="81">
        <v>21</v>
      </c>
      <c r="F344" s="81" t="s">
        <v>53</v>
      </c>
      <c r="G344" s="86">
        <v>1220</v>
      </c>
      <c r="H344" s="86">
        <v>1830</v>
      </c>
      <c r="I344" s="86">
        <v>2440</v>
      </c>
      <c r="J344" s="86">
        <v>2440</v>
      </c>
      <c r="K344" s="86">
        <v>3050</v>
      </c>
      <c r="L344" s="81"/>
      <c r="M344" s="80"/>
    </row>
    <row r="345" spans="4:13">
      <c r="D345" s="81">
        <v>322</v>
      </c>
      <c r="E345" s="81">
        <v>22</v>
      </c>
      <c r="F345" s="81" t="s">
        <v>53</v>
      </c>
      <c r="G345" s="86">
        <v>1306</v>
      </c>
      <c r="H345" s="86">
        <v>1958</v>
      </c>
      <c r="I345" s="86">
        <v>2610</v>
      </c>
      <c r="J345" s="86">
        <v>2610</v>
      </c>
      <c r="K345" s="86">
        <v>3262</v>
      </c>
      <c r="L345" s="81"/>
      <c r="M345" s="80"/>
    </row>
    <row r="346" spans="4:13">
      <c r="D346" s="81">
        <v>323</v>
      </c>
      <c r="E346" s="81">
        <v>23</v>
      </c>
      <c r="F346" s="81" t="s">
        <v>53</v>
      </c>
      <c r="G346" s="86">
        <v>1390</v>
      </c>
      <c r="H346" s="86">
        <v>2086</v>
      </c>
      <c r="I346" s="86">
        <v>2780</v>
      </c>
      <c r="J346" s="86">
        <v>2780</v>
      </c>
      <c r="K346" s="86">
        <v>3476</v>
      </c>
      <c r="L346" s="81"/>
      <c r="M346" s="80"/>
    </row>
    <row r="347" spans="4:13">
      <c r="D347" s="81">
        <v>324</v>
      </c>
      <c r="E347" s="81">
        <v>24</v>
      </c>
      <c r="F347" s="81" t="s">
        <v>53</v>
      </c>
      <c r="G347" s="86">
        <v>1476</v>
      </c>
      <c r="H347" s="86">
        <v>2214</v>
      </c>
      <c r="I347" s="86">
        <v>2950</v>
      </c>
      <c r="J347" s="86">
        <v>2950</v>
      </c>
      <c r="K347" s="86">
        <v>3688</v>
      </c>
      <c r="L347" s="81"/>
      <c r="M347" s="80"/>
    </row>
    <row r="348" spans="4:13">
      <c r="D348" s="81">
        <v>325</v>
      </c>
      <c r="E348" s="81">
        <v>25</v>
      </c>
      <c r="F348" s="81" t="s">
        <v>53</v>
      </c>
      <c r="G348" s="86">
        <v>1560</v>
      </c>
      <c r="H348" s="86">
        <v>2340</v>
      </c>
      <c r="I348" s="86">
        <v>3120</v>
      </c>
      <c r="J348" s="86">
        <v>3120</v>
      </c>
      <c r="K348" s="86">
        <v>3900</v>
      </c>
      <c r="L348" s="81"/>
      <c r="M348" s="80"/>
    </row>
    <row r="349" spans="4:13">
      <c r="D349" s="81">
        <v>326</v>
      </c>
      <c r="E349" s="81">
        <v>26</v>
      </c>
      <c r="F349" s="81" t="s">
        <v>53</v>
      </c>
      <c r="G349" s="86">
        <v>1646</v>
      </c>
      <c r="H349" s="86">
        <v>2468</v>
      </c>
      <c r="I349" s="86">
        <v>3292</v>
      </c>
      <c r="J349" s="86">
        <v>3292</v>
      </c>
      <c r="K349" s="86">
        <v>4114</v>
      </c>
      <c r="L349" s="81"/>
      <c r="M349" s="80"/>
    </row>
    <row r="350" spans="4:13">
      <c r="D350" s="81">
        <v>327</v>
      </c>
      <c r="E350" s="81">
        <v>27</v>
      </c>
      <c r="F350" s="81" t="s">
        <v>53</v>
      </c>
      <c r="G350" s="86">
        <v>1732</v>
      </c>
      <c r="H350" s="86">
        <v>2596</v>
      </c>
      <c r="I350" s="86">
        <v>3462</v>
      </c>
      <c r="J350" s="86">
        <v>3462</v>
      </c>
      <c r="K350" s="86">
        <v>4326</v>
      </c>
      <c r="L350" s="81"/>
      <c r="M350" s="80"/>
    </row>
    <row r="351" spans="4:13">
      <c r="D351" s="81">
        <v>328</v>
      </c>
      <c r="E351" s="81">
        <v>28</v>
      </c>
      <c r="F351" s="81" t="s">
        <v>53</v>
      </c>
      <c r="G351" s="86">
        <v>1816</v>
      </c>
      <c r="H351" s="86">
        <v>2724</v>
      </c>
      <c r="I351" s="86">
        <v>3632</v>
      </c>
      <c r="J351" s="86">
        <v>3632</v>
      </c>
      <c r="K351" s="86">
        <v>4540</v>
      </c>
      <c r="L351" s="81"/>
      <c r="M351" s="80"/>
    </row>
    <row r="352" spans="4:13">
      <c r="D352" s="81">
        <v>329</v>
      </c>
      <c r="E352" s="81">
        <v>29</v>
      </c>
      <c r="F352" s="81" t="s">
        <v>53</v>
      </c>
      <c r="G352" s="86">
        <v>1902</v>
      </c>
      <c r="H352" s="86">
        <v>2852</v>
      </c>
      <c r="I352" s="86">
        <v>3802</v>
      </c>
      <c r="J352" s="86">
        <v>3802</v>
      </c>
      <c r="K352" s="86">
        <v>4752</v>
      </c>
      <c r="L352" s="81"/>
      <c r="M352" s="80"/>
    </row>
    <row r="353" spans="4:13">
      <c r="D353" s="81">
        <v>330</v>
      </c>
      <c r="E353" s="81">
        <v>30</v>
      </c>
      <c r="F353" s="81" t="s">
        <v>53</v>
      </c>
      <c r="G353" s="86">
        <v>1986</v>
      </c>
      <c r="H353" s="86">
        <v>2980</v>
      </c>
      <c r="I353" s="86">
        <v>3972</v>
      </c>
      <c r="J353" s="86">
        <v>3972</v>
      </c>
      <c r="K353" s="86">
        <v>4964</v>
      </c>
      <c r="L353" s="81"/>
      <c r="M353" s="80"/>
    </row>
    <row r="354" spans="4:13">
      <c r="D354" s="81">
        <v>331</v>
      </c>
      <c r="E354" s="81">
        <v>31</v>
      </c>
      <c r="F354" s="81" t="s">
        <v>53</v>
      </c>
      <c r="G354" s="86">
        <v>2072</v>
      </c>
      <c r="H354" s="86">
        <v>3106</v>
      </c>
      <c r="I354" s="86">
        <v>4142</v>
      </c>
      <c r="J354" s="86">
        <v>4142</v>
      </c>
      <c r="K354" s="86">
        <v>5178</v>
      </c>
      <c r="L354" s="81"/>
      <c r="M354" s="80"/>
    </row>
    <row r="355" spans="4:13">
      <c r="D355" s="81">
        <v>332</v>
      </c>
      <c r="E355" s="81">
        <v>32</v>
      </c>
      <c r="F355" s="81" t="s">
        <v>53</v>
      </c>
      <c r="G355" s="86">
        <v>2156</v>
      </c>
      <c r="H355" s="86">
        <v>3234</v>
      </c>
      <c r="I355" s="86">
        <v>4312</v>
      </c>
      <c r="J355" s="86">
        <v>4312</v>
      </c>
      <c r="K355" s="86">
        <v>5390</v>
      </c>
      <c r="L355" s="81"/>
      <c r="M355" s="80"/>
    </row>
    <row r="356" spans="4:13">
      <c r="D356" s="81">
        <v>333</v>
      </c>
      <c r="E356" s="81">
        <v>33</v>
      </c>
      <c r="F356" s="81" t="s">
        <v>53</v>
      </c>
      <c r="G356" s="86">
        <v>2242</v>
      </c>
      <c r="H356" s="86">
        <v>3362</v>
      </c>
      <c r="I356" s="86">
        <v>4482</v>
      </c>
      <c r="J356" s="86">
        <v>4482</v>
      </c>
      <c r="K356" s="86">
        <v>5602</v>
      </c>
      <c r="L356" s="81"/>
      <c r="M356" s="80"/>
    </row>
    <row r="357" spans="4:13">
      <c r="D357" s="81">
        <v>334</v>
      </c>
      <c r="E357" s="81">
        <v>34</v>
      </c>
      <c r="F357" s="81" t="s">
        <v>53</v>
      </c>
      <c r="G357" s="86">
        <v>2326</v>
      </c>
      <c r="H357" s="86">
        <v>3490</v>
      </c>
      <c r="I357" s="86">
        <v>4652</v>
      </c>
      <c r="J357" s="86">
        <v>4652</v>
      </c>
      <c r="K357" s="86">
        <v>5816</v>
      </c>
      <c r="L357" s="81"/>
      <c r="M357" s="80"/>
    </row>
    <row r="358" spans="4:13">
      <c r="D358" s="81">
        <v>335</v>
      </c>
      <c r="E358" s="81">
        <v>35</v>
      </c>
      <c r="F358" s="81" t="s">
        <v>53</v>
      </c>
      <c r="G358" s="86">
        <v>2412</v>
      </c>
      <c r="H358" s="86">
        <v>3618</v>
      </c>
      <c r="I358" s="86">
        <v>4822</v>
      </c>
      <c r="J358" s="86">
        <v>4822</v>
      </c>
      <c r="K358" s="86">
        <v>6028</v>
      </c>
      <c r="L358" s="81"/>
      <c r="M358" s="80"/>
    </row>
    <row r="359" spans="4:13">
      <c r="D359" s="81">
        <v>336</v>
      </c>
      <c r="E359" s="81">
        <v>36</v>
      </c>
      <c r="F359" s="81" t="s">
        <v>53</v>
      </c>
      <c r="G359" s="86">
        <v>2496</v>
      </c>
      <c r="H359" s="86">
        <v>3744</v>
      </c>
      <c r="I359" s="86">
        <v>4992</v>
      </c>
      <c r="J359" s="86">
        <v>4992</v>
      </c>
      <c r="K359" s="86">
        <v>6240</v>
      </c>
      <c r="L359" s="81"/>
      <c r="M359" s="80"/>
    </row>
    <row r="360" spans="4:13">
      <c r="D360" s="81">
        <v>337</v>
      </c>
      <c r="E360" s="81">
        <v>37</v>
      </c>
      <c r="F360" s="81" t="s">
        <v>53</v>
      </c>
      <c r="G360" s="86">
        <v>2582</v>
      </c>
      <c r="H360" s="86">
        <v>3872</v>
      </c>
      <c r="I360" s="86">
        <v>5164</v>
      </c>
      <c r="J360" s="86">
        <v>5164</v>
      </c>
      <c r="K360" s="86">
        <v>6454</v>
      </c>
      <c r="L360" s="81"/>
      <c r="M360" s="80"/>
    </row>
    <row r="361" spans="4:13">
      <c r="D361" s="81">
        <v>338</v>
      </c>
      <c r="E361" s="81">
        <v>38</v>
      </c>
      <c r="F361" s="81" t="s">
        <v>53</v>
      </c>
      <c r="G361" s="86">
        <v>2668</v>
      </c>
      <c r="H361" s="86">
        <v>4000</v>
      </c>
      <c r="I361" s="86">
        <v>5334</v>
      </c>
      <c r="J361" s="86">
        <v>5334</v>
      </c>
      <c r="K361" s="86">
        <v>6666</v>
      </c>
      <c r="L361" s="81"/>
      <c r="M361" s="80"/>
    </row>
    <row r="362" spans="4:13">
      <c r="D362" s="81">
        <v>339</v>
      </c>
      <c r="E362" s="81">
        <v>39</v>
      </c>
      <c r="F362" s="81" t="s">
        <v>53</v>
      </c>
      <c r="G362" s="86">
        <v>2752</v>
      </c>
      <c r="H362" s="86">
        <v>4128</v>
      </c>
      <c r="I362" s="86">
        <v>5504</v>
      </c>
      <c r="J362" s="86">
        <v>5504</v>
      </c>
      <c r="K362" s="86">
        <v>6880</v>
      </c>
      <c r="L362" s="81"/>
      <c r="M362" s="80"/>
    </row>
    <row r="363" spans="4:13">
      <c r="D363" s="81">
        <v>340</v>
      </c>
      <c r="E363" s="81">
        <v>40</v>
      </c>
      <c r="F363" s="81" t="s">
        <v>53</v>
      </c>
      <c r="G363" s="86">
        <v>2838</v>
      </c>
      <c r="H363" s="86">
        <v>4256</v>
      </c>
      <c r="I363" s="86">
        <v>5674</v>
      </c>
      <c r="J363" s="86">
        <v>5674</v>
      </c>
      <c r="K363" s="86">
        <v>7092</v>
      </c>
      <c r="L363" s="81"/>
      <c r="M363" s="80"/>
    </row>
    <row r="364" spans="4:13">
      <c r="D364" s="81">
        <v>341</v>
      </c>
      <c r="E364" s="81">
        <v>41</v>
      </c>
      <c r="F364" s="81" t="s">
        <v>53</v>
      </c>
      <c r="G364" s="86">
        <v>2980</v>
      </c>
      <c r="H364" s="86">
        <v>4468</v>
      </c>
      <c r="I364" s="86">
        <v>5958</v>
      </c>
      <c r="J364" s="86">
        <v>5958</v>
      </c>
      <c r="K364" s="86">
        <v>7446</v>
      </c>
      <c r="L364" s="81"/>
      <c r="M364" s="80"/>
    </row>
    <row r="365" spans="4:13">
      <c r="D365" s="81">
        <v>342</v>
      </c>
      <c r="E365" s="81">
        <v>42</v>
      </c>
      <c r="F365" s="81" t="s">
        <v>53</v>
      </c>
      <c r="G365" s="86">
        <v>3120</v>
      </c>
      <c r="H365" s="86">
        <v>4680</v>
      </c>
      <c r="I365" s="86">
        <v>6240</v>
      </c>
      <c r="J365" s="86">
        <v>6240</v>
      </c>
      <c r="K365" s="86">
        <v>7800</v>
      </c>
      <c r="L365" s="81"/>
      <c r="M365" s="80"/>
    </row>
    <row r="366" spans="4:13">
      <c r="D366" s="81">
        <v>343</v>
      </c>
      <c r="E366" s="81">
        <v>43</v>
      </c>
      <c r="F366" s="81" t="s">
        <v>53</v>
      </c>
      <c r="G366" s="86">
        <v>3262</v>
      </c>
      <c r="H366" s="86">
        <v>4894</v>
      </c>
      <c r="I366" s="86">
        <v>6524</v>
      </c>
      <c r="J366" s="86">
        <v>6524</v>
      </c>
      <c r="K366" s="86">
        <v>8156</v>
      </c>
      <c r="L366" s="81"/>
      <c r="M366" s="80"/>
    </row>
    <row r="367" spans="4:13">
      <c r="D367" s="81">
        <v>344</v>
      </c>
      <c r="E367" s="81">
        <v>44</v>
      </c>
      <c r="F367" s="81" t="s">
        <v>53</v>
      </c>
      <c r="G367" s="86">
        <v>3404</v>
      </c>
      <c r="H367" s="86">
        <v>5106</v>
      </c>
      <c r="I367" s="86">
        <v>6808</v>
      </c>
      <c r="J367" s="86">
        <v>6808</v>
      </c>
      <c r="K367" s="86">
        <v>8510</v>
      </c>
      <c r="L367" s="81"/>
      <c r="M367" s="80"/>
    </row>
    <row r="368" spans="4:13">
      <c r="D368" s="81">
        <v>345</v>
      </c>
      <c r="E368" s="81">
        <v>45</v>
      </c>
      <c r="F368" s="81" t="s">
        <v>53</v>
      </c>
      <c r="G368" s="86">
        <v>3546</v>
      </c>
      <c r="H368" s="86">
        <v>5320</v>
      </c>
      <c r="I368" s="86">
        <v>7092</v>
      </c>
      <c r="J368" s="86">
        <v>7092</v>
      </c>
      <c r="K368" s="86">
        <v>8864</v>
      </c>
      <c r="L368" s="81"/>
      <c r="M368" s="80"/>
    </row>
    <row r="369" spans="2:16">
      <c r="D369" s="81">
        <v>346</v>
      </c>
      <c r="E369" s="81">
        <v>46</v>
      </c>
      <c r="F369" s="81" t="s">
        <v>53</v>
      </c>
      <c r="G369" s="86">
        <v>3688</v>
      </c>
      <c r="H369" s="86">
        <v>5532</v>
      </c>
      <c r="I369" s="86">
        <v>7376</v>
      </c>
      <c r="J369" s="86">
        <v>7376</v>
      </c>
      <c r="K369" s="86">
        <v>9220</v>
      </c>
      <c r="L369" s="81"/>
      <c r="M369" s="80"/>
    </row>
    <row r="370" spans="2:16">
      <c r="D370" s="81">
        <v>347</v>
      </c>
      <c r="E370" s="81">
        <v>47</v>
      </c>
      <c r="F370" s="81" t="s">
        <v>53</v>
      </c>
      <c r="G370" s="86">
        <v>3830</v>
      </c>
      <c r="H370" s="86">
        <v>5744</v>
      </c>
      <c r="I370" s="86">
        <v>7660</v>
      </c>
      <c r="J370" s="86">
        <v>7660</v>
      </c>
      <c r="K370" s="86">
        <v>9574</v>
      </c>
      <c r="L370" s="81"/>
      <c r="M370" s="80"/>
    </row>
    <row r="371" spans="2:16">
      <c r="D371" s="81">
        <v>348</v>
      </c>
      <c r="E371" s="81">
        <v>48</v>
      </c>
      <c r="F371" s="81" t="s">
        <v>53</v>
      </c>
      <c r="G371" s="86">
        <v>3972</v>
      </c>
      <c r="H371" s="86">
        <v>5958</v>
      </c>
      <c r="I371" s="86">
        <v>7942</v>
      </c>
      <c r="J371" s="86">
        <v>7942</v>
      </c>
      <c r="K371" s="86">
        <v>9928</v>
      </c>
      <c r="L371" s="81"/>
      <c r="M371" s="80"/>
    </row>
    <row r="372" spans="2:16">
      <c r="D372" s="81">
        <v>349</v>
      </c>
      <c r="E372" s="81">
        <v>49</v>
      </c>
      <c r="F372" s="81" t="s">
        <v>53</v>
      </c>
      <c r="G372" s="86">
        <v>4114</v>
      </c>
      <c r="H372" s="86">
        <v>6170</v>
      </c>
      <c r="I372" s="86">
        <v>8226</v>
      </c>
      <c r="J372" s="86">
        <v>8226</v>
      </c>
      <c r="K372" s="86">
        <v>10282</v>
      </c>
      <c r="L372" s="81"/>
      <c r="M372" s="80"/>
    </row>
    <row r="373" spans="2:16">
      <c r="D373" s="81">
        <v>350</v>
      </c>
      <c r="E373" s="81">
        <v>50</v>
      </c>
      <c r="F373" s="81" t="s">
        <v>53</v>
      </c>
      <c r="G373" s="86">
        <v>0</v>
      </c>
      <c r="H373" s="86">
        <v>0</v>
      </c>
      <c r="I373" s="86">
        <v>0</v>
      </c>
      <c r="J373" s="86">
        <v>0</v>
      </c>
      <c r="K373" s="86">
        <v>0</v>
      </c>
      <c r="L373" s="81"/>
      <c r="M373" s="80"/>
    </row>
    <row r="377" ht="14.25" spans="2:16">
      <c r="B377" s="61"/>
      <c r="C377" s="62" t="s">
        <v>329</v>
      </c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</row>
    <row r="378" spans="2:16"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</row>
    <row r="379" ht="16.5" spans="2:16">
      <c r="C379" s="80"/>
      <c r="D379" s="2" t="s">
        <v>330</v>
      </c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</row>
    <row r="380" ht="16.5" spans="2:16">
      <c r="C380" s="80"/>
      <c r="D380" s="87">
        <v>3389.3368010403</v>
      </c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</row>
    <row r="381" ht="16.5" spans="2:16">
      <c r="C381" s="80"/>
      <c r="D381" s="88" t="s">
        <v>331</v>
      </c>
      <c r="E381" s="88" t="s">
        <v>332</v>
      </c>
      <c r="F381" s="22"/>
      <c r="G381" s="22"/>
      <c r="H381" s="22"/>
      <c r="I381" s="22"/>
      <c r="J381" s="80"/>
      <c r="K381" s="80"/>
      <c r="L381" s="80"/>
      <c r="M381" s="80"/>
      <c r="N381" s="80"/>
      <c r="O381" s="80"/>
      <c r="P381" s="80"/>
    </row>
    <row r="382" ht="16.5" spans="2:16">
      <c r="C382" s="80"/>
      <c r="D382" s="2" t="s">
        <v>333</v>
      </c>
      <c r="E382" s="2" t="s">
        <v>262</v>
      </c>
      <c r="F382" s="2" t="s">
        <v>334</v>
      </c>
      <c r="G382" s="2" t="s">
        <v>111</v>
      </c>
      <c r="H382" s="2" t="s">
        <v>112</v>
      </c>
      <c r="I382" s="2" t="s">
        <v>113</v>
      </c>
      <c r="J382" s="2" t="s">
        <v>114</v>
      </c>
      <c r="K382" s="80"/>
      <c r="L382" s="80"/>
      <c r="M382" s="80"/>
      <c r="N382" s="80"/>
      <c r="O382" s="80"/>
      <c r="P382" s="80"/>
    </row>
    <row r="383" ht="16.5" spans="2:16">
      <c r="C383" s="80"/>
      <c r="D383" s="87" t="s">
        <v>335</v>
      </c>
      <c r="E383" s="87">
        <v>40</v>
      </c>
      <c r="F383" s="87">
        <v>40</v>
      </c>
      <c r="G383" s="87">
        <v>40</v>
      </c>
      <c r="H383" s="87">
        <v>41</v>
      </c>
      <c r="I383" s="89">
        <v>46</v>
      </c>
      <c r="J383" s="89">
        <v>71.2857142857143</v>
      </c>
      <c r="K383" s="80"/>
      <c r="L383" s="80"/>
      <c r="M383" s="80"/>
      <c r="N383" s="80"/>
      <c r="O383" s="80"/>
      <c r="P383" s="80"/>
    </row>
    <row r="384" ht="16.5" spans="2:16">
      <c r="C384" s="80"/>
      <c r="D384" s="87" t="s">
        <v>336</v>
      </c>
      <c r="E384" s="87">
        <v>24</v>
      </c>
      <c r="F384" s="87">
        <v>10</v>
      </c>
      <c r="G384" s="87">
        <v>24</v>
      </c>
      <c r="H384" s="87">
        <v>31.2</v>
      </c>
      <c r="I384" s="87">
        <v>31.2</v>
      </c>
      <c r="J384" s="87">
        <v>31.2</v>
      </c>
      <c r="K384" s="80"/>
      <c r="L384" s="80"/>
      <c r="M384" s="80"/>
      <c r="N384" s="80">
        <v>210000</v>
      </c>
      <c r="O384" s="80"/>
      <c r="P384" s="80"/>
    </row>
    <row r="385" ht="16.5" spans="3:16">
      <c r="C385" s="80"/>
      <c r="D385" s="87" t="s">
        <v>337</v>
      </c>
      <c r="E385" s="89">
        <v>103.428571428571</v>
      </c>
      <c r="F385" s="87">
        <v>11</v>
      </c>
      <c r="G385" s="89">
        <v>103.428571428571</v>
      </c>
      <c r="H385" s="89">
        <v>130.095238095238</v>
      </c>
      <c r="I385" s="89">
        <v>207.714285714286</v>
      </c>
      <c r="J385" s="89">
        <v>274.642857142857</v>
      </c>
      <c r="K385" s="80"/>
      <c r="L385" s="80"/>
      <c r="M385" s="80"/>
      <c r="N385" s="80">
        <v>516000</v>
      </c>
      <c r="O385" s="80"/>
      <c r="P385" s="80"/>
    </row>
    <row r="386" ht="16.5" spans="3:16">
      <c r="C386" s="80"/>
      <c r="D386" s="87" t="s">
        <v>338</v>
      </c>
      <c r="E386" s="89">
        <v>1</v>
      </c>
      <c r="F386" s="87">
        <v>500</v>
      </c>
      <c r="G386" s="89">
        <v>0.5</v>
      </c>
      <c r="H386" s="89">
        <v>1</v>
      </c>
      <c r="I386" s="89">
        <v>3</v>
      </c>
      <c r="J386" s="89">
        <v>5</v>
      </c>
      <c r="K386" s="80"/>
      <c r="L386" s="80"/>
      <c r="M386" s="80"/>
      <c r="N386" s="80"/>
      <c r="O386" s="80"/>
      <c r="P386" s="80"/>
    </row>
    <row r="387" ht="16.5" spans="3:16">
      <c r="C387" s="80"/>
      <c r="D387" s="87" t="s">
        <v>310</v>
      </c>
      <c r="E387" s="87"/>
      <c r="F387" s="87"/>
      <c r="G387" s="87">
        <v>3227</v>
      </c>
      <c r="H387" s="87">
        <v>3883</v>
      </c>
      <c r="I387" s="87">
        <v>5936</v>
      </c>
      <c r="J387" s="87">
        <v>8684</v>
      </c>
      <c r="K387" s="80"/>
      <c r="L387" s="90"/>
      <c r="M387" s="90"/>
      <c r="N387" s="91"/>
      <c r="O387" s="91"/>
      <c r="P387" s="80"/>
    </row>
    <row r="388" ht="16.5" spans="3:16">
      <c r="C388" s="80"/>
      <c r="D388" s="91"/>
      <c r="E388" s="91"/>
      <c r="F388" s="91"/>
      <c r="G388" s="91"/>
      <c r="H388" s="92"/>
      <c r="I388" s="92"/>
      <c r="J388" s="80"/>
      <c r="K388" s="90"/>
      <c r="L388" s="90"/>
      <c r="M388" s="91"/>
      <c r="N388" s="91"/>
      <c r="O388" s="80"/>
      <c r="P388" s="80"/>
    </row>
    <row r="389" spans="3:16"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</row>
    <row r="390" ht="15.75" spans="3:16">
      <c r="C390" s="80"/>
      <c r="D390" s="64" t="s">
        <v>22</v>
      </c>
      <c r="E390" s="64" t="s">
        <v>267</v>
      </c>
      <c r="F390" s="64" t="s">
        <v>268</v>
      </c>
      <c r="G390" s="93" t="s">
        <v>269</v>
      </c>
      <c r="H390" s="93" t="s">
        <v>270</v>
      </c>
      <c r="I390" s="93" t="s">
        <v>339</v>
      </c>
      <c r="J390" s="93" t="s">
        <v>340</v>
      </c>
      <c r="K390" s="93" t="s">
        <v>326</v>
      </c>
      <c r="L390" s="94" t="s">
        <v>341</v>
      </c>
      <c r="M390" s="95"/>
      <c r="N390" s="80"/>
      <c r="O390" s="80"/>
      <c r="P390" s="80"/>
    </row>
    <row r="391" ht="15.75" spans="3:16">
      <c r="C391" s="80"/>
      <c r="D391" s="65" t="s">
        <v>271</v>
      </c>
      <c r="E391" s="96">
        <v>0</v>
      </c>
      <c r="F391" s="97">
        <v>60</v>
      </c>
      <c r="G391" s="66"/>
      <c r="H391" s="96"/>
      <c r="I391" s="96">
        <v>0</v>
      </c>
      <c r="J391" s="96"/>
      <c r="K391" s="98" t="s">
        <v>342</v>
      </c>
      <c r="L391" s="97"/>
      <c r="M391" s="99"/>
      <c r="N391" s="80"/>
      <c r="O391" s="80"/>
      <c r="P391" s="80"/>
    </row>
    <row r="392" ht="15.75" spans="3:16">
      <c r="C392" s="80"/>
      <c r="D392" s="65" t="s">
        <v>272</v>
      </c>
      <c r="E392" s="96">
        <v>240</v>
      </c>
      <c r="F392" s="97">
        <v>1</v>
      </c>
      <c r="G392" s="100">
        <v>240</v>
      </c>
      <c r="H392" s="96">
        <v>240</v>
      </c>
      <c r="I392" s="96">
        <v>0</v>
      </c>
      <c r="J392" s="96"/>
      <c r="K392" s="98" t="s">
        <v>342</v>
      </c>
      <c r="L392" s="97"/>
      <c r="M392" s="99"/>
      <c r="N392" s="101"/>
      <c r="O392" s="80"/>
      <c r="P392" s="80"/>
    </row>
    <row r="393" ht="16.5" spans="3:16">
      <c r="C393" s="80"/>
      <c r="D393" s="65" t="s">
        <v>273</v>
      </c>
      <c r="E393" s="96">
        <v>3</v>
      </c>
      <c r="F393" s="96">
        <v>10</v>
      </c>
      <c r="G393" s="100">
        <v>30</v>
      </c>
      <c r="H393" s="100">
        <v>270</v>
      </c>
      <c r="I393" s="96">
        <v>0</v>
      </c>
      <c r="J393" s="96"/>
      <c r="K393" s="98" t="s">
        <v>342</v>
      </c>
      <c r="L393" s="97"/>
      <c r="M393" s="99"/>
      <c r="N393" s="102"/>
      <c r="O393" s="80"/>
      <c r="P393" s="80"/>
    </row>
    <row r="394" ht="16.5" spans="3:16">
      <c r="C394" s="80"/>
      <c r="D394" s="65" t="s">
        <v>274</v>
      </c>
      <c r="E394" s="96">
        <v>4</v>
      </c>
      <c r="F394" s="96">
        <v>30</v>
      </c>
      <c r="G394" s="100">
        <v>120</v>
      </c>
      <c r="H394" s="100">
        <v>390</v>
      </c>
      <c r="I394" s="103">
        <v>0</v>
      </c>
      <c r="J394" s="103"/>
      <c r="K394" s="98" t="s">
        <v>342</v>
      </c>
      <c r="L394" s="97"/>
      <c r="M394" s="99"/>
      <c r="N394" s="102"/>
      <c r="O394" s="80"/>
      <c r="P394" s="80"/>
    </row>
    <row r="395" ht="16.5" spans="3:16">
      <c r="C395" s="80"/>
      <c r="D395" s="65" t="s">
        <v>275</v>
      </c>
      <c r="E395" s="96">
        <v>1</v>
      </c>
      <c r="F395" s="96">
        <v>10</v>
      </c>
      <c r="G395" s="100">
        <v>10</v>
      </c>
      <c r="H395" s="100">
        <v>400</v>
      </c>
      <c r="I395" s="103">
        <v>0</v>
      </c>
      <c r="J395" s="103"/>
      <c r="K395" s="98" t="s">
        <v>342</v>
      </c>
      <c r="L395" s="97"/>
      <c r="M395" s="99"/>
      <c r="N395" s="102"/>
      <c r="O395" s="80"/>
      <c r="P395" s="80"/>
    </row>
    <row r="396" ht="16.5" spans="3:16">
      <c r="C396" s="80"/>
      <c r="D396" s="65" t="s">
        <v>276</v>
      </c>
      <c r="E396" s="96">
        <v>1</v>
      </c>
      <c r="F396" s="96">
        <v>10</v>
      </c>
      <c r="G396" s="100">
        <v>10</v>
      </c>
      <c r="H396" s="100">
        <v>410</v>
      </c>
      <c r="I396" s="103"/>
      <c r="J396" s="103">
        <v>1</v>
      </c>
      <c r="K396" s="98" t="s">
        <v>112</v>
      </c>
      <c r="L396" s="97"/>
      <c r="M396" s="99"/>
      <c r="N396" s="102"/>
      <c r="O396" s="80"/>
      <c r="P396" s="80"/>
    </row>
    <row r="397" ht="16.5" spans="3:16">
      <c r="C397" s="80"/>
      <c r="D397" s="65" t="s">
        <v>277</v>
      </c>
      <c r="E397" s="96">
        <v>1</v>
      </c>
      <c r="F397" s="96">
        <v>10</v>
      </c>
      <c r="G397" s="100">
        <v>10</v>
      </c>
      <c r="H397" s="100">
        <v>420</v>
      </c>
      <c r="I397" s="103"/>
      <c r="J397" s="103">
        <v>1</v>
      </c>
      <c r="K397" s="98" t="s">
        <v>112</v>
      </c>
      <c r="L397" s="104" t="s">
        <v>343</v>
      </c>
      <c r="M397" s="105"/>
      <c r="N397" s="102"/>
      <c r="O397" s="80"/>
      <c r="P397" s="80"/>
    </row>
    <row r="398" ht="16.5" spans="3:16">
      <c r="C398" s="80"/>
      <c r="D398" s="65" t="s">
        <v>278</v>
      </c>
      <c r="E398" s="96">
        <v>1</v>
      </c>
      <c r="F398" s="96">
        <v>15</v>
      </c>
      <c r="G398" s="100">
        <v>15</v>
      </c>
      <c r="H398" s="100">
        <v>435</v>
      </c>
      <c r="I398" s="103"/>
      <c r="J398" s="103">
        <v>6</v>
      </c>
      <c r="K398" s="98" t="s">
        <v>112</v>
      </c>
      <c r="L398" s="104" t="s">
        <v>343</v>
      </c>
      <c r="M398" s="105"/>
      <c r="N398" s="102"/>
      <c r="O398" s="80"/>
      <c r="P398" s="80"/>
    </row>
    <row r="399" ht="16.5" spans="3:16">
      <c r="C399" s="80"/>
      <c r="D399" s="65" t="s">
        <v>279</v>
      </c>
      <c r="E399" s="96">
        <v>1</v>
      </c>
      <c r="F399" s="96">
        <v>25</v>
      </c>
      <c r="G399" s="100">
        <v>25</v>
      </c>
      <c r="H399" s="100">
        <v>460</v>
      </c>
      <c r="I399" s="103"/>
      <c r="J399" s="103">
        <v>18</v>
      </c>
      <c r="K399" s="98" t="s">
        <v>112</v>
      </c>
      <c r="L399" s="104" t="s">
        <v>343</v>
      </c>
      <c r="M399" s="105"/>
      <c r="N399" s="102"/>
      <c r="O399" s="80"/>
      <c r="P399" s="80"/>
    </row>
    <row r="400" ht="16.5" spans="3:16">
      <c r="C400" s="80"/>
      <c r="D400" s="65" t="s">
        <v>280</v>
      </c>
      <c r="E400" s="96">
        <v>1</v>
      </c>
      <c r="F400" s="96">
        <v>60</v>
      </c>
      <c r="G400" s="100">
        <v>60</v>
      </c>
      <c r="H400" s="100">
        <v>520</v>
      </c>
      <c r="I400" s="103">
        <v>96</v>
      </c>
      <c r="J400" s="103"/>
      <c r="K400" s="98" t="s">
        <v>113</v>
      </c>
      <c r="L400" s="97"/>
      <c r="M400" s="99"/>
      <c r="N400" s="102"/>
      <c r="O400" s="80"/>
      <c r="P400" s="80"/>
    </row>
    <row r="401" ht="16.5" spans="2:16">
      <c r="C401" s="80"/>
      <c r="D401" s="65" t="s">
        <v>281</v>
      </c>
      <c r="E401" s="96">
        <v>0.142857142857143</v>
      </c>
      <c r="F401" s="96">
        <v>300</v>
      </c>
      <c r="G401" s="100">
        <v>42.8571428571429</v>
      </c>
      <c r="H401" s="100">
        <v>562.857142857143</v>
      </c>
      <c r="I401" s="103">
        <v>420</v>
      </c>
      <c r="J401" s="103"/>
      <c r="K401" s="98" t="s">
        <v>113</v>
      </c>
      <c r="L401" s="97" t="s">
        <v>344</v>
      </c>
      <c r="M401" s="99"/>
      <c r="N401" s="102"/>
      <c r="O401" s="80"/>
      <c r="P401" s="80"/>
    </row>
    <row r="402" ht="16.5" spans="2:16">
      <c r="C402" s="80"/>
      <c r="D402" s="65" t="s">
        <v>282</v>
      </c>
      <c r="E402" s="96">
        <v>5</v>
      </c>
      <c r="F402" s="96">
        <v>30</v>
      </c>
      <c r="G402" s="100">
        <v>150</v>
      </c>
      <c r="H402" s="100">
        <v>712.857142857143</v>
      </c>
      <c r="I402" s="96">
        <v>60</v>
      </c>
      <c r="J402" s="66"/>
      <c r="K402" s="98" t="s">
        <v>114</v>
      </c>
      <c r="L402" s="97"/>
      <c r="M402" s="99"/>
      <c r="N402" s="102"/>
      <c r="O402" s="80"/>
      <c r="P402" s="80"/>
    </row>
    <row r="403" ht="16.5" spans="2:16">
      <c r="C403" s="80"/>
      <c r="D403" s="102"/>
      <c r="E403" s="102"/>
      <c r="F403" s="102"/>
      <c r="G403" s="102"/>
      <c r="H403" s="106"/>
      <c r="I403" s="102"/>
      <c r="J403" s="102"/>
      <c r="K403" s="102"/>
      <c r="L403" s="102"/>
      <c r="M403" s="102"/>
      <c r="N403" s="102"/>
      <c r="O403" s="80"/>
      <c r="P403" s="80"/>
    </row>
    <row r="404" ht="16.5" spans="2:16">
      <c r="C404" s="80"/>
      <c r="D404" s="102"/>
      <c r="E404" s="102"/>
      <c r="F404" s="102"/>
      <c r="G404" s="102"/>
      <c r="H404" s="106"/>
      <c r="I404" s="102"/>
      <c r="J404" s="102"/>
      <c r="K404" s="102"/>
      <c r="L404" s="102"/>
      <c r="M404" s="102"/>
      <c r="N404" s="102"/>
      <c r="O404" s="80"/>
      <c r="P404" s="80"/>
    </row>
    <row r="405" spans="2:16"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</row>
    <row r="407" ht="14.25" spans="2:16">
      <c r="B407" s="61"/>
      <c r="C407" s="62" t="s">
        <v>345</v>
      </c>
    </row>
    <row r="409" ht="16.5" spans="2:16">
      <c r="D409" s="35" t="s">
        <v>241</v>
      </c>
      <c r="E409" s="35" t="s">
        <v>346</v>
      </c>
      <c r="F409" s="35" t="s">
        <v>254</v>
      </c>
    </row>
    <row r="410" ht="16.5" spans="2:16">
      <c r="D410" s="35" t="s">
        <v>111</v>
      </c>
      <c r="E410" s="55">
        <f>G387</f>
        <v>3227</v>
      </c>
      <c r="F410" s="107">
        <f>E410</f>
        <v>3227</v>
      </c>
    </row>
    <row r="411" ht="16.5" spans="2:16">
      <c r="D411" s="35" t="s">
        <v>112</v>
      </c>
      <c r="E411" s="55">
        <f>H387</f>
        <v>3883</v>
      </c>
      <c r="F411" s="107">
        <f>E411</f>
        <v>3883</v>
      </c>
    </row>
    <row r="412" ht="16.5" spans="2:16">
      <c r="D412" s="35" t="s">
        <v>113</v>
      </c>
      <c r="E412" s="55">
        <f>I387</f>
        <v>5936</v>
      </c>
      <c r="F412" s="107">
        <f>E412</f>
        <v>5936</v>
      </c>
    </row>
    <row r="413" ht="16.5" spans="2:16">
      <c r="D413" s="35" t="s">
        <v>114</v>
      </c>
      <c r="E413" s="55">
        <f>J387</f>
        <v>8684</v>
      </c>
      <c r="F413" s="107">
        <f>E413</f>
        <v>8684</v>
      </c>
    </row>
  </sheetData>
  <mergeCells count="13"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64"/>
  <sheetViews>
    <sheetView workbookViewId="0">
      <selection activeCell="A31" sqref="A31"/>
    </sheetView>
  </sheetViews>
  <sheetFormatPr defaultColWidth="9.14285714285714" defaultRowHeight="12.75"/>
  <cols>
    <col min="2" max="2" width="2.71428571428571" customWidth="1"/>
    <col min="5" max="6" width="16"/>
    <col min="7" max="7" width="14.7142857142857"/>
    <col min="8" max="12" width="13.7142857142857" customWidth="1"/>
  </cols>
  <sheetData>
    <row r="1" ht="15.75" spans="1:12">
      <c r="A1" s="57" t="s">
        <v>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ht="15.75" spans="1:12">
      <c r="A2" s="58"/>
      <c r="B2" s="58"/>
      <c r="C2" s="59"/>
      <c r="D2" s="58"/>
      <c r="E2" s="58"/>
      <c r="F2" s="58"/>
      <c r="G2" s="58"/>
      <c r="H2" s="58"/>
      <c r="I2" s="58"/>
      <c r="J2" s="58"/>
      <c r="K2" s="58"/>
    </row>
    <row r="3" ht="15.75" spans="1:12">
      <c r="A3" s="60"/>
      <c r="B3" s="61"/>
      <c r="C3" s="62" t="s">
        <v>21</v>
      </c>
      <c r="D3" s="58"/>
      <c r="E3" s="58"/>
      <c r="F3" s="58"/>
      <c r="G3" s="58"/>
      <c r="H3" s="58"/>
      <c r="I3" s="58"/>
      <c r="J3" s="58"/>
      <c r="K3" s="58"/>
    </row>
    <row r="4" ht="15.75" spans="1:12">
      <c r="A4" s="60"/>
      <c r="B4" s="60"/>
      <c r="C4" s="63"/>
      <c r="D4" s="58"/>
      <c r="E4" s="58"/>
      <c r="F4" s="58"/>
      <c r="G4" s="58"/>
      <c r="H4" s="58"/>
      <c r="I4" s="58"/>
      <c r="J4" s="58"/>
      <c r="K4" s="58"/>
    </row>
    <row r="5" ht="15.75" spans="1:12">
      <c r="A5" s="58"/>
      <c r="B5" s="58"/>
      <c r="C5" s="59"/>
      <c r="D5" s="64" t="s">
        <v>22</v>
      </c>
      <c r="E5" s="64" t="s">
        <v>347</v>
      </c>
      <c r="F5" s="64" t="s">
        <v>348</v>
      </c>
      <c r="G5" s="58"/>
      <c r="H5" s="58"/>
      <c r="I5" s="58"/>
      <c r="J5" s="58"/>
      <c r="K5" s="58"/>
    </row>
    <row r="6" ht="15.75" spans="1:12">
      <c r="A6" s="58"/>
      <c r="B6" s="58"/>
      <c r="C6" s="59"/>
      <c r="D6" s="65" t="s">
        <v>32</v>
      </c>
      <c r="E6" s="66">
        <v>9</v>
      </c>
      <c r="F6" s="66">
        <f ca="1">OFFSET($F$10,MATCH(30,$E$12:$E$61,1),0)*SUM(梦灵属性!E26:J26)+OFFSET($H$10,MATCH(30,$G$12:$G$61,1),0)*SUM(梦灵属性!$E$27:$J$27)+OFFSET($J$10,MATCH(30,$I$12:$I$61,1),0)*SUM(梦灵属性!$E$28:$J$28)+OFFSET($L$10,MATCH(30,$K$12:$K$61,1),0)*SUM(梦灵属性!$E$29:$J$29)</f>
        <v>5.55</v>
      </c>
      <c r="G6" s="58"/>
      <c r="H6" s="58"/>
      <c r="I6" s="58"/>
      <c r="J6" s="58"/>
      <c r="K6" s="58"/>
    </row>
    <row r="7" ht="15.75" spans="1:12">
      <c r="A7" s="58"/>
      <c r="B7" s="58"/>
      <c r="C7" s="59"/>
      <c r="D7" s="58"/>
      <c r="E7" s="58"/>
      <c r="F7" s="58"/>
      <c r="G7" s="58"/>
      <c r="H7" s="58"/>
      <c r="I7" s="58"/>
      <c r="J7" s="58"/>
      <c r="K7" s="58"/>
    </row>
    <row r="8" ht="15.75" spans="1:12">
      <c r="A8" s="60"/>
      <c r="B8" s="61"/>
      <c r="C8" s="62" t="s">
        <v>33</v>
      </c>
      <c r="D8" s="58"/>
      <c r="E8" s="58"/>
      <c r="F8" s="58"/>
      <c r="G8" s="58"/>
      <c r="H8" s="58"/>
      <c r="I8" s="58"/>
      <c r="J8" s="58"/>
      <c r="K8" s="58"/>
    </row>
    <row r="9" ht="15.75" spans="1:12">
      <c r="A9" s="58"/>
      <c r="B9" s="58"/>
      <c r="C9" s="59"/>
      <c r="D9" s="58"/>
      <c r="E9" s="58"/>
      <c r="F9" s="58"/>
      <c r="G9" s="58"/>
      <c r="H9" s="58"/>
      <c r="I9" s="58"/>
      <c r="J9" s="58"/>
      <c r="K9" s="58"/>
    </row>
    <row r="10" ht="16.5" spans="1:12">
      <c r="A10" s="58"/>
      <c r="B10" s="58"/>
      <c r="C10" s="59"/>
      <c r="D10" s="2" t="s">
        <v>349</v>
      </c>
      <c r="E10" s="2" t="s">
        <v>350</v>
      </c>
      <c r="F10" s="2" t="s">
        <v>347</v>
      </c>
      <c r="G10" s="2" t="s">
        <v>351</v>
      </c>
      <c r="H10" s="2" t="s">
        <v>347</v>
      </c>
      <c r="I10" s="2" t="s">
        <v>352</v>
      </c>
      <c r="J10" s="2" t="s">
        <v>347</v>
      </c>
      <c r="K10" s="2" t="s">
        <v>353</v>
      </c>
      <c r="L10" s="2" t="s">
        <v>347</v>
      </c>
    </row>
    <row r="11" ht="16.5" spans="1:12">
      <c r="A11" s="58"/>
      <c r="B11" s="58"/>
      <c r="C11" s="59"/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</row>
    <row r="12" ht="16.5" spans="1:12">
      <c r="A12" s="58"/>
      <c r="B12" s="58"/>
      <c r="C12" s="59"/>
      <c r="D12" s="20">
        <v>1</v>
      </c>
      <c r="E12" s="67">
        <f ca="1">IFERROR(MATCH(D12,梦灵本体产出!$K$147:$K$206,1),0)</f>
        <v>0</v>
      </c>
      <c r="F12" s="68">
        <v>0.01</v>
      </c>
      <c r="G12" s="67">
        <f ca="1">IFERROR(MATCH($D12,梦灵本体产出!$L$147:$L$206,1),0)</f>
        <v>0</v>
      </c>
      <c r="H12" s="68">
        <v>0.012</v>
      </c>
      <c r="I12" s="67">
        <f ca="1">IFERROR(MATCH($D12,梦灵本体产出!$M$147:$M$206,1),0)</f>
        <v>1</v>
      </c>
      <c r="J12" s="68">
        <v>0.014</v>
      </c>
      <c r="K12" s="67">
        <f ca="1">IFERROR(MATCH($D12,梦灵本体产出!$N$147:$N$206,1),0)</f>
        <v>11</v>
      </c>
      <c r="L12" s="68">
        <v>0.016</v>
      </c>
    </row>
    <row r="13" ht="16.5" spans="1:12">
      <c r="A13" s="58"/>
      <c r="B13" s="58"/>
      <c r="C13" s="59"/>
      <c r="D13" s="20">
        <v>2</v>
      </c>
      <c r="E13" s="67">
        <f ca="1">IFERROR(MATCH(D13,梦灵本体产出!$K$147:$K$206,1),0)</f>
        <v>0</v>
      </c>
      <c r="F13" s="56">
        <f>$D13*F$12</f>
        <v>0.02</v>
      </c>
      <c r="G13" s="67">
        <f ca="1">IFERROR(MATCH($D13,梦灵本体产出!$L$147:$L$206,1),0)</f>
        <v>0</v>
      </c>
      <c r="H13" s="56">
        <f>$D13*H$12</f>
        <v>0.024</v>
      </c>
      <c r="I13" s="67">
        <f ca="1">IFERROR(MATCH($D13,梦灵本体产出!$M$147:$M$206,1),0)</f>
        <v>1</v>
      </c>
      <c r="J13" s="56">
        <f>$D13*J$12</f>
        <v>0.028</v>
      </c>
      <c r="K13" s="67">
        <f ca="1">IFERROR(MATCH($D13,梦灵本体产出!$N$147:$N$206,1),0)</f>
        <v>12</v>
      </c>
      <c r="L13" s="56">
        <f>$D13*L$12</f>
        <v>0.032</v>
      </c>
    </row>
    <row r="14" ht="16.5" spans="1:12">
      <c r="A14" s="58"/>
      <c r="B14" s="58"/>
      <c r="C14" s="59"/>
      <c r="D14" s="20">
        <v>3</v>
      </c>
      <c r="E14" s="67">
        <f ca="1">IFERROR(MATCH(D14,梦灵本体产出!$K$147:$K$206,1),0)</f>
        <v>0</v>
      </c>
      <c r="F14" s="56">
        <f t="shared" ref="F14:F61" si="0">$D14*F$12</f>
        <v>0.03</v>
      </c>
      <c r="G14" s="67">
        <f ca="1">IFERROR(MATCH($D14,梦灵本体产出!$L$147:$L$206,1),0)</f>
        <v>0</v>
      </c>
      <c r="H14" s="56">
        <f t="shared" ref="H14:H61" si="1">$D14*H$12</f>
        <v>0.036</v>
      </c>
      <c r="I14" s="67">
        <f ca="1">IFERROR(MATCH($D14,梦灵本体产出!$M$147:$M$206,1),0)</f>
        <v>1</v>
      </c>
      <c r="J14" s="56">
        <f t="shared" ref="J14:J61" si="2">$D14*J$12</f>
        <v>0.042</v>
      </c>
      <c r="K14" s="67">
        <f ca="1">IFERROR(MATCH($D14,梦灵本体产出!$N$147:$N$206,1),0)</f>
        <v>13</v>
      </c>
      <c r="L14" s="56">
        <f t="shared" ref="L14:L61" si="3">$D14*L$12</f>
        <v>0.048</v>
      </c>
    </row>
    <row r="15" ht="16.5" spans="1:12">
      <c r="D15" s="20">
        <v>4</v>
      </c>
      <c r="E15" s="67">
        <f ca="1">IFERROR(MATCH(D15,梦灵本体产出!$K$147:$K$206,1),0)</f>
        <v>0</v>
      </c>
      <c r="F15" s="56">
        <f t="shared" si="0"/>
        <v>0.04</v>
      </c>
      <c r="G15" s="67">
        <f ca="1">IFERROR(MATCH($D15,梦灵本体产出!$L$147:$L$206,1),0)</f>
        <v>0</v>
      </c>
      <c r="H15" s="56">
        <f t="shared" si="1"/>
        <v>0.048</v>
      </c>
      <c r="I15" s="67">
        <f ca="1">IFERROR(MATCH($D15,梦灵本体产出!$M$147:$M$206,1),0)</f>
        <v>1</v>
      </c>
      <c r="J15" s="56">
        <f t="shared" si="2"/>
        <v>0.056</v>
      </c>
      <c r="K15" s="67">
        <f ca="1">IFERROR(MATCH($D15,梦灵本体产出!$N$147:$N$206,1),0)</f>
        <v>13</v>
      </c>
      <c r="L15" s="56">
        <f t="shared" si="3"/>
        <v>0.064</v>
      </c>
    </row>
    <row r="16" ht="16.5" spans="1:12">
      <c r="D16" s="20">
        <v>5</v>
      </c>
      <c r="E16" s="67">
        <f ca="1">IFERROR(MATCH(D16,梦灵本体产出!$K$147:$K$206,1),0)</f>
        <v>0</v>
      </c>
      <c r="F16" s="56">
        <f t="shared" si="0"/>
        <v>0.05</v>
      </c>
      <c r="G16" s="67">
        <f ca="1">IFERROR(MATCH($D16,梦灵本体产出!$L$147:$L$206,1),0)</f>
        <v>1</v>
      </c>
      <c r="H16" s="56">
        <f t="shared" si="1"/>
        <v>0.06</v>
      </c>
      <c r="I16" s="67">
        <f ca="1">IFERROR(MATCH($D16,梦灵本体产出!$M$147:$M$206,1),0)</f>
        <v>1</v>
      </c>
      <c r="J16" s="56">
        <f t="shared" si="2"/>
        <v>0.07</v>
      </c>
      <c r="K16" s="67">
        <f ca="1">IFERROR(MATCH($D16,梦灵本体产出!$N$147:$N$206,1),0)</f>
        <v>13</v>
      </c>
      <c r="L16" s="56">
        <f t="shared" si="3"/>
        <v>0.08</v>
      </c>
    </row>
    <row r="17" ht="16.5" spans="4:12">
      <c r="D17" s="20">
        <v>6</v>
      </c>
      <c r="E17" s="67">
        <f ca="1">IFERROR(MATCH(D17,梦灵本体产出!$K$147:$K$206,1),0)</f>
        <v>0</v>
      </c>
      <c r="F17" s="56">
        <f t="shared" si="0"/>
        <v>0.06</v>
      </c>
      <c r="G17" s="67">
        <f ca="1">IFERROR(MATCH($D17,梦灵本体产出!$L$147:$L$206,1),0)</f>
        <v>1</v>
      </c>
      <c r="H17" s="56">
        <f t="shared" si="1"/>
        <v>0.072</v>
      </c>
      <c r="I17" s="67">
        <f ca="1">IFERROR(MATCH($D17,梦灵本体产出!$M$147:$M$206,1),0)</f>
        <v>3</v>
      </c>
      <c r="J17" s="56">
        <f t="shared" si="2"/>
        <v>0.084</v>
      </c>
      <c r="K17" s="67">
        <f ca="1">IFERROR(MATCH($D17,梦灵本体产出!$N$147:$N$206,1),0)</f>
        <v>13</v>
      </c>
      <c r="L17" s="56">
        <f t="shared" si="3"/>
        <v>0.096</v>
      </c>
    </row>
    <row r="18" ht="16.5" spans="4:12">
      <c r="D18" s="20">
        <v>7</v>
      </c>
      <c r="E18" s="67">
        <f ca="1">IFERROR(MATCH(D18,梦灵本体产出!$K$147:$K$206,1),0)</f>
        <v>0</v>
      </c>
      <c r="F18" s="56">
        <f t="shared" si="0"/>
        <v>0.07</v>
      </c>
      <c r="G18" s="67">
        <f ca="1">IFERROR(MATCH($D18,梦灵本体产出!$L$147:$L$206,1),0)</f>
        <v>2</v>
      </c>
      <c r="H18" s="56">
        <f t="shared" si="1"/>
        <v>0.084</v>
      </c>
      <c r="I18" s="67">
        <f ca="1">IFERROR(MATCH($D18,梦灵本体产出!$M$147:$M$206,1),0)</f>
        <v>4</v>
      </c>
      <c r="J18" s="56">
        <f t="shared" si="2"/>
        <v>0.098</v>
      </c>
      <c r="K18" s="67">
        <f ca="1">IFERROR(MATCH($D18,梦灵本体产出!$N$147:$N$206,1),0)</f>
        <v>15</v>
      </c>
      <c r="L18" s="56">
        <f t="shared" si="3"/>
        <v>0.112</v>
      </c>
    </row>
    <row r="19" ht="16.5" spans="4:12">
      <c r="D19" s="20">
        <v>8</v>
      </c>
      <c r="E19" s="67">
        <f ca="1">IFERROR(MATCH(D19,梦灵本体产出!$K$147:$K$206,1),0)</f>
        <v>0</v>
      </c>
      <c r="F19" s="56">
        <f t="shared" si="0"/>
        <v>0.08</v>
      </c>
      <c r="G19" s="67">
        <f ca="1">IFERROR(MATCH($D19,梦灵本体产出!$L$147:$L$206,1),0)</f>
        <v>2</v>
      </c>
      <c r="H19" s="56">
        <f t="shared" si="1"/>
        <v>0.096</v>
      </c>
      <c r="I19" s="67">
        <f ca="1">IFERROR(MATCH($D19,梦灵本体产出!$M$147:$M$206,1),0)</f>
        <v>5</v>
      </c>
      <c r="J19" s="56">
        <f t="shared" si="2"/>
        <v>0.112</v>
      </c>
      <c r="K19" s="67">
        <f ca="1">IFERROR(MATCH($D19,梦灵本体产出!$N$147:$N$206,1),0)</f>
        <v>17</v>
      </c>
      <c r="L19" s="56">
        <f t="shared" si="3"/>
        <v>0.128</v>
      </c>
    </row>
    <row r="20" ht="16.5" spans="4:12">
      <c r="D20" s="20">
        <v>9</v>
      </c>
      <c r="E20" s="67">
        <f ca="1">IFERROR(MATCH(D20,梦灵本体产出!$K$147:$K$206,1),0)</f>
        <v>0</v>
      </c>
      <c r="F20" s="56">
        <f t="shared" si="0"/>
        <v>0.09</v>
      </c>
      <c r="G20" s="67">
        <f ca="1">IFERROR(MATCH($D20,梦灵本体产出!$L$147:$L$206,1),0)</f>
        <v>3</v>
      </c>
      <c r="H20" s="56">
        <f t="shared" si="1"/>
        <v>0.108</v>
      </c>
      <c r="I20" s="67">
        <f ca="1">IFERROR(MATCH($D20,梦灵本体产出!$M$147:$M$206,1),0)</f>
        <v>6</v>
      </c>
      <c r="J20" s="56">
        <f t="shared" si="2"/>
        <v>0.126</v>
      </c>
      <c r="K20" s="67">
        <f ca="1">IFERROR(MATCH($D20,梦灵本体产出!$N$147:$N$206,1),0)</f>
        <v>20</v>
      </c>
      <c r="L20" s="56">
        <f t="shared" si="3"/>
        <v>0.144</v>
      </c>
    </row>
    <row r="21" ht="16.5" spans="4:12">
      <c r="D21" s="20">
        <v>10</v>
      </c>
      <c r="E21" s="67">
        <f ca="1">IFERROR(MATCH(D21,梦灵本体产出!$K$147:$K$206,1),0)</f>
        <v>0</v>
      </c>
      <c r="F21" s="56">
        <f t="shared" si="0"/>
        <v>0.1</v>
      </c>
      <c r="G21" s="67">
        <f ca="1">IFERROR(MATCH($D21,梦灵本体产出!$L$147:$L$206,1),0)</f>
        <v>4</v>
      </c>
      <c r="H21" s="56">
        <f t="shared" si="1"/>
        <v>0.12</v>
      </c>
      <c r="I21" s="67">
        <f ca="1">IFERROR(MATCH($D21,梦灵本体产出!$M$147:$M$206,1),0)</f>
        <v>6</v>
      </c>
      <c r="J21" s="56">
        <f t="shared" si="2"/>
        <v>0.14</v>
      </c>
      <c r="K21" s="67">
        <f ca="1">IFERROR(MATCH($D21,梦灵本体产出!$N$147:$N$206,1),0)</f>
        <v>20</v>
      </c>
      <c r="L21" s="56">
        <f t="shared" si="3"/>
        <v>0.16</v>
      </c>
    </row>
    <row r="22" ht="16.5" spans="4:12">
      <c r="D22" s="20">
        <v>11</v>
      </c>
      <c r="E22" s="67">
        <f ca="1">IFERROR(MATCH(D22,梦灵本体产出!$K$147:$K$206,1),0)</f>
        <v>0</v>
      </c>
      <c r="F22" s="56">
        <f t="shared" si="0"/>
        <v>0.11</v>
      </c>
      <c r="G22" s="67">
        <f ca="1">IFERROR(MATCH($D22,梦灵本体产出!$L$147:$L$206,1),0)</f>
        <v>5</v>
      </c>
      <c r="H22" s="56">
        <f t="shared" si="1"/>
        <v>0.132</v>
      </c>
      <c r="I22" s="67">
        <f ca="1">IFERROR(MATCH($D22,梦灵本体产出!$M$147:$M$206,1),0)</f>
        <v>9</v>
      </c>
      <c r="J22" s="56">
        <f t="shared" si="2"/>
        <v>0.154</v>
      </c>
      <c r="K22" s="67">
        <f ca="1">IFERROR(MATCH($D22,梦灵本体产出!$N$147:$N$206,1),0)</f>
        <v>23</v>
      </c>
      <c r="L22" s="56">
        <f t="shared" si="3"/>
        <v>0.176</v>
      </c>
    </row>
    <row r="23" ht="16.5" spans="4:12">
      <c r="D23" s="20">
        <v>12</v>
      </c>
      <c r="E23" s="67">
        <f ca="1">IFERROR(MATCH(D23,梦灵本体产出!$K$147:$K$206,1),0)</f>
        <v>0</v>
      </c>
      <c r="F23" s="56">
        <f t="shared" si="0"/>
        <v>0.12</v>
      </c>
      <c r="G23" s="67">
        <f ca="1">IFERROR(MATCH($D23,梦灵本体产出!$L$147:$L$206,1),0)</f>
        <v>6</v>
      </c>
      <c r="H23" s="56">
        <f t="shared" si="1"/>
        <v>0.144</v>
      </c>
      <c r="I23" s="67">
        <f ca="1">IFERROR(MATCH($D23,梦灵本体产出!$M$147:$M$206,1),0)</f>
        <v>12</v>
      </c>
      <c r="J23" s="56">
        <f t="shared" si="2"/>
        <v>0.168</v>
      </c>
      <c r="K23" s="67">
        <f ca="1">IFERROR(MATCH($D23,梦灵本体产出!$N$147:$N$206,1),0)</f>
        <v>27</v>
      </c>
      <c r="L23" s="56">
        <f t="shared" si="3"/>
        <v>0.192</v>
      </c>
    </row>
    <row r="24" ht="16.5" spans="4:12">
      <c r="D24" s="20">
        <v>13</v>
      </c>
      <c r="E24" s="67">
        <f ca="1">IFERROR(MATCH(D24,梦灵本体产出!$K$147:$K$206,1),0)</f>
        <v>0</v>
      </c>
      <c r="F24" s="56">
        <f t="shared" si="0"/>
        <v>0.13</v>
      </c>
      <c r="G24" s="67">
        <f ca="1">IFERROR(MATCH($D24,梦灵本体产出!$L$147:$L$206,1),0)</f>
        <v>6</v>
      </c>
      <c r="H24" s="56">
        <f t="shared" si="1"/>
        <v>0.156</v>
      </c>
      <c r="I24" s="67">
        <f ca="1">IFERROR(MATCH($D24,梦灵本体产出!$M$147:$M$206,1),0)</f>
        <v>13</v>
      </c>
      <c r="J24" s="56">
        <f t="shared" si="2"/>
        <v>0.182</v>
      </c>
      <c r="K24" s="67">
        <f ca="1">IFERROR(MATCH($D24,梦灵本体产出!$N$147:$N$206,1),0)</f>
        <v>27</v>
      </c>
      <c r="L24" s="56">
        <f t="shared" si="3"/>
        <v>0.208</v>
      </c>
    </row>
    <row r="25" ht="16.5" spans="4:12">
      <c r="D25" s="20">
        <v>14</v>
      </c>
      <c r="E25" s="67">
        <f ca="1">IFERROR(MATCH(D25,梦灵本体产出!$K$147:$K$206,1),0)</f>
        <v>1</v>
      </c>
      <c r="F25" s="56">
        <f t="shared" si="0"/>
        <v>0.14</v>
      </c>
      <c r="G25" s="67">
        <f ca="1">IFERROR(MATCH($D25,梦灵本体产出!$L$147:$L$206,1),0)</f>
        <v>8</v>
      </c>
      <c r="H25" s="56">
        <f t="shared" si="1"/>
        <v>0.168</v>
      </c>
      <c r="I25" s="67">
        <f ca="1">IFERROR(MATCH($D25,梦灵本体产出!$M$147:$M$206,1),0)</f>
        <v>14</v>
      </c>
      <c r="J25" s="56">
        <f t="shared" si="2"/>
        <v>0.196</v>
      </c>
      <c r="K25" s="67">
        <f ca="1">IFERROR(MATCH($D25,梦灵本体产出!$N$147:$N$206,1),0)</f>
        <v>29</v>
      </c>
      <c r="L25" s="56">
        <f t="shared" si="3"/>
        <v>0.224</v>
      </c>
    </row>
    <row r="26" ht="16.5" spans="4:12">
      <c r="D26" s="20">
        <v>15</v>
      </c>
      <c r="E26" s="67">
        <f ca="1">IFERROR(MATCH(D26,梦灵本体产出!$K$147:$K$206,1),0)</f>
        <v>1</v>
      </c>
      <c r="F26" s="56">
        <f t="shared" si="0"/>
        <v>0.15</v>
      </c>
      <c r="G26" s="67">
        <f ca="1">IFERROR(MATCH($D26,梦灵本体产出!$L$147:$L$206,1),0)</f>
        <v>10</v>
      </c>
      <c r="H26" s="56">
        <f t="shared" si="1"/>
        <v>0.18</v>
      </c>
      <c r="I26" s="67">
        <f ca="1">IFERROR(MATCH($D26,梦灵本体产出!$M$147:$M$206,1),0)</f>
        <v>18</v>
      </c>
      <c r="J26" s="56">
        <f t="shared" si="2"/>
        <v>0.21</v>
      </c>
      <c r="K26" s="67">
        <f ca="1">IFERROR(MATCH($D26,梦灵本体产出!$N$147:$N$206,1),0)</f>
        <v>34</v>
      </c>
      <c r="L26" s="56">
        <f t="shared" si="3"/>
        <v>0.24</v>
      </c>
    </row>
    <row r="27" ht="16.5" spans="4:12">
      <c r="D27" s="20">
        <v>16</v>
      </c>
      <c r="E27" s="67">
        <f ca="1">IFERROR(MATCH(D27,梦灵本体产出!$K$147:$K$206,1),0)</f>
        <v>1</v>
      </c>
      <c r="F27" s="56">
        <f t="shared" si="0"/>
        <v>0.16</v>
      </c>
      <c r="G27" s="67">
        <f ca="1">IFERROR(MATCH($D27,梦灵本体产出!$L$147:$L$206,1),0)</f>
        <v>11</v>
      </c>
      <c r="H27" s="56">
        <f t="shared" si="1"/>
        <v>0.192</v>
      </c>
      <c r="I27" s="67">
        <f ca="1">IFERROR(MATCH($D27,梦灵本体产出!$M$147:$M$206,1),0)</f>
        <v>20</v>
      </c>
      <c r="J27" s="56">
        <f t="shared" si="2"/>
        <v>0.224</v>
      </c>
      <c r="K27" s="67">
        <f ca="1">IFERROR(MATCH($D27,梦灵本体产出!$N$147:$N$206,1),0)</f>
        <v>36</v>
      </c>
      <c r="L27" s="56">
        <f t="shared" si="3"/>
        <v>0.256</v>
      </c>
    </row>
    <row r="28" ht="16.5" spans="4:12">
      <c r="D28" s="20">
        <v>17</v>
      </c>
      <c r="E28" s="67">
        <f ca="1">IFERROR(MATCH(D28,梦灵本体产出!$K$147:$K$206,1),0)</f>
        <v>1</v>
      </c>
      <c r="F28" s="56">
        <f t="shared" si="0"/>
        <v>0.17</v>
      </c>
      <c r="G28" s="67">
        <f ca="1">IFERROR(MATCH($D28,梦灵本体产出!$L$147:$L$206,1),0)</f>
        <v>13</v>
      </c>
      <c r="H28" s="56">
        <f t="shared" si="1"/>
        <v>0.204</v>
      </c>
      <c r="I28" s="67">
        <f ca="1">IFERROR(MATCH($D28,梦灵本体产出!$M$147:$M$206,1),0)</f>
        <v>22</v>
      </c>
      <c r="J28" s="56">
        <f t="shared" si="2"/>
        <v>0.238</v>
      </c>
      <c r="K28" s="67">
        <f ca="1">IFERROR(MATCH($D28,梦灵本体产出!$N$147:$N$206,1),0)</f>
        <v>40</v>
      </c>
      <c r="L28" s="56">
        <f t="shared" si="3"/>
        <v>0.272</v>
      </c>
    </row>
    <row r="29" ht="16.5" spans="4:12">
      <c r="D29" s="20">
        <v>18</v>
      </c>
      <c r="E29" s="67">
        <f ca="1">IFERROR(MATCH(D29,梦灵本体产出!$K$147:$K$206,1),0)</f>
        <v>1</v>
      </c>
      <c r="F29" s="56">
        <f t="shared" si="0"/>
        <v>0.18</v>
      </c>
      <c r="G29" s="67">
        <f ca="1">IFERROR(MATCH($D29,梦灵本体产出!$L$147:$L$206,1),0)</f>
        <v>14</v>
      </c>
      <c r="H29" s="56">
        <f t="shared" si="1"/>
        <v>0.216</v>
      </c>
      <c r="I29" s="67">
        <f ca="1">IFERROR(MATCH($D29,梦灵本体产出!$M$147:$M$206,1),0)</f>
        <v>25</v>
      </c>
      <c r="J29" s="56">
        <f t="shared" si="2"/>
        <v>0.252</v>
      </c>
      <c r="K29" s="67">
        <f ca="1">IFERROR(MATCH($D29,梦灵本体产出!$N$147:$N$206,1),0)</f>
        <v>41</v>
      </c>
      <c r="L29" s="56">
        <f t="shared" si="3"/>
        <v>0.288</v>
      </c>
    </row>
    <row r="30" ht="16.5" spans="4:12">
      <c r="D30" s="20">
        <v>19</v>
      </c>
      <c r="E30" s="67">
        <f ca="1">IFERROR(MATCH(D30,梦灵本体产出!$K$147:$K$206,1),0)</f>
        <v>2</v>
      </c>
      <c r="F30" s="56">
        <f t="shared" si="0"/>
        <v>0.19</v>
      </c>
      <c r="G30" s="67">
        <f ca="1">IFERROR(MATCH($D30,梦灵本体产出!$L$147:$L$206,1),0)</f>
        <v>16</v>
      </c>
      <c r="H30" s="56">
        <f t="shared" si="1"/>
        <v>0.228</v>
      </c>
      <c r="I30" s="67">
        <f ca="1">IFERROR(MATCH($D30,梦灵本体产出!$M$147:$M$206,1),0)</f>
        <v>27</v>
      </c>
      <c r="J30" s="56">
        <f t="shared" si="2"/>
        <v>0.266</v>
      </c>
      <c r="K30" s="67">
        <f ca="1">IFERROR(MATCH($D30,梦灵本体产出!$N$147:$N$206,1),0)</f>
        <v>45</v>
      </c>
      <c r="L30" s="56">
        <f t="shared" si="3"/>
        <v>0.304</v>
      </c>
    </row>
    <row r="31" ht="16.5" spans="4:12">
      <c r="D31" s="20">
        <v>20</v>
      </c>
      <c r="E31" s="67">
        <f ca="1">IFERROR(MATCH(D31,梦灵本体产出!$K$147:$K$206,1),0)</f>
        <v>2</v>
      </c>
      <c r="F31" s="56">
        <f t="shared" si="0"/>
        <v>0.2</v>
      </c>
      <c r="G31" s="67">
        <f ca="1">IFERROR(MATCH($D31,梦灵本体产出!$L$147:$L$206,1),0)</f>
        <v>18</v>
      </c>
      <c r="H31" s="56">
        <f t="shared" si="1"/>
        <v>0.24</v>
      </c>
      <c r="I31" s="67">
        <f ca="1">IFERROR(MATCH($D31,梦灵本体产出!$M$147:$M$206,1),0)</f>
        <v>30</v>
      </c>
      <c r="J31" s="56">
        <f t="shared" si="2"/>
        <v>0.28</v>
      </c>
      <c r="K31" s="67">
        <f ca="1">IFERROR(MATCH($D31,梦灵本体产出!$N$147:$N$206,1),0)</f>
        <v>48</v>
      </c>
      <c r="L31" s="56">
        <f t="shared" si="3"/>
        <v>0.32</v>
      </c>
    </row>
    <row r="32" ht="16.5" spans="4:12">
      <c r="D32" s="20">
        <v>21</v>
      </c>
      <c r="E32" s="67">
        <f ca="1">IFERROR(MATCH(D32,梦灵本体产出!$K$147:$K$206,1),0)</f>
        <v>2</v>
      </c>
      <c r="F32" s="56">
        <f t="shared" si="0"/>
        <v>0.21</v>
      </c>
      <c r="G32" s="67">
        <f ca="1">IFERROR(MATCH($D32,梦灵本体产出!$L$147:$L$206,1),0)</f>
        <v>20</v>
      </c>
      <c r="H32" s="56">
        <f t="shared" si="1"/>
        <v>0.252</v>
      </c>
      <c r="I32" s="67">
        <f ca="1">IFERROR(MATCH($D32,梦灵本体产出!$M$147:$M$206,1),0)</f>
        <v>34</v>
      </c>
      <c r="J32" s="56">
        <f t="shared" si="2"/>
        <v>0.294</v>
      </c>
      <c r="K32" s="67">
        <f ca="1">IFERROR(MATCH($D32,梦灵本体产出!$N$147:$N$206,1),0)</f>
        <v>52</v>
      </c>
      <c r="L32" s="56">
        <f t="shared" si="3"/>
        <v>0.336</v>
      </c>
    </row>
    <row r="33" ht="16.5" spans="4:12">
      <c r="D33" s="20">
        <v>22</v>
      </c>
      <c r="E33" s="67">
        <f ca="1">IFERROR(MATCH(D33,梦灵本体产出!$K$147:$K$206,1),0)</f>
        <v>3</v>
      </c>
      <c r="F33" s="56">
        <f t="shared" si="0"/>
        <v>0.22</v>
      </c>
      <c r="G33" s="67">
        <f ca="1">IFERROR(MATCH($D33,梦灵本体产出!$L$147:$L$206,1),0)</f>
        <v>22</v>
      </c>
      <c r="H33" s="56">
        <f t="shared" si="1"/>
        <v>0.264</v>
      </c>
      <c r="I33" s="67">
        <f ca="1">IFERROR(MATCH($D33,梦灵本体产出!$M$147:$M$206,1),0)</f>
        <v>35</v>
      </c>
      <c r="J33" s="56">
        <f t="shared" si="2"/>
        <v>0.308</v>
      </c>
      <c r="K33" s="67">
        <f ca="1">IFERROR(MATCH($D33,梦灵本体产出!$N$147:$N$206,1),0)</f>
        <v>55</v>
      </c>
      <c r="L33" s="56">
        <f t="shared" si="3"/>
        <v>0.352</v>
      </c>
    </row>
    <row r="34" ht="16.5" spans="4:12">
      <c r="D34" s="20">
        <v>23</v>
      </c>
      <c r="E34" s="67">
        <f ca="1">IFERROR(MATCH(D34,梦灵本体产出!$K$147:$K$206,1),0)</f>
        <v>3</v>
      </c>
      <c r="F34" s="56">
        <f t="shared" si="0"/>
        <v>0.23</v>
      </c>
      <c r="G34" s="67">
        <f ca="1">IFERROR(MATCH($D34,梦灵本体产出!$L$147:$L$206,1),0)</f>
        <v>24</v>
      </c>
      <c r="H34" s="56">
        <f t="shared" si="1"/>
        <v>0.276</v>
      </c>
      <c r="I34" s="67">
        <f ca="1">IFERROR(MATCH($D34,梦灵本体产出!$M$147:$M$206,1),0)</f>
        <v>39</v>
      </c>
      <c r="J34" s="56">
        <f t="shared" si="2"/>
        <v>0.322</v>
      </c>
      <c r="K34" s="67">
        <f ca="1">IFERROR(MATCH($D34,梦灵本体产出!$N$147:$N$206,1),0)</f>
        <v>58</v>
      </c>
      <c r="L34" s="56">
        <f t="shared" si="3"/>
        <v>0.368</v>
      </c>
    </row>
    <row r="35" ht="16.5" spans="4:12">
      <c r="D35" s="20">
        <v>24</v>
      </c>
      <c r="E35" s="67">
        <f ca="1">IFERROR(MATCH(D35,梦灵本体产出!$K$147:$K$206,1),0)</f>
        <v>3</v>
      </c>
      <c r="F35" s="56">
        <f t="shared" si="0"/>
        <v>0.24</v>
      </c>
      <c r="G35" s="67">
        <f ca="1">IFERROR(MATCH($D35,梦灵本体产出!$L$147:$L$206,1),0)</f>
        <v>27</v>
      </c>
      <c r="H35" s="56">
        <f t="shared" si="1"/>
        <v>0.288</v>
      </c>
      <c r="I35" s="67">
        <f ca="1">IFERROR(MATCH($D35,梦灵本体产出!$M$147:$M$206,1),0)</f>
        <v>41</v>
      </c>
      <c r="J35" s="56">
        <f t="shared" si="2"/>
        <v>0.336</v>
      </c>
      <c r="K35" s="67">
        <f ca="1">IFERROR(MATCH($D35,梦灵本体产出!$N$147:$N$206,1),0)</f>
        <v>60</v>
      </c>
      <c r="L35" s="56">
        <f t="shared" si="3"/>
        <v>0.384</v>
      </c>
    </row>
    <row r="36" ht="16.5" spans="4:12">
      <c r="D36" s="20">
        <v>25</v>
      </c>
      <c r="E36" s="67">
        <f ca="1">IFERROR(MATCH(D36,梦灵本体产出!$K$147:$K$206,1),0)</f>
        <v>4</v>
      </c>
      <c r="F36" s="56">
        <f t="shared" si="0"/>
        <v>0.25</v>
      </c>
      <c r="G36" s="67">
        <f ca="1">IFERROR(MATCH($D36,梦灵本体产出!$L$147:$L$206,1),0)</f>
        <v>31</v>
      </c>
      <c r="H36" s="56">
        <f t="shared" si="1"/>
        <v>0.3</v>
      </c>
      <c r="I36" s="67">
        <f ca="1">IFERROR(MATCH($D36,梦灵本体产出!$M$147:$M$206,1),0)</f>
        <v>47</v>
      </c>
      <c r="J36" s="56">
        <f t="shared" si="2"/>
        <v>0.35</v>
      </c>
      <c r="K36" s="67">
        <f ca="1">IFERROR(MATCH($D36,梦灵本体产出!$N$147:$N$206,1),0)</f>
        <v>60</v>
      </c>
      <c r="L36" s="56">
        <f t="shared" si="3"/>
        <v>0.4</v>
      </c>
    </row>
    <row r="37" ht="16.5" spans="4:12">
      <c r="D37" s="20">
        <v>26</v>
      </c>
      <c r="E37" s="67">
        <f ca="1">IFERROR(MATCH(D37,梦灵本体产出!$K$147:$K$206,1),0)</f>
        <v>5</v>
      </c>
      <c r="F37" s="56">
        <f t="shared" si="0"/>
        <v>0.26</v>
      </c>
      <c r="G37" s="67">
        <f ca="1">IFERROR(MATCH($D37,梦灵本体产出!$L$147:$L$206,1),0)</f>
        <v>34</v>
      </c>
      <c r="H37" s="56">
        <f t="shared" si="1"/>
        <v>0.312</v>
      </c>
      <c r="I37" s="67">
        <f ca="1">IFERROR(MATCH($D37,梦灵本体产出!$M$147:$M$206,1),0)</f>
        <v>51</v>
      </c>
      <c r="J37" s="56">
        <f t="shared" si="2"/>
        <v>0.364</v>
      </c>
      <c r="K37" s="67">
        <f ca="1">IFERROR(MATCH($D37,梦灵本体产出!$N$147:$N$206,1),0)</f>
        <v>60</v>
      </c>
      <c r="L37" s="56">
        <f t="shared" si="3"/>
        <v>0.416</v>
      </c>
    </row>
    <row r="38" ht="16.5" spans="4:12">
      <c r="D38" s="20">
        <v>27</v>
      </c>
      <c r="E38" s="67">
        <f ca="1">IFERROR(MATCH(D38,梦灵本体产出!$K$147:$K$206,1),0)</f>
        <v>6</v>
      </c>
      <c r="F38" s="56">
        <f t="shared" si="0"/>
        <v>0.27</v>
      </c>
      <c r="G38" s="67">
        <f ca="1">IFERROR(MATCH($D38,梦灵本体产出!$L$147:$L$206,1),0)</f>
        <v>38</v>
      </c>
      <c r="H38" s="56">
        <f t="shared" si="1"/>
        <v>0.324</v>
      </c>
      <c r="I38" s="67">
        <f ca="1">IFERROR(MATCH($D38,梦灵本体产出!$M$147:$M$206,1),0)</f>
        <v>56</v>
      </c>
      <c r="J38" s="56">
        <f t="shared" si="2"/>
        <v>0.378</v>
      </c>
      <c r="K38" s="67">
        <f ca="1">IFERROR(MATCH($D38,梦灵本体产出!$N$147:$N$206,1),0)</f>
        <v>60</v>
      </c>
      <c r="L38" s="56">
        <f t="shared" si="3"/>
        <v>0.432</v>
      </c>
    </row>
    <row r="39" ht="16.5" spans="4:12">
      <c r="D39" s="20">
        <v>28</v>
      </c>
      <c r="E39" s="67">
        <f ca="1">IFERROR(MATCH(D39,梦灵本体产出!$K$147:$K$206,1),0)</f>
        <v>6</v>
      </c>
      <c r="F39" s="56">
        <f t="shared" si="0"/>
        <v>0.28</v>
      </c>
      <c r="G39" s="67">
        <f ca="1">IFERROR(MATCH($D39,梦灵本体产出!$L$147:$L$206,1),0)</f>
        <v>41</v>
      </c>
      <c r="H39" s="56">
        <f t="shared" si="1"/>
        <v>0.336</v>
      </c>
      <c r="I39" s="67">
        <f ca="1">IFERROR(MATCH($D39,梦灵本体产出!$M$147:$M$206,1),0)</f>
        <v>60</v>
      </c>
      <c r="J39" s="56">
        <f t="shared" si="2"/>
        <v>0.392</v>
      </c>
      <c r="K39" s="67">
        <f ca="1">IFERROR(MATCH($D39,梦灵本体产出!$N$147:$N$206,1),0)</f>
        <v>60</v>
      </c>
      <c r="L39" s="56">
        <f t="shared" si="3"/>
        <v>0.448</v>
      </c>
    </row>
    <row r="40" ht="16.5" spans="4:12">
      <c r="D40" s="20">
        <v>29</v>
      </c>
      <c r="E40" s="67">
        <f ca="1">IFERROR(MATCH(D40,梦灵本体产出!$K$147:$K$206,1),0)</f>
        <v>8</v>
      </c>
      <c r="F40" s="56">
        <f t="shared" si="0"/>
        <v>0.29</v>
      </c>
      <c r="G40" s="67">
        <f ca="1">IFERROR(MATCH($D40,梦灵本体产出!$L$147:$L$206,1),0)</f>
        <v>47</v>
      </c>
      <c r="H40" s="56">
        <f t="shared" si="1"/>
        <v>0.348</v>
      </c>
      <c r="I40" s="67">
        <f ca="1">IFERROR(MATCH($D40,梦灵本体产出!$M$147:$M$206,1),0)</f>
        <v>60</v>
      </c>
      <c r="J40" s="56">
        <f t="shared" si="2"/>
        <v>0.406</v>
      </c>
      <c r="K40" s="67">
        <f ca="1">IFERROR(MATCH($D40,梦灵本体产出!$N$147:$N$206,1),0)</f>
        <v>60</v>
      </c>
      <c r="L40" s="56">
        <f t="shared" si="3"/>
        <v>0.464</v>
      </c>
    </row>
    <row r="41" ht="16.5" spans="4:12">
      <c r="D41" s="20">
        <v>30</v>
      </c>
      <c r="E41" s="67">
        <f ca="1">IFERROR(MATCH(D41,梦灵本体产出!$K$147:$K$206,1),0)</f>
        <v>11</v>
      </c>
      <c r="F41" s="56">
        <f t="shared" si="0"/>
        <v>0.3</v>
      </c>
      <c r="G41" s="67">
        <f ca="1">IFERROR(MATCH($D41,梦灵本体产出!$L$147:$L$206,1),0)</f>
        <v>53</v>
      </c>
      <c r="H41" s="56">
        <f t="shared" si="1"/>
        <v>0.36</v>
      </c>
      <c r="I41" s="67">
        <f ca="1">IFERROR(MATCH($D41,梦灵本体产出!$M$147:$M$206,1),0)</f>
        <v>60</v>
      </c>
      <c r="J41" s="56">
        <f t="shared" si="2"/>
        <v>0.42</v>
      </c>
      <c r="K41" s="67">
        <f ca="1">IFERROR(MATCH($D41,梦灵本体产出!$N$147:$N$206,1),0)</f>
        <v>60</v>
      </c>
      <c r="L41" s="56">
        <f t="shared" si="3"/>
        <v>0.48</v>
      </c>
    </row>
    <row r="42" ht="16.5" spans="4:12">
      <c r="D42" s="20">
        <v>31</v>
      </c>
      <c r="E42" s="67">
        <f ca="1">IFERROR(MATCH(D42,梦灵本体产出!$K$147:$K$206,1),0)</f>
        <v>13</v>
      </c>
      <c r="F42" s="56">
        <f t="shared" si="0"/>
        <v>0.31</v>
      </c>
      <c r="G42" s="67">
        <f ca="1">IFERROR(MATCH($D42,梦灵本体产出!$L$147:$L$206,1),0)</f>
        <v>60</v>
      </c>
      <c r="H42" s="56">
        <f t="shared" si="1"/>
        <v>0.372</v>
      </c>
      <c r="I42" s="67">
        <f ca="1">IFERROR(MATCH($D42,梦灵本体产出!$M$147:$M$206,1),0)</f>
        <v>60</v>
      </c>
      <c r="J42" s="56">
        <f t="shared" si="2"/>
        <v>0.434</v>
      </c>
      <c r="K42" s="67">
        <f ca="1">IFERROR(MATCH($D42,梦灵本体产出!$N$147:$N$206,1),0)</f>
        <v>60</v>
      </c>
      <c r="L42" s="56">
        <f t="shared" si="3"/>
        <v>0.496</v>
      </c>
    </row>
    <row r="43" ht="16.5" spans="4:12">
      <c r="D43" s="20">
        <v>32</v>
      </c>
      <c r="E43" s="67">
        <f ca="1">IFERROR(MATCH(D43,梦灵本体产出!$K$147:$K$206,1),0)</f>
        <v>15</v>
      </c>
      <c r="F43" s="56">
        <f t="shared" si="0"/>
        <v>0.32</v>
      </c>
      <c r="G43" s="67">
        <f ca="1">IFERROR(MATCH($D43,梦灵本体产出!$L$147:$L$206,1),0)</f>
        <v>60</v>
      </c>
      <c r="H43" s="56">
        <f t="shared" si="1"/>
        <v>0.384</v>
      </c>
      <c r="I43" s="67">
        <f ca="1">IFERROR(MATCH($D43,梦灵本体产出!$M$147:$M$206,1),0)</f>
        <v>60</v>
      </c>
      <c r="J43" s="56">
        <f t="shared" si="2"/>
        <v>0.448</v>
      </c>
      <c r="K43" s="67">
        <f ca="1">IFERROR(MATCH($D43,梦灵本体产出!$N$147:$N$206,1),0)</f>
        <v>60</v>
      </c>
      <c r="L43" s="56">
        <f t="shared" si="3"/>
        <v>0.512</v>
      </c>
    </row>
    <row r="44" ht="16.5" spans="4:12">
      <c r="D44" s="20">
        <v>33</v>
      </c>
      <c r="E44" s="67">
        <f ca="1">IFERROR(MATCH(D44,梦灵本体产出!$K$147:$K$206,1),0)</f>
        <v>18</v>
      </c>
      <c r="F44" s="56">
        <f t="shared" si="0"/>
        <v>0.33</v>
      </c>
      <c r="G44" s="67">
        <f ca="1">IFERROR(MATCH($D44,梦灵本体产出!$L$147:$L$206,1),0)</f>
        <v>60</v>
      </c>
      <c r="H44" s="56">
        <f t="shared" si="1"/>
        <v>0.396</v>
      </c>
      <c r="I44" s="67">
        <f ca="1">IFERROR(MATCH($D44,梦灵本体产出!$M$147:$M$206,1),0)</f>
        <v>60</v>
      </c>
      <c r="J44" s="56">
        <f t="shared" si="2"/>
        <v>0.462</v>
      </c>
      <c r="K44" s="67">
        <f ca="1">IFERROR(MATCH($D44,梦灵本体产出!$N$147:$N$206,1),0)</f>
        <v>60</v>
      </c>
      <c r="L44" s="56">
        <f t="shared" si="3"/>
        <v>0.528</v>
      </c>
    </row>
    <row r="45" ht="16.5" spans="4:12">
      <c r="D45" s="20">
        <v>34</v>
      </c>
      <c r="E45" s="67">
        <f ca="1">IFERROR(MATCH(D45,梦灵本体产出!$K$147:$K$206,1),0)</f>
        <v>21</v>
      </c>
      <c r="F45" s="56">
        <f t="shared" si="0"/>
        <v>0.34</v>
      </c>
      <c r="G45" s="67">
        <f ca="1">IFERROR(MATCH($D45,梦灵本体产出!$L$147:$L$206,1),0)</f>
        <v>60</v>
      </c>
      <c r="H45" s="56">
        <f t="shared" si="1"/>
        <v>0.408</v>
      </c>
      <c r="I45" s="67">
        <f ca="1">IFERROR(MATCH($D45,梦灵本体产出!$M$147:$M$206,1),0)</f>
        <v>60</v>
      </c>
      <c r="J45" s="56">
        <f t="shared" si="2"/>
        <v>0.476</v>
      </c>
      <c r="K45" s="67">
        <f ca="1">IFERROR(MATCH($D45,梦灵本体产出!$N$147:$N$206,1),0)</f>
        <v>60</v>
      </c>
      <c r="L45" s="56">
        <f t="shared" si="3"/>
        <v>0.544</v>
      </c>
    </row>
    <row r="46" ht="16.5" spans="4:12">
      <c r="D46" s="20">
        <v>35</v>
      </c>
      <c r="E46" s="67">
        <f ca="1">IFERROR(MATCH(D46,梦灵本体产出!$K$147:$K$206,1),0)</f>
        <v>25</v>
      </c>
      <c r="F46" s="56">
        <f t="shared" si="0"/>
        <v>0.35</v>
      </c>
      <c r="G46" s="67">
        <f ca="1">IFERROR(MATCH($D46,梦灵本体产出!$L$147:$L$206,1),0)</f>
        <v>60</v>
      </c>
      <c r="H46" s="56">
        <f t="shared" si="1"/>
        <v>0.42</v>
      </c>
      <c r="I46" s="67">
        <f ca="1">IFERROR(MATCH($D46,梦灵本体产出!$M$147:$M$206,1),0)</f>
        <v>60</v>
      </c>
      <c r="J46" s="56">
        <f t="shared" si="2"/>
        <v>0.49</v>
      </c>
      <c r="K46" s="67">
        <f ca="1">IFERROR(MATCH($D46,梦灵本体产出!$N$147:$N$206,1),0)</f>
        <v>60</v>
      </c>
      <c r="L46" s="56">
        <f t="shared" si="3"/>
        <v>0.56</v>
      </c>
    </row>
    <row r="47" ht="16.5" spans="4:12">
      <c r="D47" s="20">
        <v>36</v>
      </c>
      <c r="E47" s="67">
        <f ca="1">IFERROR(MATCH(D47,梦灵本体产出!$K$147:$K$206,1),0)</f>
        <v>30</v>
      </c>
      <c r="F47" s="56">
        <f t="shared" si="0"/>
        <v>0.36</v>
      </c>
      <c r="G47" s="67">
        <f ca="1">IFERROR(MATCH($D47,梦灵本体产出!$L$147:$L$206,1),0)</f>
        <v>60</v>
      </c>
      <c r="H47" s="56">
        <f t="shared" si="1"/>
        <v>0.432</v>
      </c>
      <c r="I47" s="67">
        <f ca="1">IFERROR(MATCH($D47,梦灵本体产出!$M$147:$M$206,1),0)</f>
        <v>60</v>
      </c>
      <c r="J47" s="56">
        <f t="shared" si="2"/>
        <v>0.504</v>
      </c>
      <c r="K47" s="67">
        <f ca="1">IFERROR(MATCH($D47,梦灵本体产出!$N$147:$N$206,1),0)</f>
        <v>60</v>
      </c>
      <c r="L47" s="56">
        <f t="shared" si="3"/>
        <v>0.576</v>
      </c>
    </row>
    <row r="48" ht="16.5" spans="4:12">
      <c r="D48" s="20">
        <v>37</v>
      </c>
      <c r="E48" s="67">
        <f ca="1">IFERROR(MATCH(D48,梦灵本体产出!$K$147:$K$206,1),0)</f>
        <v>34</v>
      </c>
      <c r="F48" s="56">
        <f t="shared" si="0"/>
        <v>0.37</v>
      </c>
      <c r="G48" s="67">
        <f ca="1">IFERROR(MATCH($D48,梦灵本体产出!$L$147:$L$206,1),0)</f>
        <v>60</v>
      </c>
      <c r="H48" s="56">
        <f t="shared" si="1"/>
        <v>0.444</v>
      </c>
      <c r="I48" s="67">
        <f ca="1">IFERROR(MATCH($D48,梦灵本体产出!$M$147:$M$206,1),0)</f>
        <v>60</v>
      </c>
      <c r="J48" s="56">
        <f t="shared" si="2"/>
        <v>0.518</v>
      </c>
      <c r="K48" s="67">
        <f ca="1">IFERROR(MATCH($D48,梦灵本体产出!$N$147:$N$206,1),0)</f>
        <v>60</v>
      </c>
      <c r="L48" s="56">
        <f t="shared" si="3"/>
        <v>0.592</v>
      </c>
    </row>
    <row r="49" ht="16.5" spans="2:12">
      <c r="D49" s="20">
        <v>38</v>
      </c>
      <c r="E49" s="67">
        <f ca="1">IFERROR(MATCH(D49,梦灵本体产出!$K$147:$K$206,1),0)</f>
        <v>39</v>
      </c>
      <c r="F49" s="56">
        <f t="shared" si="0"/>
        <v>0.38</v>
      </c>
      <c r="G49" s="67">
        <f ca="1">IFERROR(MATCH($D49,梦灵本体产出!$L$147:$L$206,1),0)</f>
        <v>60</v>
      </c>
      <c r="H49" s="56">
        <f t="shared" si="1"/>
        <v>0.456</v>
      </c>
      <c r="I49" s="67">
        <f ca="1">IFERROR(MATCH($D49,梦灵本体产出!$M$147:$M$206,1),0)</f>
        <v>60</v>
      </c>
      <c r="J49" s="56">
        <f t="shared" si="2"/>
        <v>0.532</v>
      </c>
      <c r="K49" s="67">
        <f ca="1">IFERROR(MATCH($D49,梦灵本体产出!$N$147:$N$206,1),0)</f>
        <v>60</v>
      </c>
      <c r="L49" s="56">
        <f t="shared" si="3"/>
        <v>0.608</v>
      </c>
    </row>
    <row r="50" ht="16.5" spans="2:12">
      <c r="D50" s="20">
        <v>39</v>
      </c>
      <c r="E50" s="67">
        <f ca="1">IFERROR(MATCH(D50,梦灵本体产出!$K$147:$K$206,1),0)</f>
        <v>47</v>
      </c>
      <c r="F50" s="56">
        <f t="shared" si="0"/>
        <v>0.39</v>
      </c>
      <c r="G50" s="67">
        <f ca="1">IFERROR(MATCH($D50,梦灵本体产出!$L$147:$L$206,1),0)</f>
        <v>60</v>
      </c>
      <c r="H50" s="56">
        <f t="shared" si="1"/>
        <v>0.468</v>
      </c>
      <c r="I50" s="67">
        <f ca="1">IFERROR(MATCH($D50,梦灵本体产出!$M$147:$M$206,1),0)</f>
        <v>60</v>
      </c>
      <c r="J50" s="56">
        <f t="shared" si="2"/>
        <v>0.546</v>
      </c>
      <c r="K50" s="67">
        <f ca="1">IFERROR(MATCH($D50,梦灵本体产出!$N$147:$N$206,1),0)</f>
        <v>60</v>
      </c>
      <c r="L50" s="56">
        <f t="shared" si="3"/>
        <v>0.624</v>
      </c>
    </row>
    <row r="51" ht="16.5" spans="2:12">
      <c r="D51" s="20">
        <v>40</v>
      </c>
      <c r="E51" s="67">
        <f ca="1">IFERROR(MATCH(D51,梦灵本体产出!$K$147:$K$206,1),0)</f>
        <v>56</v>
      </c>
      <c r="F51" s="56">
        <f t="shared" si="0"/>
        <v>0.4</v>
      </c>
      <c r="G51" s="67">
        <f ca="1">IFERROR(MATCH($D51,梦灵本体产出!$L$147:$L$206,1),0)</f>
        <v>60</v>
      </c>
      <c r="H51" s="56">
        <f t="shared" si="1"/>
        <v>0.48</v>
      </c>
      <c r="I51" s="67">
        <f ca="1">IFERROR(MATCH($D51,梦灵本体产出!$M$147:$M$206,1),0)</f>
        <v>60</v>
      </c>
      <c r="J51" s="56">
        <f t="shared" si="2"/>
        <v>0.56</v>
      </c>
      <c r="K51" s="67">
        <f ca="1">IFERROR(MATCH($D51,梦灵本体产出!$N$147:$N$206,1),0)</f>
        <v>60</v>
      </c>
      <c r="L51" s="56">
        <f t="shared" si="3"/>
        <v>0.64</v>
      </c>
    </row>
    <row r="52" ht="16.5" spans="2:12">
      <c r="D52" s="20">
        <v>41</v>
      </c>
      <c r="E52" s="67">
        <f ca="1">IFERROR(MATCH(D52,梦灵本体产出!$K$147:$K$206,1),0)</f>
        <v>60</v>
      </c>
      <c r="F52" s="56">
        <f t="shared" si="0"/>
        <v>0.41</v>
      </c>
      <c r="G52" s="67">
        <f ca="1">IFERROR(MATCH($D52,梦灵本体产出!$L$147:$L$206,1),0)</f>
        <v>60</v>
      </c>
      <c r="H52" s="56">
        <f t="shared" si="1"/>
        <v>0.492</v>
      </c>
      <c r="I52" s="67">
        <f ca="1">IFERROR(MATCH($D52,梦灵本体产出!$M$147:$M$206,1),0)</f>
        <v>60</v>
      </c>
      <c r="J52" s="56">
        <f t="shared" si="2"/>
        <v>0.574</v>
      </c>
      <c r="K52" s="67">
        <f ca="1">IFERROR(MATCH($D52,梦灵本体产出!$N$147:$N$206,1),0)</f>
        <v>60</v>
      </c>
      <c r="L52" s="56">
        <f t="shared" si="3"/>
        <v>0.656</v>
      </c>
    </row>
    <row r="53" ht="16.5" spans="2:12">
      <c r="D53" s="20">
        <v>42</v>
      </c>
      <c r="E53" s="67">
        <f ca="1">IFERROR(MATCH(D53,梦灵本体产出!$K$147:$K$206,1),0)</f>
        <v>60</v>
      </c>
      <c r="F53" s="56">
        <f t="shared" si="0"/>
        <v>0.42</v>
      </c>
      <c r="G53" s="67">
        <f ca="1">IFERROR(MATCH($D53,梦灵本体产出!$L$147:$L$206,1),0)</f>
        <v>60</v>
      </c>
      <c r="H53" s="56">
        <f t="shared" si="1"/>
        <v>0.504</v>
      </c>
      <c r="I53" s="67">
        <f ca="1">IFERROR(MATCH($D53,梦灵本体产出!$M$147:$M$206,1),0)</f>
        <v>60</v>
      </c>
      <c r="J53" s="56">
        <f t="shared" si="2"/>
        <v>0.588</v>
      </c>
      <c r="K53" s="67">
        <f ca="1">IFERROR(MATCH($D53,梦灵本体产出!$N$147:$N$206,1),0)</f>
        <v>60</v>
      </c>
      <c r="L53" s="56">
        <f t="shared" si="3"/>
        <v>0.672</v>
      </c>
    </row>
    <row r="54" ht="16.5" spans="2:12">
      <c r="D54" s="20">
        <v>43</v>
      </c>
      <c r="E54" s="67">
        <f ca="1">IFERROR(MATCH(D54,梦灵本体产出!$K$147:$K$206,1),0)</f>
        <v>60</v>
      </c>
      <c r="F54" s="56">
        <f t="shared" si="0"/>
        <v>0.43</v>
      </c>
      <c r="G54" s="67">
        <f ca="1">IFERROR(MATCH($D54,梦灵本体产出!$L$147:$L$206,1),0)</f>
        <v>60</v>
      </c>
      <c r="H54" s="56">
        <f t="shared" si="1"/>
        <v>0.516</v>
      </c>
      <c r="I54" s="67">
        <f ca="1">IFERROR(MATCH($D54,梦灵本体产出!$M$147:$M$206,1),0)</f>
        <v>60</v>
      </c>
      <c r="J54" s="56">
        <f t="shared" si="2"/>
        <v>0.602</v>
      </c>
      <c r="K54" s="67">
        <f ca="1">IFERROR(MATCH($D54,梦灵本体产出!$N$147:$N$206,1),0)</f>
        <v>60</v>
      </c>
      <c r="L54" s="56">
        <f t="shared" si="3"/>
        <v>0.688</v>
      </c>
    </row>
    <row r="55" ht="16.5" spans="2:12">
      <c r="D55" s="20">
        <v>44</v>
      </c>
      <c r="E55" s="67">
        <f ca="1">IFERROR(MATCH(D55,梦灵本体产出!$K$147:$K$206,1),0)</f>
        <v>60</v>
      </c>
      <c r="F55" s="56">
        <f t="shared" si="0"/>
        <v>0.44</v>
      </c>
      <c r="G55" s="67">
        <f ca="1">IFERROR(MATCH($D55,梦灵本体产出!$L$147:$L$206,1),0)</f>
        <v>60</v>
      </c>
      <c r="H55" s="56">
        <f t="shared" si="1"/>
        <v>0.528</v>
      </c>
      <c r="I55" s="67">
        <f ca="1">IFERROR(MATCH($D55,梦灵本体产出!$M$147:$M$206,1),0)</f>
        <v>60</v>
      </c>
      <c r="J55" s="56">
        <f t="shared" si="2"/>
        <v>0.616</v>
      </c>
      <c r="K55" s="67">
        <f ca="1">IFERROR(MATCH($D55,梦灵本体产出!$N$147:$N$206,1),0)</f>
        <v>60</v>
      </c>
      <c r="L55" s="56">
        <f t="shared" si="3"/>
        <v>0.704</v>
      </c>
    </row>
    <row r="56" ht="16.5" spans="2:12">
      <c r="D56" s="20">
        <v>45</v>
      </c>
      <c r="E56" s="67">
        <f ca="1">IFERROR(MATCH(D56,梦灵本体产出!$K$147:$K$206,1),0)</f>
        <v>60</v>
      </c>
      <c r="F56" s="56">
        <f t="shared" si="0"/>
        <v>0.45</v>
      </c>
      <c r="G56" s="67">
        <f ca="1">IFERROR(MATCH($D56,梦灵本体产出!$L$147:$L$206,1),0)</f>
        <v>60</v>
      </c>
      <c r="H56" s="56">
        <f t="shared" si="1"/>
        <v>0.54</v>
      </c>
      <c r="I56" s="67">
        <f ca="1">IFERROR(MATCH($D56,梦灵本体产出!$M$147:$M$206,1),0)</f>
        <v>60</v>
      </c>
      <c r="J56" s="56">
        <f t="shared" si="2"/>
        <v>0.63</v>
      </c>
      <c r="K56" s="67">
        <f ca="1">IFERROR(MATCH($D56,梦灵本体产出!$N$147:$N$206,1),0)</f>
        <v>60</v>
      </c>
      <c r="L56" s="56">
        <f t="shared" si="3"/>
        <v>0.72</v>
      </c>
    </row>
    <row r="57" ht="16.5" spans="2:12">
      <c r="D57" s="20">
        <v>46</v>
      </c>
      <c r="E57" s="67">
        <f ca="1">IFERROR(MATCH(D57,梦灵本体产出!$K$147:$K$206,1),0)</f>
        <v>60</v>
      </c>
      <c r="F57" s="56">
        <f t="shared" si="0"/>
        <v>0.46</v>
      </c>
      <c r="G57" s="67">
        <f ca="1">IFERROR(MATCH($D57,梦灵本体产出!$L$147:$L$206,1),0)</f>
        <v>60</v>
      </c>
      <c r="H57" s="56">
        <f t="shared" si="1"/>
        <v>0.552</v>
      </c>
      <c r="I57" s="67">
        <f ca="1">IFERROR(MATCH($D57,梦灵本体产出!$M$147:$M$206,1),0)</f>
        <v>60</v>
      </c>
      <c r="J57" s="56">
        <f t="shared" si="2"/>
        <v>0.644</v>
      </c>
      <c r="K57" s="67">
        <f ca="1">IFERROR(MATCH($D57,梦灵本体产出!$N$147:$N$206,1),0)</f>
        <v>60</v>
      </c>
      <c r="L57" s="56">
        <f t="shared" si="3"/>
        <v>0.736</v>
      </c>
    </row>
    <row r="58" ht="16.5" spans="2:12">
      <c r="D58" s="20">
        <v>47</v>
      </c>
      <c r="E58" s="67">
        <f ca="1">IFERROR(MATCH(D58,梦灵本体产出!$K$147:$K$206,1),0)</f>
        <v>60</v>
      </c>
      <c r="F58" s="56">
        <f t="shared" si="0"/>
        <v>0.47</v>
      </c>
      <c r="G58" s="67">
        <f ca="1">IFERROR(MATCH($D58,梦灵本体产出!$L$147:$L$206,1),0)</f>
        <v>60</v>
      </c>
      <c r="H58" s="56">
        <f t="shared" si="1"/>
        <v>0.564</v>
      </c>
      <c r="I58" s="67">
        <f ca="1">IFERROR(MATCH($D58,梦灵本体产出!$M$147:$M$206,1),0)</f>
        <v>60</v>
      </c>
      <c r="J58" s="56">
        <f t="shared" si="2"/>
        <v>0.658</v>
      </c>
      <c r="K58" s="67">
        <f ca="1">IFERROR(MATCH($D58,梦灵本体产出!$N$147:$N$206,1),0)</f>
        <v>60</v>
      </c>
      <c r="L58" s="56">
        <f t="shared" si="3"/>
        <v>0.752</v>
      </c>
    </row>
    <row r="59" ht="16.5" spans="2:12">
      <c r="D59" s="20">
        <v>48</v>
      </c>
      <c r="E59" s="67">
        <f ca="1">IFERROR(MATCH(D59,梦灵本体产出!$K$147:$K$206,1),0)</f>
        <v>60</v>
      </c>
      <c r="F59" s="56">
        <f t="shared" si="0"/>
        <v>0.48</v>
      </c>
      <c r="G59" s="67">
        <f ca="1">IFERROR(MATCH($D59,梦灵本体产出!$L$147:$L$206,1),0)</f>
        <v>60</v>
      </c>
      <c r="H59" s="56">
        <f t="shared" si="1"/>
        <v>0.576</v>
      </c>
      <c r="I59" s="67">
        <f ca="1">IFERROR(MATCH($D59,梦灵本体产出!$M$147:$M$206,1),0)</f>
        <v>60</v>
      </c>
      <c r="J59" s="56">
        <f t="shared" si="2"/>
        <v>0.672</v>
      </c>
      <c r="K59" s="67">
        <f ca="1">IFERROR(MATCH($D59,梦灵本体产出!$N$147:$N$206,1),0)</f>
        <v>60</v>
      </c>
      <c r="L59" s="56">
        <f t="shared" si="3"/>
        <v>0.768</v>
      </c>
    </row>
    <row r="60" ht="16.5" spans="2:12">
      <c r="D60" s="20">
        <v>49</v>
      </c>
      <c r="E60" s="67">
        <f ca="1">IFERROR(MATCH(D60,梦灵本体产出!$K$147:$K$206,1),0)</f>
        <v>60</v>
      </c>
      <c r="F60" s="56">
        <f t="shared" si="0"/>
        <v>0.49</v>
      </c>
      <c r="G60" s="67">
        <f ca="1">IFERROR(MATCH($D60,梦灵本体产出!$L$147:$L$206,1),0)</f>
        <v>60</v>
      </c>
      <c r="H60" s="56">
        <f t="shared" si="1"/>
        <v>0.588</v>
      </c>
      <c r="I60" s="67">
        <f ca="1">IFERROR(MATCH($D60,梦灵本体产出!$M$147:$M$206,1),0)</f>
        <v>60</v>
      </c>
      <c r="J60" s="56">
        <f t="shared" si="2"/>
        <v>0.686</v>
      </c>
      <c r="K60" s="67">
        <f ca="1">IFERROR(MATCH($D60,梦灵本体产出!$N$147:$N$206,1),0)</f>
        <v>60</v>
      </c>
      <c r="L60" s="56">
        <f t="shared" si="3"/>
        <v>0.784</v>
      </c>
    </row>
    <row r="61" ht="16.5" spans="2:12">
      <c r="D61" s="20">
        <v>50</v>
      </c>
      <c r="E61" s="67">
        <f ca="1">IFERROR(MATCH(D61,梦灵本体产出!$K$147:$K$206,1),0)</f>
        <v>60</v>
      </c>
      <c r="F61" s="56">
        <f t="shared" si="0"/>
        <v>0.5</v>
      </c>
      <c r="G61" s="67">
        <f ca="1">IFERROR(MATCH($D61,梦灵本体产出!$L$147:$L$206,1),0)</f>
        <v>60</v>
      </c>
      <c r="H61" s="56">
        <f t="shared" si="1"/>
        <v>0.6</v>
      </c>
      <c r="I61" s="67">
        <f ca="1">IFERROR(MATCH($D61,梦灵本体产出!$M$147:$M$206,1),0)</f>
        <v>60</v>
      </c>
      <c r="J61" s="56">
        <f t="shared" si="2"/>
        <v>0.7</v>
      </c>
      <c r="K61" s="67">
        <f ca="1">IFERROR(MATCH($D61,梦灵本体产出!$N$147:$N$206,1),0)</f>
        <v>60</v>
      </c>
      <c r="L61" s="56">
        <f t="shared" si="3"/>
        <v>0.8</v>
      </c>
    </row>
    <row r="64" ht="14.25" spans="2:12">
      <c r="B64" s="61"/>
      <c r="C64" s="62" t="s">
        <v>354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AB366"/>
  <sheetViews>
    <sheetView workbookViewId="0">
      <selection activeCell="K23" sqref="K23"/>
    </sheetView>
  </sheetViews>
  <sheetFormatPr defaultColWidth="9.14285714285714" defaultRowHeight="12.75"/>
  <cols>
    <col min="2" max="3" width="16.2857142857143"/>
    <col min="16" max="16" width="12.8571428571429" customWidth="1"/>
    <col min="17" max="17" width="14.2857142857143" customWidth="1"/>
  </cols>
  <sheetData>
    <row r="2" ht="17.25" spans="1:28">
      <c r="A2" s="49" t="s">
        <v>355</v>
      </c>
    </row>
    <row r="3" ht="17.25" spans="1:28">
      <c r="R3" s="49"/>
    </row>
    <row r="6" ht="15" spans="1:28">
      <c r="A6" s="50" t="s">
        <v>356</v>
      </c>
      <c r="B6" s="50" t="s">
        <v>357</v>
      </c>
      <c r="C6" s="50" t="s">
        <v>358</v>
      </c>
      <c r="D6" s="50" t="s">
        <v>64</v>
      </c>
      <c r="E6" s="50" t="s">
        <v>65</v>
      </c>
      <c r="F6" s="51" t="s">
        <v>80</v>
      </c>
      <c r="G6" s="50" t="s">
        <v>79</v>
      </c>
      <c r="H6" s="52" t="s">
        <v>359</v>
      </c>
      <c r="I6" s="52" t="s">
        <v>25</v>
      </c>
      <c r="J6" s="53" t="s">
        <v>360</v>
      </c>
      <c r="K6" s="53" t="s">
        <v>361</v>
      </c>
      <c r="L6" s="53" t="s">
        <v>362</v>
      </c>
      <c r="M6" s="53" t="s">
        <v>360</v>
      </c>
      <c r="N6" s="53" t="s">
        <v>363</v>
      </c>
      <c r="P6" s="50" t="s">
        <v>357</v>
      </c>
      <c r="Q6" s="50" t="s">
        <v>358</v>
      </c>
      <c r="R6" s="50" t="s">
        <v>64</v>
      </c>
      <c r="S6" s="50" t="s">
        <v>65</v>
      </c>
      <c r="T6" s="51" t="s">
        <v>80</v>
      </c>
      <c r="U6" s="50" t="s">
        <v>79</v>
      </c>
      <c r="V6" s="52" t="s">
        <v>359</v>
      </c>
      <c r="W6" s="52" t="s">
        <v>25</v>
      </c>
      <c r="X6" s="53" t="s">
        <v>360</v>
      </c>
      <c r="Y6" s="53" t="s">
        <v>361</v>
      </c>
      <c r="Z6" s="53" t="s">
        <v>362</v>
      </c>
      <c r="AA6" s="53" t="s">
        <v>360</v>
      </c>
      <c r="AB6" s="53" t="s">
        <v>363</v>
      </c>
    </row>
    <row r="7" ht="16.5" spans="1:28">
      <c r="A7" s="54">
        <v>1</v>
      </c>
      <c r="B7" s="35">
        <f ca="1">OFFSET(梦灵本体产出!$G$6,MATCH(A7,梦灵本体产出!$I$7:$I$30,1),0)</f>
        <v>5</v>
      </c>
      <c r="C7" s="35" t="e">
        <f ca="1">MATCH(A7,OFFSET(梦灵属性!#REF!,50*(B7-3),0))</f>
        <v>#REF!</v>
      </c>
      <c r="D7" s="55"/>
      <c r="E7" s="55"/>
      <c r="F7" s="22" t="e">
        <f ca="1">_xlfn.XLOOKUP($B7,梦灵属性!$F$38:$F$41,梦灵属性!$E$38:$E$41)*$C7</f>
        <v>#REF!</v>
      </c>
      <c r="G7" s="22" t="e">
        <f ca="1">_xlfn.XLOOKUP($B7,梦灵属性!$F$38:$F$41,梦灵属性!$E$38:$E$41)*$C7</f>
        <v>#REF!</v>
      </c>
      <c r="H7" s="22"/>
      <c r="I7" s="56">
        <f ca="1">OFFSET(梦灵图鉴!F$10,MATCH(A7,梦灵图鉴!$E$11:$E$61,1),0)*SUM(梦灵属性!$E$26:$J$26)+OFFSET(梦灵图鉴!H$10,MATCH(A7,梦灵图鉴!$G$11:$G$61,1),0)*SUM(梦灵属性!$E$27:$J$27)+OFFSET(梦灵图鉴!J$10,MATCH(A7,梦灵图鉴!$I$11:$I$61,1),0)*SUM(梦灵属性!$E$28:$J$28)+OFFSET(梦灵图鉴!L$10,MATCH(A7,梦灵图鉴!$K$11:$K$61,1),0)*SUM(梦灵属性!$E$29:$J$29)</f>
        <v>1.392</v>
      </c>
      <c r="J7" s="56"/>
      <c r="K7" s="56"/>
      <c r="L7" s="22"/>
      <c r="M7" s="22"/>
      <c r="N7" s="22"/>
      <c r="P7" s="3">
        <v>3</v>
      </c>
      <c r="Q7" s="3">
        <v>1</v>
      </c>
      <c r="R7" s="3">
        <f ca="1">OFFSET(梦灵属性!G$37,$P7-2,0)</f>
        <v>0</v>
      </c>
      <c r="S7" s="3">
        <f ca="1">OFFSET(梦灵属性!H$37,$P7-2,0)</f>
        <v>0</v>
      </c>
      <c r="T7" s="3">
        <f ca="1">OFFSET(梦灵属性!$E$37,$P7-2,0)*$Q7</f>
        <v>0.04</v>
      </c>
      <c r="U7" s="3">
        <f ca="1">OFFSET(梦灵属性!$E$37,$P7-2,0)*$Q7</f>
        <v>0.04</v>
      </c>
    </row>
    <row r="8" ht="16.5" spans="1:28">
      <c r="A8" s="54">
        <v>2</v>
      </c>
      <c r="B8" s="35">
        <f ca="1">OFFSET(梦灵本体产出!$G$6,MATCH(A8,梦灵本体产出!$I$7:$I$30,1),0)</f>
        <v>5</v>
      </c>
      <c r="C8" s="35" t="e">
        <f ca="1">MATCH(A8,OFFSET(梦灵属性!#REF!,50*(B8-3),0))</f>
        <v>#REF!</v>
      </c>
      <c r="D8" s="55"/>
      <c r="E8" s="55"/>
      <c r="F8" s="22" t="e">
        <f ca="1">_xlfn.XLOOKUP(B8,梦灵属性!$F$38:$F$41,梦灵属性!$E$38:$E$41)*C8</f>
        <v>#REF!</v>
      </c>
      <c r="G8" s="22" t="e">
        <f ca="1">_xlfn.XLOOKUP($B8,梦灵属性!$F$38:$F$41,梦灵属性!$E$38:$E$41)*$C8</f>
        <v>#REF!</v>
      </c>
      <c r="H8" s="22"/>
      <c r="I8" s="56">
        <f ca="1">OFFSET(梦灵图鉴!F$10,MATCH(A8,梦灵图鉴!$E$11:$E$61,1),0)*SUM(梦灵属性!$E$26:$J$26)+OFFSET(梦灵图鉴!H$10,MATCH(A8,梦灵图鉴!$G$11:$G$61,1),0)*SUM(梦灵属性!$E$27:$J$27)+OFFSET(梦灵图鉴!J$10,MATCH(A8,梦灵图鉴!$I$11:$I$61,1),0)*SUM(梦灵属性!$E$28:$J$28)+OFFSET(梦灵图鉴!L$10,MATCH(A8,梦灵图鉴!$K$11:$K$61,1),0)*SUM(梦灵属性!$E$29:$J$29)</f>
        <v>1.626</v>
      </c>
      <c r="J8" s="56"/>
      <c r="K8" s="56"/>
      <c r="L8" s="22"/>
      <c r="M8" s="22"/>
      <c r="N8" s="22"/>
      <c r="P8" s="3">
        <v>3</v>
      </c>
      <c r="Q8" s="3">
        <v>2</v>
      </c>
      <c r="R8" s="3">
        <f ca="1">OFFSET(梦灵属性!G$37,$P8-2,0)</f>
        <v>0</v>
      </c>
      <c r="S8" s="3">
        <f ca="1">OFFSET(梦灵属性!H$37,$P8-2,0)</f>
        <v>0</v>
      </c>
      <c r="T8" s="3">
        <f ca="1">OFFSET(梦灵属性!$E$37,$P8-2,0)*$Q8</f>
        <v>0.08</v>
      </c>
      <c r="U8" s="3">
        <f ca="1">OFFSET(梦灵属性!$E$37,$P8-2,0)*$Q8</f>
        <v>0.08</v>
      </c>
    </row>
    <row r="9" ht="16.5" spans="1:28">
      <c r="A9" s="54">
        <v>3</v>
      </c>
      <c r="B9" s="35">
        <f ca="1">OFFSET(梦灵本体产出!$G$6,MATCH(A9,梦灵本体产出!$I$7:$I$30,1),0)</f>
        <v>5</v>
      </c>
      <c r="C9" s="35" t="e">
        <f ca="1">MATCH(A9,OFFSET(梦灵属性!#REF!,50*(B9-3),0))</f>
        <v>#REF!</v>
      </c>
      <c r="D9" s="55"/>
      <c r="E9" s="55"/>
      <c r="F9" s="22" t="e">
        <f ca="1">_xlfn.XLOOKUP(B9,梦灵属性!$F$38:$F$41,梦灵属性!$E$38:$E$41)*C9</f>
        <v>#REF!</v>
      </c>
      <c r="G9" s="22" t="e">
        <f ca="1">_xlfn.XLOOKUP($B9,梦灵属性!$F$38:$F$41,梦灵属性!$E$38:$E$41)*$C9</f>
        <v>#REF!</v>
      </c>
      <c r="H9" s="22"/>
      <c r="I9" s="56">
        <f ca="1">OFFSET(梦灵图鉴!F$10,MATCH(A9,梦灵图鉴!$E$11:$E$61,1),0)*SUM(梦灵属性!$E$26:$J$26)+OFFSET(梦灵图鉴!H$10,MATCH(A9,梦灵图鉴!$G$11:$G$61,1),0)*SUM(梦灵属性!$E$27:$J$27)+OFFSET(梦灵图鉴!J$10,MATCH(A9,梦灵图鉴!$I$11:$I$61,1),0)*SUM(梦灵属性!$E$28:$J$28)+OFFSET(梦灵图鉴!L$10,MATCH(A9,梦灵图鉴!$K$11:$K$61,1),0)*SUM(梦灵属性!$E$29:$J$29)</f>
        <v>1.872</v>
      </c>
      <c r="J9" s="56"/>
      <c r="K9" s="56"/>
      <c r="L9" s="22"/>
      <c r="M9" s="22"/>
      <c r="N9" s="22"/>
      <c r="P9" s="3">
        <v>3</v>
      </c>
      <c r="Q9" s="3">
        <v>3</v>
      </c>
      <c r="R9" s="3">
        <f ca="1">OFFSET(梦灵属性!G$37,$P9-2,0)</f>
        <v>0</v>
      </c>
      <c r="S9" s="3">
        <f ca="1">OFFSET(梦灵属性!H$37,$P9-2,0)</f>
        <v>0</v>
      </c>
      <c r="T9" s="3">
        <f ca="1">OFFSET(梦灵属性!$E$37,$P9-2,0)*$Q9</f>
        <v>0.12</v>
      </c>
      <c r="U9" s="3">
        <f ca="1">OFFSET(梦灵属性!$E$37,$P9-2,0)*$Q9</f>
        <v>0.12</v>
      </c>
    </row>
    <row r="10" ht="16.5" spans="1:28">
      <c r="A10" s="54">
        <v>4</v>
      </c>
      <c r="B10" s="35">
        <f ca="1">OFFSET(梦灵本体产出!$G$6,MATCH(A10,梦灵本体产出!$I$7:$I$30,1),0)</f>
        <v>5</v>
      </c>
      <c r="C10" s="35" t="e">
        <f ca="1">MATCH(A10,OFFSET(梦灵属性!#REF!,50*(B10-3),0))</f>
        <v>#REF!</v>
      </c>
      <c r="D10" s="55"/>
      <c r="E10" s="55"/>
      <c r="F10" s="22" t="e">
        <f ca="1">_xlfn.XLOOKUP(B10,梦灵属性!$F$38:$F$41,梦灵属性!$E$38:$E$41)*C10</f>
        <v>#REF!</v>
      </c>
      <c r="G10" s="22" t="e">
        <f ca="1">_xlfn.XLOOKUP($B10,梦灵属性!$F$38:$F$41,梦灵属性!$E$38:$E$41)*$C10</f>
        <v>#REF!</v>
      </c>
      <c r="H10" s="22"/>
      <c r="I10" s="56">
        <f ca="1">OFFSET(梦灵图鉴!F$10,MATCH(A10,梦灵图鉴!$E$11:$E$61,1),0)*SUM(梦灵属性!$E$26:$J$26)+OFFSET(梦灵图鉴!H$10,MATCH(A10,梦灵图鉴!$G$11:$G$61,1),0)*SUM(梦灵属性!$E$27:$J$27)+OFFSET(梦灵图鉴!J$10,MATCH(A10,梦灵图鉴!$I$11:$I$61,1),0)*SUM(梦灵属性!$E$28:$J$28)+OFFSET(梦灵图鉴!L$10,MATCH(A10,梦灵图鉴!$K$11:$K$61,1),0)*SUM(梦灵属性!$E$29:$J$29)</f>
        <v>2.058</v>
      </c>
      <c r="J10" s="56"/>
      <c r="K10" s="56"/>
      <c r="L10" s="22"/>
      <c r="M10" s="22"/>
      <c r="N10" s="22"/>
      <c r="P10" s="3">
        <v>3</v>
      </c>
      <c r="Q10" s="3">
        <v>4</v>
      </c>
      <c r="R10" s="3">
        <f ca="1">OFFSET(梦灵属性!G$37,$P10-2,0)</f>
        <v>0</v>
      </c>
      <c r="S10" s="3">
        <f ca="1">OFFSET(梦灵属性!H$37,$P10-2,0)</f>
        <v>0</v>
      </c>
      <c r="T10" s="3">
        <f ca="1">OFFSET(梦灵属性!$E$37,$P10-2,0)*$Q10</f>
        <v>0.16</v>
      </c>
      <c r="U10" s="3">
        <f ca="1">OFFSET(梦灵属性!$E$37,$P10-2,0)*$Q10</f>
        <v>0.16</v>
      </c>
    </row>
    <row r="11" ht="16.5" spans="1:28">
      <c r="A11" s="54">
        <v>5</v>
      </c>
      <c r="B11" s="35">
        <f ca="1">OFFSET(梦灵本体产出!$G$6,MATCH(A11,梦灵本体产出!$I$7:$I$30,1),0)</f>
        <v>5</v>
      </c>
      <c r="C11" s="35" t="e">
        <f ca="1">MATCH(A11,OFFSET(梦灵属性!#REF!,50*(B11-3),0))</f>
        <v>#REF!</v>
      </c>
      <c r="D11" s="55"/>
      <c r="E11" s="55"/>
      <c r="F11" s="22" t="e">
        <f ca="1">_xlfn.XLOOKUP(B11,梦灵属性!$F$38:$F$41,梦灵属性!$E$38:$E$41)*C11</f>
        <v>#REF!</v>
      </c>
      <c r="G11" s="22" t="e">
        <f ca="1">_xlfn.XLOOKUP($B11,梦灵属性!$F$38:$F$41,梦灵属性!$E$38:$E$41)*$C11</f>
        <v>#REF!</v>
      </c>
      <c r="H11" s="22"/>
      <c r="I11" s="56">
        <f ca="1">OFFSET(梦灵图鉴!F$10,MATCH(A11,梦灵图鉴!$E$11:$E$61,1),0)*SUM(梦灵属性!$E$26:$J$26)+OFFSET(梦灵图鉴!H$10,MATCH(A11,梦灵图鉴!$G$11:$G$61,1),0)*SUM(梦灵属性!$E$27:$J$27)+OFFSET(梦灵图鉴!J$10,MATCH(A11,梦灵图鉴!$I$11:$I$61,1),0)*SUM(梦灵属性!$E$28:$J$28)+OFFSET(梦灵图鉴!L$10,MATCH(A11,梦灵图鉴!$K$11:$K$61,1),0)*SUM(梦灵属性!$E$29:$J$29)</f>
        <v>2.244</v>
      </c>
      <c r="J11" s="56"/>
      <c r="K11" s="56"/>
      <c r="L11" s="22"/>
      <c r="M11" s="22"/>
      <c r="N11" s="22"/>
      <c r="P11" s="3">
        <v>3</v>
      </c>
      <c r="Q11" s="3">
        <v>5</v>
      </c>
      <c r="R11" s="3">
        <f ca="1">OFFSET(梦灵属性!G$37,$P11-2,0)</f>
        <v>0</v>
      </c>
      <c r="S11" s="3">
        <f ca="1">OFFSET(梦灵属性!H$37,$P11-2,0)</f>
        <v>0</v>
      </c>
      <c r="T11" s="3">
        <f ca="1">OFFSET(梦灵属性!$E$37,$P11-2,0)*$Q11</f>
        <v>0.2</v>
      </c>
      <c r="U11" s="3">
        <f ca="1">OFFSET(梦灵属性!$E$37,$P11-2,0)*$Q11</f>
        <v>0.2</v>
      </c>
    </row>
    <row r="12" ht="16.5" spans="1:28">
      <c r="A12" s="54">
        <v>6</v>
      </c>
      <c r="B12" s="35">
        <f ca="1">OFFSET(梦灵本体产出!$G$6,MATCH(A12,梦灵本体产出!$I$7:$I$30,1),0)</f>
        <v>5</v>
      </c>
      <c r="C12" s="35" t="e">
        <f ca="1">MATCH(A12,OFFSET(梦灵属性!#REF!,50*(B12-3),0))</f>
        <v>#REF!</v>
      </c>
      <c r="D12" s="55"/>
      <c r="E12" s="55"/>
      <c r="F12" s="22" t="e">
        <f ca="1">_xlfn.XLOOKUP(B12,梦灵属性!$F$38:$F$41,梦灵属性!$E$38:$E$41)*C12</f>
        <v>#REF!</v>
      </c>
      <c r="G12" s="22" t="e">
        <f ca="1">_xlfn.XLOOKUP($B12,梦灵属性!$F$38:$F$41,梦灵属性!$E$38:$E$41)*$C12</f>
        <v>#REF!</v>
      </c>
      <c r="H12" s="22"/>
      <c r="I12" s="56">
        <f ca="1">OFFSET(梦灵图鉴!F$10,MATCH(A12,梦灵图鉴!$E$11:$E$61,1),0)*SUM(梦灵属性!$E$26:$J$26)+OFFSET(梦灵图鉴!H$10,MATCH(A12,梦灵图鉴!$G$11:$G$61,1),0)*SUM(梦灵属性!$E$27:$J$27)+OFFSET(梦灵图鉴!J$10,MATCH(A12,梦灵图鉴!$I$11:$I$61,1),0)*SUM(梦灵属性!$E$28:$J$28)+OFFSET(梦灵图鉴!L$10,MATCH(A12,梦灵图鉴!$K$11:$K$61,1),0)*SUM(梦灵属性!$E$29:$J$29)</f>
        <v>2.616</v>
      </c>
      <c r="J12" s="56"/>
      <c r="K12" s="56"/>
      <c r="L12" s="22"/>
      <c r="M12" s="22"/>
      <c r="N12" s="22"/>
      <c r="P12" s="3">
        <v>3</v>
      </c>
      <c r="Q12" s="3">
        <v>6</v>
      </c>
      <c r="R12" s="3">
        <f ca="1">OFFSET(梦灵属性!G$37,$P12-2,0)</f>
        <v>0</v>
      </c>
      <c r="S12" s="3">
        <f ca="1">OFFSET(梦灵属性!H$37,$P12-2,0)</f>
        <v>0</v>
      </c>
      <c r="T12" s="3">
        <f ca="1">OFFSET(梦灵属性!$E$37,$P12-2,0)*$Q12</f>
        <v>0.24</v>
      </c>
      <c r="U12" s="3">
        <f ca="1">OFFSET(梦灵属性!$E$37,$P12-2,0)*$Q12</f>
        <v>0.24</v>
      </c>
    </row>
    <row r="13" ht="16.5" spans="1:28">
      <c r="A13" s="54">
        <v>7</v>
      </c>
      <c r="B13" s="35">
        <f ca="1">OFFSET(梦灵本体产出!$G$6,MATCH(A13,梦灵本体产出!$I$7:$I$30,1),0)</f>
        <v>5</v>
      </c>
      <c r="C13" s="35" t="e">
        <f ca="1">MATCH(A13,OFFSET(梦灵属性!#REF!,50*(B13-3),0))</f>
        <v>#REF!</v>
      </c>
      <c r="D13" s="55"/>
      <c r="E13" s="55"/>
      <c r="F13" s="22" t="e">
        <f ca="1">_xlfn.XLOOKUP(B13,梦灵属性!$F$38:$F$41,梦灵属性!$E$38:$E$41)*C13</f>
        <v>#REF!</v>
      </c>
      <c r="G13" s="22" t="e">
        <f ca="1">_xlfn.XLOOKUP($B13,梦灵属性!$F$38:$F$41,梦灵属性!$E$38:$E$41)*$C13</f>
        <v>#REF!</v>
      </c>
      <c r="H13" s="22"/>
      <c r="I13" s="56">
        <f ca="1">OFFSET(梦灵图鉴!F$10,MATCH(A13,梦灵图鉴!$E$11:$E$61,1),0)*SUM(梦灵属性!$E$26:$J$26)+OFFSET(梦灵图鉴!H$10,MATCH(A13,梦灵图鉴!$G$11:$G$61,1),0)*SUM(梦灵属性!$E$27:$J$27)+OFFSET(梦灵图鉴!J$10,MATCH(A13,梦灵图鉴!$I$11:$I$61,1),0)*SUM(梦灵属性!$E$28:$J$28)+OFFSET(梦灵图鉴!L$10,MATCH(A13,梦灵图鉴!$K$11:$K$61,1),0)*SUM(梦灵属性!$E$29:$J$29)</f>
        <v>2.616</v>
      </c>
      <c r="J13" s="56"/>
      <c r="K13" s="56"/>
      <c r="L13" s="22"/>
      <c r="M13" s="22"/>
      <c r="N13" s="22"/>
      <c r="P13" s="3">
        <v>3</v>
      </c>
      <c r="Q13" s="3">
        <v>7</v>
      </c>
      <c r="R13" s="3">
        <f ca="1">OFFSET(梦灵属性!G$37,$P13-2,0)</f>
        <v>0</v>
      </c>
      <c r="S13" s="3">
        <f ca="1">OFFSET(梦灵属性!H$37,$P13-2,0)</f>
        <v>0</v>
      </c>
      <c r="T13" s="3">
        <f ca="1">OFFSET(梦灵属性!$E$37,$P13-2,0)*$Q13</f>
        <v>0.28</v>
      </c>
      <c r="U13" s="3">
        <f ca="1">OFFSET(梦灵属性!$E$37,$P13-2,0)*$Q13</f>
        <v>0.28</v>
      </c>
    </row>
    <row r="14" ht="16.5" spans="1:28">
      <c r="A14" s="54">
        <v>8</v>
      </c>
      <c r="B14" s="35">
        <f ca="1">OFFSET(梦灵本体产出!$G$6,MATCH(A14,梦灵本体产出!$I$7:$I$30,1),0)</f>
        <v>6</v>
      </c>
      <c r="C14" s="35" t="e">
        <f ca="1">MATCH(A14,OFFSET(梦灵属性!#REF!,50*(B14-3),0))</f>
        <v>#REF!</v>
      </c>
      <c r="D14" s="55"/>
      <c r="E14" s="55"/>
      <c r="F14" s="22" t="e">
        <f ca="1">_xlfn.XLOOKUP(B14,梦灵属性!$F$38:$F$41,梦灵属性!$E$38:$E$41)*C14</f>
        <v>#REF!</v>
      </c>
      <c r="G14" s="22" t="e">
        <f ca="1">_xlfn.XLOOKUP($B14,梦灵属性!$F$38:$F$41,梦灵属性!$E$38:$E$41)*$C14</f>
        <v>#REF!</v>
      </c>
      <c r="H14" s="22"/>
      <c r="I14" s="56">
        <f ca="1">OFFSET(梦灵图鉴!F$10,MATCH(A14,梦灵图鉴!$E$11:$E$61,1),0)*SUM(梦灵属性!$E$26:$J$26)+OFFSET(梦灵图鉴!H$10,MATCH(A14,梦灵图鉴!$G$11:$G$61,1),0)*SUM(梦灵属性!$E$27:$J$27)+OFFSET(梦灵图鉴!J$10,MATCH(A14,梦灵图鉴!$I$11:$I$61,1),0)*SUM(梦灵属性!$E$28:$J$28)+OFFSET(梦灵图鉴!L$10,MATCH(A14,梦灵图鉴!$K$11:$K$61,1),0)*SUM(梦灵属性!$E$29:$J$29)</f>
        <v>2.718</v>
      </c>
      <c r="J14" s="56"/>
      <c r="K14" s="56"/>
      <c r="L14" s="22"/>
      <c r="M14" s="22"/>
      <c r="N14" s="22"/>
      <c r="P14" s="3">
        <v>3</v>
      </c>
      <c r="Q14" s="3">
        <v>8</v>
      </c>
      <c r="R14" s="3">
        <f ca="1">OFFSET(梦灵属性!G$37,$P14-2,0)</f>
        <v>0</v>
      </c>
      <c r="S14" s="3">
        <f ca="1">OFFSET(梦灵属性!H$37,$P14-2,0)</f>
        <v>0</v>
      </c>
      <c r="T14" s="3">
        <f ca="1">OFFSET(梦灵属性!$E$37,$P14-2,0)*$Q14</f>
        <v>0.32</v>
      </c>
      <c r="U14" s="3">
        <f ca="1">OFFSET(梦灵属性!$E$37,$P14-2,0)*$Q14</f>
        <v>0.32</v>
      </c>
    </row>
    <row r="15" ht="16.5" spans="1:28">
      <c r="A15" s="54">
        <v>9</v>
      </c>
      <c r="B15" s="35">
        <f ca="1">OFFSET(梦灵本体产出!$G$6,MATCH(A15,梦灵本体产出!$I$7:$I$30,1),0)</f>
        <v>6</v>
      </c>
      <c r="C15" s="35" t="e">
        <f ca="1">MATCH(A15,OFFSET(梦灵属性!#REF!,50*(B15-3),0))</f>
        <v>#REF!</v>
      </c>
      <c r="D15" s="55"/>
      <c r="E15" s="55"/>
      <c r="F15" s="22" t="e">
        <f ca="1">_xlfn.XLOOKUP(B15,梦灵属性!$F$38:$F$41,梦灵属性!$E$38:$E$41)*C15</f>
        <v>#REF!</v>
      </c>
      <c r="G15" s="22" t="e">
        <f ca="1">_xlfn.XLOOKUP($B15,梦灵属性!$F$38:$F$41,梦灵属性!$E$38:$E$41)*$C15</f>
        <v>#REF!</v>
      </c>
      <c r="H15" s="22"/>
      <c r="I15" s="56">
        <f ca="1">OFFSET(梦灵图鉴!F$10,MATCH(A15,梦灵图鉴!$E$11:$E$61,1),0)*SUM(梦灵属性!$E$26:$J$26)+OFFSET(梦灵图鉴!H$10,MATCH(A15,梦灵图鉴!$G$11:$G$61,1),0)*SUM(梦灵属性!$E$27:$J$27)+OFFSET(梦灵图鉴!J$10,MATCH(A15,梦灵图鉴!$I$11:$I$61,1),0)*SUM(梦灵属性!$E$28:$J$28)+OFFSET(梦灵图鉴!L$10,MATCH(A15,梦灵图鉴!$K$11:$K$61,1),0)*SUM(梦灵属性!$E$29:$J$29)</f>
        <v>2.802</v>
      </c>
      <c r="J15" s="56"/>
      <c r="K15" s="56"/>
      <c r="L15" s="22"/>
      <c r="M15" s="22"/>
      <c r="N15" s="22"/>
      <c r="P15" s="3">
        <v>3</v>
      </c>
      <c r="Q15" s="3">
        <v>9</v>
      </c>
      <c r="R15" s="3">
        <f ca="1">OFFSET(梦灵属性!G$37,$P15-2,0)</f>
        <v>0</v>
      </c>
      <c r="S15" s="3">
        <f ca="1">OFFSET(梦灵属性!H$37,$P15-2,0)</f>
        <v>0</v>
      </c>
      <c r="T15" s="3">
        <f ca="1">OFFSET(梦灵属性!$E$37,$P15-2,0)*$Q15</f>
        <v>0.36</v>
      </c>
      <c r="U15" s="3">
        <f ca="1">OFFSET(梦灵属性!$E$37,$P15-2,0)*$Q15</f>
        <v>0.36</v>
      </c>
    </row>
    <row r="16" ht="16.5" spans="1:28">
      <c r="A16" s="54">
        <v>10</v>
      </c>
      <c r="B16" s="35">
        <f ca="1">OFFSET(梦灵本体产出!$G$6,MATCH(A16,梦灵本体产出!$I$7:$I$30,1),0)</f>
        <v>6</v>
      </c>
      <c r="C16" s="35" t="e">
        <f ca="1">MATCH(A16,OFFSET(梦灵属性!#REF!,50*(B16-3),0))</f>
        <v>#REF!</v>
      </c>
      <c r="D16" s="55"/>
      <c r="E16" s="55"/>
      <c r="F16" s="22" t="e">
        <f ca="1">_xlfn.XLOOKUP(B16,梦灵属性!$F$38:$F$41,梦灵属性!$E$38:$E$41)*C16</f>
        <v>#REF!</v>
      </c>
      <c r="G16" s="22" t="e">
        <f ca="1">_xlfn.XLOOKUP($B16,梦灵属性!$F$38:$F$41,梦灵属性!$E$38:$E$41)*$C16</f>
        <v>#REF!</v>
      </c>
      <c r="H16" s="22"/>
      <c r="I16" s="56">
        <f ca="1">OFFSET(梦灵图鉴!F$10,MATCH(A16,梦灵图鉴!$E$11:$E$61,1),0)*SUM(梦灵属性!$E$26:$J$26)+OFFSET(梦灵图鉴!H$10,MATCH(A16,梦灵图鉴!$G$11:$G$61,1),0)*SUM(梦灵属性!$E$27:$J$27)+OFFSET(梦灵图鉴!J$10,MATCH(A16,梦灵图鉴!$I$11:$I$61,1),0)*SUM(梦灵属性!$E$28:$J$28)+OFFSET(梦灵图鉴!L$10,MATCH(A16,梦灵图鉴!$K$11:$K$61,1),0)*SUM(梦灵属性!$E$29:$J$29)</f>
        <v>2.874</v>
      </c>
      <c r="J16" s="56"/>
      <c r="K16" s="56"/>
      <c r="L16" s="22"/>
      <c r="M16" s="22"/>
      <c r="N16" s="22"/>
      <c r="P16" s="3">
        <v>3</v>
      </c>
      <c r="Q16" s="3">
        <v>10</v>
      </c>
      <c r="R16" s="3">
        <f ca="1">OFFSET(梦灵属性!G$37,$P16-2,0)</f>
        <v>0</v>
      </c>
      <c r="S16" s="3">
        <f ca="1">OFFSET(梦灵属性!H$37,$P16-2,0)</f>
        <v>0</v>
      </c>
      <c r="T16" s="3">
        <f ca="1">OFFSET(梦灵属性!$E$37,$P16-2,0)*$Q16</f>
        <v>0.4</v>
      </c>
      <c r="U16" s="3">
        <f ca="1">OFFSET(梦灵属性!$E$37,$P16-2,0)*$Q16</f>
        <v>0.4</v>
      </c>
    </row>
    <row r="17" ht="16.5" spans="1:21">
      <c r="A17" s="54">
        <v>11</v>
      </c>
      <c r="B17" s="35">
        <f ca="1">OFFSET(梦灵本体产出!$G$6,MATCH(A17,梦灵本体产出!$I$7:$I$30,1),0)</f>
        <v>6</v>
      </c>
      <c r="C17" s="35" t="e">
        <f ca="1">MATCH(A17,OFFSET(梦灵属性!#REF!,50*(B17-3),0))</f>
        <v>#REF!</v>
      </c>
      <c r="D17" s="55"/>
      <c r="E17" s="55"/>
      <c r="F17" s="22" t="e">
        <f ca="1">_xlfn.XLOOKUP(B17,梦灵属性!$F$38:$F$41,梦灵属性!$E$38:$E$41)*C17</f>
        <v>#REF!</v>
      </c>
      <c r="G17" s="22" t="e">
        <f ca="1">_xlfn.XLOOKUP($B17,梦灵属性!$F$38:$F$41,梦灵属性!$E$38:$E$41)*$C17</f>
        <v>#REF!</v>
      </c>
      <c r="H17" s="22"/>
      <c r="I17" s="56">
        <f ca="1">OFFSET(梦灵图鉴!F$10,MATCH(A17,梦灵图鉴!$E$11:$E$61,1),0)*SUM(梦灵属性!$E$26:$J$26)+OFFSET(梦灵图鉴!H$10,MATCH(A17,梦灵图鉴!$G$11:$G$61,1),0)*SUM(梦灵属性!$E$27:$J$27)+OFFSET(梦灵图鉴!J$10,MATCH(A17,梦灵图鉴!$I$11:$I$61,1),0)*SUM(梦灵属性!$E$28:$J$28)+OFFSET(梦灵图鉴!L$10,MATCH(A17,梦灵图鉴!$K$11:$K$61,1),0)*SUM(梦灵属性!$E$29:$J$29)</f>
        <v>3.072</v>
      </c>
      <c r="J17" s="56"/>
      <c r="K17" s="56"/>
      <c r="L17" s="22"/>
      <c r="M17" s="22"/>
      <c r="N17" s="22"/>
      <c r="P17" s="3">
        <v>3</v>
      </c>
      <c r="Q17" s="3">
        <v>11</v>
      </c>
      <c r="R17" s="3">
        <f ca="1">OFFSET(梦灵属性!G$37,$P17-2,0)</f>
        <v>0</v>
      </c>
      <c r="S17" s="3">
        <f ca="1">OFFSET(梦灵属性!H$37,$P17-2,0)</f>
        <v>0</v>
      </c>
      <c r="T17" s="3">
        <f ca="1">OFFSET(梦灵属性!$E$37,$P17-2,0)*$Q17</f>
        <v>0.44</v>
      </c>
      <c r="U17" s="3">
        <f ca="1">OFFSET(梦灵属性!$E$37,$P17-2,0)*$Q17</f>
        <v>0.44</v>
      </c>
    </row>
    <row r="18" ht="16.5" spans="1:21">
      <c r="A18" s="54">
        <v>12</v>
      </c>
      <c r="B18" s="35">
        <f ca="1">OFFSET(梦灵本体产出!$G$6,MATCH(A18,梦灵本体产出!$I$7:$I$30,1),0)</f>
        <v>6</v>
      </c>
      <c r="C18" s="35" t="e">
        <f ca="1">MATCH(A18,OFFSET(梦灵属性!#REF!,50*(B18-3),0))</f>
        <v>#REF!</v>
      </c>
      <c r="D18" s="55"/>
      <c r="E18" s="55"/>
      <c r="F18" s="22" t="e">
        <f ca="1">_xlfn.XLOOKUP(B18,梦灵属性!$F$38:$F$41,梦灵属性!$E$38:$E$41)*C18</f>
        <v>#REF!</v>
      </c>
      <c r="G18" s="22" t="e">
        <f ca="1">_xlfn.XLOOKUP($B18,梦灵属性!$F$38:$F$41,梦灵属性!$E$38:$E$41)*$C18</f>
        <v>#REF!</v>
      </c>
      <c r="H18" s="22"/>
      <c r="I18" s="56">
        <f ca="1">OFFSET(梦灵图鉴!F$10,MATCH(A18,梦灵图鉴!$E$11:$E$61,1),0)*SUM(梦灵属性!$E$26:$J$26)+OFFSET(梦灵图鉴!H$10,MATCH(A18,梦灵图鉴!$G$11:$G$61,1),0)*SUM(梦灵属性!$E$27:$J$27)+OFFSET(梦灵图鉴!J$10,MATCH(A18,梦灵图鉴!$I$11:$I$61,1),0)*SUM(梦灵属性!$E$28:$J$28)+OFFSET(梦灵图鉴!L$10,MATCH(A18,梦灵图鉴!$K$11:$K$61,1),0)*SUM(梦灵属性!$E$29:$J$29)</f>
        <v>3.252</v>
      </c>
      <c r="J18" s="56"/>
      <c r="K18" s="56"/>
      <c r="L18" s="22"/>
      <c r="M18" s="22"/>
      <c r="N18" s="22"/>
      <c r="P18" s="3">
        <v>3</v>
      </c>
      <c r="Q18" s="3">
        <v>12</v>
      </c>
      <c r="R18" s="3">
        <f ca="1">OFFSET(梦灵属性!G$37,$P18-2,0)</f>
        <v>0</v>
      </c>
      <c r="S18" s="3">
        <f ca="1">OFFSET(梦灵属性!H$37,$P18-2,0)</f>
        <v>0</v>
      </c>
      <c r="T18" s="3">
        <f ca="1">OFFSET(梦灵属性!$E$37,$P18-2,0)*$Q18</f>
        <v>0.48</v>
      </c>
      <c r="U18" s="3">
        <f ca="1">OFFSET(梦灵属性!$E$37,$P18-2,0)*$Q18</f>
        <v>0.48</v>
      </c>
    </row>
    <row r="19" ht="16.5" spans="1:21">
      <c r="A19" s="54">
        <v>13</v>
      </c>
      <c r="B19" s="35">
        <f ca="1">OFFSET(梦灵本体产出!$G$6,MATCH(A19,梦灵本体产出!$I$7:$I$30,1),0)</f>
        <v>6</v>
      </c>
      <c r="C19" s="35" t="e">
        <f ca="1">MATCH(A19,OFFSET(梦灵属性!#REF!,50*(B19-3),0))</f>
        <v>#REF!</v>
      </c>
      <c r="D19" s="55"/>
      <c r="E19" s="55"/>
      <c r="F19" s="22" t="e">
        <f ca="1">_xlfn.XLOOKUP(B19,梦灵属性!$F$38:$F$41,梦灵属性!$E$38:$E$41)*C19</f>
        <v>#REF!</v>
      </c>
      <c r="G19" s="22" t="e">
        <f ca="1">_xlfn.XLOOKUP($B19,梦灵属性!$F$38:$F$41,梦灵属性!$E$38:$E$41)*$C19</f>
        <v>#REF!</v>
      </c>
      <c r="H19" s="22"/>
      <c r="I19" s="56">
        <f ca="1">OFFSET(梦灵图鉴!F$10,MATCH(A19,梦灵图鉴!$E$11:$E$61,1),0)*SUM(梦灵属性!$E$26:$J$26)+OFFSET(梦灵图鉴!H$10,MATCH(A19,梦灵图鉴!$G$11:$G$61,1),0)*SUM(梦灵属性!$E$27:$J$27)+OFFSET(梦灵图鉴!J$10,MATCH(A19,梦灵图鉴!$I$11:$I$61,1),0)*SUM(梦灵属性!$E$28:$J$28)+OFFSET(梦灵图鉴!L$10,MATCH(A19,梦灵图鉴!$K$11:$K$61,1),0)*SUM(梦灵属性!$E$29:$J$29)</f>
        <v>3.822</v>
      </c>
      <c r="J19" s="56"/>
      <c r="K19" s="56"/>
      <c r="L19" s="22"/>
      <c r="M19" s="22"/>
      <c r="N19" s="22"/>
      <c r="P19" s="3">
        <v>3</v>
      </c>
      <c r="Q19" s="3">
        <v>13</v>
      </c>
      <c r="R19" s="3">
        <f ca="1">OFFSET(梦灵属性!G$37,$P19-2,0)</f>
        <v>0</v>
      </c>
      <c r="S19" s="3">
        <f ca="1">OFFSET(梦灵属性!H$37,$P19-2,0)</f>
        <v>0</v>
      </c>
      <c r="T19" s="3">
        <f ca="1">OFFSET(梦灵属性!$E$37,$P19-2,0)*$Q19</f>
        <v>0.52</v>
      </c>
      <c r="U19" s="3">
        <f ca="1">OFFSET(梦灵属性!$E$37,$P19-2,0)*$Q19</f>
        <v>0.52</v>
      </c>
    </row>
    <row r="20" ht="16.5" spans="1:21">
      <c r="A20" s="54">
        <v>14</v>
      </c>
      <c r="B20" s="35">
        <f ca="1">OFFSET(梦灵本体产出!$G$6,MATCH(A20,梦灵本体产出!$I$7:$I$30,1),0)</f>
        <v>6</v>
      </c>
      <c r="C20" s="35" t="e">
        <f ca="1">MATCH(A20,OFFSET(梦灵属性!#REF!,50*(B20-3),0))</f>
        <v>#REF!</v>
      </c>
      <c r="D20" s="55"/>
      <c r="E20" s="55"/>
      <c r="F20" s="22" t="e">
        <f ca="1">_xlfn.XLOOKUP(B20,梦灵属性!$F$38:$F$41,梦灵属性!$E$38:$E$41)*C20</f>
        <v>#REF!</v>
      </c>
      <c r="G20" s="22" t="e">
        <f ca="1">_xlfn.XLOOKUP($B20,梦灵属性!$F$38:$F$41,梦灵属性!$E$38:$E$41)*$C20</f>
        <v>#REF!</v>
      </c>
      <c r="H20" s="22"/>
      <c r="I20" s="56">
        <f ca="1">OFFSET(梦灵图鉴!F$10,MATCH(A20,梦灵图鉴!$E$11:$E$61,1),0)*SUM(梦灵属性!$E$26:$J$26)+OFFSET(梦灵图鉴!H$10,MATCH(A20,梦灵图鉴!$G$11:$G$61,1),0)*SUM(梦灵属性!$E$27:$J$27)+OFFSET(梦灵图鉴!J$10,MATCH(A20,梦灵图鉴!$I$11:$I$61,1),0)*SUM(梦灵属性!$E$28:$J$28)+OFFSET(梦灵图鉴!L$10,MATCH(A20,梦灵图鉴!$K$11:$K$61,1),0)*SUM(梦灵属性!$E$29:$J$29)</f>
        <v>3.978</v>
      </c>
      <c r="J20" s="56"/>
      <c r="K20" s="56"/>
      <c r="L20" s="22"/>
      <c r="M20" s="22"/>
      <c r="N20" s="22"/>
      <c r="P20" s="3">
        <v>3</v>
      </c>
      <c r="Q20" s="3">
        <v>14</v>
      </c>
      <c r="R20" s="3">
        <f ca="1">OFFSET(梦灵属性!G$37,$P20-2,0)</f>
        <v>0</v>
      </c>
      <c r="S20" s="3">
        <f ca="1">OFFSET(梦灵属性!H$37,$P20-2,0)</f>
        <v>0</v>
      </c>
      <c r="T20" s="3">
        <f ca="1">OFFSET(梦灵属性!$E$37,$P20-2,0)*$Q20</f>
        <v>0.56</v>
      </c>
      <c r="U20" s="3">
        <f ca="1">OFFSET(梦灵属性!$E$37,$P20-2,0)*$Q20</f>
        <v>0.56</v>
      </c>
    </row>
    <row r="21" ht="16.5" spans="1:21">
      <c r="A21" s="54">
        <v>15</v>
      </c>
      <c r="B21" s="35">
        <f ca="1">OFFSET(梦灵本体产出!$G$6,MATCH(A21,梦灵本体产出!$I$7:$I$30,1),0)</f>
        <v>6</v>
      </c>
      <c r="C21" s="35" t="e">
        <f ca="1">MATCH(A21,OFFSET(梦灵属性!#REF!,50*(B21-3),0))</f>
        <v>#REF!</v>
      </c>
      <c r="D21" s="55"/>
      <c r="E21" s="55"/>
      <c r="F21" s="22" t="e">
        <f ca="1">_xlfn.XLOOKUP(B21,梦灵属性!$F$38:$F$41,梦灵属性!$E$38:$E$41)*C21</f>
        <v>#REF!</v>
      </c>
      <c r="G21" s="22" t="e">
        <f ca="1">_xlfn.XLOOKUP($B21,梦灵属性!$F$38:$F$41,梦灵属性!$E$38:$E$41)*$C21</f>
        <v>#REF!</v>
      </c>
      <c r="H21" s="22"/>
      <c r="I21" s="56">
        <f ca="1">OFFSET(梦灵图鉴!F$10,MATCH(A21,梦灵图鉴!$E$11:$E$61,1),0)*SUM(梦灵属性!$E$26:$J$26)+OFFSET(梦灵图鉴!H$10,MATCH(A21,梦灵图鉴!$G$11:$G$61,1),0)*SUM(梦灵属性!$E$27:$J$27)+OFFSET(梦灵图鉴!J$10,MATCH(A21,梦灵图鉴!$I$11:$I$61,1),0)*SUM(梦灵属性!$E$28:$J$28)+OFFSET(梦灵图鉴!L$10,MATCH(A21,梦灵图鉴!$K$11:$K$61,1),0)*SUM(梦灵属性!$E$29:$J$29)</f>
        <v>4.104</v>
      </c>
      <c r="J21" s="56"/>
      <c r="K21" s="56"/>
      <c r="L21" s="22"/>
      <c r="M21" s="22"/>
      <c r="N21" s="22"/>
      <c r="P21" s="3">
        <v>3</v>
      </c>
      <c r="Q21" s="3">
        <v>15</v>
      </c>
      <c r="R21" s="3">
        <f ca="1">OFFSET(梦灵属性!G$37,$P21-2,0)</f>
        <v>0</v>
      </c>
      <c r="S21" s="3">
        <f ca="1">OFFSET(梦灵属性!H$37,$P21-2,0)</f>
        <v>0</v>
      </c>
      <c r="T21" s="3">
        <f ca="1">OFFSET(梦灵属性!$E$37,$P21-2,0)*$Q21</f>
        <v>0.6</v>
      </c>
      <c r="U21" s="3">
        <f ca="1">OFFSET(梦灵属性!$E$37,$P21-2,0)*$Q21</f>
        <v>0.6</v>
      </c>
    </row>
    <row r="22" ht="16.5" spans="1:21">
      <c r="A22" s="54">
        <v>16</v>
      </c>
      <c r="B22" s="35">
        <f ca="1">OFFSET(梦灵本体产出!$G$6,MATCH(A22,梦灵本体产出!$I$7:$I$30,1),0)</f>
        <v>6</v>
      </c>
      <c r="C22" s="35" t="e">
        <f ca="1">MATCH(A22,OFFSET(梦灵属性!#REF!,50*(B22-3),0))</f>
        <v>#REF!</v>
      </c>
      <c r="D22" s="55"/>
      <c r="E22" s="55"/>
      <c r="F22" s="22" t="e">
        <f ca="1">_xlfn.XLOOKUP(B22,梦灵属性!$F$38:$F$41,梦灵属性!$E$38:$E$41)*C22</f>
        <v>#REF!</v>
      </c>
      <c r="G22" s="22" t="e">
        <f ca="1">_xlfn.XLOOKUP($B22,梦灵属性!$F$38:$F$41,梦灵属性!$E$38:$E$41)*$C22</f>
        <v>#REF!</v>
      </c>
      <c r="H22" s="22"/>
      <c r="I22" s="56">
        <f ca="1">OFFSET(梦灵图鉴!F$10,MATCH(A22,梦灵图鉴!$E$11:$E$61,1),0)*SUM(梦灵属性!$E$26:$J$26)+OFFSET(梦灵图鉴!H$10,MATCH(A22,梦灵图鉴!$G$11:$G$61,1),0)*SUM(梦灵属性!$E$27:$J$27)+OFFSET(梦灵图鉴!J$10,MATCH(A22,梦灵图鉴!$I$11:$I$61,1),0)*SUM(梦灵属性!$E$28:$J$28)+OFFSET(梦灵图鉴!L$10,MATCH(A22,梦灵图鉴!$K$11:$K$61,1),0)*SUM(梦灵属性!$E$29:$J$29)</f>
        <v>4.176</v>
      </c>
      <c r="J22" s="56"/>
      <c r="K22" s="56"/>
      <c r="L22" s="22"/>
      <c r="M22" s="22"/>
      <c r="N22" s="22"/>
      <c r="P22" s="3">
        <v>3</v>
      </c>
      <c r="Q22" s="3">
        <v>16</v>
      </c>
      <c r="R22" s="3">
        <f ca="1">OFFSET(梦灵属性!G$37,$P22-2,0)</f>
        <v>0</v>
      </c>
      <c r="S22" s="3">
        <f ca="1">OFFSET(梦灵属性!H$37,$P22-2,0)</f>
        <v>0</v>
      </c>
      <c r="T22" s="3">
        <f ca="1">OFFSET(梦灵属性!$E$37,$P22-2,0)*$Q22</f>
        <v>0.64</v>
      </c>
      <c r="U22" s="3">
        <f ca="1">OFFSET(梦灵属性!$E$37,$P22-2,0)*$Q22</f>
        <v>0.64</v>
      </c>
    </row>
    <row r="23" ht="16.5" spans="1:21">
      <c r="A23" s="54">
        <v>17</v>
      </c>
      <c r="B23" s="35">
        <f ca="1">OFFSET(梦灵本体产出!$G$6,MATCH(A23,梦灵本体产出!$I$7:$I$30,1),0)</f>
        <v>6</v>
      </c>
      <c r="C23" s="35" t="e">
        <f ca="1">MATCH(A23,OFFSET(梦灵属性!#REF!,50*(B23-3),0))</f>
        <v>#REF!</v>
      </c>
      <c r="D23" s="55"/>
      <c r="E23" s="55"/>
      <c r="F23" s="22" t="e">
        <f ca="1">_xlfn.XLOOKUP(B23,梦灵属性!$F$38:$F$41,梦灵属性!$E$38:$E$41)*C23</f>
        <v>#REF!</v>
      </c>
      <c r="G23" s="22" t="e">
        <f ca="1">_xlfn.XLOOKUP($B23,梦灵属性!$F$38:$F$41,梦灵属性!$E$38:$E$41)*$C23</f>
        <v>#REF!</v>
      </c>
      <c r="H23" s="22"/>
      <c r="I23" s="56">
        <f ca="1">OFFSET(梦灵图鉴!F$10,MATCH(A23,梦灵图鉴!$E$11:$E$61,1),0)*SUM(梦灵属性!$E$26:$J$26)+OFFSET(梦灵图鉴!H$10,MATCH(A23,梦灵图鉴!$G$11:$G$61,1),0)*SUM(梦灵属性!$E$27:$J$27)+OFFSET(梦灵图鉴!J$10,MATCH(A23,梦灵图鉴!$I$11:$I$61,1),0)*SUM(梦灵属性!$E$28:$J$28)+OFFSET(梦灵图鉴!L$10,MATCH(A23,梦灵图鉴!$K$11:$K$61,1),0)*SUM(梦灵属性!$E$29:$J$29)</f>
        <v>4.272</v>
      </c>
      <c r="J23" s="56"/>
      <c r="K23" s="56"/>
      <c r="L23" s="22"/>
      <c r="M23" s="22"/>
      <c r="N23" s="22"/>
      <c r="P23" s="3">
        <v>3</v>
      </c>
      <c r="Q23" s="3">
        <v>17</v>
      </c>
      <c r="R23" s="3">
        <f ca="1">OFFSET(梦灵属性!G$37,$P23-2,0)</f>
        <v>0</v>
      </c>
      <c r="S23" s="3">
        <f ca="1">OFFSET(梦灵属性!H$37,$P23-2,0)</f>
        <v>0</v>
      </c>
      <c r="T23" s="3">
        <f ca="1">OFFSET(梦灵属性!$E$37,$P23-2,0)*$Q23</f>
        <v>0.68</v>
      </c>
      <c r="U23" s="3">
        <f ca="1">OFFSET(梦灵属性!$E$37,$P23-2,0)*$Q23</f>
        <v>0.68</v>
      </c>
    </row>
    <row r="24" ht="16.5" spans="1:21">
      <c r="A24" s="54">
        <v>18</v>
      </c>
      <c r="B24" s="35">
        <f ca="1">OFFSET(梦灵本体产出!$G$6,MATCH(A24,梦灵本体产出!$I$7:$I$30,1),0)</f>
        <v>6</v>
      </c>
      <c r="C24" s="35" t="e">
        <f ca="1">MATCH(A24,OFFSET(梦灵属性!#REF!,50*(B24-3),0))</f>
        <v>#REF!</v>
      </c>
      <c r="D24" s="55"/>
      <c r="E24" s="55"/>
      <c r="F24" s="22" t="e">
        <f ca="1">_xlfn.XLOOKUP(B24,梦灵属性!$F$38:$F$41,梦灵属性!$E$38:$E$41)*C24</f>
        <v>#REF!</v>
      </c>
      <c r="G24" s="22" t="e">
        <f ca="1">_xlfn.XLOOKUP($B24,梦灵属性!$F$38:$F$41,梦灵属性!$E$38:$E$41)*$C24</f>
        <v>#REF!</v>
      </c>
      <c r="H24" s="22"/>
      <c r="I24" s="56">
        <f ca="1">OFFSET(梦灵图鉴!F$10,MATCH(A24,梦灵图鉴!$E$11:$E$61,1),0)*SUM(梦灵属性!$E$26:$J$26)+OFFSET(梦灵图鉴!H$10,MATCH(A24,梦灵图鉴!$G$11:$G$61,1),0)*SUM(梦灵属性!$E$27:$J$27)+OFFSET(梦灵图鉴!J$10,MATCH(A24,梦灵图鉴!$I$11:$I$61,1),0)*SUM(梦灵属性!$E$28:$J$28)+OFFSET(梦灵图鉴!L$10,MATCH(A24,梦灵图鉴!$K$11:$K$61,1),0)*SUM(梦灵属性!$E$29:$J$29)</f>
        <v>4.458</v>
      </c>
      <c r="J24" s="56"/>
      <c r="K24" s="56"/>
      <c r="L24" s="22"/>
      <c r="M24" s="22"/>
      <c r="N24" s="22"/>
      <c r="P24" s="3">
        <v>3</v>
      </c>
      <c r="Q24" s="3">
        <v>18</v>
      </c>
      <c r="R24" s="3">
        <f ca="1">OFFSET(梦灵属性!G$37,$P24-2,0)</f>
        <v>0</v>
      </c>
      <c r="S24" s="3">
        <f ca="1">OFFSET(梦灵属性!H$37,$P24-2,0)</f>
        <v>0</v>
      </c>
      <c r="T24" s="3">
        <f ca="1">OFFSET(梦灵属性!$E$37,$P24-2,0)*$Q24</f>
        <v>0.72</v>
      </c>
      <c r="U24" s="3">
        <f ca="1">OFFSET(梦灵属性!$E$37,$P24-2,0)*$Q24</f>
        <v>0.72</v>
      </c>
    </row>
    <row r="25" ht="16.5" spans="1:21">
      <c r="A25" s="54">
        <v>19</v>
      </c>
      <c r="B25" s="35">
        <f ca="1">OFFSET(梦灵本体产出!$G$6,MATCH(A25,梦灵本体产出!$I$7:$I$30,1),0)</f>
        <v>6</v>
      </c>
      <c r="C25" s="35" t="e">
        <f ca="1">MATCH(A25,OFFSET(梦灵属性!#REF!,50*(B25-3),0))</f>
        <v>#REF!</v>
      </c>
      <c r="D25" s="55"/>
      <c r="E25" s="55"/>
      <c r="F25" s="22" t="e">
        <f ca="1">_xlfn.XLOOKUP(B25,梦灵属性!$F$38:$F$41,梦灵属性!$E$38:$E$41)*C25</f>
        <v>#REF!</v>
      </c>
      <c r="G25" s="22" t="e">
        <f ca="1">_xlfn.XLOOKUP($B25,梦灵属性!$F$38:$F$41,梦灵属性!$E$38:$E$41)*$C25</f>
        <v>#REF!</v>
      </c>
      <c r="H25" s="22"/>
      <c r="I25" s="56">
        <f ca="1">OFFSET(梦灵图鉴!F$10,MATCH(A25,梦灵图鉴!$E$11:$E$61,1),0)*SUM(梦灵属性!$E$26:$J$26)+OFFSET(梦灵图鉴!H$10,MATCH(A25,梦灵图鉴!$G$11:$G$61,1),0)*SUM(梦灵属性!$E$27:$J$27)+OFFSET(梦灵图鉴!J$10,MATCH(A25,梦灵图鉴!$I$11:$I$61,1),0)*SUM(梦灵属性!$E$28:$J$28)+OFFSET(梦灵图鉴!L$10,MATCH(A25,梦灵图鉴!$K$11:$K$61,1),0)*SUM(梦灵属性!$E$29:$J$29)</f>
        <v>4.458</v>
      </c>
      <c r="J25" s="56"/>
      <c r="K25" s="56"/>
      <c r="L25" s="22"/>
      <c r="M25" s="22"/>
      <c r="N25" s="22"/>
      <c r="P25" s="3">
        <v>3</v>
      </c>
      <c r="Q25" s="3">
        <v>19</v>
      </c>
      <c r="R25" s="3">
        <f ca="1">OFFSET(梦灵属性!G$37,$P25-2,0)</f>
        <v>0</v>
      </c>
      <c r="S25" s="3">
        <f ca="1">OFFSET(梦灵属性!H$37,$P25-2,0)</f>
        <v>0</v>
      </c>
      <c r="T25" s="3">
        <f ca="1">OFFSET(梦灵属性!$E$37,$P25-2,0)*$Q25</f>
        <v>0.76</v>
      </c>
      <c r="U25" s="3">
        <f ca="1">OFFSET(梦灵属性!$E$37,$P25-2,0)*$Q25</f>
        <v>0.76</v>
      </c>
    </row>
    <row r="26" ht="16.5" spans="1:21">
      <c r="A26" s="54">
        <v>20</v>
      </c>
      <c r="B26" s="35">
        <f ca="1">OFFSET(梦灵本体产出!$G$6,MATCH(A26,梦灵本体产出!$I$7:$I$30,1),0)</f>
        <v>6</v>
      </c>
      <c r="C26" s="35" t="e">
        <f ca="1">MATCH(A26,OFFSET(梦灵属性!#REF!,50*(B26-3),0))</f>
        <v>#REF!</v>
      </c>
      <c r="D26" s="55"/>
      <c r="E26" s="55"/>
      <c r="F26" s="22" t="e">
        <f ca="1">_xlfn.XLOOKUP(B26,梦灵属性!$F$38:$F$41,梦灵属性!$E$38:$E$41)*C26</f>
        <v>#REF!</v>
      </c>
      <c r="G26" s="22" t="e">
        <f ca="1">_xlfn.XLOOKUP($B26,梦灵属性!$F$38:$F$41,梦灵属性!$E$38:$E$41)*$C26</f>
        <v>#REF!</v>
      </c>
      <c r="H26" s="22"/>
      <c r="I26" s="56">
        <f ca="1">OFFSET(梦灵图鉴!F$10,MATCH(A26,梦灵图鉴!$E$11:$E$61,1),0)*SUM(梦灵属性!$E$26:$J$26)+OFFSET(梦灵图鉴!H$10,MATCH(A26,梦灵图鉴!$G$11:$G$61,1),0)*SUM(梦灵属性!$E$27:$J$27)+OFFSET(梦灵图鉴!J$10,MATCH(A26,梦灵图鉴!$I$11:$I$61,1),0)*SUM(梦灵属性!$E$28:$J$28)+OFFSET(梦灵图鉴!L$10,MATCH(A26,梦灵图鉴!$K$11:$K$61,1),0)*SUM(梦灵属性!$E$29:$J$29)</f>
        <v>4.806</v>
      </c>
      <c r="J26" s="56"/>
      <c r="K26" s="56"/>
      <c r="L26" s="22"/>
      <c r="M26" s="22"/>
      <c r="N26" s="22"/>
      <c r="P26" s="3">
        <v>3</v>
      </c>
      <c r="Q26" s="3">
        <v>20</v>
      </c>
      <c r="R26" s="3">
        <f ca="1">OFFSET(梦灵属性!G$37,$P26-2,0)</f>
        <v>0</v>
      </c>
      <c r="S26" s="3">
        <f ca="1">OFFSET(梦灵属性!H$37,$P26-2,0)</f>
        <v>0</v>
      </c>
      <c r="T26" s="3">
        <f ca="1">OFFSET(梦灵属性!$E$37,$P26-2,0)*$Q26</f>
        <v>0.8</v>
      </c>
      <c r="U26" s="3">
        <f ca="1">OFFSET(梦灵属性!$E$37,$P26-2,0)*$Q26</f>
        <v>0.8</v>
      </c>
    </row>
    <row r="27" ht="16.5" spans="1:21">
      <c r="A27" s="54">
        <v>21</v>
      </c>
      <c r="B27" s="35">
        <f ca="1">OFFSET(梦灵本体产出!$G$6,MATCH(A27,梦灵本体产出!$I$7:$I$30,1),0)</f>
        <v>6</v>
      </c>
      <c r="C27" s="35" t="e">
        <f ca="1">MATCH(A27,OFFSET(梦灵属性!#REF!,50*(B27-3),0))</f>
        <v>#REF!</v>
      </c>
      <c r="D27" s="55"/>
      <c r="E27" s="55"/>
      <c r="F27" s="22" t="e">
        <f ca="1">_xlfn.XLOOKUP(B27,梦灵属性!$F$38:$F$41,梦灵属性!$E$38:$E$41)*C27</f>
        <v>#REF!</v>
      </c>
      <c r="G27" s="22" t="e">
        <f ca="1">_xlfn.XLOOKUP($B27,梦灵属性!$F$38:$F$41,梦灵属性!$E$38:$E$41)*$C27</f>
        <v>#REF!</v>
      </c>
      <c r="H27" s="22"/>
      <c r="I27" s="56">
        <f ca="1">OFFSET(梦灵图鉴!F$10,MATCH(A27,梦灵图鉴!$E$11:$E$61,1),0)*SUM(梦灵属性!$E$26:$J$26)+OFFSET(梦灵图鉴!H$10,MATCH(A27,梦灵图鉴!$G$11:$G$61,1),0)*SUM(梦灵属性!$E$27:$J$27)+OFFSET(梦灵图鉴!J$10,MATCH(A27,梦灵图鉴!$I$11:$I$61,1),0)*SUM(梦灵属性!$E$28:$J$28)+OFFSET(梦灵图鉴!L$10,MATCH(A27,梦灵图鉴!$K$11:$K$61,1),0)*SUM(梦灵属性!$E$29:$J$29)</f>
        <v>4.836</v>
      </c>
      <c r="J27" s="56"/>
      <c r="K27" s="56"/>
      <c r="L27" s="22"/>
      <c r="M27" s="22"/>
      <c r="N27" s="22"/>
      <c r="P27" s="3">
        <v>3</v>
      </c>
      <c r="Q27" s="3">
        <v>21</v>
      </c>
      <c r="R27" s="3">
        <f ca="1">OFFSET(梦灵属性!G$37,$P27-2,0)</f>
        <v>0</v>
      </c>
      <c r="S27" s="3">
        <f ca="1">OFFSET(梦灵属性!H$37,$P27-2,0)</f>
        <v>0</v>
      </c>
      <c r="T27" s="3">
        <f ca="1">OFFSET(梦灵属性!$E$37,$P27-2,0)*$Q27</f>
        <v>0.84</v>
      </c>
      <c r="U27" s="3">
        <f ca="1">OFFSET(梦灵属性!$E$37,$P27-2,0)*$Q27</f>
        <v>0.84</v>
      </c>
    </row>
    <row r="28" ht="16.5" spans="1:21">
      <c r="A28" s="54">
        <v>22</v>
      </c>
      <c r="B28" s="35">
        <f ca="1">OFFSET(梦灵本体产出!$G$6,MATCH(A28,梦灵本体产出!$I$7:$I$30,1),0)</f>
        <v>6</v>
      </c>
      <c r="C28" s="35" t="e">
        <f ca="1">MATCH(A28,OFFSET(梦灵属性!#REF!,50*(B28-3),0))</f>
        <v>#REF!</v>
      </c>
      <c r="D28" s="55"/>
      <c r="E28" s="55"/>
      <c r="F28" s="22" t="e">
        <f ca="1">_xlfn.XLOOKUP(B28,梦灵属性!$F$38:$F$41,梦灵属性!$E$38:$E$41)*C28</f>
        <v>#REF!</v>
      </c>
      <c r="G28" s="22" t="e">
        <f ca="1">_xlfn.XLOOKUP($B28,梦灵属性!$F$38:$F$41,梦灵属性!$E$38:$E$41)*$C28</f>
        <v>#REF!</v>
      </c>
      <c r="H28" s="22"/>
      <c r="I28" s="56">
        <f ca="1">OFFSET(梦灵图鉴!F$10,MATCH(A28,梦灵图鉴!$E$11:$E$61,1),0)*SUM(梦灵属性!$E$26:$J$26)+OFFSET(梦灵图鉴!H$10,MATCH(A28,梦灵图鉴!$G$11:$G$61,1),0)*SUM(梦灵属性!$E$27:$J$27)+OFFSET(梦灵图鉴!J$10,MATCH(A28,梦灵图鉴!$I$11:$I$61,1),0)*SUM(梦灵属性!$E$28:$J$28)+OFFSET(梦灵图鉴!L$10,MATCH(A28,梦灵图鉴!$K$11:$K$61,1),0)*SUM(梦灵属性!$E$29:$J$29)</f>
        <v>4.992</v>
      </c>
      <c r="J28" s="56"/>
      <c r="K28" s="56"/>
      <c r="L28" s="22"/>
      <c r="M28" s="22"/>
      <c r="N28" s="22"/>
      <c r="P28" s="3">
        <v>3</v>
      </c>
      <c r="Q28" s="3">
        <v>22</v>
      </c>
      <c r="R28" s="3">
        <f ca="1">OFFSET(梦灵属性!G$37,$P28-2,0)</f>
        <v>0</v>
      </c>
      <c r="S28" s="3">
        <f ca="1">OFFSET(梦灵属性!H$37,$P28-2,0)</f>
        <v>0</v>
      </c>
      <c r="T28" s="3">
        <f ca="1">OFFSET(梦灵属性!$E$37,$P28-2,0)*$Q28</f>
        <v>0.88</v>
      </c>
      <c r="U28" s="3">
        <f ca="1">OFFSET(梦灵属性!$E$37,$P28-2,0)*$Q28</f>
        <v>0.88</v>
      </c>
    </row>
    <row r="29" ht="16.5" spans="1:21">
      <c r="A29" s="54">
        <v>23</v>
      </c>
      <c r="B29" s="35">
        <f ca="1">OFFSET(梦灵本体产出!$G$6,MATCH(A29,梦灵本体产出!$I$7:$I$30,1),0)</f>
        <v>6</v>
      </c>
      <c r="C29" s="35" t="e">
        <f ca="1">MATCH(A29,OFFSET(梦灵属性!#REF!,50*(B29-3),0))</f>
        <v>#REF!</v>
      </c>
      <c r="D29" s="55"/>
      <c r="E29" s="55"/>
      <c r="F29" s="22" t="e">
        <f ca="1">_xlfn.XLOOKUP(B29,梦灵属性!$F$38:$F$41,梦灵属性!$E$38:$E$41)*C29</f>
        <v>#REF!</v>
      </c>
      <c r="G29" s="22" t="e">
        <f ca="1">_xlfn.XLOOKUP($B29,梦灵属性!$F$38:$F$41,梦灵属性!$E$38:$E$41)*$C29</f>
        <v>#REF!</v>
      </c>
      <c r="H29" s="22"/>
      <c r="I29" s="56">
        <f ca="1">OFFSET(梦灵图鉴!F$10,MATCH(A29,梦灵图鉴!$E$11:$E$61,1),0)*SUM(梦灵属性!$E$26:$J$26)+OFFSET(梦灵图鉴!H$10,MATCH(A29,梦灵图鉴!$G$11:$G$61,1),0)*SUM(梦灵属性!$E$27:$J$27)+OFFSET(梦灵图鉴!J$10,MATCH(A29,梦灵图鉴!$I$11:$I$61,1),0)*SUM(梦灵属性!$E$28:$J$28)+OFFSET(梦灵图鉴!L$10,MATCH(A29,梦灵图鉴!$K$11:$K$61,1),0)*SUM(梦灵属性!$E$29:$J$29)</f>
        <v>5.088</v>
      </c>
      <c r="J29" s="56"/>
      <c r="K29" s="56"/>
      <c r="L29" s="22"/>
      <c r="M29" s="22"/>
      <c r="N29" s="22"/>
      <c r="P29" s="3">
        <v>3</v>
      </c>
      <c r="Q29" s="3">
        <v>23</v>
      </c>
      <c r="R29" s="3">
        <f ca="1">OFFSET(梦灵属性!G$37,$P29-2,0)</f>
        <v>0</v>
      </c>
      <c r="S29" s="3">
        <f ca="1">OFFSET(梦灵属性!H$37,$P29-2,0)</f>
        <v>0</v>
      </c>
      <c r="T29" s="3">
        <f ca="1">OFFSET(梦灵属性!$E$37,$P29-2,0)*$Q29</f>
        <v>0.92</v>
      </c>
      <c r="U29" s="3">
        <f ca="1">OFFSET(梦灵属性!$E$37,$P29-2,0)*$Q29</f>
        <v>0.92</v>
      </c>
    </row>
    <row r="30" ht="16.5" spans="1:21">
      <c r="A30" s="54">
        <v>24</v>
      </c>
      <c r="B30" s="35">
        <f ca="1">OFFSET(梦灵本体产出!$G$6,MATCH(A30,梦灵本体产出!$I$7:$I$30,1),0)</f>
        <v>6</v>
      </c>
      <c r="C30" s="35" t="e">
        <f ca="1">MATCH(A30,OFFSET(梦灵属性!#REF!,50*(B30-3),0))</f>
        <v>#REF!</v>
      </c>
      <c r="D30" s="55"/>
      <c r="E30" s="55"/>
      <c r="F30" s="22" t="e">
        <f ca="1">_xlfn.XLOOKUP(B30,梦灵属性!$F$38:$F$41,梦灵属性!$E$38:$E$41)*C30</f>
        <v>#REF!</v>
      </c>
      <c r="G30" s="22" t="e">
        <f ca="1">_xlfn.XLOOKUP($B30,梦灵属性!$F$38:$F$41,梦灵属性!$E$38:$E$41)*$C30</f>
        <v>#REF!</v>
      </c>
      <c r="H30" s="22"/>
      <c r="I30" s="56">
        <f ca="1">OFFSET(梦灵图鉴!F$10,MATCH(A30,梦灵图鉴!$E$11:$E$61,1),0)*SUM(梦灵属性!$E$26:$J$26)+OFFSET(梦灵图鉴!H$10,MATCH(A30,梦灵图鉴!$G$11:$G$61,1),0)*SUM(梦灵属性!$E$27:$J$27)+OFFSET(梦灵图鉴!J$10,MATCH(A30,梦灵图鉴!$I$11:$I$61,1),0)*SUM(梦灵属性!$E$28:$J$28)+OFFSET(梦灵图鉴!L$10,MATCH(A30,梦灵图鉴!$K$11:$K$61,1),0)*SUM(梦灵属性!$E$29:$J$29)</f>
        <v>5.16</v>
      </c>
      <c r="J30" s="56"/>
      <c r="K30" s="56"/>
      <c r="L30" s="22"/>
      <c r="M30" s="22"/>
      <c r="N30" s="22"/>
      <c r="P30" s="3">
        <v>3</v>
      </c>
      <c r="Q30" s="3">
        <v>24</v>
      </c>
      <c r="R30" s="3">
        <f ca="1">OFFSET(梦灵属性!G$37,$P30-2,0)</f>
        <v>0</v>
      </c>
      <c r="S30" s="3">
        <f ca="1">OFFSET(梦灵属性!H$37,$P30-2,0)</f>
        <v>0</v>
      </c>
      <c r="T30" s="3">
        <f ca="1">OFFSET(梦灵属性!$E$37,$P30-2,0)*$Q30</f>
        <v>0.96</v>
      </c>
      <c r="U30" s="3">
        <f ca="1">OFFSET(梦灵属性!$E$37,$P30-2,0)*$Q30</f>
        <v>0.96</v>
      </c>
    </row>
    <row r="31" ht="16.5" spans="1:21">
      <c r="A31" s="54">
        <v>25</v>
      </c>
      <c r="B31" s="35">
        <f ca="1">OFFSET(梦灵本体产出!$G$6,MATCH(A31,梦灵本体产出!$I$7:$I$30,1),0)</f>
        <v>6</v>
      </c>
      <c r="C31" s="35" t="e">
        <f ca="1">MATCH(A31,OFFSET(梦灵属性!#REF!,50*(B31-3),0))</f>
        <v>#REF!</v>
      </c>
      <c r="D31" s="55"/>
      <c r="E31" s="55"/>
      <c r="F31" s="22" t="e">
        <f ca="1">_xlfn.XLOOKUP(B31,梦灵属性!$F$38:$F$41,梦灵属性!$E$38:$E$41)*C31</f>
        <v>#REF!</v>
      </c>
      <c r="G31" s="22" t="e">
        <f ca="1">_xlfn.XLOOKUP($B31,梦灵属性!$F$38:$F$41,梦灵属性!$E$38:$E$41)*$C31</f>
        <v>#REF!</v>
      </c>
      <c r="H31" s="22"/>
      <c r="I31" s="56">
        <f ca="1">OFFSET(梦灵图鉴!F$10,MATCH(A31,梦灵图鉴!$E$11:$E$61,1),0)*SUM(梦灵属性!$E$26:$J$26)+OFFSET(梦灵图鉴!H$10,MATCH(A31,梦灵图鉴!$G$11:$G$61,1),0)*SUM(梦灵属性!$E$27:$J$27)+OFFSET(梦灵图鉴!J$10,MATCH(A31,梦灵图鉴!$I$11:$I$61,1),0)*SUM(梦灵属性!$E$28:$J$28)+OFFSET(梦灵图鉴!L$10,MATCH(A31,梦灵图鉴!$K$11:$K$61,1),0)*SUM(梦灵属性!$E$29:$J$29)</f>
        <v>5.274</v>
      </c>
      <c r="J31" s="56"/>
      <c r="K31" s="56"/>
      <c r="L31" s="22"/>
      <c r="M31" s="22"/>
      <c r="N31" s="22"/>
      <c r="P31" s="3">
        <v>3</v>
      </c>
      <c r="Q31" s="3">
        <v>25</v>
      </c>
      <c r="R31" s="3">
        <f ca="1">OFFSET(梦灵属性!G$37,$P31-2,0)</f>
        <v>0</v>
      </c>
      <c r="S31" s="3">
        <f ca="1">OFFSET(梦灵属性!H$37,$P31-2,0)</f>
        <v>0</v>
      </c>
      <c r="T31" s="3">
        <f ca="1">OFFSET(梦灵属性!$E$37,$P31-2,0)*$Q31</f>
        <v>1</v>
      </c>
      <c r="U31" s="3">
        <f ca="1">OFFSET(梦灵属性!$E$37,$P31-2,0)*$Q31</f>
        <v>1</v>
      </c>
    </row>
    <row r="32" ht="16.5" spans="1:21">
      <c r="A32" s="54">
        <v>26</v>
      </c>
      <c r="B32" s="35">
        <f ca="1">OFFSET(梦灵本体产出!$G$6,MATCH(A32,梦灵本体产出!$I$7:$I$30,1),0)</f>
        <v>6</v>
      </c>
      <c r="C32" s="35" t="e">
        <f ca="1">MATCH(A32,OFFSET(梦灵属性!#REF!,50*(B32-3),0))</f>
        <v>#REF!</v>
      </c>
      <c r="D32" s="55"/>
      <c r="E32" s="55"/>
      <c r="F32" s="22" t="e">
        <f ca="1">_xlfn.XLOOKUP(B32,梦灵属性!$F$38:$F$41,梦灵属性!$E$38:$E$41)*C32</f>
        <v>#REF!</v>
      </c>
      <c r="G32" s="22" t="e">
        <f ca="1">_xlfn.XLOOKUP($B32,梦灵属性!$F$38:$F$41,梦灵属性!$E$38:$E$41)*$C32</f>
        <v>#REF!</v>
      </c>
      <c r="H32" s="22"/>
      <c r="I32" s="56">
        <f ca="1">OFFSET(梦灵图鉴!F$10,MATCH(A32,梦灵图鉴!$E$11:$E$61,1),0)*SUM(梦灵属性!$E$26:$J$26)+OFFSET(梦灵图鉴!H$10,MATCH(A32,梦灵图鉴!$G$11:$G$61,1),0)*SUM(梦灵属性!$E$27:$J$27)+OFFSET(梦灵图鉴!J$10,MATCH(A32,梦灵图鉴!$I$11:$I$61,1),0)*SUM(梦灵属性!$E$28:$J$28)+OFFSET(梦灵图鉴!L$10,MATCH(A32,梦灵图鉴!$K$11:$K$61,1),0)*SUM(梦灵属性!$E$29:$J$29)</f>
        <v>5.274</v>
      </c>
      <c r="J32" s="56"/>
      <c r="K32" s="56"/>
      <c r="L32" s="22"/>
      <c r="M32" s="22"/>
      <c r="N32" s="22"/>
      <c r="P32" s="3">
        <v>3</v>
      </c>
      <c r="Q32" s="3">
        <v>26</v>
      </c>
      <c r="R32" s="3">
        <f ca="1">OFFSET(梦灵属性!G$37,$P32-2,0)</f>
        <v>0</v>
      </c>
      <c r="S32" s="3">
        <f ca="1">OFFSET(梦灵属性!H$37,$P32-2,0)</f>
        <v>0</v>
      </c>
      <c r="T32" s="3">
        <f ca="1">OFFSET(梦灵属性!$E$37,$P32-2,0)*$Q32</f>
        <v>1.04</v>
      </c>
      <c r="U32" s="3">
        <f ca="1">OFFSET(梦灵属性!$E$37,$P32-2,0)*$Q32</f>
        <v>1.04</v>
      </c>
    </row>
    <row r="33" ht="16.5" spans="1:21">
      <c r="A33" s="54">
        <v>27</v>
      </c>
      <c r="B33" s="35">
        <f ca="1">OFFSET(梦灵本体产出!$G$6,MATCH(A33,梦灵本体产出!$I$7:$I$30,1),0)</f>
        <v>6</v>
      </c>
      <c r="C33" s="35" t="e">
        <f ca="1">MATCH(A33,OFFSET(梦灵属性!#REF!,50*(B33-3),0))</f>
        <v>#REF!</v>
      </c>
      <c r="D33" s="55"/>
      <c r="E33" s="55"/>
      <c r="F33" s="22" t="e">
        <f ca="1">_xlfn.XLOOKUP(B33,梦灵属性!$F$38:$F$41,梦灵属性!$E$38:$E$41)*C33</f>
        <v>#REF!</v>
      </c>
      <c r="G33" s="22" t="e">
        <f ca="1">_xlfn.XLOOKUP($B33,梦灵属性!$F$38:$F$41,梦灵属性!$E$38:$E$41)*$C33</f>
        <v>#REF!</v>
      </c>
      <c r="H33" s="22"/>
      <c r="I33" s="56">
        <f ca="1">OFFSET(梦灵图鉴!F$10,MATCH(A33,梦灵图鉴!$E$11:$E$61,1),0)*SUM(梦灵属性!$E$26:$J$26)+OFFSET(梦灵图鉴!H$10,MATCH(A33,梦灵图鉴!$G$11:$G$61,1),0)*SUM(梦灵属性!$E$27:$J$27)+OFFSET(梦灵图鉴!J$10,MATCH(A33,梦灵图鉴!$I$11:$I$61,1),0)*SUM(梦灵属性!$E$28:$J$28)+OFFSET(梦灵图鉴!L$10,MATCH(A33,梦灵图鉴!$K$11:$K$61,1),0)*SUM(梦灵属性!$E$29:$J$29)</f>
        <v>5.622</v>
      </c>
      <c r="J33" s="56"/>
      <c r="K33" s="56"/>
      <c r="L33" s="22"/>
      <c r="M33" s="22"/>
      <c r="N33" s="22"/>
      <c r="P33" s="3">
        <v>3</v>
      </c>
      <c r="Q33" s="3">
        <v>27</v>
      </c>
      <c r="R33" s="3">
        <f ca="1">OFFSET(梦灵属性!G$37,$P33-2,0)</f>
        <v>0</v>
      </c>
      <c r="S33" s="3">
        <f ca="1">OFFSET(梦灵属性!H$37,$P33-2,0)</f>
        <v>0</v>
      </c>
      <c r="T33" s="3">
        <f ca="1">OFFSET(梦灵属性!$E$37,$P33-2,0)*$Q33</f>
        <v>1.08</v>
      </c>
      <c r="U33" s="3">
        <f ca="1">OFFSET(梦灵属性!$E$37,$P33-2,0)*$Q33</f>
        <v>1.08</v>
      </c>
    </row>
    <row r="34" ht="16.5" spans="1:21">
      <c r="A34" s="54">
        <v>28</v>
      </c>
      <c r="B34" s="35">
        <f ca="1">OFFSET(梦灵本体产出!$G$6,MATCH(A34,梦灵本体产出!$I$7:$I$30,1),0)</f>
        <v>6</v>
      </c>
      <c r="C34" s="35" t="e">
        <f ca="1">MATCH(A34,OFFSET(梦灵属性!#REF!,50*(B34-3),0))</f>
        <v>#REF!</v>
      </c>
      <c r="D34" s="55"/>
      <c r="E34" s="55"/>
      <c r="F34" s="22" t="e">
        <f ca="1">_xlfn.XLOOKUP(B34,梦灵属性!$F$38:$F$41,梦灵属性!$E$38:$E$41)*C34</f>
        <v>#REF!</v>
      </c>
      <c r="G34" s="22" t="e">
        <f ca="1">_xlfn.XLOOKUP($B34,梦灵属性!$F$38:$F$41,梦灵属性!$E$38:$E$41)*$C34</f>
        <v>#REF!</v>
      </c>
      <c r="H34" s="22"/>
      <c r="I34" s="56">
        <f ca="1">OFFSET(梦灵图鉴!F$10,MATCH(A34,梦灵图鉴!$E$11:$E$61,1),0)*SUM(梦灵属性!$E$26:$J$26)+OFFSET(梦灵图鉴!H$10,MATCH(A34,梦灵图鉴!$G$11:$G$61,1),0)*SUM(梦灵属性!$E$27:$J$27)+OFFSET(梦灵图鉴!J$10,MATCH(A34,梦灵图鉴!$I$11:$I$61,1),0)*SUM(梦灵属性!$E$28:$J$28)+OFFSET(梦灵图鉴!L$10,MATCH(A34,梦灵图鉴!$K$11:$K$61,1),0)*SUM(梦灵属性!$E$29:$J$29)</f>
        <v>5.622</v>
      </c>
      <c r="J34" s="56"/>
      <c r="K34" s="56"/>
      <c r="L34" s="22"/>
      <c r="M34" s="22"/>
      <c r="N34" s="22"/>
      <c r="P34" s="3">
        <v>3</v>
      </c>
      <c r="Q34" s="3">
        <v>28</v>
      </c>
      <c r="R34" s="3">
        <f ca="1">OFFSET(梦灵属性!G$37,$P34-2,0)</f>
        <v>0</v>
      </c>
      <c r="S34" s="3">
        <f ca="1">OFFSET(梦灵属性!H$37,$P34-2,0)</f>
        <v>0</v>
      </c>
      <c r="T34" s="3">
        <f ca="1">OFFSET(梦灵属性!$E$37,$P34-2,0)*$Q34</f>
        <v>1.12</v>
      </c>
      <c r="U34" s="3">
        <f ca="1">OFFSET(梦灵属性!$E$37,$P34-2,0)*$Q34</f>
        <v>1.12</v>
      </c>
    </row>
    <row r="35" ht="16.5" spans="1:21">
      <c r="A35" s="54">
        <v>29</v>
      </c>
      <c r="B35" s="35">
        <f ca="1">OFFSET(梦灵本体产出!$G$6,MATCH(A35,梦灵本体产出!$I$7:$I$30,1),0)</f>
        <v>6</v>
      </c>
      <c r="C35" s="35" t="e">
        <f ca="1">MATCH(A35,OFFSET(梦灵属性!#REF!,50*(B35-3),0))</f>
        <v>#REF!</v>
      </c>
      <c r="D35" s="55"/>
      <c r="E35" s="55"/>
      <c r="F35" s="22" t="e">
        <f ca="1">_xlfn.XLOOKUP(B35,梦灵属性!$F$38:$F$41,梦灵属性!$E$38:$E$41)*C35</f>
        <v>#REF!</v>
      </c>
      <c r="G35" s="22" t="e">
        <f ca="1">_xlfn.XLOOKUP($B35,梦灵属性!$F$38:$F$41,梦灵属性!$E$38:$E$41)*$C35</f>
        <v>#REF!</v>
      </c>
      <c r="H35" s="22"/>
      <c r="I35" s="56">
        <f ca="1">OFFSET(梦灵图鉴!F$10,MATCH(A35,梦灵图鉴!$E$11:$E$61,1),0)*SUM(梦灵属性!$E$26:$J$26)+OFFSET(梦灵图鉴!H$10,MATCH(A35,梦灵图鉴!$G$11:$G$61,1),0)*SUM(梦灵属性!$E$27:$J$27)+OFFSET(梦灵图鉴!J$10,MATCH(A35,梦灵图鉴!$I$11:$I$61,1),0)*SUM(梦灵属性!$E$28:$J$28)+OFFSET(梦灵图鉴!L$10,MATCH(A35,梦灵图鉴!$K$11:$K$61,1),0)*SUM(梦灵属性!$E$29:$J$29)</f>
        <v>5.718</v>
      </c>
      <c r="J35" s="56"/>
      <c r="K35" s="56"/>
      <c r="L35" s="22"/>
      <c r="M35" s="22"/>
      <c r="N35" s="22"/>
      <c r="P35" s="3">
        <v>3</v>
      </c>
      <c r="Q35" s="3">
        <v>29</v>
      </c>
      <c r="R35" s="3">
        <f ca="1">OFFSET(梦灵属性!G$37,$P35-2,0)</f>
        <v>0</v>
      </c>
      <c r="S35" s="3">
        <f ca="1">OFFSET(梦灵属性!H$37,$P35-2,0)</f>
        <v>0</v>
      </c>
      <c r="T35" s="3">
        <f ca="1">OFFSET(梦灵属性!$E$37,$P35-2,0)*$Q35</f>
        <v>1.16</v>
      </c>
      <c r="U35" s="3">
        <f ca="1">OFFSET(梦灵属性!$E$37,$P35-2,0)*$Q35</f>
        <v>1.16</v>
      </c>
    </row>
    <row r="36" ht="16.5" spans="1:21">
      <c r="A36" s="54">
        <v>30</v>
      </c>
      <c r="B36" s="35">
        <f ca="1">OFFSET(梦灵本体产出!$G$6,MATCH(A36,梦灵本体产出!$I$7:$I$30,1),0)</f>
        <v>6</v>
      </c>
      <c r="C36" s="35" t="e">
        <f ca="1">MATCH(A36,OFFSET(梦灵属性!#REF!,50*(B36-3),0))</f>
        <v>#REF!</v>
      </c>
      <c r="D36" s="55"/>
      <c r="E36" s="55"/>
      <c r="F36" s="22" t="e">
        <f ca="1">_xlfn.XLOOKUP(B36,梦灵属性!$F$38:$F$41,梦灵属性!$E$38:$E$41)*C36</f>
        <v>#REF!</v>
      </c>
      <c r="G36" s="22" t="e">
        <f ca="1">_xlfn.XLOOKUP($B36,梦灵属性!$F$38:$F$41,梦灵属性!$E$38:$E$41)*$C36</f>
        <v>#REF!</v>
      </c>
      <c r="H36" s="22"/>
      <c r="I36" s="56">
        <f ca="1">OFFSET(梦灵图鉴!F$10,MATCH(A36,梦灵图鉴!$E$11:$E$61,1),0)*SUM(梦灵属性!$E$26:$J$26)+OFFSET(梦灵图鉴!H$10,MATCH(A36,梦灵图鉴!$G$11:$G$61,1),0)*SUM(梦灵属性!$E$27:$J$27)+OFFSET(梦灵图鉴!J$10,MATCH(A36,梦灵图鉴!$I$11:$I$61,1),0)*SUM(梦灵属性!$E$28:$J$28)+OFFSET(梦灵图鉴!L$10,MATCH(A36,梦灵图鉴!$K$11:$K$61,1),0)*SUM(梦灵属性!$E$29:$J$29)</f>
        <v>5.832</v>
      </c>
      <c r="J36" s="56"/>
      <c r="K36" s="56"/>
      <c r="L36" s="22"/>
      <c r="M36" s="22"/>
      <c r="N36" s="22"/>
      <c r="P36" s="3">
        <v>3</v>
      </c>
      <c r="Q36" s="3">
        <v>30</v>
      </c>
      <c r="R36" s="3">
        <f ca="1">OFFSET(梦灵属性!G$37,$P36-2,0)</f>
        <v>0</v>
      </c>
      <c r="S36" s="3">
        <f ca="1">OFFSET(梦灵属性!H$37,$P36-2,0)</f>
        <v>0</v>
      </c>
      <c r="T36" s="3">
        <f ca="1">OFFSET(梦灵属性!$E$37,$P36-2,0)*$Q36</f>
        <v>1.2</v>
      </c>
      <c r="U36" s="3">
        <f ca="1">OFFSET(梦灵属性!$E$37,$P36-2,0)*$Q36</f>
        <v>1.2</v>
      </c>
    </row>
    <row r="37" ht="16.5" spans="1:21">
      <c r="A37" s="54">
        <v>31</v>
      </c>
      <c r="B37" s="35">
        <f ca="1">OFFSET(梦灵本体产出!$G$6,MATCH(A37,梦灵本体产出!$I$7:$I$30,1),0)</f>
        <v>6</v>
      </c>
      <c r="C37" s="35" t="e">
        <f ca="1">MATCH(A37,OFFSET(梦灵属性!#REF!,50*(B37-3),0))</f>
        <v>#REF!</v>
      </c>
      <c r="D37" s="55"/>
      <c r="E37" s="55"/>
      <c r="F37" s="22" t="e">
        <f ca="1">_xlfn.XLOOKUP(B37,梦灵属性!$F$38:$F$41,梦灵属性!$E$38:$E$41)*C37</f>
        <v>#REF!</v>
      </c>
      <c r="G37" s="22" t="e">
        <f ca="1">_xlfn.XLOOKUP($B37,梦灵属性!$F$38:$F$41,梦灵属性!$E$38:$E$41)*$C37</f>
        <v>#REF!</v>
      </c>
      <c r="H37" s="22"/>
      <c r="I37" s="56">
        <f ca="1">OFFSET(梦灵图鉴!F$10,MATCH(A37,梦灵图鉴!$E$11:$E$61,1),0)*SUM(梦灵属性!$E$26:$J$26)+OFFSET(梦灵图鉴!H$10,MATCH(A37,梦灵图鉴!$G$11:$G$61,1),0)*SUM(梦灵属性!$E$27:$J$27)+OFFSET(梦灵图鉴!J$10,MATCH(A37,梦灵图鉴!$I$11:$I$61,1),0)*SUM(梦灵属性!$E$28:$J$28)+OFFSET(梦灵图鉴!L$10,MATCH(A37,梦灵图鉴!$K$11:$K$61,1),0)*SUM(梦灵属性!$E$29:$J$29)</f>
        <v>5.904</v>
      </c>
      <c r="J37" s="56"/>
      <c r="K37" s="56"/>
      <c r="L37" s="22"/>
      <c r="M37" s="22"/>
      <c r="N37" s="22"/>
      <c r="P37" s="3">
        <v>3</v>
      </c>
      <c r="Q37" s="3">
        <v>31</v>
      </c>
      <c r="R37" s="3">
        <f ca="1">OFFSET(梦灵属性!G$37,$P37-2,0)</f>
        <v>0</v>
      </c>
      <c r="S37" s="3">
        <f ca="1">OFFSET(梦灵属性!H$37,$P37-2,0)</f>
        <v>0</v>
      </c>
      <c r="T37" s="3">
        <f ca="1">OFFSET(梦灵属性!$E$37,$P37-2,0)*$Q37</f>
        <v>1.24</v>
      </c>
      <c r="U37" s="3">
        <f ca="1">OFFSET(梦灵属性!$E$37,$P37-2,0)*$Q37</f>
        <v>1.24</v>
      </c>
    </row>
    <row r="38" ht="16.5" spans="1:21">
      <c r="A38" s="54">
        <v>32</v>
      </c>
      <c r="B38" s="35">
        <f ca="1">OFFSET(梦灵本体产出!$G$6,MATCH(A38,梦灵本体产出!$I$7:$I$30,1),0)</f>
        <v>6</v>
      </c>
      <c r="C38" s="35" t="e">
        <f ca="1">MATCH(A38,OFFSET(梦灵属性!#REF!,50*(B38-3),0))</f>
        <v>#REF!</v>
      </c>
      <c r="D38" s="55"/>
      <c r="E38" s="55"/>
      <c r="F38" s="22" t="e">
        <f ca="1">_xlfn.XLOOKUP(B38,梦灵属性!$F$38:$F$41,梦灵属性!$E$38:$E$41)*C38</f>
        <v>#REF!</v>
      </c>
      <c r="G38" s="22" t="e">
        <f ca="1">_xlfn.XLOOKUP($B38,梦灵属性!$F$38:$F$41,梦灵属性!$E$38:$E$41)*$C38</f>
        <v>#REF!</v>
      </c>
      <c r="H38" s="22"/>
      <c r="I38" s="56">
        <f ca="1">OFFSET(梦灵图鉴!F$10,MATCH(A38,梦灵图鉴!$E$11:$E$61,1),0)*SUM(梦灵属性!$E$26:$J$26)+OFFSET(梦灵图鉴!H$10,MATCH(A38,梦灵图鉴!$G$11:$G$61,1),0)*SUM(梦灵属性!$E$27:$J$27)+OFFSET(梦灵图鉴!J$10,MATCH(A38,梦灵图鉴!$I$11:$I$61,1),0)*SUM(梦灵属性!$E$28:$J$28)+OFFSET(梦灵图鉴!L$10,MATCH(A38,梦灵图鉴!$K$11:$K$61,1),0)*SUM(梦灵属性!$E$29:$J$29)</f>
        <v>5.904</v>
      </c>
      <c r="J38" s="56"/>
      <c r="K38" s="56"/>
      <c r="L38" s="22"/>
      <c r="M38" s="22"/>
      <c r="N38" s="22"/>
      <c r="P38" s="3">
        <v>3</v>
      </c>
      <c r="Q38" s="3">
        <v>32</v>
      </c>
      <c r="R38" s="3">
        <f ca="1">OFFSET(梦灵属性!G$37,$P38-2,0)</f>
        <v>0</v>
      </c>
      <c r="S38" s="3">
        <f ca="1">OFFSET(梦灵属性!H$37,$P38-2,0)</f>
        <v>0</v>
      </c>
      <c r="T38" s="3">
        <f ca="1">OFFSET(梦灵属性!$E$37,$P38-2,0)*$Q38</f>
        <v>1.28</v>
      </c>
      <c r="U38" s="3">
        <f ca="1">OFFSET(梦灵属性!$E$37,$P38-2,0)*$Q38</f>
        <v>1.28</v>
      </c>
    </row>
    <row r="39" ht="16.5" spans="1:21">
      <c r="A39" s="54">
        <v>33</v>
      </c>
      <c r="B39" s="35">
        <f ca="1">OFFSET(梦灵本体产出!$G$6,MATCH(A39,梦灵本体产出!$I$7:$I$30,1),0)</f>
        <v>6</v>
      </c>
      <c r="C39" s="35" t="e">
        <f ca="1">MATCH(A39,OFFSET(梦灵属性!#REF!,50*(B39-3),0))</f>
        <v>#REF!</v>
      </c>
      <c r="D39" s="55"/>
      <c r="E39" s="55"/>
      <c r="F39" s="22" t="e">
        <f ca="1">_xlfn.XLOOKUP(B39,梦灵属性!$F$38:$F$41,梦灵属性!$E$38:$E$41)*C39</f>
        <v>#REF!</v>
      </c>
      <c r="G39" s="22" t="e">
        <f ca="1">_xlfn.XLOOKUP($B39,梦灵属性!$F$38:$F$41,梦灵属性!$E$38:$E$41)*$C39</f>
        <v>#REF!</v>
      </c>
      <c r="H39" s="22"/>
      <c r="I39" s="56">
        <f ca="1">OFFSET(梦灵图鉴!F$10,MATCH(A39,梦灵图鉴!$E$11:$E$61,1),0)*SUM(梦灵属性!$E$26:$J$26)+OFFSET(梦灵图鉴!H$10,MATCH(A39,梦灵图鉴!$G$11:$G$61,1),0)*SUM(梦灵属性!$E$27:$J$27)+OFFSET(梦灵图鉴!J$10,MATCH(A39,梦灵图鉴!$I$11:$I$61,1),0)*SUM(梦灵属性!$E$28:$J$28)+OFFSET(梦灵图鉴!L$10,MATCH(A39,梦灵图鉴!$K$11:$K$61,1),0)*SUM(梦灵属性!$E$29:$J$29)</f>
        <v>5.904</v>
      </c>
      <c r="J39" s="56"/>
      <c r="K39" s="56"/>
      <c r="L39" s="22"/>
      <c r="M39" s="22"/>
      <c r="N39" s="22"/>
      <c r="P39" s="3">
        <v>3</v>
      </c>
      <c r="Q39" s="3">
        <v>33</v>
      </c>
      <c r="R39" s="3">
        <f ca="1">OFFSET(梦灵属性!G$37,$P39-2,0)</f>
        <v>0</v>
      </c>
      <c r="S39" s="3">
        <f ca="1">OFFSET(梦灵属性!H$37,$P39-2,0)</f>
        <v>0</v>
      </c>
      <c r="T39" s="3">
        <f ca="1">OFFSET(梦灵属性!$E$37,$P39-2,0)*$Q39</f>
        <v>1.32</v>
      </c>
      <c r="U39" s="3">
        <f ca="1">OFFSET(梦灵属性!$E$37,$P39-2,0)*$Q39</f>
        <v>1.32</v>
      </c>
    </row>
    <row r="40" ht="16.5" spans="1:21">
      <c r="A40" s="54">
        <v>34</v>
      </c>
      <c r="B40" s="35">
        <f ca="1">OFFSET(梦灵本体产出!$G$6,MATCH(A40,梦灵本体产出!$I$7:$I$30,1),0)</f>
        <v>6</v>
      </c>
      <c r="C40" s="35" t="e">
        <f ca="1">MATCH(A40,OFFSET(梦灵属性!#REF!,50*(B40-3),0))</f>
        <v>#REF!</v>
      </c>
      <c r="D40" s="55"/>
      <c r="E40" s="55"/>
      <c r="F40" s="22" t="e">
        <f ca="1">_xlfn.XLOOKUP(B40,梦灵属性!$F$38:$F$41,梦灵属性!$E$38:$E$41)*C40</f>
        <v>#REF!</v>
      </c>
      <c r="G40" s="22" t="e">
        <f ca="1">_xlfn.XLOOKUP($B40,梦灵属性!$F$38:$F$41,梦灵属性!$E$38:$E$41)*$C40</f>
        <v>#REF!</v>
      </c>
      <c r="H40" s="22"/>
      <c r="I40" s="56">
        <f ca="1">OFFSET(梦灵图鉴!F$10,MATCH(A40,梦灵图鉴!$E$11:$E$61,1),0)*SUM(梦灵属性!$E$26:$J$26)+OFFSET(梦灵图鉴!H$10,MATCH(A40,梦灵图鉴!$G$11:$G$61,1),0)*SUM(梦灵属性!$E$27:$J$27)+OFFSET(梦灵图鉴!J$10,MATCH(A40,梦灵图鉴!$I$11:$I$61,1),0)*SUM(梦灵属性!$E$28:$J$28)+OFFSET(梦灵图鉴!L$10,MATCH(A40,梦灵图鉴!$K$11:$K$61,1),0)*SUM(梦灵属性!$E$29:$J$29)</f>
        <v>6.186</v>
      </c>
      <c r="J40" s="56"/>
      <c r="K40" s="56"/>
      <c r="L40" s="22"/>
      <c r="M40" s="22"/>
      <c r="N40" s="22"/>
      <c r="P40" s="3">
        <v>3</v>
      </c>
      <c r="Q40" s="3">
        <v>34</v>
      </c>
      <c r="R40" s="3">
        <f ca="1">OFFSET(梦灵属性!G$37,$P40-2,0)</f>
        <v>0</v>
      </c>
      <c r="S40" s="3">
        <f ca="1">OFFSET(梦灵属性!H$37,$P40-2,0)</f>
        <v>0</v>
      </c>
      <c r="T40" s="3">
        <f ca="1">OFFSET(梦灵属性!$E$37,$P40-2,0)*$Q40</f>
        <v>1.36</v>
      </c>
      <c r="U40" s="3">
        <f ca="1">OFFSET(梦灵属性!$E$37,$P40-2,0)*$Q40</f>
        <v>1.36</v>
      </c>
    </row>
    <row r="41" ht="16.5" spans="1:21">
      <c r="A41" s="54">
        <v>35</v>
      </c>
      <c r="B41" s="35">
        <f ca="1">OFFSET(梦灵本体产出!$G$6,MATCH(A41,梦灵本体产出!$I$7:$I$30,1),0)</f>
        <v>6</v>
      </c>
      <c r="C41" s="35" t="e">
        <f ca="1">MATCH(A41,OFFSET(梦灵属性!#REF!,50*(B41-3),0))</f>
        <v>#REF!</v>
      </c>
      <c r="D41" s="55"/>
      <c r="E41" s="55"/>
      <c r="F41" s="22" t="e">
        <f ca="1">_xlfn.XLOOKUP(B41,梦灵属性!$F$38:$F$41,梦灵属性!$E$38:$E$41)*C41</f>
        <v>#REF!</v>
      </c>
      <c r="G41" s="22" t="e">
        <f ca="1">_xlfn.XLOOKUP($B41,梦灵属性!$F$38:$F$41,梦灵属性!$E$38:$E$41)*$C41</f>
        <v>#REF!</v>
      </c>
      <c r="H41" s="22"/>
      <c r="I41" s="56">
        <f ca="1">OFFSET(梦灵图鉴!F$10,MATCH(A41,梦灵图鉴!$E$11:$E$61,1),0)*SUM(梦灵属性!$E$26:$J$26)+OFFSET(梦灵图鉴!H$10,MATCH(A41,梦灵图鉴!$G$11:$G$61,1),0)*SUM(梦灵属性!$E$27:$J$27)+OFFSET(梦灵图鉴!J$10,MATCH(A41,梦灵图鉴!$I$11:$I$61,1),0)*SUM(梦灵属性!$E$28:$J$28)+OFFSET(梦灵图鉴!L$10,MATCH(A41,梦灵图鉴!$K$11:$K$61,1),0)*SUM(梦灵属性!$E$29:$J$29)</f>
        <v>6.27</v>
      </c>
      <c r="J41" s="56"/>
      <c r="K41" s="56"/>
      <c r="L41" s="22"/>
      <c r="M41" s="22"/>
      <c r="N41" s="22"/>
      <c r="P41" s="3">
        <v>3</v>
      </c>
      <c r="Q41" s="3">
        <v>35</v>
      </c>
      <c r="R41" s="3">
        <f ca="1">OFFSET(梦灵属性!G$37,$P41-2,0)</f>
        <v>0</v>
      </c>
      <c r="S41" s="3">
        <f ca="1">OFFSET(梦灵属性!H$37,$P41-2,0)</f>
        <v>0</v>
      </c>
      <c r="T41" s="3">
        <f ca="1">OFFSET(梦灵属性!$E$37,$P41-2,0)*$Q41</f>
        <v>1.4</v>
      </c>
      <c r="U41" s="3">
        <f ca="1">OFFSET(梦灵属性!$E$37,$P41-2,0)*$Q41</f>
        <v>1.4</v>
      </c>
    </row>
    <row r="42" ht="16.5" spans="1:21">
      <c r="A42" s="54">
        <v>36</v>
      </c>
      <c r="B42" s="35">
        <f ca="1">OFFSET(梦灵本体产出!$G$6,MATCH(A42,梦灵本体产出!$I$7:$I$30,1),0)</f>
        <v>6</v>
      </c>
      <c r="C42" s="35" t="e">
        <f ca="1">MATCH(A42,OFFSET(梦灵属性!#REF!,50*(B42-3),0))</f>
        <v>#REF!</v>
      </c>
      <c r="D42" s="55"/>
      <c r="E42" s="55"/>
      <c r="F42" s="22" t="e">
        <f ca="1">_xlfn.XLOOKUP(B42,梦灵属性!$F$38:$F$41,梦灵属性!$E$38:$E$41)*C42</f>
        <v>#REF!</v>
      </c>
      <c r="G42" s="22" t="e">
        <f ca="1">_xlfn.XLOOKUP($B42,梦灵属性!$F$38:$F$41,梦灵属性!$E$38:$E$41)*$C42</f>
        <v>#REF!</v>
      </c>
      <c r="H42" s="22"/>
      <c r="I42" s="56">
        <f ca="1">OFFSET(梦灵图鉴!F$10,MATCH(A42,梦灵图鉴!$E$11:$E$61,1),0)*SUM(梦灵属性!$E$26:$J$26)+OFFSET(梦灵图鉴!H$10,MATCH(A42,梦灵图鉴!$G$11:$G$61,1),0)*SUM(梦灵属性!$E$27:$J$27)+OFFSET(梦灵图鉴!J$10,MATCH(A42,梦灵图鉴!$I$11:$I$61,1),0)*SUM(梦灵属性!$E$28:$J$28)+OFFSET(梦灵图鉴!L$10,MATCH(A42,梦灵图鉴!$K$11:$K$61,1),0)*SUM(梦灵属性!$E$29:$J$29)</f>
        <v>6.366</v>
      </c>
      <c r="J42" s="56"/>
      <c r="K42" s="56"/>
      <c r="L42" s="22"/>
      <c r="M42" s="22"/>
      <c r="N42" s="22"/>
      <c r="P42" s="3">
        <v>3</v>
      </c>
      <c r="Q42" s="3">
        <v>36</v>
      </c>
      <c r="R42" s="3">
        <f ca="1">OFFSET(梦灵属性!G$37,$P42-2,0)</f>
        <v>0</v>
      </c>
      <c r="S42" s="3">
        <f ca="1">OFFSET(梦灵属性!H$37,$P42-2,0)</f>
        <v>0</v>
      </c>
      <c r="T42" s="3">
        <f ca="1">OFFSET(梦灵属性!$E$37,$P42-2,0)*$Q42</f>
        <v>1.44</v>
      </c>
      <c r="U42" s="3">
        <f ca="1">OFFSET(梦灵属性!$E$37,$P42-2,0)*$Q42</f>
        <v>1.44</v>
      </c>
    </row>
    <row r="43" ht="16.5" spans="1:21">
      <c r="A43" s="54">
        <v>37</v>
      </c>
      <c r="B43" s="35">
        <f ca="1">OFFSET(梦灵本体产出!$G$6,MATCH(A43,梦灵本体产出!$I$7:$I$30,1),0)</f>
        <v>6</v>
      </c>
      <c r="C43" s="35" t="e">
        <f ca="1">MATCH(A43,OFFSET(梦灵属性!#REF!,50*(B43-3),0))</f>
        <v>#REF!</v>
      </c>
      <c r="D43" s="55"/>
      <c r="E43" s="55"/>
      <c r="F43" s="22" t="e">
        <f ca="1">_xlfn.XLOOKUP(B43,梦灵属性!$F$38:$F$41,梦灵属性!$E$38:$E$41)*C43</f>
        <v>#REF!</v>
      </c>
      <c r="G43" s="22" t="e">
        <f ca="1">_xlfn.XLOOKUP($B43,梦灵属性!$F$38:$F$41,梦灵属性!$E$38:$E$41)*$C43</f>
        <v>#REF!</v>
      </c>
      <c r="H43" s="22"/>
      <c r="I43" s="56">
        <f ca="1">OFFSET(梦灵图鉴!F$10,MATCH(A43,梦灵图鉴!$E$11:$E$61,1),0)*SUM(梦灵属性!$E$26:$J$26)+OFFSET(梦灵图鉴!H$10,MATCH(A43,梦灵图鉴!$G$11:$G$61,1),0)*SUM(梦灵属性!$E$27:$J$27)+OFFSET(梦灵图鉴!J$10,MATCH(A43,梦灵图鉴!$I$11:$I$61,1),0)*SUM(梦灵属性!$E$28:$J$28)+OFFSET(梦灵图鉴!L$10,MATCH(A43,梦灵图鉴!$K$11:$K$61,1),0)*SUM(梦灵属性!$E$29:$J$29)</f>
        <v>6.366</v>
      </c>
      <c r="J43" s="56"/>
      <c r="K43" s="56"/>
      <c r="L43" s="22"/>
      <c r="M43" s="22"/>
      <c r="N43" s="22"/>
      <c r="P43" s="3">
        <v>3</v>
      </c>
      <c r="Q43" s="3">
        <v>37</v>
      </c>
      <c r="R43" s="3">
        <f ca="1">OFFSET(梦灵属性!G$37,$P43-2,0)</f>
        <v>0</v>
      </c>
      <c r="S43" s="3">
        <f ca="1">OFFSET(梦灵属性!H$37,$P43-2,0)</f>
        <v>0</v>
      </c>
      <c r="T43" s="3">
        <f ca="1">OFFSET(梦灵属性!$E$37,$P43-2,0)*$Q43</f>
        <v>1.48</v>
      </c>
      <c r="U43" s="3">
        <f ca="1">OFFSET(梦灵属性!$E$37,$P43-2,0)*$Q43</f>
        <v>1.48</v>
      </c>
    </row>
    <row r="44" ht="16.5" spans="1:21">
      <c r="A44" s="54">
        <v>38</v>
      </c>
      <c r="B44" s="35">
        <f ca="1">OFFSET(梦灵本体产出!$G$6,MATCH(A44,梦灵本体产出!$I$7:$I$30,1),0)</f>
        <v>6</v>
      </c>
      <c r="C44" s="35" t="e">
        <f ca="1">MATCH(A44,OFFSET(梦灵属性!#REF!,50*(B44-3),0))</f>
        <v>#REF!</v>
      </c>
      <c r="D44" s="55"/>
      <c r="E44" s="55"/>
      <c r="F44" s="22" t="e">
        <f ca="1">_xlfn.XLOOKUP(B44,梦灵属性!$F$38:$F$41,梦灵属性!$E$38:$E$41)*C44</f>
        <v>#REF!</v>
      </c>
      <c r="G44" s="22" t="e">
        <f ca="1">_xlfn.XLOOKUP($B44,梦灵属性!$F$38:$F$41,梦灵属性!$E$38:$E$41)*$C44</f>
        <v>#REF!</v>
      </c>
      <c r="H44" s="22"/>
      <c r="I44" s="56">
        <f ca="1">OFFSET(梦灵图鉴!F$10,MATCH(A44,梦灵图鉴!$E$11:$E$61,1),0)*SUM(梦灵属性!$E$26:$J$26)+OFFSET(梦灵图鉴!H$10,MATCH(A44,梦灵图鉴!$G$11:$G$61,1),0)*SUM(梦灵属性!$E$27:$J$27)+OFFSET(梦灵图鉴!J$10,MATCH(A44,梦灵图鉴!$I$11:$I$61,1),0)*SUM(梦灵属性!$E$28:$J$28)+OFFSET(梦灵图鉴!L$10,MATCH(A44,梦灵图鉴!$K$11:$K$61,1),0)*SUM(梦灵属性!$E$29:$J$29)</f>
        <v>6.438</v>
      </c>
      <c r="J44" s="56"/>
      <c r="K44" s="56"/>
      <c r="L44" s="22"/>
      <c r="M44" s="22"/>
      <c r="N44" s="22"/>
      <c r="P44" s="3">
        <v>3</v>
      </c>
      <c r="Q44" s="3">
        <v>38</v>
      </c>
      <c r="R44" s="3">
        <f ca="1">OFFSET(梦灵属性!G$37,$P44-2,0)</f>
        <v>0</v>
      </c>
      <c r="S44" s="3">
        <f ca="1">OFFSET(梦灵属性!H$37,$P44-2,0)</f>
        <v>0</v>
      </c>
      <c r="T44" s="3">
        <f ca="1">OFFSET(梦灵属性!$E$37,$P44-2,0)*$Q44</f>
        <v>1.52</v>
      </c>
      <c r="U44" s="3">
        <f ca="1">OFFSET(梦灵属性!$E$37,$P44-2,0)*$Q44</f>
        <v>1.52</v>
      </c>
    </row>
    <row r="45" ht="16.5" spans="1:21">
      <c r="A45" s="54">
        <v>39</v>
      </c>
      <c r="B45" s="35">
        <f ca="1">OFFSET(梦灵本体产出!$G$6,MATCH(A45,梦灵本体产出!$I$7:$I$30,1),0)</f>
        <v>0</v>
      </c>
      <c r="C45" s="35" t="e">
        <f ca="1">MATCH(A45,OFFSET(梦灵属性!#REF!,50*(B45-3),0))</f>
        <v>#REF!</v>
      </c>
      <c r="D45" s="55"/>
      <c r="E45" s="55"/>
      <c r="F45" s="22" t="e">
        <f ca="1">_xlfn.XLOOKUP(B45,梦灵属性!$F$38:$F$41,梦灵属性!$E$38:$E$41)*C45</f>
        <v>#N/A</v>
      </c>
      <c r="G45" s="22" t="e">
        <f ca="1">_xlfn.XLOOKUP($B45,梦灵属性!$F$38:$F$41,梦灵属性!$E$38:$E$41)*$C45</f>
        <v>#N/A</v>
      </c>
      <c r="H45" s="22"/>
      <c r="I45" s="56">
        <f ca="1">OFFSET(梦灵图鉴!F$10,MATCH(A45,梦灵图鉴!$E$11:$E$61,1),0)*SUM(梦灵属性!$E$26:$J$26)+OFFSET(梦灵图鉴!H$10,MATCH(A45,梦灵图鉴!$G$11:$G$61,1),0)*SUM(梦灵属性!$E$27:$J$27)+OFFSET(梦灵图鉴!J$10,MATCH(A45,梦灵图鉴!$I$11:$I$61,1),0)*SUM(梦灵属性!$E$28:$J$28)+OFFSET(梦灵图鉴!L$10,MATCH(A45,梦灵图鉴!$K$11:$K$61,1),0)*SUM(梦灵属性!$E$29:$J$29)</f>
        <v>6.552</v>
      </c>
      <c r="J45" s="56"/>
      <c r="K45" s="56"/>
      <c r="L45" s="22"/>
      <c r="M45" s="22"/>
      <c r="N45" s="22"/>
      <c r="P45" s="3">
        <v>3</v>
      </c>
      <c r="Q45" s="3">
        <v>39</v>
      </c>
      <c r="R45" s="3">
        <f ca="1">OFFSET(梦灵属性!G$37,$P45-2,0)</f>
        <v>0</v>
      </c>
      <c r="S45" s="3">
        <f ca="1">OFFSET(梦灵属性!H$37,$P45-2,0)</f>
        <v>0</v>
      </c>
      <c r="T45" s="3">
        <f ca="1">OFFSET(梦灵属性!$E$37,$P45-2,0)*$Q45</f>
        <v>1.56</v>
      </c>
      <c r="U45" s="3">
        <f ca="1">OFFSET(梦灵属性!$E$37,$P45-2,0)*$Q45</f>
        <v>1.56</v>
      </c>
    </row>
    <row r="46" ht="16.5" spans="1:21">
      <c r="A46" s="54">
        <v>40</v>
      </c>
      <c r="B46" s="35">
        <f ca="1">OFFSET(梦灵本体产出!$G$6,MATCH(A46,梦灵本体产出!$I$7:$I$30,1),0)</f>
        <v>0</v>
      </c>
      <c r="C46" s="35" t="e">
        <f ca="1">MATCH(A46,OFFSET(梦灵属性!#REF!,50*(B46-3),0))</f>
        <v>#REF!</v>
      </c>
      <c r="D46" s="55"/>
      <c r="E46" s="55"/>
      <c r="F46" s="22" t="e">
        <f ca="1">_xlfn.XLOOKUP(B46,梦灵属性!$F$38:$F$41,梦灵属性!$E$38:$E$41)*C46</f>
        <v>#N/A</v>
      </c>
      <c r="G46" s="22" t="e">
        <f ca="1">_xlfn.XLOOKUP($B46,梦灵属性!$F$38:$F$41,梦灵属性!$E$38:$E$41)*$C46</f>
        <v>#N/A</v>
      </c>
      <c r="H46" s="22"/>
      <c r="I46" s="56">
        <f ca="1">OFFSET(梦灵图鉴!F$10,MATCH(A46,梦灵图鉴!$E$11:$E$61,1),0)*SUM(梦灵属性!$E$26:$J$26)+OFFSET(梦灵图鉴!H$10,MATCH(A46,梦灵图鉴!$G$11:$G$61,1),0)*SUM(梦灵属性!$E$27:$J$27)+OFFSET(梦灵图鉴!J$10,MATCH(A46,梦灵图鉴!$I$11:$I$61,1),0)*SUM(梦灵属性!$E$28:$J$28)+OFFSET(梦灵图鉴!L$10,MATCH(A46,梦灵图鉴!$K$11:$K$61,1),0)*SUM(梦灵属性!$E$29:$J$29)</f>
        <v>6.648</v>
      </c>
      <c r="J46" s="56"/>
      <c r="K46" s="56"/>
      <c r="L46" s="22"/>
      <c r="M46" s="22"/>
      <c r="N46" s="22"/>
      <c r="P46" s="3">
        <v>3</v>
      </c>
      <c r="Q46" s="3">
        <v>40</v>
      </c>
      <c r="R46" s="3">
        <f ca="1">OFFSET(梦灵属性!G$37,$P46-2,0)</f>
        <v>0</v>
      </c>
      <c r="S46" s="3">
        <f ca="1">OFFSET(梦灵属性!H$37,$P46-2,0)</f>
        <v>0</v>
      </c>
      <c r="T46" s="3">
        <f ca="1">OFFSET(梦灵属性!$E$37,$P46-2,0)*$Q46</f>
        <v>1.6</v>
      </c>
      <c r="U46" s="3">
        <f ca="1">OFFSET(梦灵属性!$E$37,$P46-2,0)*$Q46</f>
        <v>1.6</v>
      </c>
    </row>
    <row r="47" ht="16.5" spans="1:21">
      <c r="A47" s="54">
        <v>41</v>
      </c>
      <c r="B47" s="35">
        <f ca="1">OFFSET(梦灵本体产出!$G$6,MATCH(A47,梦灵本体产出!$I$7:$I$30,1),0)</f>
        <v>0</v>
      </c>
      <c r="C47" s="35" t="e">
        <f ca="1">MATCH(A47,OFFSET(梦灵属性!#REF!,50*(B47-3),0))</f>
        <v>#REF!</v>
      </c>
      <c r="D47" s="55"/>
      <c r="E47" s="55"/>
      <c r="F47" s="22" t="e">
        <f ca="1">_xlfn.XLOOKUP(B47,梦灵属性!$F$38:$F$41,梦灵属性!$E$38:$E$41)*C47</f>
        <v>#N/A</v>
      </c>
      <c r="G47" s="22" t="e">
        <f ca="1">_xlfn.XLOOKUP($B47,梦灵属性!$F$38:$F$41,梦灵属性!$E$38:$E$41)*$C47</f>
        <v>#N/A</v>
      </c>
      <c r="H47" s="22"/>
      <c r="I47" s="56">
        <f ca="1">OFFSET(梦灵图鉴!F$10,MATCH(A47,梦灵图鉴!$E$11:$E$61,1),0)*SUM(梦灵属性!$E$26:$J$26)+OFFSET(梦灵图鉴!H$10,MATCH(A47,梦灵图鉴!$G$11:$G$61,1),0)*SUM(梦灵属性!$E$27:$J$27)+OFFSET(梦灵图鉴!J$10,MATCH(A47,梦灵图鉴!$I$11:$I$61,1),0)*SUM(梦灵属性!$E$28:$J$28)+OFFSET(梦灵图鉴!L$10,MATCH(A47,梦灵图鉴!$K$11:$K$61,1),0)*SUM(梦灵属性!$E$29:$J$29)</f>
        <v>6.9</v>
      </c>
      <c r="J47" s="56"/>
      <c r="K47" s="56"/>
      <c r="L47" s="22"/>
      <c r="M47" s="22"/>
      <c r="N47" s="22"/>
      <c r="P47" s="3">
        <v>3</v>
      </c>
      <c r="Q47" s="3">
        <v>41</v>
      </c>
      <c r="R47" s="3">
        <f ca="1">OFFSET(梦灵属性!G$37,$P47-2,0)</f>
        <v>0</v>
      </c>
      <c r="S47" s="3">
        <f ca="1">OFFSET(梦灵属性!H$37,$P47-2,0)</f>
        <v>0</v>
      </c>
      <c r="T47" s="3">
        <f ca="1">OFFSET(梦灵属性!$E$37,$P47-2,0)*$Q47</f>
        <v>1.64</v>
      </c>
      <c r="U47" s="3">
        <f ca="1">OFFSET(梦灵属性!$E$37,$P47-2,0)*$Q47</f>
        <v>1.64</v>
      </c>
    </row>
    <row r="48" ht="16.5" spans="1:21">
      <c r="A48" s="54">
        <v>42</v>
      </c>
      <c r="B48" s="35">
        <f ca="1">OFFSET(梦灵本体产出!$G$6,MATCH(A48,梦灵本体产出!$I$7:$I$30,1),0)</f>
        <v>0</v>
      </c>
      <c r="C48" s="35" t="e">
        <f ca="1">MATCH(A48,OFFSET(梦灵属性!#REF!,50*(B48-3),0))</f>
        <v>#REF!</v>
      </c>
      <c r="D48" s="55"/>
      <c r="E48" s="55"/>
      <c r="F48" s="22" t="e">
        <f ca="1">_xlfn.XLOOKUP(B48,梦灵属性!$F$38:$F$41,梦灵属性!$E$38:$E$41)*C48</f>
        <v>#N/A</v>
      </c>
      <c r="G48" s="22" t="e">
        <f ca="1">_xlfn.XLOOKUP($B48,梦灵属性!$F$38:$F$41,梦灵属性!$E$38:$E$41)*$C48</f>
        <v>#N/A</v>
      </c>
      <c r="H48" s="22"/>
      <c r="I48" s="56">
        <f ca="1">OFFSET(梦灵图鉴!F$10,MATCH(A48,梦灵图鉴!$E$11:$E$61,1),0)*SUM(梦灵属性!$E$26:$J$26)+OFFSET(梦灵图鉴!H$10,MATCH(A48,梦灵图鉴!$G$11:$G$61,1),0)*SUM(梦灵属性!$E$27:$J$27)+OFFSET(梦灵图鉴!J$10,MATCH(A48,梦灵图鉴!$I$11:$I$61,1),0)*SUM(梦灵属性!$E$28:$J$28)+OFFSET(梦灵图鉴!L$10,MATCH(A48,梦灵图鉴!$K$11:$K$61,1),0)*SUM(梦灵属性!$E$29:$J$29)</f>
        <v>6.9</v>
      </c>
      <c r="J48" s="56"/>
      <c r="K48" s="56"/>
      <c r="L48" s="22"/>
      <c r="M48" s="22"/>
      <c r="N48" s="22"/>
      <c r="P48" s="3">
        <v>3</v>
      </c>
      <c r="Q48" s="3">
        <v>42</v>
      </c>
      <c r="R48" s="3">
        <f ca="1">OFFSET(梦灵属性!G$37,$P48-2,0)</f>
        <v>0</v>
      </c>
      <c r="S48" s="3">
        <f ca="1">OFFSET(梦灵属性!H$37,$P48-2,0)</f>
        <v>0</v>
      </c>
      <c r="T48" s="3">
        <f ca="1">OFFSET(梦灵属性!$E$37,$P48-2,0)*$Q48</f>
        <v>1.68</v>
      </c>
      <c r="U48" s="3">
        <f ca="1">OFFSET(梦灵属性!$E$37,$P48-2,0)*$Q48</f>
        <v>1.68</v>
      </c>
    </row>
    <row r="49" ht="16.5" spans="1:21">
      <c r="A49" s="54">
        <v>43</v>
      </c>
      <c r="B49" s="35">
        <f ca="1">OFFSET(梦灵本体产出!$G$6,MATCH(A49,梦灵本体产出!$I$7:$I$30,1),0)</f>
        <v>0</v>
      </c>
      <c r="C49" s="35" t="e">
        <f ca="1">MATCH(A49,OFFSET(梦灵属性!#REF!,50*(B49-3),0))</f>
        <v>#REF!</v>
      </c>
      <c r="D49" s="55"/>
      <c r="E49" s="55"/>
      <c r="F49" s="22" t="e">
        <f ca="1">_xlfn.XLOOKUP(B49,梦灵属性!$F$38:$F$41,梦灵属性!$E$38:$E$41)*C49</f>
        <v>#N/A</v>
      </c>
      <c r="G49" s="22" t="e">
        <f ca="1">_xlfn.XLOOKUP($B49,梦灵属性!$F$38:$F$41,梦灵属性!$E$38:$E$41)*$C49</f>
        <v>#N/A</v>
      </c>
      <c r="H49" s="22"/>
      <c r="I49" s="56">
        <f ca="1">OFFSET(梦灵图鉴!F$10,MATCH(A49,梦灵图鉴!$E$11:$E$61,1),0)*SUM(梦灵属性!$E$26:$J$26)+OFFSET(梦灵图鉴!H$10,MATCH(A49,梦灵图鉴!$G$11:$G$61,1),0)*SUM(梦灵属性!$E$27:$J$27)+OFFSET(梦灵图鉴!J$10,MATCH(A49,梦灵图鉴!$I$11:$I$61,1),0)*SUM(梦灵属性!$E$28:$J$28)+OFFSET(梦灵图鉴!L$10,MATCH(A49,梦灵图鉴!$K$11:$K$61,1),0)*SUM(梦灵属性!$E$29:$J$29)</f>
        <v>6.9</v>
      </c>
      <c r="J49" s="56"/>
      <c r="K49" s="56"/>
      <c r="L49" s="22"/>
      <c r="M49" s="22"/>
      <c r="N49" s="22"/>
      <c r="P49" s="3">
        <v>3</v>
      </c>
      <c r="Q49" s="3">
        <v>43</v>
      </c>
      <c r="R49" s="3">
        <f ca="1">OFFSET(梦灵属性!G$37,$P49-2,0)</f>
        <v>0</v>
      </c>
      <c r="S49" s="3">
        <f ca="1">OFFSET(梦灵属性!H$37,$P49-2,0)</f>
        <v>0</v>
      </c>
      <c r="T49" s="3">
        <f ca="1">OFFSET(梦灵属性!$E$37,$P49-2,0)*$Q49</f>
        <v>1.72</v>
      </c>
      <c r="U49" s="3">
        <f ca="1">OFFSET(梦灵属性!$E$37,$P49-2,0)*$Q49</f>
        <v>1.72</v>
      </c>
    </row>
    <row r="50" ht="16.5" spans="1:21">
      <c r="A50" s="54">
        <v>44</v>
      </c>
      <c r="B50" s="35">
        <f ca="1">OFFSET(梦灵本体产出!$G$6,MATCH(A50,梦灵本体产出!$I$7:$I$30,1),0)</f>
        <v>0</v>
      </c>
      <c r="C50" s="35" t="e">
        <f ca="1">MATCH(A50,OFFSET(梦灵属性!#REF!,50*(B50-3),0))</f>
        <v>#REF!</v>
      </c>
      <c r="D50" s="55"/>
      <c r="E50" s="55"/>
      <c r="F50" s="22" t="e">
        <f ca="1">_xlfn.XLOOKUP(B50,梦灵属性!$F$38:$F$41,梦灵属性!$E$38:$E$41)*C50</f>
        <v>#N/A</v>
      </c>
      <c r="G50" s="22" t="e">
        <f ca="1">_xlfn.XLOOKUP($B50,梦灵属性!$F$38:$F$41,梦灵属性!$E$38:$E$41)*$C50</f>
        <v>#N/A</v>
      </c>
      <c r="H50" s="22"/>
      <c r="I50" s="56">
        <f ca="1">OFFSET(梦灵图鉴!F$10,MATCH(A50,梦灵图鉴!$E$11:$E$61,1),0)*SUM(梦灵属性!$E$26:$J$26)+OFFSET(梦灵图鉴!H$10,MATCH(A50,梦灵图鉴!$G$11:$G$61,1),0)*SUM(梦灵属性!$E$27:$J$27)+OFFSET(梦灵图鉴!J$10,MATCH(A50,梦灵图鉴!$I$11:$I$61,1),0)*SUM(梦灵属性!$E$28:$J$28)+OFFSET(梦灵图鉴!L$10,MATCH(A50,梦灵图鉴!$K$11:$K$61,1),0)*SUM(梦灵属性!$E$29:$J$29)</f>
        <v>6.9</v>
      </c>
      <c r="J50" s="56"/>
      <c r="K50" s="56"/>
      <c r="L50" s="22"/>
      <c r="M50" s="22"/>
      <c r="N50" s="22"/>
      <c r="P50" s="3">
        <v>3</v>
      </c>
      <c r="Q50" s="3">
        <v>44</v>
      </c>
      <c r="R50" s="3">
        <f ca="1">OFFSET(梦灵属性!G$37,$P50-2,0)</f>
        <v>0</v>
      </c>
      <c r="S50" s="3">
        <f ca="1">OFFSET(梦灵属性!H$37,$P50-2,0)</f>
        <v>0</v>
      </c>
      <c r="T50" s="3">
        <f ca="1">OFFSET(梦灵属性!$E$37,$P50-2,0)*$Q50</f>
        <v>1.76</v>
      </c>
      <c r="U50" s="3">
        <f ca="1">OFFSET(梦灵属性!$E$37,$P50-2,0)*$Q50</f>
        <v>1.76</v>
      </c>
    </row>
    <row r="51" ht="16.5" spans="1:21">
      <c r="A51" s="54">
        <v>45</v>
      </c>
      <c r="B51" s="35">
        <f ca="1">OFFSET(梦灵本体产出!$G$6,MATCH(A51,梦灵本体产出!$I$7:$I$30,1),0)</f>
        <v>0</v>
      </c>
      <c r="C51" s="35" t="e">
        <f ca="1">MATCH(A51,OFFSET(梦灵属性!#REF!,50*(B51-3),0))</f>
        <v>#REF!</v>
      </c>
      <c r="D51" s="55"/>
      <c r="E51" s="55"/>
      <c r="F51" s="22" t="e">
        <f ca="1">_xlfn.XLOOKUP(B51,梦灵属性!$F$38:$F$41,梦灵属性!$E$38:$E$41)*C51</f>
        <v>#N/A</v>
      </c>
      <c r="G51" s="22" t="e">
        <f ca="1">_xlfn.XLOOKUP($B51,梦灵属性!$F$38:$F$41,梦灵属性!$E$38:$E$41)*$C51</f>
        <v>#N/A</v>
      </c>
      <c r="H51" s="22"/>
      <c r="I51" s="56">
        <f ca="1">OFFSET(梦灵图鉴!F$10,MATCH(A51,梦灵图鉴!$E$11:$E$61,1),0)*SUM(梦灵属性!$E$26:$J$26)+OFFSET(梦灵图鉴!H$10,MATCH(A51,梦灵图鉴!$G$11:$G$61,1),0)*SUM(梦灵属性!$E$27:$J$27)+OFFSET(梦灵图鉴!J$10,MATCH(A51,梦灵图鉴!$I$11:$I$61,1),0)*SUM(梦灵属性!$E$28:$J$28)+OFFSET(梦灵图鉴!L$10,MATCH(A51,梦灵图鉴!$K$11:$K$61,1),0)*SUM(梦灵属性!$E$29:$J$29)</f>
        <v>6.996</v>
      </c>
      <c r="J51" s="56"/>
      <c r="K51" s="56"/>
      <c r="L51" s="22"/>
      <c r="M51" s="22"/>
      <c r="N51" s="22"/>
      <c r="P51" s="3">
        <v>3</v>
      </c>
      <c r="Q51" s="3">
        <v>45</v>
      </c>
      <c r="R51" s="3">
        <f ca="1">OFFSET(梦灵属性!G$37,$P51-2,0)</f>
        <v>0</v>
      </c>
      <c r="S51" s="3">
        <f ca="1">OFFSET(梦灵属性!H$37,$P51-2,0)</f>
        <v>0</v>
      </c>
      <c r="T51" s="3">
        <f ca="1">OFFSET(梦灵属性!$E$37,$P51-2,0)*$Q51</f>
        <v>1.8</v>
      </c>
      <c r="U51" s="3">
        <f ca="1">OFFSET(梦灵属性!$E$37,$P51-2,0)*$Q51</f>
        <v>1.8</v>
      </c>
    </row>
    <row r="52" ht="16.5" spans="1:21">
      <c r="A52" s="54">
        <v>46</v>
      </c>
      <c r="B52" s="35">
        <f ca="1">OFFSET(梦灵本体产出!$G$6,MATCH(A52,梦灵本体产出!$I$7:$I$30,1),0)</f>
        <v>0</v>
      </c>
      <c r="C52" s="35" t="e">
        <f ca="1">MATCH(A52,OFFSET(梦灵属性!#REF!,50*(B52-3),0))</f>
        <v>#REF!</v>
      </c>
      <c r="D52" s="55"/>
      <c r="E52" s="55"/>
      <c r="F52" s="22" t="e">
        <f ca="1">_xlfn.XLOOKUP(B52,梦灵属性!$F$38:$F$41,梦灵属性!$E$38:$E$41)*C52</f>
        <v>#N/A</v>
      </c>
      <c r="G52" s="22" t="e">
        <f ca="1">_xlfn.XLOOKUP($B52,梦灵属性!$F$38:$F$41,梦灵属性!$E$38:$E$41)*$C52</f>
        <v>#N/A</v>
      </c>
      <c r="H52" s="22"/>
      <c r="I52" s="56">
        <f ca="1">OFFSET(梦灵图鉴!F$10,MATCH(A52,梦灵图鉴!$E$11:$E$61,1),0)*SUM(梦灵属性!$E$26:$J$26)+OFFSET(梦灵图鉴!H$10,MATCH(A52,梦灵图鉴!$G$11:$G$61,1),0)*SUM(梦灵属性!$E$27:$J$27)+OFFSET(梦灵图鉴!J$10,MATCH(A52,梦灵图鉴!$I$11:$I$61,1),0)*SUM(梦灵属性!$E$28:$J$28)+OFFSET(梦灵图鉴!L$10,MATCH(A52,梦灵图鉴!$K$11:$K$61,1),0)*SUM(梦灵属性!$E$29:$J$29)</f>
        <v>6.996</v>
      </c>
      <c r="J52" s="56"/>
      <c r="K52" s="56"/>
      <c r="L52" s="22"/>
      <c r="M52" s="22"/>
      <c r="N52" s="22"/>
      <c r="P52" s="3">
        <v>3</v>
      </c>
      <c r="Q52" s="3">
        <v>46</v>
      </c>
      <c r="R52" s="3">
        <f ca="1">OFFSET(梦灵属性!G$37,$P52-2,0)</f>
        <v>0</v>
      </c>
      <c r="S52" s="3">
        <f ca="1">OFFSET(梦灵属性!H$37,$P52-2,0)</f>
        <v>0</v>
      </c>
      <c r="T52" s="3">
        <f ca="1">OFFSET(梦灵属性!$E$37,$P52-2,0)*$Q52</f>
        <v>1.84</v>
      </c>
      <c r="U52" s="3">
        <f ca="1">OFFSET(梦灵属性!$E$37,$P52-2,0)*$Q52</f>
        <v>1.84</v>
      </c>
    </row>
    <row r="53" ht="16.5" spans="1:21">
      <c r="A53" s="54">
        <v>47</v>
      </c>
      <c r="B53" s="35">
        <f ca="1">OFFSET(梦灵本体产出!$G$6,MATCH(A53,梦灵本体产出!$I$7:$I$30,1),0)</f>
        <v>0</v>
      </c>
      <c r="C53" s="35" t="e">
        <f ca="1">MATCH(A53,OFFSET(梦灵属性!#REF!,50*(B53-3),0))</f>
        <v>#REF!</v>
      </c>
      <c r="D53" s="55"/>
      <c r="E53" s="55"/>
      <c r="F53" s="22" t="e">
        <f ca="1">_xlfn.XLOOKUP(B53,梦灵属性!$F$38:$F$41,梦灵属性!$E$38:$E$41)*C53</f>
        <v>#N/A</v>
      </c>
      <c r="G53" s="22" t="e">
        <f ca="1">_xlfn.XLOOKUP($B53,梦灵属性!$F$38:$F$41,梦灵属性!$E$38:$E$41)*$C53</f>
        <v>#N/A</v>
      </c>
      <c r="H53" s="22"/>
      <c r="I53" s="56">
        <f ca="1">OFFSET(梦灵图鉴!F$10,MATCH(A53,梦灵图鉴!$E$11:$E$61,1),0)*SUM(梦灵属性!$E$26:$J$26)+OFFSET(梦灵图鉴!H$10,MATCH(A53,梦灵图鉴!$G$11:$G$61,1),0)*SUM(梦灵属性!$E$27:$J$27)+OFFSET(梦灵图鉴!J$10,MATCH(A53,梦灵图鉴!$I$11:$I$61,1),0)*SUM(梦灵属性!$E$28:$J$28)+OFFSET(梦灵图鉴!L$10,MATCH(A53,梦灵图鉴!$K$11:$K$61,1),0)*SUM(梦灵属性!$E$29:$J$29)</f>
        <v>7.182</v>
      </c>
      <c r="J53" s="56"/>
      <c r="K53" s="56"/>
      <c r="L53" s="22"/>
      <c r="M53" s="22"/>
      <c r="N53" s="22"/>
      <c r="P53" s="3">
        <v>3</v>
      </c>
      <c r="Q53" s="3">
        <v>47</v>
      </c>
      <c r="R53" s="3">
        <f ca="1">OFFSET(梦灵属性!G$37,$P53-2,0)</f>
        <v>0</v>
      </c>
      <c r="S53" s="3">
        <f ca="1">OFFSET(梦灵属性!H$37,$P53-2,0)</f>
        <v>0</v>
      </c>
      <c r="T53" s="3">
        <f ca="1">OFFSET(梦灵属性!$E$37,$P53-2,0)*$Q53</f>
        <v>1.88</v>
      </c>
      <c r="U53" s="3">
        <f ca="1">OFFSET(梦灵属性!$E$37,$P53-2,0)*$Q53</f>
        <v>1.88</v>
      </c>
    </row>
    <row r="54" ht="16.5" spans="1:21">
      <c r="A54" s="54">
        <v>48</v>
      </c>
      <c r="B54" s="35">
        <f ca="1">OFFSET(梦灵本体产出!$G$6,MATCH(A54,梦灵本体产出!$I$7:$I$30,1),0)</f>
        <v>0</v>
      </c>
      <c r="C54" s="35" t="e">
        <f ca="1">MATCH(A54,OFFSET(梦灵属性!#REF!,50*(B54-3),0))</f>
        <v>#REF!</v>
      </c>
      <c r="D54" s="55"/>
      <c r="E54" s="55"/>
      <c r="F54" s="22" t="e">
        <f ca="1">_xlfn.XLOOKUP(B54,梦灵属性!$F$38:$F$41,梦灵属性!$E$38:$E$41)*C54</f>
        <v>#N/A</v>
      </c>
      <c r="G54" s="22" t="e">
        <f ca="1">_xlfn.XLOOKUP($B54,梦灵属性!$F$38:$F$41,梦灵属性!$E$38:$E$41)*$C54</f>
        <v>#N/A</v>
      </c>
      <c r="H54" s="22"/>
      <c r="I54" s="56">
        <f ca="1">OFFSET(梦灵图鉴!F$10,MATCH(A54,梦灵图鉴!$E$11:$E$61,1),0)*SUM(梦灵属性!$E$26:$J$26)+OFFSET(梦灵图鉴!H$10,MATCH(A54,梦灵图鉴!$G$11:$G$61,1),0)*SUM(梦灵属性!$E$27:$J$27)+OFFSET(梦灵图鉴!J$10,MATCH(A54,梦灵图鉴!$I$11:$I$61,1),0)*SUM(梦灵属性!$E$28:$J$28)+OFFSET(梦灵图鉴!L$10,MATCH(A54,梦灵图鉴!$K$11:$K$61,1),0)*SUM(梦灵属性!$E$29:$J$29)</f>
        <v>7.278</v>
      </c>
      <c r="J54" s="56"/>
      <c r="K54" s="56"/>
      <c r="L54" s="22"/>
      <c r="M54" s="22"/>
      <c r="N54" s="22"/>
      <c r="P54" s="3">
        <v>3</v>
      </c>
      <c r="Q54" s="3">
        <v>48</v>
      </c>
      <c r="R54" s="3">
        <f ca="1">OFFSET(梦灵属性!G$37,$P54-2,0)</f>
        <v>0</v>
      </c>
      <c r="S54" s="3">
        <f ca="1">OFFSET(梦灵属性!H$37,$P54-2,0)</f>
        <v>0</v>
      </c>
      <c r="T54" s="3">
        <f ca="1">OFFSET(梦灵属性!$E$37,$P54-2,0)*$Q54</f>
        <v>1.92</v>
      </c>
      <c r="U54" s="3">
        <f ca="1">OFFSET(梦灵属性!$E$37,$P54-2,0)*$Q54</f>
        <v>1.92</v>
      </c>
    </row>
    <row r="55" ht="16.5" spans="1:21">
      <c r="A55" s="54">
        <v>49</v>
      </c>
      <c r="B55" s="35">
        <f ca="1">OFFSET(梦灵本体产出!$G$6,MATCH(A55,梦灵本体产出!$I$7:$I$30,1),0)</f>
        <v>0</v>
      </c>
      <c r="C55" s="35" t="e">
        <f ca="1">MATCH(A55,OFFSET(梦灵属性!#REF!,50*(B55-3),0))</f>
        <v>#REF!</v>
      </c>
      <c r="D55" s="55"/>
      <c r="E55" s="55"/>
      <c r="F55" s="22" t="e">
        <f ca="1">_xlfn.XLOOKUP(B55,梦灵属性!$F$38:$F$41,梦灵属性!$E$38:$E$41)*C55</f>
        <v>#N/A</v>
      </c>
      <c r="G55" s="22" t="e">
        <f ca="1">_xlfn.XLOOKUP($B55,梦灵属性!$F$38:$F$41,梦灵属性!$E$38:$E$41)*$C55</f>
        <v>#N/A</v>
      </c>
      <c r="H55" s="22"/>
      <c r="I55" s="56">
        <f ca="1">OFFSET(梦灵图鉴!F$10,MATCH(A55,梦灵图鉴!$E$11:$E$61,1),0)*SUM(梦灵属性!$E$26:$J$26)+OFFSET(梦灵图鉴!H$10,MATCH(A55,梦灵图鉴!$G$11:$G$61,1),0)*SUM(梦灵属性!$E$27:$J$27)+OFFSET(梦灵图鉴!J$10,MATCH(A55,梦灵图鉴!$I$11:$I$61,1),0)*SUM(梦灵属性!$E$28:$J$28)+OFFSET(梦灵图鉴!L$10,MATCH(A55,梦灵图鉴!$K$11:$K$61,1),0)*SUM(梦灵属性!$E$29:$J$29)</f>
        <v>7.278</v>
      </c>
      <c r="J55" s="56"/>
      <c r="K55" s="56"/>
      <c r="L55" s="22"/>
      <c r="M55" s="22"/>
      <c r="N55" s="22"/>
      <c r="P55" s="3">
        <v>3</v>
      </c>
      <c r="Q55" s="3">
        <v>49</v>
      </c>
      <c r="R55" s="3">
        <f ca="1">OFFSET(梦灵属性!G$37,$P55-2,0)</f>
        <v>0</v>
      </c>
      <c r="S55" s="3">
        <f ca="1">OFFSET(梦灵属性!H$37,$P55-2,0)</f>
        <v>0</v>
      </c>
      <c r="T55" s="3">
        <f ca="1">OFFSET(梦灵属性!$E$37,$P55-2,0)*$Q55</f>
        <v>1.96</v>
      </c>
      <c r="U55" s="3">
        <f ca="1">OFFSET(梦灵属性!$E$37,$P55-2,0)*$Q55</f>
        <v>1.96</v>
      </c>
    </row>
    <row r="56" ht="16.5" spans="1:21">
      <c r="A56" s="54">
        <v>50</v>
      </c>
      <c r="B56" s="35">
        <f ca="1">OFFSET(梦灵本体产出!$G$6,MATCH(A56,梦灵本体产出!$I$7:$I$30,1),0)</f>
        <v>0</v>
      </c>
      <c r="C56" s="35" t="e">
        <f ca="1">MATCH(A56,OFFSET(梦灵属性!#REF!,50*(B56-3),0))</f>
        <v>#REF!</v>
      </c>
      <c r="D56" s="55"/>
      <c r="E56" s="55"/>
      <c r="F56" s="22" t="e">
        <f ca="1">_xlfn.XLOOKUP(B56,梦灵属性!$F$38:$F$41,梦灵属性!$E$38:$E$41)*C56</f>
        <v>#N/A</v>
      </c>
      <c r="G56" s="22" t="e">
        <f ca="1">_xlfn.XLOOKUP($B56,梦灵属性!$F$38:$F$41,梦灵属性!$E$38:$E$41)*$C56</f>
        <v>#N/A</v>
      </c>
      <c r="H56" s="22"/>
      <c r="I56" s="56">
        <f ca="1">OFFSET(梦灵图鉴!F$10,MATCH(A56,梦灵图鉴!$E$11:$E$61,1),0)*SUM(梦灵属性!$E$26:$J$26)+OFFSET(梦灵图鉴!H$10,MATCH(A56,梦灵图鉴!$G$11:$G$61,1),0)*SUM(梦灵属性!$E$27:$J$27)+OFFSET(梦灵图鉴!J$10,MATCH(A56,梦灵图鉴!$I$11:$I$61,1),0)*SUM(梦灵属性!$E$28:$J$28)+OFFSET(梦灵图鉴!L$10,MATCH(A56,梦灵图鉴!$K$11:$K$61,1),0)*SUM(梦灵属性!$E$29:$J$29)</f>
        <v>7.278</v>
      </c>
      <c r="J56" s="56"/>
      <c r="K56" s="56"/>
      <c r="L56" s="22"/>
      <c r="M56" s="22"/>
      <c r="N56" s="22"/>
      <c r="P56" s="3">
        <v>3</v>
      </c>
      <c r="Q56" s="3">
        <v>50</v>
      </c>
      <c r="R56" s="3">
        <f ca="1">OFFSET(梦灵属性!G$37,$P56-2,0)</f>
        <v>0</v>
      </c>
      <c r="S56" s="3">
        <f ca="1">OFFSET(梦灵属性!H$37,$P56-2,0)</f>
        <v>0</v>
      </c>
      <c r="T56" s="3">
        <f ca="1">OFFSET(梦灵属性!$E$37,$P56-2,0)*$Q56</f>
        <v>2</v>
      </c>
      <c r="U56" s="3">
        <f ca="1">OFFSET(梦灵属性!$E$37,$P56-2,0)*$Q56</f>
        <v>2</v>
      </c>
    </row>
    <row r="57" ht="16.5" spans="1:21">
      <c r="A57" s="54">
        <v>51</v>
      </c>
      <c r="B57" s="35">
        <f ca="1">OFFSET(梦灵本体产出!$G$6,MATCH(A57,梦灵本体产出!$I$7:$I$30,1),0)</f>
        <v>0</v>
      </c>
      <c r="C57" s="35" t="e">
        <f ca="1">MATCH(A57,OFFSET(梦灵属性!#REF!,50*(B57-3),0))</f>
        <v>#REF!</v>
      </c>
      <c r="D57" s="55"/>
      <c r="E57" s="55"/>
      <c r="F57" s="22" t="e">
        <f ca="1">_xlfn.XLOOKUP(B57,梦灵属性!$F$38:$F$41,梦灵属性!$E$38:$E$41)*C57</f>
        <v>#N/A</v>
      </c>
      <c r="G57" s="22" t="e">
        <f ca="1">_xlfn.XLOOKUP($B57,梦灵属性!$F$38:$F$41,梦灵属性!$E$38:$E$41)*$C57</f>
        <v>#N/A</v>
      </c>
      <c r="H57" s="22"/>
      <c r="I57" s="56">
        <f ca="1">OFFSET(梦灵图鉴!F$10,MATCH(A57,梦灵图鉴!$E$11:$E$61,1),0)*SUM(梦灵属性!$E$26:$J$26)+OFFSET(梦灵图鉴!H$10,MATCH(A57,梦灵图鉴!$G$11:$G$61,1),0)*SUM(梦灵属性!$E$27:$J$27)+OFFSET(梦灵图鉴!J$10,MATCH(A57,梦灵图鉴!$I$11:$I$61,1),0)*SUM(梦灵属性!$E$28:$J$28)+OFFSET(梦灵图鉴!L$10,MATCH(A57,梦灵图鉴!$K$11:$K$61,1),0)*SUM(梦灵属性!$E$29:$J$29)</f>
        <v>7.362</v>
      </c>
      <c r="J57" s="56"/>
      <c r="K57" s="56"/>
      <c r="L57" s="22"/>
      <c r="M57" s="22"/>
      <c r="N57" s="22"/>
      <c r="P57" s="3">
        <f>P7+1</f>
        <v>4</v>
      </c>
      <c r="Q57" s="3">
        <f>Q7</f>
        <v>1</v>
      </c>
      <c r="R57" s="3">
        <f ca="1">OFFSET(梦灵属性!G$37,$P57-2,0)</f>
        <v>60</v>
      </c>
      <c r="S57" s="3">
        <f ca="1">OFFSET(梦灵属性!H$37,$P57-2,0)</f>
        <v>600</v>
      </c>
      <c r="T57" s="3">
        <f ca="1">OFFSET(梦灵属性!$E$37,$P57-2,0)*$Q57</f>
        <v>0.05</v>
      </c>
      <c r="U57" s="3">
        <f ca="1">OFFSET(梦灵属性!$E$37,$P57-2,0)*$Q57</f>
        <v>0.05</v>
      </c>
    </row>
    <row r="58" ht="16.5" spans="1:21">
      <c r="A58" s="54">
        <v>52</v>
      </c>
      <c r="B58" s="35">
        <f ca="1">OFFSET(梦灵本体产出!$G$6,MATCH(A58,梦灵本体产出!$I$7:$I$30,1),0)</f>
        <v>0</v>
      </c>
      <c r="C58" s="35" t="e">
        <f ca="1">MATCH(A58,OFFSET(梦灵属性!#REF!,50*(B58-3),0))</f>
        <v>#REF!</v>
      </c>
      <c r="D58" s="55"/>
      <c r="E58" s="55"/>
      <c r="F58" s="22" t="e">
        <f ca="1">_xlfn.XLOOKUP(B58,梦灵属性!$F$38:$F$41,梦灵属性!$E$38:$E$41)*C58</f>
        <v>#N/A</v>
      </c>
      <c r="G58" s="22" t="e">
        <f ca="1">_xlfn.XLOOKUP($B58,梦灵属性!$F$38:$F$41,梦灵属性!$E$38:$E$41)*$C58</f>
        <v>#N/A</v>
      </c>
      <c r="H58" s="22"/>
      <c r="I58" s="56">
        <f ca="1">OFFSET(梦灵图鉴!F$10,MATCH(A58,梦灵图鉴!$E$11:$E$61,1),0)*SUM(梦灵属性!$E$26:$J$26)+OFFSET(梦灵图鉴!H$10,MATCH(A58,梦灵图鉴!$G$11:$G$61,1),0)*SUM(梦灵属性!$E$27:$J$27)+OFFSET(梦灵图鉴!J$10,MATCH(A58,梦灵图鉴!$I$11:$I$61,1),0)*SUM(梦灵属性!$E$28:$J$28)+OFFSET(梦灵图鉴!L$10,MATCH(A58,梦灵图鉴!$K$11:$K$61,1),0)*SUM(梦灵属性!$E$29:$J$29)</f>
        <v>7.458</v>
      </c>
      <c r="J58" s="56"/>
      <c r="K58" s="56"/>
      <c r="L58" s="22"/>
      <c r="M58" s="22"/>
      <c r="N58" s="22"/>
      <c r="P58" s="3">
        <f t="shared" ref="P58:P101" si="0">P8+1</f>
        <v>4</v>
      </c>
      <c r="Q58" s="3">
        <f t="shared" ref="Q58:Q101" si="1">Q8</f>
        <v>2</v>
      </c>
      <c r="R58" s="3">
        <f ca="1">OFFSET(梦灵属性!G$37,$P58-2,0)</f>
        <v>60</v>
      </c>
      <c r="S58" s="3">
        <f ca="1">OFFSET(梦灵属性!H$37,$P58-2,0)</f>
        <v>600</v>
      </c>
      <c r="T58" s="3">
        <f ca="1">OFFSET(梦灵属性!$E$37,$P58-2,0)*$Q58</f>
        <v>0.1</v>
      </c>
      <c r="U58" s="3">
        <f ca="1">OFFSET(梦灵属性!$E$37,$P58-2,0)*$Q58</f>
        <v>0.1</v>
      </c>
    </row>
    <row r="59" ht="16.5" spans="1:21">
      <c r="A59" s="54">
        <v>53</v>
      </c>
      <c r="B59" s="35">
        <f ca="1">OFFSET(梦灵本体产出!$G$6,MATCH(A59,梦灵本体产出!$I$7:$I$30,1),0)</f>
        <v>0</v>
      </c>
      <c r="C59" s="35" t="e">
        <f ca="1">MATCH(A59,OFFSET(梦灵属性!#REF!,50*(B59-3),0))</f>
        <v>#REF!</v>
      </c>
      <c r="D59" s="55"/>
      <c r="E59" s="55"/>
      <c r="F59" s="22" t="e">
        <f ca="1">_xlfn.XLOOKUP(B59,梦灵属性!$F$38:$F$41,梦灵属性!$E$38:$E$41)*C59</f>
        <v>#N/A</v>
      </c>
      <c r="G59" s="22" t="e">
        <f ca="1">_xlfn.XLOOKUP($B59,梦灵属性!$F$38:$F$41,梦灵属性!$E$38:$E$41)*$C59</f>
        <v>#N/A</v>
      </c>
      <c r="H59" s="22"/>
      <c r="I59" s="56">
        <f ca="1">OFFSET(梦灵图鉴!F$10,MATCH(A59,梦灵图鉴!$E$11:$E$61,1),0)*SUM(梦灵属性!$E$26:$J$26)+OFFSET(梦灵图鉴!H$10,MATCH(A59,梦灵图鉴!$G$11:$G$61,1),0)*SUM(梦灵属性!$E$27:$J$27)+OFFSET(梦灵图鉴!J$10,MATCH(A59,梦灵图鉴!$I$11:$I$61,1),0)*SUM(梦灵属性!$E$28:$J$28)+OFFSET(梦灵图鉴!L$10,MATCH(A59,梦灵图鉴!$K$11:$K$61,1),0)*SUM(梦灵属性!$E$29:$J$29)</f>
        <v>7.53</v>
      </c>
      <c r="J59" s="56"/>
      <c r="K59" s="56"/>
      <c r="L59" s="22"/>
      <c r="M59" s="22"/>
      <c r="N59" s="22"/>
      <c r="P59" s="3">
        <f t="shared" si="0"/>
        <v>4</v>
      </c>
      <c r="Q59" s="3">
        <f t="shared" si="1"/>
        <v>3</v>
      </c>
      <c r="R59" s="3">
        <f ca="1">OFFSET(梦灵属性!G$37,$P59-2,0)</f>
        <v>60</v>
      </c>
      <c r="S59" s="3">
        <f ca="1">OFFSET(梦灵属性!H$37,$P59-2,0)</f>
        <v>600</v>
      </c>
      <c r="T59" s="3">
        <f ca="1">OFFSET(梦灵属性!$E$37,$P59-2,0)*$Q59</f>
        <v>0.15</v>
      </c>
      <c r="U59" s="3">
        <f ca="1">OFFSET(梦灵属性!$E$37,$P59-2,0)*$Q59</f>
        <v>0.15</v>
      </c>
    </row>
    <row r="60" ht="16.5" spans="1:21">
      <c r="A60" s="54">
        <v>54</v>
      </c>
      <c r="B60" s="35">
        <f ca="1">OFFSET(梦灵本体产出!$G$6,MATCH(A60,梦灵本体产出!$I$7:$I$30,1),0)</f>
        <v>0</v>
      </c>
      <c r="C60" s="35" t="e">
        <f ca="1">MATCH(A60,OFFSET(梦灵属性!#REF!,50*(B60-3),0))</f>
        <v>#REF!</v>
      </c>
      <c r="D60" s="55"/>
      <c r="E60" s="55"/>
      <c r="F60" s="22" t="e">
        <f ca="1">_xlfn.XLOOKUP(B60,梦灵属性!$F$38:$F$41,梦灵属性!$E$38:$E$41)*C60</f>
        <v>#N/A</v>
      </c>
      <c r="G60" s="22" t="e">
        <f ca="1">_xlfn.XLOOKUP($B60,梦灵属性!$F$38:$F$41,梦灵属性!$E$38:$E$41)*$C60</f>
        <v>#N/A</v>
      </c>
      <c r="H60" s="22"/>
      <c r="I60" s="56">
        <f ca="1">OFFSET(梦灵图鉴!F$10,MATCH(A60,梦灵图鉴!$E$11:$E$61,1),0)*SUM(梦灵属性!$E$26:$J$26)+OFFSET(梦灵图鉴!H$10,MATCH(A60,梦灵图鉴!$G$11:$G$61,1),0)*SUM(梦灵属性!$E$27:$J$27)+OFFSET(梦灵图鉴!J$10,MATCH(A60,梦灵图鉴!$I$11:$I$61,1),0)*SUM(梦灵属性!$E$28:$J$28)+OFFSET(梦灵图鉴!L$10,MATCH(A60,梦灵图鉴!$K$11:$K$61,1),0)*SUM(梦灵属性!$E$29:$J$29)</f>
        <v>7.53</v>
      </c>
      <c r="J60" s="56"/>
      <c r="K60" s="56"/>
      <c r="L60" s="22"/>
      <c r="M60" s="22"/>
      <c r="N60" s="22"/>
      <c r="P60" s="3">
        <f t="shared" si="0"/>
        <v>4</v>
      </c>
      <c r="Q60" s="3">
        <f t="shared" si="1"/>
        <v>4</v>
      </c>
      <c r="R60" s="3">
        <f ca="1">OFFSET(梦灵属性!G$37,$P60-2,0)</f>
        <v>60</v>
      </c>
      <c r="S60" s="3">
        <f ca="1">OFFSET(梦灵属性!H$37,$P60-2,0)</f>
        <v>600</v>
      </c>
      <c r="T60" s="3">
        <f ca="1">OFFSET(梦灵属性!$E$37,$P60-2,0)*$Q60</f>
        <v>0.2</v>
      </c>
      <c r="U60" s="3">
        <f ca="1">OFFSET(梦灵属性!$E$37,$P60-2,0)*$Q60</f>
        <v>0.2</v>
      </c>
    </row>
    <row r="61" ht="16.5" spans="1:21">
      <c r="A61" s="54">
        <v>55</v>
      </c>
      <c r="B61" s="35">
        <f ca="1">OFFSET(梦灵本体产出!$G$6,MATCH(A61,梦灵本体产出!$I$7:$I$30,1),0)</f>
        <v>0</v>
      </c>
      <c r="C61" s="35" t="e">
        <f ca="1">MATCH(A61,OFFSET(梦灵属性!#REF!,50*(B61-3),0))</f>
        <v>#REF!</v>
      </c>
      <c r="D61" s="55"/>
      <c r="E61" s="55"/>
      <c r="F61" s="22" t="e">
        <f ca="1">_xlfn.XLOOKUP(B61,梦灵属性!$F$38:$F$41,梦灵属性!$E$38:$E$41)*C61</f>
        <v>#N/A</v>
      </c>
      <c r="G61" s="22" t="e">
        <f ca="1">_xlfn.XLOOKUP($B61,梦灵属性!$F$38:$F$41,梦灵属性!$E$38:$E$41)*$C61</f>
        <v>#N/A</v>
      </c>
      <c r="H61" s="22"/>
      <c r="I61" s="56">
        <f ca="1">OFFSET(梦灵图鉴!F$10,MATCH(A61,梦灵图鉴!$E$11:$E$61,1),0)*SUM(梦灵属性!$E$26:$J$26)+OFFSET(梦灵图鉴!H$10,MATCH(A61,梦灵图鉴!$G$11:$G$61,1),0)*SUM(梦灵属性!$E$27:$J$27)+OFFSET(梦灵图鉴!J$10,MATCH(A61,梦灵图鉴!$I$11:$I$61,1),0)*SUM(梦灵属性!$E$28:$J$28)+OFFSET(梦灵图鉴!L$10,MATCH(A61,梦灵图鉴!$K$11:$K$61,1),0)*SUM(梦灵属性!$E$29:$J$29)</f>
        <v>7.626</v>
      </c>
      <c r="J61" s="56"/>
      <c r="K61" s="56"/>
      <c r="L61" s="22"/>
      <c r="M61" s="22"/>
      <c r="N61" s="22"/>
      <c r="P61" s="3">
        <f t="shared" si="0"/>
        <v>4</v>
      </c>
      <c r="Q61" s="3">
        <f t="shared" si="1"/>
        <v>5</v>
      </c>
      <c r="R61" s="3">
        <f ca="1">OFFSET(梦灵属性!G$37,$P61-2,0)</f>
        <v>60</v>
      </c>
      <c r="S61" s="3">
        <f ca="1">OFFSET(梦灵属性!H$37,$P61-2,0)</f>
        <v>600</v>
      </c>
      <c r="T61" s="3">
        <f ca="1">OFFSET(梦灵属性!$E$37,$P61-2,0)*$Q61</f>
        <v>0.25</v>
      </c>
      <c r="U61" s="3">
        <f ca="1">OFFSET(梦灵属性!$E$37,$P61-2,0)*$Q61</f>
        <v>0.25</v>
      </c>
    </row>
    <row r="62" ht="16.5" spans="1:21">
      <c r="A62" s="54">
        <v>56</v>
      </c>
      <c r="B62" s="35">
        <f ca="1">OFFSET(梦灵本体产出!$G$6,MATCH(A62,梦灵本体产出!$I$7:$I$30,1),0)</f>
        <v>0</v>
      </c>
      <c r="C62" s="35" t="e">
        <f ca="1">MATCH(A62,OFFSET(梦灵属性!#REF!,50*(B62-3),0))</f>
        <v>#REF!</v>
      </c>
      <c r="D62" s="55"/>
      <c r="E62" s="55"/>
      <c r="F62" s="22" t="e">
        <f ca="1">_xlfn.XLOOKUP(B62,梦灵属性!$F$38:$F$41,梦灵属性!$E$38:$E$41)*C62</f>
        <v>#N/A</v>
      </c>
      <c r="G62" s="22" t="e">
        <f ca="1">_xlfn.XLOOKUP($B62,梦灵属性!$F$38:$F$41,梦灵属性!$E$38:$E$41)*$C62</f>
        <v>#N/A</v>
      </c>
      <c r="H62" s="22"/>
      <c r="I62" s="56">
        <f ca="1">OFFSET(梦灵图鉴!F$10,MATCH(A62,梦灵图鉴!$E$11:$E$61,1),0)*SUM(梦灵属性!$E$26:$J$26)+OFFSET(梦灵图鉴!H$10,MATCH(A62,梦灵图鉴!$G$11:$G$61,1),0)*SUM(梦灵属性!$E$27:$J$27)+OFFSET(梦灵图鉴!J$10,MATCH(A62,梦灵图鉴!$I$11:$I$61,1),0)*SUM(梦灵属性!$E$28:$J$28)+OFFSET(梦灵图鉴!L$10,MATCH(A62,梦灵图鉴!$K$11:$K$61,1),0)*SUM(梦灵属性!$E$29:$J$29)</f>
        <v>7.74</v>
      </c>
      <c r="J62" s="56"/>
      <c r="K62" s="56"/>
      <c r="L62" s="22"/>
      <c r="M62" s="22"/>
      <c r="N62" s="22"/>
      <c r="P62" s="3">
        <f t="shared" si="0"/>
        <v>4</v>
      </c>
      <c r="Q62" s="3">
        <f t="shared" si="1"/>
        <v>6</v>
      </c>
      <c r="R62" s="3">
        <f ca="1">OFFSET(梦灵属性!G$37,$P62-2,0)</f>
        <v>60</v>
      </c>
      <c r="S62" s="3">
        <f ca="1">OFFSET(梦灵属性!H$37,$P62-2,0)</f>
        <v>600</v>
      </c>
      <c r="T62" s="3">
        <f ca="1">OFFSET(梦灵属性!$E$37,$P62-2,0)*$Q62</f>
        <v>0.3</v>
      </c>
      <c r="U62" s="3">
        <f ca="1">OFFSET(梦灵属性!$E$37,$P62-2,0)*$Q62</f>
        <v>0.3</v>
      </c>
    </row>
    <row r="63" ht="16.5" spans="1:21">
      <c r="A63" s="54">
        <v>57</v>
      </c>
      <c r="B63" s="35">
        <f ca="1">OFFSET(梦灵本体产出!$G$6,MATCH(A63,梦灵本体产出!$I$7:$I$30,1),0)</f>
        <v>0</v>
      </c>
      <c r="C63" s="35" t="e">
        <f ca="1">MATCH(A63,OFFSET(梦灵属性!#REF!,50*(B63-3),0))</f>
        <v>#REF!</v>
      </c>
      <c r="D63" s="55"/>
      <c r="E63" s="55"/>
      <c r="F63" s="22" t="e">
        <f ca="1">_xlfn.XLOOKUP(B63,梦灵属性!$F$38:$F$41,梦灵属性!$E$38:$E$41)*C63</f>
        <v>#N/A</v>
      </c>
      <c r="G63" s="22" t="e">
        <f ca="1">_xlfn.XLOOKUP($B63,梦灵属性!$F$38:$F$41,梦灵属性!$E$38:$E$41)*$C63</f>
        <v>#N/A</v>
      </c>
      <c r="H63" s="22"/>
      <c r="I63" s="56">
        <f ca="1">OFFSET(梦灵图鉴!F$10,MATCH(A63,梦灵图鉴!$E$11:$E$61,1),0)*SUM(梦灵属性!$E$26:$J$26)+OFFSET(梦灵图鉴!H$10,MATCH(A63,梦灵图鉴!$G$11:$G$61,1),0)*SUM(梦灵属性!$E$27:$J$27)+OFFSET(梦灵图鉴!J$10,MATCH(A63,梦灵图鉴!$I$11:$I$61,1),0)*SUM(梦灵属性!$E$28:$J$28)+OFFSET(梦灵图鉴!L$10,MATCH(A63,梦灵图鉴!$K$11:$K$61,1),0)*SUM(梦灵属性!$E$29:$J$29)</f>
        <v>7.74</v>
      </c>
      <c r="J63" s="56"/>
      <c r="K63" s="56"/>
      <c r="L63" s="22"/>
      <c r="M63" s="22"/>
      <c r="N63" s="22"/>
      <c r="P63" s="3">
        <f t="shared" si="0"/>
        <v>4</v>
      </c>
      <c r="Q63" s="3">
        <f t="shared" si="1"/>
        <v>7</v>
      </c>
      <c r="R63" s="3">
        <f ca="1">OFFSET(梦灵属性!G$37,$P63-2,0)</f>
        <v>60</v>
      </c>
      <c r="S63" s="3">
        <f ca="1">OFFSET(梦灵属性!H$37,$P63-2,0)</f>
        <v>600</v>
      </c>
      <c r="T63" s="3">
        <f ca="1">OFFSET(梦灵属性!$E$37,$P63-2,0)*$Q63</f>
        <v>0.35</v>
      </c>
      <c r="U63" s="3">
        <f ca="1">OFFSET(梦灵属性!$E$37,$P63-2,0)*$Q63</f>
        <v>0.35</v>
      </c>
    </row>
    <row r="64" ht="16.5" spans="1:21">
      <c r="A64" s="54">
        <v>58</v>
      </c>
      <c r="B64" s="35">
        <f ca="1">OFFSET(梦灵本体产出!$G$6,MATCH(A64,梦灵本体产出!$I$7:$I$30,1),0)</f>
        <v>0</v>
      </c>
      <c r="C64" s="35" t="e">
        <f ca="1">MATCH(A64,OFFSET(梦灵属性!#REF!,50*(B64-3),0))</f>
        <v>#REF!</v>
      </c>
      <c r="D64" s="55"/>
      <c r="E64" s="55"/>
      <c r="F64" s="22" t="e">
        <f ca="1">_xlfn.XLOOKUP(B64,梦灵属性!$F$38:$F$41,梦灵属性!$E$38:$E$41)*C64</f>
        <v>#N/A</v>
      </c>
      <c r="G64" s="22" t="e">
        <f ca="1">_xlfn.XLOOKUP($B64,梦灵属性!$F$38:$F$41,梦灵属性!$E$38:$E$41)*$C64</f>
        <v>#N/A</v>
      </c>
      <c r="H64" s="22"/>
      <c r="I64" s="56">
        <f ca="1">OFFSET(梦灵图鉴!F$10,MATCH(A64,梦灵图鉴!$E$11:$E$61,1),0)*SUM(梦灵属性!$E$26:$J$26)+OFFSET(梦灵图鉴!H$10,MATCH(A64,梦灵图鉴!$G$11:$G$61,1),0)*SUM(梦灵属性!$E$27:$J$27)+OFFSET(梦灵图鉴!J$10,MATCH(A64,梦灵图鉴!$I$11:$I$61,1),0)*SUM(梦灵属性!$E$28:$J$28)+OFFSET(梦灵图鉴!L$10,MATCH(A64,梦灵图鉴!$K$11:$K$61,1),0)*SUM(梦灵属性!$E$29:$J$29)</f>
        <v>7.836</v>
      </c>
      <c r="J64" s="56"/>
      <c r="K64" s="56"/>
      <c r="L64" s="22"/>
      <c r="M64" s="22"/>
      <c r="N64" s="22"/>
      <c r="P64" s="3">
        <f t="shared" si="0"/>
        <v>4</v>
      </c>
      <c r="Q64" s="3">
        <f t="shared" si="1"/>
        <v>8</v>
      </c>
      <c r="R64" s="3">
        <f ca="1">OFFSET(梦灵属性!G$37,$P64-2,0)</f>
        <v>60</v>
      </c>
      <c r="S64" s="3">
        <f ca="1">OFFSET(梦灵属性!H$37,$P64-2,0)</f>
        <v>600</v>
      </c>
      <c r="T64" s="3">
        <f ca="1">OFFSET(梦灵属性!$E$37,$P64-2,0)*$Q64</f>
        <v>0.4</v>
      </c>
      <c r="U64" s="3">
        <f ca="1">OFFSET(梦灵属性!$E$37,$P64-2,0)*$Q64</f>
        <v>0.4</v>
      </c>
    </row>
    <row r="65" ht="16.5" spans="1:21">
      <c r="A65" s="54">
        <v>59</v>
      </c>
      <c r="B65" s="35">
        <f ca="1">OFFSET(梦灵本体产出!$G$6,MATCH(A65,梦灵本体产出!$I$7:$I$30,1),0)</f>
        <v>0</v>
      </c>
      <c r="C65" s="35" t="e">
        <f ca="1">MATCH(A65,OFFSET(梦灵属性!#REF!,50*(B65-3),0))</f>
        <v>#REF!</v>
      </c>
      <c r="D65" s="55"/>
      <c r="E65" s="55"/>
      <c r="F65" s="22" t="e">
        <f ca="1">_xlfn.XLOOKUP(B65,梦灵属性!$F$38:$F$41,梦灵属性!$E$38:$E$41)*C65</f>
        <v>#N/A</v>
      </c>
      <c r="G65" s="22" t="e">
        <f ca="1">_xlfn.XLOOKUP($B65,梦灵属性!$F$38:$F$41,梦灵属性!$E$38:$E$41)*$C65</f>
        <v>#N/A</v>
      </c>
      <c r="H65" s="22"/>
      <c r="I65" s="56">
        <f ca="1">OFFSET(梦灵图鉴!F$10,MATCH(A65,梦灵图鉴!$E$11:$E$61,1),0)*SUM(梦灵属性!$E$26:$J$26)+OFFSET(梦灵图鉴!H$10,MATCH(A65,梦灵图鉴!$G$11:$G$61,1),0)*SUM(梦灵属性!$E$27:$J$27)+OFFSET(梦灵图鉴!J$10,MATCH(A65,梦灵图鉴!$I$11:$I$61,1),0)*SUM(梦灵属性!$E$28:$J$28)+OFFSET(梦灵图鉴!L$10,MATCH(A65,梦灵图鉴!$K$11:$K$61,1),0)*SUM(梦灵属性!$E$29:$J$29)</f>
        <v>7.836</v>
      </c>
      <c r="J65" s="56"/>
      <c r="K65" s="56"/>
      <c r="L65" s="22"/>
      <c r="M65" s="22"/>
      <c r="N65" s="22"/>
      <c r="P65" s="3">
        <f t="shared" si="0"/>
        <v>4</v>
      </c>
      <c r="Q65" s="3">
        <f t="shared" si="1"/>
        <v>9</v>
      </c>
      <c r="R65" s="3">
        <f ca="1">OFFSET(梦灵属性!G$37,$P65-2,0)</f>
        <v>60</v>
      </c>
      <c r="S65" s="3">
        <f ca="1">OFFSET(梦灵属性!H$37,$P65-2,0)</f>
        <v>600</v>
      </c>
      <c r="T65" s="3">
        <f ca="1">OFFSET(梦灵属性!$E$37,$P65-2,0)*$Q65</f>
        <v>0.45</v>
      </c>
      <c r="U65" s="3">
        <f ca="1">OFFSET(梦灵属性!$E$37,$P65-2,0)*$Q65</f>
        <v>0.45</v>
      </c>
    </row>
    <row r="66" ht="16.5" spans="1:21">
      <c r="A66" s="54">
        <v>60</v>
      </c>
      <c r="B66" s="35">
        <f ca="1">OFFSET(梦灵本体产出!$G$6,MATCH(A66,梦灵本体产出!$I$7:$I$30,1),0)</f>
        <v>0</v>
      </c>
      <c r="C66" s="35" t="e">
        <f ca="1">MATCH(A66,OFFSET(梦灵属性!#REF!,50*(B66-3),0))</f>
        <v>#REF!</v>
      </c>
      <c r="D66" s="55"/>
      <c r="E66" s="55"/>
      <c r="F66" s="22" t="e">
        <f ca="1">_xlfn.XLOOKUP(B66,梦灵属性!$F$38:$F$41,梦灵属性!$E$38:$E$41)*C66</f>
        <v>#N/A</v>
      </c>
      <c r="G66" s="22" t="e">
        <f ca="1">_xlfn.XLOOKUP($B66,梦灵属性!$F$38:$F$41,梦灵属性!$E$38:$E$41)*$C66</f>
        <v>#N/A</v>
      </c>
      <c r="H66" s="22"/>
      <c r="I66" s="56">
        <f ca="1">OFFSET(梦灵图鉴!F$10,MATCH(A66,梦灵图鉴!$E$11:$E$61,1),0)*SUM(梦灵属性!$E$26:$J$26)+OFFSET(梦灵图鉴!H$10,MATCH(A66,梦灵图鉴!$G$11:$G$61,1),0)*SUM(梦灵属性!$E$27:$J$27)+OFFSET(梦灵图鉴!J$10,MATCH(A66,梦灵图鉴!$I$11:$I$61,1),0)*SUM(梦灵属性!$E$28:$J$28)+OFFSET(梦灵图鉴!L$10,MATCH(A66,梦灵图鉴!$K$11:$K$61,1),0)*SUM(梦灵属性!$E$29:$J$29)</f>
        <v>14.1</v>
      </c>
      <c r="J66" s="56"/>
      <c r="K66" s="56"/>
      <c r="L66" s="22"/>
      <c r="M66" s="22"/>
      <c r="N66" s="22"/>
      <c r="P66" s="3">
        <f t="shared" si="0"/>
        <v>4</v>
      </c>
      <c r="Q66" s="3">
        <f t="shared" si="1"/>
        <v>10</v>
      </c>
      <c r="R66" s="3">
        <f ca="1">OFFSET(梦灵属性!G$37,$P66-2,0)</f>
        <v>60</v>
      </c>
      <c r="S66" s="3">
        <f ca="1">OFFSET(梦灵属性!H$37,$P66-2,0)</f>
        <v>600</v>
      </c>
      <c r="T66" s="3">
        <f ca="1">OFFSET(梦灵属性!$E$37,$P66-2,0)*$Q66</f>
        <v>0.5</v>
      </c>
      <c r="U66" s="3">
        <f ca="1">OFFSET(梦灵属性!$E$37,$P66-2,0)*$Q66</f>
        <v>0.5</v>
      </c>
    </row>
    <row r="67" ht="16.5" spans="1:21">
      <c r="A67" s="54">
        <v>61</v>
      </c>
      <c r="B67" s="35">
        <f ca="1">OFFSET(梦灵本体产出!$G$6,MATCH(A67,梦灵本体产出!$I$7:$I$30,1),0)</f>
        <v>0</v>
      </c>
      <c r="C67" s="35" t="e">
        <f ca="1">MATCH(A67,OFFSET(梦灵属性!#REF!,50*(B67-3),0))</f>
        <v>#REF!</v>
      </c>
      <c r="D67" s="55"/>
      <c r="E67" s="55"/>
      <c r="F67" s="22" t="e">
        <f ca="1">_xlfn.XLOOKUP(B67,梦灵属性!$F$38:$F$41,梦灵属性!$E$38:$E$41)*C67</f>
        <v>#N/A</v>
      </c>
      <c r="G67" s="22" t="e">
        <f ca="1">_xlfn.XLOOKUP($B67,梦灵属性!$F$38:$F$41,梦灵属性!$E$38:$E$41)*$C67</f>
        <v>#N/A</v>
      </c>
      <c r="H67" s="22"/>
      <c r="I67" s="56">
        <f ca="1">OFFSET(梦灵图鉴!F$10,MATCH(A67,梦灵图鉴!$E$11:$E$61,1),0)*SUM(梦灵属性!$E$26:$J$26)+OFFSET(梦灵图鉴!H$10,MATCH(A67,梦灵图鉴!$G$11:$G$61,1),0)*SUM(梦灵属性!$E$27:$J$27)+OFFSET(梦灵图鉴!J$10,MATCH(A67,梦灵图鉴!$I$11:$I$61,1),0)*SUM(梦灵属性!$E$28:$J$28)+OFFSET(梦灵图鉴!L$10,MATCH(A67,梦灵图鉴!$K$11:$K$61,1),0)*SUM(梦灵属性!$E$29:$J$29)</f>
        <v>14.1</v>
      </c>
      <c r="J67" s="56"/>
      <c r="K67" s="56"/>
      <c r="L67" s="22"/>
      <c r="M67" s="22"/>
      <c r="N67" s="22"/>
      <c r="P67" s="3">
        <f t="shared" si="0"/>
        <v>4</v>
      </c>
      <c r="Q67" s="3">
        <f t="shared" si="1"/>
        <v>11</v>
      </c>
      <c r="R67" s="3">
        <f ca="1">OFFSET(梦灵属性!G$37,$P67-2,0)</f>
        <v>60</v>
      </c>
      <c r="S67" s="3">
        <f ca="1">OFFSET(梦灵属性!H$37,$P67-2,0)</f>
        <v>600</v>
      </c>
      <c r="T67" s="3">
        <f ca="1">OFFSET(梦灵属性!$E$37,$P67-2,0)*$Q67</f>
        <v>0.55</v>
      </c>
      <c r="U67" s="3">
        <f ca="1">OFFSET(梦灵属性!$E$37,$P67-2,0)*$Q67</f>
        <v>0.55</v>
      </c>
    </row>
    <row r="68" ht="16.5" spans="1:21">
      <c r="A68" s="54">
        <v>62</v>
      </c>
      <c r="B68" s="35">
        <f ca="1">OFFSET(梦灵本体产出!$G$6,MATCH(A68,梦灵本体产出!$I$7:$I$30,1),0)</f>
        <v>0</v>
      </c>
      <c r="C68" s="35" t="e">
        <f ca="1">MATCH(A68,OFFSET(梦灵属性!#REF!,50*(B68-3),0))</f>
        <v>#REF!</v>
      </c>
      <c r="D68" s="55"/>
      <c r="E68" s="55"/>
      <c r="F68" s="22" t="e">
        <f ca="1">_xlfn.XLOOKUP(B68,梦灵属性!$F$38:$F$41,梦灵属性!$E$38:$E$41)*C68</f>
        <v>#N/A</v>
      </c>
      <c r="G68" s="22" t="e">
        <f ca="1">_xlfn.XLOOKUP($B68,梦灵属性!$F$38:$F$41,梦灵属性!$E$38:$E$41)*$C68</f>
        <v>#N/A</v>
      </c>
      <c r="H68" s="22"/>
      <c r="I68" s="56">
        <f ca="1">OFFSET(梦灵图鉴!F$10,MATCH(A68,梦灵图鉴!$E$11:$E$61,1),0)*SUM(梦灵属性!$E$26:$J$26)+OFFSET(梦灵图鉴!H$10,MATCH(A68,梦灵图鉴!$G$11:$G$61,1),0)*SUM(梦灵属性!$E$27:$J$27)+OFFSET(梦灵图鉴!J$10,MATCH(A68,梦灵图鉴!$I$11:$I$61,1),0)*SUM(梦灵属性!$E$28:$J$28)+OFFSET(梦灵图鉴!L$10,MATCH(A68,梦灵图鉴!$K$11:$K$61,1),0)*SUM(梦灵属性!$E$29:$J$29)</f>
        <v>14.1</v>
      </c>
      <c r="J68" s="56"/>
      <c r="K68" s="56"/>
      <c r="L68" s="22"/>
      <c r="M68" s="22"/>
      <c r="N68" s="22"/>
      <c r="P68" s="3">
        <f t="shared" si="0"/>
        <v>4</v>
      </c>
      <c r="Q68" s="3">
        <f t="shared" si="1"/>
        <v>12</v>
      </c>
      <c r="R68" s="3">
        <f ca="1">OFFSET(梦灵属性!G$37,$P68-2,0)</f>
        <v>60</v>
      </c>
      <c r="S68" s="3">
        <f ca="1">OFFSET(梦灵属性!H$37,$P68-2,0)</f>
        <v>600</v>
      </c>
      <c r="T68" s="3">
        <f ca="1">OFFSET(梦灵属性!$E$37,$P68-2,0)*$Q68</f>
        <v>0.6</v>
      </c>
      <c r="U68" s="3">
        <f ca="1">OFFSET(梦灵属性!$E$37,$P68-2,0)*$Q68</f>
        <v>0.6</v>
      </c>
    </row>
    <row r="69" ht="16.5" spans="1:21">
      <c r="A69" s="54">
        <v>63</v>
      </c>
      <c r="B69" s="35">
        <f ca="1">OFFSET(梦灵本体产出!$G$6,MATCH(A69,梦灵本体产出!$I$7:$I$30,1),0)</f>
        <v>0</v>
      </c>
      <c r="C69" s="35" t="e">
        <f ca="1">MATCH(A69,OFFSET(梦灵属性!#REF!,50*(B69-3),0))</f>
        <v>#REF!</v>
      </c>
      <c r="D69" s="55"/>
      <c r="E69" s="55"/>
      <c r="F69" s="22" t="e">
        <f ca="1">_xlfn.XLOOKUP(B69,梦灵属性!$F$38:$F$41,梦灵属性!$E$38:$E$41)*C69</f>
        <v>#N/A</v>
      </c>
      <c r="G69" s="22" t="e">
        <f ca="1">_xlfn.XLOOKUP($B69,梦灵属性!$F$38:$F$41,梦灵属性!$E$38:$E$41)*$C69</f>
        <v>#N/A</v>
      </c>
      <c r="H69" s="22"/>
      <c r="I69" s="56">
        <f ca="1">OFFSET(梦灵图鉴!F$10,MATCH(A69,梦灵图鉴!$E$11:$E$61,1),0)*SUM(梦灵属性!$E$26:$J$26)+OFFSET(梦灵图鉴!H$10,MATCH(A69,梦灵图鉴!$G$11:$G$61,1),0)*SUM(梦灵属性!$E$27:$J$27)+OFFSET(梦灵图鉴!J$10,MATCH(A69,梦灵图鉴!$I$11:$I$61,1),0)*SUM(梦灵属性!$E$28:$J$28)+OFFSET(梦灵图鉴!L$10,MATCH(A69,梦灵图鉴!$K$11:$K$61,1),0)*SUM(梦灵属性!$E$29:$J$29)</f>
        <v>14.1</v>
      </c>
      <c r="J69" s="56"/>
      <c r="K69" s="56"/>
      <c r="L69" s="22"/>
      <c r="M69" s="22"/>
      <c r="N69" s="22"/>
      <c r="P69" s="3">
        <f t="shared" si="0"/>
        <v>4</v>
      </c>
      <c r="Q69" s="3">
        <f t="shared" si="1"/>
        <v>13</v>
      </c>
      <c r="R69" s="3">
        <f ca="1">OFFSET(梦灵属性!G$37,$P69-2,0)</f>
        <v>60</v>
      </c>
      <c r="S69" s="3">
        <f ca="1">OFFSET(梦灵属性!H$37,$P69-2,0)</f>
        <v>600</v>
      </c>
      <c r="T69" s="3">
        <f ca="1">OFFSET(梦灵属性!$E$37,$P69-2,0)*$Q69</f>
        <v>0.65</v>
      </c>
      <c r="U69" s="3">
        <f ca="1">OFFSET(梦灵属性!$E$37,$P69-2,0)*$Q69</f>
        <v>0.65</v>
      </c>
    </row>
    <row r="70" ht="16.5" spans="1:21">
      <c r="A70" s="54">
        <v>64</v>
      </c>
      <c r="B70" s="35">
        <f ca="1">OFFSET(梦灵本体产出!$G$6,MATCH(A70,梦灵本体产出!$I$7:$I$30,1),0)</f>
        <v>0</v>
      </c>
      <c r="C70" s="35" t="e">
        <f ca="1">MATCH(A70,OFFSET(梦灵属性!#REF!,50*(B70-3),0))</f>
        <v>#REF!</v>
      </c>
      <c r="D70" s="55"/>
      <c r="E70" s="55"/>
      <c r="F70" s="22" t="e">
        <f ca="1">_xlfn.XLOOKUP(B70,梦灵属性!$F$38:$F$41,梦灵属性!$E$38:$E$41)*C70</f>
        <v>#N/A</v>
      </c>
      <c r="G70" s="22" t="e">
        <f ca="1">_xlfn.XLOOKUP($B70,梦灵属性!$F$38:$F$41,梦灵属性!$E$38:$E$41)*$C70</f>
        <v>#N/A</v>
      </c>
      <c r="H70" s="22"/>
      <c r="I70" s="56">
        <f ca="1">OFFSET(梦灵图鉴!F$10,MATCH(A70,梦灵图鉴!$E$11:$E$61,1),0)*SUM(梦灵属性!$E$26:$J$26)+OFFSET(梦灵图鉴!H$10,MATCH(A70,梦灵图鉴!$G$11:$G$61,1),0)*SUM(梦灵属性!$E$27:$J$27)+OFFSET(梦灵图鉴!J$10,MATCH(A70,梦灵图鉴!$I$11:$I$61,1),0)*SUM(梦灵属性!$E$28:$J$28)+OFFSET(梦灵图鉴!L$10,MATCH(A70,梦灵图鉴!$K$11:$K$61,1),0)*SUM(梦灵属性!$E$29:$J$29)</f>
        <v>14.1</v>
      </c>
      <c r="J70" s="56"/>
      <c r="K70" s="56"/>
      <c r="L70" s="22"/>
      <c r="M70" s="22"/>
      <c r="N70" s="22"/>
      <c r="P70" s="3">
        <f t="shared" si="0"/>
        <v>4</v>
      </c>
      <c r="Q70" s="3">
        <f t="shared" si="1"/>
        <v>14</v>
      </c>
      <c r="R70" s="3">
        <f ca="1">OFFSET(梦灵属性!G$37,$P70-2,0)</f>
        <v>60</v>
      </c>
      <c r="S70" s="3">
        <f ca="1">OFFSET(梦灵属性!H$37,$P70-2,0)</f>
        <v>600</v>
      </c>
      <c r="T70" s="3">
        <f ca="1">OFFSET(梦灵属性!$E$37,$P70-2,0)*$Q70</f>
        <v>0.7</v>
      </c>
      <c r="U70" s="3">
        <f ca="1">OFFSET(梦灵属性!$E$37,$P70-2,0)*$Q70</f>
        <v>0.7</v>
      </c>
    </row>
    <row r="71" ht="16.5" spans="1:21">
      <c r="A71" s="54">
        <v>65</v>
      </c>
      <c r="B71" s="35">
        <f ca="1">OFFSET(梦灵本体产出!$G$6,MATCH(A71,梦灵本体产出!$I$7:$I$30,1),0)</f>
        <v>0</v>
      </c>
      <c r="C71" s="35" t="e">
        <f ca="1">MATCH(A71,OFFSET(梦灵属性!#REF!,50*(B71-3),0))</f>
        <v>#REF!</v>
      </c>
      <c r="D71" s="55"/>
      <c r="E71" s="55"/>
      <c r="F71" s="22" t="e">
        <f ca="1">_xlfn.XLOOKUP(B71,梦灵属性!$F$38:$F$41,梦灵属性!$E$38:$E$41)*C71</f>
        <v>#N/A</v>
      </c>
      <c r="G71" s="22" t="e">
        <f ca="1">_xlfn.XLOOKUP($B71,梦灵属性!$F$38:$F$41,梦灵属性!$E$38:$E$41)*$C71</f>
        <v>#N/A</v>
      </c>
      <c r="H71" s="22"/>
      <c r="I71" s="56">
        <f ca="1">OFFSET(梦灵图鉴!F$10,MATCH(A71,梦灵图鉴!$E$11:$E$61,1),0)*SUM(梦灵属性!$E$26:$J$26)+OFFSET(梦灵图鉴!H$10,MATCH(A71,梦灵图鉴!$G$11:$G$61,1),0)*SUM(梦灵属性!$E$27:$J$27)+OFFSET(梦灵图鉴!J$10,MATCH(A71,梦灵图鉴!$I$11:$I$61,1),0)*SUM(梦灵属性!$E$28:$J$28)+OFFSET(梦灵图鉴!L$10,MATCH(A71,梦灵图鉴!$K$11:$K$61,1),0)*SUM(梦灵属性!$E$29:$J$29)</f>
        <v>14.1</v>
      </c>
      <c r="J71" s="56"/>
      <c r="K71" s="56"/>
      <c r="L71" s="22"/>
      <c r="M71" s="22"/>
      <c r="N71" s="22"/>
      <c r="P71" s="3">
        <f t="shared" si="0"/>
        <v>4</v>
      </c>
      <c r="Q71" s="3">
        <f t="shared" si="1"/>
        <v>15</v>
      </c>
      <c r="R71" s="3">
        <f ca="1">OFFSET(梦灵属性!G$37,$P71-2,0)</f>
        <v>60</v>
      </c>
      <c r="S71" s="3">
        <f ca="1">OFFSET(梦灵属性!H$37,$P71-2,0)</f>
        <v>600</v>
      </c>
      <c r="T71" s="3">
        <f ca="1">OFFSET(梦灵属性!$E$37,$P71-2,0)*$Q71</f>
        <v>0.75</v>
      </c>
      <c r="U71" s="3">
        <f ca="1">OFFSET(梦灵属性!$E$37,$P71-2,0)*$Q71</f>
        <v>0.75</v>
      </c>
    </row>
    <row r="72" ht="16.5" spans="1:21">
      <c r="A72" s="54">
        <v>66</v>
      </c>
      <c r="B72" s="35">
        <f ca="1">OFFSET(梦灵本体产出!$G$6,MATCH(A72,梦灵本体产出!$I$7:$I$30,1),0)</f>
        <v>0</v>
      </c>
      <c r="C72" s="35" t="e">
        <f ca="1">MATCH(A72,OFFSET(梦灵属性!#REF!,50*(B72-3),0))</f>
        <v>#REF!</v>
      </c>
      <c r="D72" s="55"/>
      <c r="E72" s="55"/>
      <c r="F72" s="22" t="e">
        <f ca="1">_xlfn.XLOOKUP(B72,梦灵属性!$F$38:$F$41,梦灵属性!$E$38:$E$41)*C72</f>
        <v>#N/A</v>
      </c>
      <c r="G72" s="22" t="e">
        <f ca="1">_xlfn.XLOOKUP($B72,梦灵属性!$F$38:$F$41,梦灵属性!$E$38:$E$41)*$C72</f>
        <v>#N/A</v>
      </c>
      <c r="H72" s="22"/>
      <c r="I72" s="56">
        <f ca="1">OFFSET(梦灵图鉴!F$10,MATCH(A72,梦灵图鉴!$E$11:$E$61,1),0)*SUM(梦灵属性!$E$26:$J$26)+OFFSET(梦灵图鉴!H$10,MATCH(A72,梦灵图鉴!$G$11:$G$61,1),0)*SUM(梦灵属性!$E$27:$J$27)+OFFSET(梦灵图鉴!J$10,MATCH(A72,梦灵图鉴!$I$11:$I$61,1),0)*SUM(梦灵属性!$E$28:$J$28)+OFFSET(梦灵图鉴!L$10,MATCH(A72,梦灵图鉴!$K$11:$K$61,1),0)*SUM(梦灵属性!$E$29:$J$29)</f>
        <v>14.1</v>
      </c>
      <c r="J72" s="56"/>
      <c r="K72" s="56"/>
      <c r="L72" s="22"/>
      <c r="M72" s="22"/>
      <c r="N72" s="22"/>
      <c r="P72" s="3">
        <f t="shared" si="0"/>
        <v>4</v>
      </c>
      <c r="Q72" s="3">
        <f t="shared" si="1"/>
        <v>16</v>
      </c>
      <c r="R72" s="3">
        <f ca="1">OFFSET(梦灵属性!G$37,$P72-2,0)</f>
        <v>60</v>
      </c>
      <c r="S72" s="3">
        <f ca="1">OFFSET(梦灵属性!H$37,$P72-2,0)</f>
        <v>600</v>
      </c>
      <c r="T72" s="3">
        <f ca="1">OFFSET(梦灵属性!$E$37,$P72-2,0)*$Q72</f>
        <v>0.8</v>
      </c>
      <c r="U72" s="3">
        <f ca="1">OFFSET(梦灵属性!$E$37,$P72-2,0)*$Q72</f>
        <v>0.8</v>
      </c>
    </row>
    <row r="73" ht="16.5" spans="1:21">
      <c r="A73" s="54">
        <v>67</v>
      </c>
      <c r="B73" s="35">
        <f ca="1">OFFSET(梦灵本体产出!$G$6,MATCH(A73,梦灵本体产出!$I$7:$I$30,1),0)</f>
        <v>0</v>
      </c>
      <c r="C73" s="35" t="e">
        <f ca="1">MATCH(A73,OFFSET(梦灵属性!#REF!,50*(B73-3),0))</f>
        <v>#REF!</v>
      </c>
      <c r="D73" s="55"/>
      <c r="E73" s="55"/>
      <c r="F73" s="22" t="e">
        <f ca="1">_xlfn.XLOOKUP(B73,梦灵属性!$F$38:$F$41,梦灵属性!$E$38:$E$41)*C73</f>
        <v>#N/A</v>
      </c>
      <c r="G73" s="22" t="e">
        <f ca="1">_xlfn.XLOOKUP($B73,梦灵属性!$F$38:$F$41,梦灵属性!$E$38:$E$41)*$C73</f>
        <v>#N/A</v>
      </c>
      <c r="H73" s="22"/>
      <c r="I73" s="56">
        <f ca="1">OFFSET(梦灵图鉴!F$10,MATCH(A73,梦灵图鉴!$E$11:$E$61,1),0)*SUM(梦灵属性!$E$26:$J$26)+OFFSET(梦灵图鉴!H$10,MATCH(A73,梦灵图鉴!$G$11:$G$61,1),0)*SUM(梦灵属性!$E$27:$J$27)+OFFSET(梦灵图鉴!J$10,MATCH(A73,梦灵图鉴!$I$11:$I$61,1),0)*SUM(梦灵属性!$E$28:$J$28)+OFFSET(梦灵图鉴!L$10,MATCH(A73,梦灵图鉴!$K$11:$K$61,1),0)*SUM(梦灵属性!$E$29:$J$29)</f>
        <v>14.1</v>
      </c>
      <c r="J73" s="56"/>
      <c r="K73" s="56"/>
      <c r="L73" s="22"/>
      <c r="M73" s="22"/>
      <c r="N73" s="22"/>
      <c r="P73" s="3">
        <f t="shared" si="0"/>
        <v>4</v>
      </c>
      <c r="Q73" s="3">
        <f t="shared" si="1"/>
        <v>17</v>
      </c>
      <c r="R73" s="3">
        <f ca="1">OFFSET(梦灵属性!G$37,$P73-2,0)</f>
        <v>60</v>
      </c>
      <c r="S73" s="3">
        <f ca="1">OFFSET(梦灵属性!H$37,$P73-2,0)</f>
        <v>600</v>
      </c>
      <c r="T73" s="3">
        <f ca="1">OFFSET(梦灵属性!$E$37,$P73-2,0)*$Q73</f>
        <v>0.85</v>
      </c>
      <c r="U73" s="3">
        <f ca="1">OFFSET(梦灵属性!$E$37,$P73-2,0)*$Q73</f>
        <v>0.85</v>
      </c>
    </row>
    <row r="74" ht="16.5" spans="1:21">
      <c r="A74" s="54">
        <v>68</v>
      </c>
      <c r="B74" s="35">
        <f ca="1">OFFSET(梦灵本体产出!$G$6,MATCH(A74,梦灵本体产出!$I$7:$I$30,1),0)</f>
        <v>0</v>
      </c>
      <c r="C74" s="35" t="e">
        <f ca="1">MATCH(A74,OFFSET(梦灵属性!#REF!,50*(B74-3),0))</f>
        <v>#REF!</v>
      </c>
      <c r="D74" s="55"/>
      <c r="E74" s="55"/>
      <c r="F74" s="22" t="e">
        <f ca="1">_xlfn.XLOOKUP(B74,梦灵属性!$F$38:$F$41,梦灵属性!$E$38:$E$41)*C74</f>
        <v>#N/A</v>
      </c>
      <c r="G74" s="22" t="e">
        <f ca="1">_xlfn.XLOOKUP($B74,梦灵属性!$F$38:$F$41,梦灵属性!$E$38:$E$41)*$C74</f>
        <v>#N/A</v>
      </c>
      <c r="H74" s="22"/>
      <c r="I74" s="56">
        <f ca="1">OFFSET(梦灵图鉴!F$10,MATCH(A74,梦灵图鉴!$E$11:$E$61,1),0)*SUM(梦灵属性!$E$26:$J$26)+OFFSET(梦灵图鉴!H$10,MATCH(A74,梦灵图鉴!$G$11:$G$61,1),0)*SUM(梦灵属性!$E$27:$J$27)+OFFSET(梦灵图鉴!J$10,MATCH(A74,梦灵图鉴!$I$11:$I$61,1),0)*SUM(梦灵属性!$E$28:$J$28)+OFFSET(梦灵图鉴!L$10,MATCH(A74,梦灵图鉴!$K$11:$K$61,1),0)*SUM(梦灵属性!$E$29:$J$29)</f>
        <v>14.1</v>
      </c>
      <c r="J74" s="56"/>
      <c r="K74" s="56"/>
      <c r="L74" s="22"/>
      <c r="M74" s="22"/>
      <c r="N74" s="22"/>
      <c r="P74" s="3">
        <f t="shared" si="0"/>
        <v>4</v>
      </c>
      <c r="Q74" s="3">
        <f t="shared" si="1"/>
        <v>18</v>
      </c>
      <c r="R74" s="3">
        <f ca="1">OFFSET(梦灵属性!G$37,$P74-2,0)</f>
        <v>60</v>
      </c>
      <c r="S74" s="3">
        <f ca="1">OFFSET(梦灵属性!H$37,$P74-2,0)</f>
        <v>600</v>
      </c>
      <c r="T74" s="3">
        <f ca="1">OFFSET(梦灵属性!$E$37,$P74-2,0)*$Q74</f>
        <v>0.9</v>
      </c>
      <c r="U74" s="3">
        <f ca="1">OFFSET(梦灵属性!$E$37,$P74-2,0)*$Q74</f>
        <v>0.9</v>
      </c>
    </row>
    <row r="75" ht="16.5" spans="1:21">
      <c r="A75" s="54">
        <v>69</v>
      </c>
      <c r="B75" s="35">
        <f ca="1">OFFSET(梦灵本体产出!$G$6,MATCH(A75,梦灵本体产出!$I$7:$I$30,1),0)</f>
        <v>0</v>
      </c>
      <c r="C75" s="35" t="e">
        <f ca="1">MATCH(A75,OFFSET(梦灵属性!#REF!,50*(B75-3),0))</f>
        <v>#REF!</v>
      </c>
      <c r="D75" s="55"/>
      <c r="E75" s="55"/>
      <c r="F75" s="22" t="e">
        <f ca="1">_xlfn.XLOOKUP(B75,梦灵属性!$F$38:$F$41,梦灵属性!$E$38:$E$41)*C75</f>
        <v>#N/A</v>
      </c>
      <c r="G75" s="22" t="e">
        <f ca="1">_xlfn.XLOOKUP($B75,梦灵属性!$F$38:$F$41,梦灵属性!$E$38:$E$41)*$C75</f>
        <v>#N/A</v>
      </c>
      <c r="H75" s="22"/>
      <c r="I75" s="56">
        <f ca="1">OFFSET(梦灵图鉴!F$10,MATCH(A75,梦灵图鉴!$E$11:$E$61,1),0)*SUM(梦灵属性!$E$26:$J$26)+OFFSET(梦灵图鉴!H$10,MATCH(A75,梦灵图鉴!$G$11:$G$61,1),0)*SUM(梦灵属性!$E$27:$J$27)+OFFSET(梦灵图鉴!J$10,MATCH(A75,梦灵图鉴!$I$11:$I$61,1),0)*SUM(梦灵属性!$E$28:$J$28)+OFFSET(梦灵图鉴!L$10,MATCH(A75,梦灵图鉴!$K$11:$K$61,1),0)*SUM(梦灵属性!$E$29:$J$29)</f>
        <v>14.1</v>
      </c>
      <c r="J75" s="56"/>
      <c r="K75" s="56"/>
      <c r="L75" s="22"/>
      <c r="M75" s="22"/>
      <c r="N75" s="22"/>
      <c r="P75" s="3">
        <f t="shared" si="0"/>
        <v>4</v>
      </c>
      <c r="Q75" s="3">
        <f t="shared" si="1"/>
        <v>19</v>
      </c>
      <c r="R75" s="3">
        <f ca="1">OFFSET(梦灵属性!G$37,$P75-2,0)</f>
        <v>60</v>
      </c>
      <c r="S75" s="3">
        <f ca="1">OFFSET(梦灵属性!H$37,$P75-2,0)</f>
        <v>600</v>
      </c>
      <c r="T75" s="3">
        <f ca="1">OFFSET(梦灵属性!$E$37,$P75-2,0)*$Q75</f>
        <v>0.95</v>
      </c>
      <c r="U75" s="3">
        <f ca="1">OFFSET(梦灵属性!$E$37,$P75-2,0)*$Q75</f>
        <v>0.95</v>
      </c>
    </row>
    <row r="76" ht="16.5" spans="1:21">
      <c r="A76" s="54">
        <v>70</v>
      </c>
      <c r="B76" s="35">
        <f ca="1">OFFSET(梦灵本体产出!$G$6,MATCH(A76,梦灵本体产出!$I$7:$I$30,1),0)</f>
        <v>0</v>
      </c>
      <c r="C76" s="35" t="e">
        <f ca="1">MATCH(A76,OFFSET(梦灵属性!#REF!,50*(B76-3),0))</f>
        <v>#REF!</v>
      </c>
      <c r="D76" s="55"/>
      <c r="E76" s="55"/>
      <c r="F76" s="22" t="e">
        <f ca="1">_xlfn.XLOOKUP(B76,梦灵属性!$F$38:$F$41,梦灵属性!$E$38:$E$41)*C76</f>
        <v>#N/A</v>
      </c>
      <c r="G76" s="22" t="e">
        <f ca="1">_xlfn.XLOOKUP($B76,梦灵属性!$F$38:$F$41,梦灵属性!$E$38:$E$41)*$C76</f>
        <v>#N/A</v>
      </c>
      <c r="H76" s="22"/>
      <c r="I76" s="56">
        <f ca="1">OFFSET(梦灵图鉴!F$10,MATCH(A76,梦灵图鉴!$E$11:$E$61,1),0)*SUM(梦灵属性!$E$26:$J$26)+OFFSET(梦灵图鉴!H$10,MATCH(A76,梦灵图鉴!$G$11:$G$61,1),0)*SUM(梦灵属性!$E$27:$J$27)+OFFSET(梦灵图鉴!J$10,MATCH(A76,梦灵图鉴!$I$11:$I$61,1),0)*SUM(梦灵属性!$E$28:$J$28)+OFFSET(梦灵图鉴!L$10,MATCH(A76,梦灵图鉴!$K$11:$K$61,1),0)*SUM(梦灵属性!$E$29:$J$29)</f>
        <v>14.1</v>
      </c>
      <c r="J76" s="56"/>
      <c r="K76" s="56"/>
      <c r="L76" s="22"/>
      <c r="M76" s="22"/>
      <c r="N76" s="22"/>
      <c r="P76" s="3">
        <f t="shared" si="0"/>
        <v>4</v>
      </c>
      <c r="Q76" s="3">
        <f t="shared" si="1"/>
        <v>20</v>
      </c>
      <c r="R76" s="3">
        <f ca="1">OFFSET(梦灵属性!G$37,$P76-2,0)</f>
        <v>60</v>
      </c>
      <c r="S76" s="3">
        <f ca="1">OFFSET(梦灵属性!H$37,$P76-2,0)</f>
        <v>600</v>
      </c>
      <c r="T76" s="3">
        <f ca="1">OFFSET(梦灵属性!$E$37,$P76-2,0)*$Q76</f>
        <v>1</v>
      </c>
      <c r="U76" s="3">
        <f ca="1">OFFSET(梦灵属性!$E$37,$P76-2,0)*$Q76</f>
        <v>1</v>
      </c>
    </row>
    <row r="77" ht="16.5" spans="1:21">
      <c r="A77" s="54">
        <v>71</v>
      </c>
      <c r="B77" s="35">
        <f ca="1">OFFSET(梦灵本体产出!$G$6,MATCH(A77,梦灵本体产出!$I$7:$I$30,1),0)</f>
        <v>0</v>
      </c>
      <c r="C77" s="35" t="e">
        <f ca="1">MATCH(A77,OFFSET(梦灵属性!#REF!,50*(B77-3),0))</f>
        <v>#REF!</v>
      </c>
      <c r="D77" s="55"/>
      <c r="E77" s="55"/>
      <c r="F77" s="22" t="e">
        <f ca="1">_xlfn.XLOOKUP(B77,梦灵属性!$F$38:$F$41,梦灵属性!$E$38:$E$41)*C77</f>
        <v>#N/A</v>
      </c>
      <c r="G77" s="22" t="e">
        <f ca="1">_xlfn.XLOOKUP($B77,梦灵属性!$F$38:$F$41,梦灵属性!$E$38:$E$41)*$C77</f>
        <v>#N/A</v>
      </c>
      <c r="H77" s="22"/>
      <c r="I77" s="56">
        <f ca="1">OFFSET(梦灵图鉴!F$10,MATCH(A77,梦灵图鉴!$E$11:$E$61,1),0)*SUM(梦灵属性!$E$26:$J$26)+OFFSET(梦灵图鉴!H$10,MATCH(A77,梦灵图鉴!$G$11:$G$61,1),0)*SUM(梦灵属性!$E$27:$J$27)+OFFSET(梦灵图鉴!J$10,MATCH(A77,梦灵图鉴!$I$11:$I$61,1),0)*SUM(梦灵属性!$E$28:$J$28)+OFFSET(梦灵图鉴!L$10,MATCH(A77,梦灵图鉴!$K$11:$K$61,1),0)*SUM(梦灵属性!$E$29:$J$29)</f>
        <v>14.1</v>
      </c>
      <c r="J77" s="56"/>
      <c r="K77" s="56"/>
      <c r="L77" s="22"/>
      <c r="M77" s="22"/>
      <c r="N77" s="22"/>
      <c r="P77" s="3">
        <f t="shared" si="0"/>
        <v>4</v>
      </c>
      <c r="Q77" s="3">
        <f t="shared" si="1"/>
        <v>21</v>
      </c>
      <c r="R77" s="3">
        <f ca="1">OFFSET(梦灵属性!G$37,$P77-2,0)</f>
        <v>60</v>
      </c>
      <c r="S77" s="3">
        <f ca="1">OFFSET(梦灵属性!H$37,$P77-2,0)</f>
        <v>600</v>
      </c>
      <c r="T77" s="3">
        <f ca="1">OFFSET(梦灵属性!$E$37,$P77-2,0)*$Q77</f>
        <v>1.05</v>
      </c>
      <c r="U77" s="3">
        <f ca="1">OFFSET(梦灵属性!$E$37,$P77-2,0)*$Q77</f>
        <v>1.05</v>
      </c>
    </row>
    <row r="78" ht="16.5" spans="1:21">
      <c r="A78" s="54">
        <v>72</v>
      </c>
      <c r="B78" s="35">
        <f ca="1">OFFSET(梦灵本体产出!$G$6,MATCH(A78,梦灵本体产出!$I$7:$I$30,1),0)</f>
        <v>0</v>
      </c>
      <c r="C78" s="35" t="e">
        <f ca="1">MATCH(A78,OFFSET(梦灵属性!#REF!,50*(B78-3),0))</f>
        <v>#REF!</v>
      </c>
      <c r="D78" s="55"/>
      <c r="E78" s="55"/>
      <c r="F78" s="22" t="e">
        <f ca="1">_xlfn.XLOOKUP(B78,梦灵属性!$F$38:$F$41,梦灵属性!$E$38:$E$41)*C78</f>
        <v>#N/A</v>
      </c>
      <c r="G78" s="22" t="e">
        <f ca="1">_xlfn.XLOOKUP($B78,梦灵属性!$F$38:$F$41,梦灵属性!$E$38:$E$41)*$C78</f>
        <v>#N/A</v>
      </c>
      <c r="H78" s="22"/>
      <c r="I78" s="56">
        <f ca="1">OFFSET(梦灵图鉴!F$10,MATCH(A78,梦灵图鉴!$E$11:$E$61,1),0)*SUM(梦灵属性!$E$26:$J$26)+OFFSET(梦灵图鉴!H$10,MATCH(A78,梦灵图鉴!$G$11:$G$61,1),0)*SUM(梦灵属性!$E$27:$J$27)+OFFSET(梦灵图鉴!J$10,MATCH(A78,梦灵图鉴!$I$11:$I$61,1),0)*SUM(梦灵属性!$E$28:$J$28)+OFFSET(梦灵图鉴!L$10,MATCH(A78,梦灵图鉴!$K$11:$K$61,1),0)*SUM(梦灵属性!$E$29:$J$29)</f>
        <v>14.1</v>
      </c>
      <c r="J78" s="56"/>
      <c r="K78" s="56"/>
      <c r="L78" s="22"/>
      <c r="M78" s="22"/>
      <c r="N78" s="22"/>
      <c r="P78" s="3">
        <f t="shared" si="0"/>
        <v>4</v>
      </c>
      <c r="Q78" s="3">
        <f t="shared" si="1"/>
        <v>22</v>
      </c>
      <c r="R78" s="3">
        <f ca="1">OFFSET(梦灵属性!G$37,$P78-2,0)</f>
        <v>60</v>
      </c>
      <c r="S78" s="3">
        <f ca="1">OFFSET(梦灵属性!H$37,$P78-2,0)</f>
        <v>600</v>
      </c>
      <c r="T78" s="3">
        <f ca="1">OFFSET(梦灵属性!$E$37,$P78-2,0)*$Q78</f>
        <v>1.1</v>
      </c>
      <c r="U78" s="3">
        <f ca="1">OFFSET(梦灵属性!$E$37,$P78-2,0)*$Q78</f>
        <v>1.1</v>
      </c>
    </row>
    <row r="79" ht="16.5" spans="1:21">
      <c r="A79" s="54">
        <v>73</v>
      </c>
      <c r="B79" s="35">
        <f ca="1">OFFSET(梦灵本体产出!$G$6,MATCH(A79,梦灵本体产出!$I$7:$I$30,1),0)</f>
        <v>0</v>
      </c>
      <c r="C79" s="35" t="e">
        <f ca="1">MATCH(A79,OFFSET(梦灵属性!#REF!,50*(B79-3),0))</f>
        <v>#REF!</v>
      </c>
      <c r="D79" s="55"/>
      <c r="E79" s="55"/>
      <c r="F79" s="22" t="e">
        <f ca="1">_xlfn.XLOOKUP(B79,梦灵属性!$F$38:$F$41,梦灵属性!$E$38:$E$41)*C79</f>
        <v>#N/A</v>
      </c>
      <c r="G79" s="22" t="e">
        <f ca="1">_xlfn.XLOOKUP($B79,梦灵属性!$F$38:$F$41,梦灵属性!$E$38:$E$41)*$C79</f>
        <v>#N/A</v>
      </c>
      <c r="H79" s="22"/>
      <c r="I79" s="56">
        <f ca="1">OFFSET(梦灵图鉴!F$10,MATCH(A79,梦灵图鉴!$E$11:$E$61,1),0)*SUM(梦灵属性!$E$26:$J$26)+OFFSET(梦灵图鉴!H$10,MATCH(A79,梦灵图鉴!$G$11:$G$61,1),0)*SUM(梦灵属性!$E$27:$J$27)+OFFSET(梦灵图鉴!J$10,MATCH(A79,梦灵图鉴!$I$11:$I$61,1),0)*SUM(梦灵属性!$E$28:$J$28)+OFFSET(梦灵图鉴!L$10,MATCH(A79,梦灵图鉴!$K$11:$K$61,1),0)*SUM(梦灵属性!$E$29:$J$29)</f>
        <v>14.1</v>
      </c>
      <c r="J79" s="56"/>
      <c r="K79" s="56"/>
      <c r="L79" s="22"/>
      <c r="M79" s="22"/>
      <c r="N79" s="22"/>
      <c r="P79" s="3">
        <f t="shared" si="0"/>
        <v>4</v>
      </c>
      <c r="Q79" s="3">
        <f t="shared" si="1"/>
        <v>23</v>
      </c>
      <c r="R79" s="3">
        <f ca="1">OFFSET(梦灵属性!G$37,$P79-2,0)</f>
        <v>60</v>
      </c>
      <c r="S79" s="3">
        <f ca="1">OFFSET(梦灵属性!H$37,$P79-2,0)</f>
        <v>600</v>
      </c>
      <c r="T79" s="3">
        <f ca="1">OFFSET(梦灵属性!$E$37,$P79-2,0)*$Q79</f>
        <v>1.15</v>
      </c>
      <c r="U79" s="3">
        <f ca="1">OFFSET(梦灵属性!$E$37,$P79-2,0)*$Q79</f>
        <v>1.15</v>
      </c>
    </row>
    <row r="80" ht="16.5" spans="1:21">
      <c r="A80" s="54">
        <v>74</v>
      </c>
      <c r="B80" s="35">
        <f ca="1">OFFSET(梦灵本体产出!$G$6,MATCH(A80,梦灵本体产出!$I$7:$I$30,1),0)</f>
        <v>0</v>
      </c>
      <c r="C80" s="35" t="e">
        <f ca="1">MATCH(A80,OFFSET(梦灵属性!#REF!,50*(B80-3),0))</f>
        <v>#REF!</v>
      </c>
      <c r="D80" s="55"/>
      <c r="E80" s="55"/>
      <c r="F80" s="22" t="e">
        <f ca="1">_xlfn.XLOOKUP(B80,梦灵属性!$F$38:$F$41,梦灵属性!$E$38:$E$41)*C80</f>
        <v>#N/A</v>
      </c>
      <c r="G80" s="22" t="e">
        <f ca="1">_xlfn.XLOOKUP($B80,梦灵属性!$F$38:$F$41,梦灵属性!$E$38:$E$41)*$C80</f>
        <v>#N/A</v>
      </c>
      <c r="H80" s="22"/>
      <c r="I80" s="56">
        <f ca="1">OFFSET(梦灵图鉴!F$10,MATCH(A80,梦灵图鉴!$E$11:$E$61,1),0)*SUM(梦灵属性!$E$26:$J$26)+OFFSET(梦灵图鉴!H$10,MATCH(A80,梦灵图鉴!$G$11:$G$61,1),0)*SUM(梦灵属性!$E$27:$J$27)+OFFSET(梦灵图鉴!J$10,MATCH(A80,梦灵图鉴!$I$11:$I$61,1),0)*SUM(梦灵属性!$E$28:$J$28)+OFFSET(梦灵图鉴!L$10,MATCH(A80,梦灵图鉴!$K$11:$K$61,1),0)*SUM(梦灵属性!$E$29:$J$29)</f>
        <v>14.1</v>
      </c>
      <c r="J80" s="56"/>
      <c r="K80" s="56"/>
      <c r="L80" s="22"/>
      <c r="M80" s="22"/>
      <c r="N80" s="22"/>
      <c r="P80" s="3">
        <f t="shared" si="0"/>
        <v>4</v>
      </c>
      <c r="Q80" s="3">
        <f t="shared" si="1"/>
        <v>24</v>
      </c>
      <c r="R80" s="3">
        <f ca="1">OFFSET(梦灵属性!G$37,$P80-2,0)</f>
        <v>60</v>
      </c>
      <c r="S80" s="3">
        <f ca="1">OFFSET(梦灵属性!H$37,$P80-2,0)</f>
        <v>600</v>
      </c>
      <c r="T80" s="3">
        <f ca="1">OFFSET(梦灵属性!$E$37,$P80-2,0)*$Q80</f>
        <v>1.2</v>
      </c>
      <c r="U80" s="3">
        <f ca="1">OFFSET(梦灵属性!$E$37,$P80-2,0)*$Q80</f>
        <v>1.2</v>
      </c>
    </row>
    <row r="81" ht="16.5" spans="1:21">
      <c r="A81" s="54">
        <v>75</v>
      </c>
      <c r="B81" s="35">
        <f ca="1">OFFSET(梦灵本体产出!$G$6,MATCH(A81,梦灵本体产出!$I$7:$I$30,1),0)</f>
        <v>0</v>
      </c>
      <c r="C81" s="35" t="e">
        <f ca="1">MATCH(A81,OFFSET(梦灵属性!#REF!,50*(B81-3),0))</f>
        <v>#REF!</v>
      </c>
      <c r="D81" s="55"/>
      <c r="E81" s="55"/>
      <c r="F81" s="22" t="e">
        <f ca="1">_xlfn.XLOOKUP(B81,梦灵属性!$F$38:$F$41,梦灵属性!$E$38:$E$41)*C81</f>
        <v>#N/A</v>
      </c>
      <c r="G81" s="22" t="e">
        <f ca="1">_xlfn.XLOOKUP($B81,梦灵属性!$F$38:$F$41,梦灵属性!$E$38:$E$41)*$C81</f>
        <v>#N/A</v>
      </c>
      <c r="H81" s="22"/>
      <c r="I81" s="56">
        <f ca="1">OFFSET(梦灵图鉴!F$10,MATCH(A81,梦灵图鉴!$E$11:$E$61,1),0)*SUM(梦灵属性!$E$26:$J$26)+OFFSET(梦灵图鉴!H$10,MATCH(A81,梦灵图鉴!$G$11:$G$61,1),0)*SUM(梦灵属性!$E$27:$J$27)+OFFSET(梦灵图鉴!J$10,MATCH(A81,梦灵图鉴!$I$11:$I$61,1),0)*SUM(梦灵属性!$E$28:$J$28)+OFFSET(梦灵图鉴!L$10,MATCH(A81,梦灵图鉴!$K$11:$K$61,1),0)*SUM(梦灵属性!$E$29:$J$29)</f>
        <v>14.1</v>
      </c>
      <c r="J81" s="56"/>
      <c r="K81" s="56"/>
      <c r="L81" s="22"/>
      <c r="M81" s="22"/>
      <c r="N81" s="22"/>
      <c r="P81" s="3">
        <f t="shared" si="0"/>
        <v>4</v>
      </c>
      <c r="Q81" s="3">
        <f t="shared" si="1"/>
        <v>25</v>
      </c>
      <c r="R81" s="3">
        <f ca="1">OFFSET(梦灵属性!G$37,$P81-2,0)</f>
        <v>60</v>
      </c>
      <c r="S81" s="3">
        <f ca="1">OFFSET(梦灵属性!H$37,$P81-2,0)</f>
        <v>600</v>
      </c>
      <c r="T81" s="3">
        <f ca="1">OFFSET(梦灵属性!$E$37,$P81-2,0)*$Q81</f>
        <v>1.25</v>
      </c>
      <c r="U81" s="3">
        <f ca="1">OFFSET(梦灵属性!$E$37,$P81-2,0)*$Q81</f>
        <v>1.25</v>
      </c>
    </row>
    <row r="82" ht="16.5" spans="1:21">
      <c r="A82" s="54">
        <v>76</v>
      </c>
      <c r="B82" s="35">
        <f ca="1">OFFSET(梦灵本体产出!$G$6,MATCH(A82,梦灵本体产出!$I$7:$I$30,1),0)</f>
        <v>0</v>
      </c>
      <c r="C82" s="35" t="e">
        <f ca="1">MATCH(A82,OFFSET(梦灵属性!#REF!,50*(B82-3),0))</f>
        <v>#REF!</v>
      </c>
      <c r="D82" s="55"/>
      <c r="E82" s="55"/>
      <c r="F82" s="22" t="e">
        <f ca="1">_xlfn.XLOOKUP(B82,梦灵属性!$F$38:$F$41,梦灵属性!$E$38:$E$41)*C82</f>
        <v>#N/A</v>
      </c>
      <c r="G82" s="22" t="e">
        <f ca="1">_xlfn.XLOOKUP($B82,梦灵属性!$F$38:$F$41,梦灵属性!$E$38:$E$41)*$C82</f>
        <v>#N/A</v>
      </c>
      <c r="H82" s="22"/>
      <c r="I82" s="56">
        <f ca="1">OFFSET(梦灵图鉴!F$10,MATCH(A82,梦灵图鉴!$E$11:$E$61,1),0)*SUM(梦灵属性!$E$26:$J$26)+OFFSET(梦灵图鉴!H$10,MATCH(A82,梦灵图鉴!$G$11:$G$61,1),0)*SUM(梦灵属性!$E$27:$J$27)+OFFSET(梦灵图鉴!J$10,MATCH(A82,梦灵图鉴!$I$11:$I$61,1),0)*SUM(梦灵属性!$E$28:$J$28)+OFFSET(梦灵图鉴!L$10,MATCH(A82,梦灵图鉴!$K$11:$K$61,1),0)*SUM(梦灵属性!$E$29:$J$29)</f>
        <v>14.1</v>
      </c>
      <c r="J82" s="56"/>
      <c r="K82" s="56"/>
      <c r="L82" s="22"/>
      <c r="M82" s="22"/>
      <c r="N82" s="22"/>
      <c r="P82" s="3">
        <f t="shared" si="0"/>
        <v>4</v>
      </c>
      <c r="Q82" s="3">
        <f t="shared" si="1"/>
        <v>26</v>
      </c>
      <c r="R82" s="3">
        <f ca="1">OFFSET(梦灵属性!G$37,$P82-2,0)</f>
        <v>60</v>
      </c>
      <c r="S82" s="3">
        <f ca="1">OFFSET(梦灵属性!H$37,$P82-2,0)</f>
        <v>600</v>
      </c>
      <c r="T82" s="3">
        <f ca="1">OFFSET(梦灵属性!$E$37,$P82-2,0)*$Q82</f>
        <v>1.3</v>
      </c>
      <c r="U82" s="3">
        <f ca="1">OFFSET(梦灵属性!$E$37,$P82-2,0)*$Q82</f>
        <v>1.3</v>
      </c>
    </row>
    <row r="83" ht="16.5" spans="1:21">
      <c r="A83" s="54">
        <v>77</v>
      </c>
      <c r="B83" s="35">
        <f ca="1">OFFSET(梦灵本体产出!$G$6,MATCH(A83,梦灵本体产出!$I$7:$I$30,1),0)</f>
        <v>0</v>
      </c>
      <c r="C83" s="35" t="e">
        <f ca="1">MATCH(A83,OFFSET(梦灵属性!#REF!,50*(B83-3),0))</f>
        <v>#REF!</v>
      </c>
      <c r="D83" s="55"/>
      <c r="E83" s="55"/>
      <c r="F83" s="22" t="e">
        <f ca="1">_xlfn.XLOOKUP(B83,梦灵属性!$F$38:$F$41,梦灵属性!$E$38:$E$41)*C83</f>
        <v>#N/A</v>
      </c>
      <c r="G83" s="22" t="e">
        <f ca="1">_xlfn.XLOOKUP($B83,梦灵属性!$F$38:$F$41,梦灵属性!$E$38:$E$41)*$C83</f>
        <v>#N/A</v>
      </c>
      <c r="H83" s="22"/>
      <c r="I83" s="56">
        <f ca="1">OFFSET(梦灵图鉴!F$10,MATCH(A83,梦灵图鉴!$E$11:$E$61,1),0)*SUM(梦灵属性!$E$26:$J$26)+OFFSET(梦灵图鉴!H$10,MATCH(A83,梦灵图鉴!$G$11:$G$61,1),0)*SUM(梦灵属性!$E$27:$J$27)+OFFSET(梦灵图鉴!J$10,MATCH(A83,梦灵图鉴!$I$11:$I$61,1),0)*SUM(梦灵属性!$E$28:$J$28)+OFFSET(梦灵图鉴!L$10,MATCH(A83,梦灵图鉴!$K$11:$K$61,1),0)*SUM(梦灵属性!$E$29:$J$29)</f>
        <v>14.1</v>
      </c>
      <c r="J83" s="56"/>
      <c r="K83" s="56"/>
      <c r="L83" s="22"/>
      <c r="M83" s="22"/>
      <c r="N83" s="22"/>
      <c r="P83" s="3">
        <f t="shared" si="0"/>
        <v>4</v>
      </c>
      <c r="Q83" s="3">
        <f t="shared" si="1"/>
        <v>27</v>
      </c>
      <c r="R83" s="3">
        <f ca="1">OFFSET(梦灵属性!G$37,$P83-2,0)</f>
        <v>60</v>
      </c>
      <c r="S83" s="3">
        <f ca="1">OFFSET(梦灵属性!H$37,$P83-2,0)</f>
        <v>600</v>
      </c>
      <c r="T83" s="3">
        <f ca="1">OFFSET(梦灵属性!$E$37,$P83-2,0)*$Q83</f>
        <v>1.35</v>
      </c>
      <c r="U83" s="3">
        <f ca="1">OFFSET(梦灵属性!$E$37,$P83-2,0)*$Q83</f>
        <v>1.35</v>
      </c>
    </row>
    <row r="84" ht="16.5" spans="1:21">
      <c r="A84" s="54">
        <v>78</v>
      </c>
      <c r="B84" s="35">
        <f ca="1">OFFSET(梦灵本体产出!$G$6,MATCH(A84,梦灵本体产出!$I$7:$I$30,1),0)</f>
        <v>0</v>
      </c>
      <c r="C84" s="35" t="e">
        <f ca="1">MATCH(A84,OFFSET(梦灵属性!#REF!,50*(B84-3),0))</f>
        <v>#REF!</v>
      </c>
      <c r="D84" s="55"/>
      <c r="E84" s="55"/>
      <c r="F84" s="22" t="e">
        <f ca="1">_xlfn.XLOOKUP(B84,梦灵属性!$F$38:$F$41,梦灵属性!$E$38:$E$41)*C84</f>
        <v>#N/A</v>
      </c>
      <c r="G84" s="22" t="e">
        <f ca="1">_xlfn.XLOOKUP($B84,梦灵属性!$F$38:$F$41,梦灵属性!$E$38:$E$41)*$C84</f>
        <v>#N/A</v>
      </c>
      <c r="H84" s="22"/>
      <c r="I84" s="56">
        <f ca="1">OFFSET(梦灵图鉴!F$10,MATCH(A84,梦灵图鉴!$E$11:$E$61,1),0)*SUM(梦灵属性!$E$26:$J$26)+OFFSET(梦灵图鉴!H$10,MATCH(A84,梦灵图鉴!$G$11:$G$61,1),0)*SUM(梦灵属性!$E$27:$J$27)+OFFSET(梦灵图鉴!J$10,MATCH(A84,梦灵图鉴!$I$11:$I$61,1),0)*SUM(梦灵属性!$E$28:$J$28)+OFFSET(梦灵图鉴!L$10,MATCH(A84,梦灵图鉴!$K$11:$K$61,1),0)*SUM(梦灵属性!$E$29:$J$29)</f>
        <v>14.1</v>
      </c>
      <c r="J84" s="56"/>
      <c r="K84" s="56"/>
      <c r="L84" s="22"/>
      <c r="M84" s="22"/>
      <c r="N84" s="22"/>
      <c r="P84" s="3">
        <f t="shared" si="0"/>
        <v>4</v>
      </c>
      <c r="Q84" s="3">
        <f t="shared" si="1"/>
        <v>28</v>
      </c>
      <c r="R84" s="3">
        <f ca="1">OFFSET(梦灵属性!G$37,$P84-2,0)</f>
        <v>60</v>
      </c>
      <c r="S84" s="3">
        <f ca="1">OFFSET(梦灵属性!H$37,$P84-2,0)</f>
        <v>600</v>
      </c>
      <c r="T84" s="3">
        <f ca="1">OFFSET(梦灵属性!$E$37,$P84-2,0)*$Q84</f>
        <v>1.4</v>
      </c>
      <c r="U84" s="3">
        <f ca="1">OFFSET(梦灵属性!$E$37,$P84-2,0)*$Q84</f>
        <v>1.4</v>
      </c>
    </row>
    <row r="85" ht="16.5" spans="1:21">
      <c r="A85" s="54">
        <v>79</v>
      </c>
      <c r="B85" s="35">
        <f ca="1">OFFSET(梦灵本体产出!$G$6,MATCH(A85,梦灵本体产出!$I$7:$I$30,1),0)</f>
        <v>0</v>
      </c>
      <c r="C85" s="35" t="e">
        <f ca="1">MATCH(A85,OFFSET(梦灵属性!#REF!,50*(B85-3),0))</f>
        <v>#REF!</v>
      </c>
      <c r="D85" s="55"/>
      <c r="E85" s="55"/>
      <c r="F85" s="22" t="e">
        <f ca="1">_xlfn.XLOOKUP(B85,梦灵属性!$F$38:$F$41,梦灵属性!$E$38:$E$41)*C85</f>
        <v>#N/A</v>
      </c>
      <c r="G85" s="22" t="e">
        <f ca="1">_xlfn.XLOOKUP($B85,梦灵属性!$F$38:$F$41,梦灵属性!$E$38:$E$41)*$C85</f>
        <v>#N/A</v>
      </c>
      <c r="H85" s="22"/>
      <c r="I85" s="56">
        <f ca="1">OFFSET(梦灵图鉴!F$10,MATCH(A85,梦灵图鉴!$E$11:$E$61,1),0)*SUM(梦灵属性!$E$26:$J$26)+OFFSET(梦灵图鉴!H$10,MATCH(A85,梦灵图鉴!$G$11:$G$61,1),0)*SUM(梦灵属性!$E$27:$J$27)+OFFSET(梦灵图鉴!J$10,MATCH(A85,梦灵图鉴!$I$11:$I$61,1),0)*SUM(梦灵属性!$E$28:$J$28)+OFFSET(梦灵图鉴!L$10,MATCH(A85,梦灵图鉴!$K$11:$K$61,1),0)*SUM(梦灵属性!$E$29:$J$29)</f>
        <v>14.1</v>
      </c>
      <c r="J85" s="56"/>
      <c r="K85" s="56"/>
      <c r="L85" s="22"/>
      <c r="M85" s="22"/>
      <c r="N85" s="22"/>
      <c r="P85" s="3">
        <f t="shared" si="0"/>
        <v>4</v>
      </c>
      <c r="Q85" s="3">
        <f t="shared" si="1"/>
        <v>29</v>
      </c>
      <c r="R85" s="3">
        <f ca="1">OFFSET(梦灵属性!G$37,$P85-2,0)</f>
        <v>60</v>
      </c>
      <c r="S85" s="3">
        <f ca="1">OFFSET(梦灵属性!H$37,$P85-2,0)</f>
        <v>600</v>
      </c>
      <c r="T85" s="3">
        <f ca="1">OFFSET(梦灵属性!$E$37,$P85-2,0)*$Q85</f>
        <v>1.45</v>
      </c>
      <c r="U85" s="3">
        <f ca="1">OFFSET(梦灵属性!$E$37,$P85-2,0)*$Q85</f>
        <v>1.45</v>
      </c>
    </row>
    <row r="86" ht="16.5" spans="1:21">
      <c r="A86" s="54">
        <v>80</v>
      </c>
      <c r="B86" s="35">
        <f ca="1">OFFSET(梦灵本体产出!$G$6,MATCH(A86,梦灵本体产出!$I$7:$I$30,1),0)</f>
        <v>0</v>
      </c>
      <c r="C86" s="35" t="e">
        <f ca="1">MATCH(A86,OFFSET(梦灵属性!#REF!,50*(B86-3),0))</f>
        <v>#REF!</v>
      </c>
      <c r="D86" s="55"/>
      <c r="E86" s="55"/>
      <c r="F86" s="22" t="e">
        <f ca="1">_xlfn.XLOOKUP(B86,梦灵属性!$F$38:$F$41,梦灵属性!$E$38:$E$41)*C86</f>
        <v>#N/A</v>
      </c>
      <c r="G86" s="22" t="e">
        <f ca="1">_xlfn.XLOOKUP($B86,梦灵属性!$F$38:$F$41,梦灵属性!$E$38:$E$41)*$C86</f>
        <v>#N/A</v>
      </c>
      <c r="H86" s="22"/>
      <c r="I86" s="56">
        <f ca="1">OFFSET(梦灵图鉴!F$10,MATCH(A86,梦灵图鉴!$E$11:$E$61,1),0)*SUM(梦灵属性!$E$26:$J$26)+OFFSET(梦灵图鉴!H$10,MATCH(A86,梦灵图鉴!$G$11:$G$61,1),0)*SUM(梦灵属性!$E$27:$J$27)+OFFSET(梦灵图鉴!J$10,MATCH(A86,梦灵图鉴!$I$11:$I$61,1),0)*SUM(梦灵属性!$E$28:$J$28)+OFFSET(梦灵图鉴!L$10,MATCH(A86,梦灵图鉴!$K$11:$K$61,1),0)*SUM(梦灵属性!$E$29:$J$29)</f>
        <v>14.1</v>
      </c>
      <c r="J86" s="56"/>
      <c r="K86" s="56"/>
      <c r="L86" s="22"/>
      <c r="M86" s="22"/>
      <c r="N86" s="22"/>
      <c r="P86" s="3">
        <f t="shared" si="0"/>
        <v>4</v>
      </c>
      <c r="Q86" s="3">
        <f t="shared" si="1"/>
        <v>30</v>
      </c>
      <c r="R86" s="3">
        <f ca="1">OFFSET(梦灵属性!G$37,$P86-2,0)</f>
        <v>60</v>
      </c>
      <c r="S86" s="3">
        <f ca="1">OFFSET(梦灵属性!H$37,$P86-2,0)</f>
        <v>600</v>
      </c>
      <c r="T86" s="3">
        <f ca="1">OFFSET(梦灵属性!$E$37,$P86-2,0)*$Q86</f>
        <v>1.5</v>
      </c>
      <c r="U86" s="3">
        <f ca="1">OFFSET(梦灵属性!$E$37,$P86-2,0)*$Q86</f>
        <v>1.5</v>
      </c>
    </row>
    <row r="87" ht="16.5" spans="1:21">
      <c r="A87" s="54">
        <v>81</v>
      </c>
      <c r="B87" s="35">
        <f ca="1">OFFSET(梦灵本体产出!$G$6,MATCH(A87,梦灵本体产出!$I$7:$I$30,1),0)</f>
        <v>0</v>
      </c>
      <c r="C87" s="35" t="e">
        <f ca="1">MATCH(A87,OFFSET(梦灵属性!#REF!,50*(B87-3),0))</f>
        <v>#REF!</v>
      </c>
      <c r="D87" s="55"/>
      <c r="E87" s="55"/>
      <c r="F87" s="22" t="e">
        <f ca="1">_xlfn.XLOOKUP(B87,梦灵属性!$F$38:$F$41,梦灵属性!$E$38:$E$41)*C87</f>
        <v>#N/A</v>
      </c>
      <c r="G87" s="22" t="e">
        <f ca="1">_xlfn.XLOOKUP($B87,梦灵属性!$F$38:$F$41,梦灵属性!$E$38:$E$41)*$C87</f>
        <v>#N/A</v>
      </c>
      <c r="H87" s="22"/>
      <c r="I87" s="56">
        <f ca="1">OFFSET(梦灵图鉴!F$10,MATCH(A87,梦灵图鉴!$E$11:$E$61,1),0)*SUM(梦灵属性!$E$26:$J$26)+OFFSET(梦灵图鉴!H$10,MATCH(A87,梦灵图鉴!$G$11:$G$61,1),0)*SUM(梦灵属性!$E$27:$J$27)+OFFSET(梦灵图鉴!J$10,MATCH(A87,梦灵图鉴!$I$11:$I$61,1),0)*SUM(梦灵属性!$E$28:$J$28)+OFFSET(梦灵图鉴!L$10,MATCH(A87,梦灵图鉴!$K$11:$K$61,1),0)*SUM(梦灵属性!$E$29:$J$29)</f>
        <v>14.1</v>
      </c>
      <c r="J87" s="56"/>
      <c r="K87" s="56"/>
      <c r="L87" s="22"/>
      <c r="M87" s="22"/>
      <c r="N87" s="22"/>
      <c r="P87" s="3">
        <f t="shared" si="0"/>
        <v>4</v>
      </c>
      <c r="Q87" s="3">
        <f t="shared" si="1"/>
        <v>31</v>
      </c>
      <c r="R87" s="3">
        <f ca="1">OFFSET(梦灵属性!G$37,$P87-2,0)</f>
        <v>60</v>
      </c>
      <c r="S87" s="3">
        <f ca="1">OFFSET(梦灵属性!H$37,$P87-2,0)</f>
        <v>600</v>
      </c>
      <c r="T87" s="3">
        <f ca="1">OFFSET(梦灵属性!$E$37,$P87-2,0)*$Q87</f>
        <v>1.55</v>
      </c>
      <c r="U87" s="3">
        <f ca="1">OFFSET(梦灵属性!$E$37,$P87-2,0)*$Q87</f>
        <v>1.55</v>
      </c>
    </row>
    <row r="88" ht="16.5" spans="1:21">
      <c r="A88" s="54">
        <v>82</v>
      </c>
      <c r="B88" s="35">
        <f ca="1">OFFSET(梦灵本体产出!$G$6,MATCH(A88,梦灵本体产出!$I$7:$I$30,1),0)</f>
        <v>0</v>
      </c>
      <c r="C88" s="35" t="e">
        <f ca="1">MATCH(A88,OFFSET(梦灵属性!#REF!,50*(B88-3),0))</f>
        <v>#REF!</v>
      </c>
      <c r="D88" s="55"/>
      <c r="E88" s="55"/>
      <c r="F88" s="22" t="e">
        <f ca="1">_xlfn.XLOOKUP(B88,梦灵属性!$F$38:$F$41,梦灵属性!$E$38:$E$41)*C88</f>
        <v>#N/A</v>
      </c>
      <c r="G88" s="22" t="e">
        <f ca="1">_xlfn.XLOOKUP($B88,梦灵属性!$F$38:$F$41,梦灵属性!$E$38:$E$41)*$C88</f>
        <v>#N/A</v>
      </c>
      <c r="H88" s="22"/>
      <c r="I88" s="56">
        <f ca="1">OFFSET(梦灵图鉴!F$10,MATCH(A88,梦灵图鉴!$E$11:$E$61,1),0)*SUM(梦灵属性!$E$26:$J$26)+OFFSET(梦灵图鉴!H$10,MATCH(A88,梦灵图鉴!$G$11:$G$61,1),0)*SUM(梦灵属性!$E$27:$J$27)+OFFSET(梦灵图鉴!J$10,MATCH(A88,梦灵图鉴!$I$11:$I$61,1),0)*SUM(梦灵属性!$E$28:$J$28)+OFFSET(梦灵图鉴!L$10,MATCH(A88,梦灵图鉴!$K$11:$K$61,1),0)*SUM(梦灵属性!$E$29:$J$29)</f>
        <v>14.1</v>
      </c>
      <c r="J88" s="56"/>
      <c r="K88" s="56"/>
      <c r="L88" s="22"/>
      <c r="M88" s="22"/>
      <c r="N88" s="22"/>
      <c r="P88" s="3">
        <f t="shared" si="0"/>
        <v>4</v>
      </c>
      <c r="Q88" s="3">
        <f t="shared" si="1"/>
        <v>32</v>
      </c>
      <c r="R88" s="3">
        <f ca="1">OFFSET(梦灵属性!G$37,$P88-2,0)</f>
        <v>60</v>
      </c>
      <c r="S88" s="3">
        <f ca="1">OFFSET(梦灵属性!H$37,$P88-2,0)</f>
        <v>600</v>
      </c>
      <c r="T88" s="3">
        <f ca="1">OFFSET(梦灵属性!$E$37,$P88-2,0)*$Q88</f>
        <v>1.6</v>
      </c>
      <c r="U88" s="3">
        <f ca="1">OFFSET(梦灵属性!$E$37,$P88-2,0)*$Q88</f>
        <v>1.6</v>
      </c>
    </row>
    <row r="89" ht="16.5" spans="1:21">
      <c r="A89" s="54">
        <v>83</v>
      </c>
      <c r="B89" s="35">
        <f ca="1">OFFSET(梦灵本体产出!$G$6,MATCH(A89,梦灵本体产出!$I$7:$I$30,1),0)</f>
        <v>0</v>
      </c>
      <c r="C89" s="35" t="e">
        <f ca="1">MATCH(A89,OFFSET(梦灵属性!#REF!,50*(B89-3),0))</f>
        <v>#REF!</v>
      </c>
      <c r="D89" s="55"/>
      <c r="E89" s="55"/>
      <c r="F89" s="22" t="e">
        <f ca="1">_xlfn.XLOOKUP(B89,梦灵属性!$F$38:$F$41,梦灵属性!$E$38:$E$41)*C89</f>
        <v>#N/A</v>
      </c>
      <c r="G89" s="22" t="e">
        <f ca="1">_xlfn.XLOOKUP($B89,梦灵属性!$F$38:$F$41,梦灵属性!$E$38:$E$41)*$C89</f>
        <v>#N/A</v>
      </c>
      <c r="H89" s="22"/>
      <c r="I89" s="56">
        <f ca="1">OFFSET(梦灵图鉴!F$10,MATCH(A89,梦灵图鉴!$E$11:$E$61,1),0)*SUM(梦灵属性!$E$26:$J$26)+OFFSET(梦灵图鉴!H$10,MATCH(A89,梦灵图鉴!$G$11:$G$61,1),0)*SUM(梦灵属性!$E$27:$J$27)+OFFSET(梦灵图鉴!J$10,MATCH(A89,梦灵图鉴!$I$11:$I$61,1),0)*SUM(梦灵属性!$E$28:$J$28)+OFFSET(梦灵图鉴!L$10,MATCH(A89,梦灵图鉴!$K$11:$K$61,1),0)*SUM(梦灵属性!$E$29:$J$29)</f>
        <v>14.1</v>
      </c>
      <c r="J89" s="56"/>
      <c r="K89" s="56"/>
      <c r="L89" s="22"/>
      <c r="M89" s="22"/>
      <c r="N89" s="22"/>
      <c r="P89" s="3">
        <f t="shared" si="0"/>
        <v>4</v>
      </c>
      <c r="Q89" s="3">
        <f t="shared" si="1"/>
        <v>33</v>
      </c>
      <c r="R89" s="3">
        <f ca="1">OFFSET(梦灵属性!G$37,$P89-2,0)</f>
        <v>60</v>
      </c>
      <c r="S89" s="3">
        <f ca="1">OFFSET(梦灵属性!H$37,$P89-2,0)</f>
        <v>600</v>
      </c>
      <c r="T89" s="3">
        <f ca="1">OFFSET(梦灵属性!$E$37,$P89-2,0)*$Q89</f>
        <v>1.65</v>
      </c>
      <c r="U89" s="3">
        <f ca="1">OFFSET(梦灵属性!$E$37,$P89-2,0)*$Q89</f>
        <v>1.65</v>
      </c>
    </row>
    <row r="90" ht="16.5" spans="1:21">
      <c r="A90" s="54">
        <v>84</v>
      </c>
      <c r="B90" s="35">
        <f ca="1">OFFSET(梦灵本体产出!$G$6,MATCH(A90,梦灵本体产出!$I$7:$I$30,1),0)</f>
        <v>0</v>
      </c>
      <c r="C90" s="35" t="e">
        <f ca="1">MATCH(A90,OFFSET(梦灵属性!#REF!,50*(B90-3),0))</f>
        <v>#REF!</v>
      </c>
      <c r="D90" s="55"/>
      <c r="E90" s="55"/>
      <c r="F90" s="22" t="e">
        <f ca="1">_xlfn.XLOOKUP(B90,梦灵属性!$F$38:$F$41,梦灵属性!$E$38:$E$41)*C90</f>
        <v>#N/A</v>
      </c>
      <c r="G90" s="22" t="e">
        <f ca="1">_xlfn.XLOOKUP($B90,梦灵属性!$F$38:$F$41,梦灵属性!$E$38:$E$41)*$C90</f>
        <v>#N/A</v>
      </c>
      <c r="H90" s="22"/>
      <c r="I90" s="56">
        <f ca="1">OFFSET(梦灵图鉴!F$10,MATCH(A90,梦灵图鉴!$E$11:$E$61,1),0)*SUM(梦灵属性!$E$26:$J$26)+OFFSET(梦灵图鉴!H$10,MATCH(A90,梦灵图鉴!$G$11:$G$61,1),0)*SUM(梦灵属性!$E$27:$J$27)+OFFSET(梦灵图鉴!J$10,MATCH(A90,梦灵图鉴!$I$11:$I$61,1),0)*SUM(梦灵属性!$E$28:$J$28)+OFFSET(梦灵图鉴!L$10,MATCH(A90,梦灵图鉴!$K$11:$K$61,1),0)*SUM(梦灵属性!$E$29:$J$29)</f>
        <v>14.1</v>
      </c>
      <c r="J90" s="56"/>
      <c r="K90" s="56"/>
      <c r="L90" s="22"/>
      <c r="M90" s="22"/>
      <c r="N90" s="22"/>
      <c r="P90" s="3">
        <f t="shared" si="0"/>
        <v>4</v>
      </c>
      <c r="Q90" s="3">
        <f t="shared" si="1"/>
        <v>34</v>
      </c>
      <c r="R90" s="3">
        <f ca="1">OFFSET(梦灵属性!G$37,$P90-2,0)</f>
        <v>60</v>
      </c>
      <c r="S90" s="3">
        <f ca="1">OFFSET(梦灵属性!H$37,$P90-2,0)</f>
        <v>600</v>
      </c>
      <c r="T90" s="3">
        <f ca="1">OFFSET(梦灵属性!$E$37,$P90-2,0)*$Q90</f>
        <v>1.7</v>
      </c>
      <c r="U90" s="3">
        <f ca="1">OFFSET(梦灵属性!$E$37,$P90-2,0)*$Q90</f>
        <v>1.7</v>
      </c>
    </row>
    <row r="91" ht="16.5" spans="1:21">
      <c r="A91" s="54">
        <v>85</v>
      </c>
      <c r="B91" s="35">
        <f ca="1">OFFSET(梦灵本体产出!$G$6,MATCH(A91,梦灵本体产出!$I$7:$I$30,1),0)</f>
        <v>0</v>
      </c>
      <c r="C91" s="35" t="e">
        <f ca="1">MATCH(A91,OFFSET(梦灵属性!#REF!,50*(B91-3),0))</f>
        <v>#REF!</v>
      </c>
      <c r="D91" s="55"/>
      <c r="E91" s="55"/>
      <c r="F91" s="22" t="e">
        <f ca="1">_xlfn.XLOOKUP(B91,梦灵属性!$F$38:$F$41,梦灵属性!$E$38:$E$41)*C91</f>
        <v>#N/A</v>
      </c>
      <c r="G91" s="22" t="e">
        <f ca="1">_xlfn.XLOOKUP($B91,梦灵属性!$F$38:$F$41,梦灵属性!$E$38:$E$41)*$C91</f>
        <v>#N/A</v>
      </c>
      <c r="H91" s="22"/>
      <c r="I91" s="56">
        <f ca="1">OFFSET(梦灵图鉴!F$10,MATCH(A91,梦灵图鉴!$E$11:$E$61,1),0)*SUM(梦灵属性!$E$26:$J$26)+OFFSET(梦灵图鉴!H$10,MATCH(A91,梦灵图鉴!$G$11:$G$61,1),0)*SUM(梦灵属性!$E$27:$J$27)+OFFSET(梦灵图鉴!J$10,MATCH(A91,梦灵图鉴!$I$11:$I$61,1),0)*SUM(梦灵属性!$E$28:$J$28)+OFFSET(梦灵图鉴!L$10,MATCH(A91,梦灵图鉴!$K$11:$K$61,1),0)*SUM(梦灵属性!$E$29:$J$29)</f>
        <v>14.1</v>
      </c>
      <c r="J91" s="56"/>
      <c r="K91" s="56"/>
      <c r="L91" s="22"/>
      <c r="M91" s="22"/>
      <c r="N91" s="22"/>
      <c r="P91" s="3">
        <f t="shared" si="0"/>
        <v>4</v>
      </c>
      <c r="Q91" s="3">
        <f t="shared" si="1"/>
        <v>35</v>
      </c>
      <c r="R91" s="3">
        <f ca="1">OFFSET(梦灵属性!G$37,$P91-2,0)</f>
        <v>60</v>
      </c>
      <c r="S91" s="3">
        <f ca="1">OFFSET(梦灵属性!H$37,$P91-2,0)</f>
        <v>600</v>
      </c>
      <c r="T91" s="3">
        <f ca="1">OFFSET(梦灵属性!$E$37,$P91-2,0)*$Q91</f>
        <v>1.75</v>
      </c>
      <c r="U91" s="3">
        <f ca="1">OFFSET(梦灵属性!$E$37,$P91-2,0)*$Q91</f>
        <v>1.75</v>
      </c>
    </row>
    <row r="92" ht="16.5" spans="1:21">
      <c r="A92" s="54">
        <v>86</v>
      </c>
      <c r="B92" s="35">
        <f ca="1">OFFSET(梦灵本体产出!$G$6,MATCH(A92,梦灵本体产出!$I$7:$I$30,1),0)</f>
        <v>0</v>
      </c>
      <c r="C92" s="35" t="e">
        <f ca="1">MATCH(A92,OFFSET(梦灵属性!#REF!,50*(B92-3),0))</f>
        <v>#REF!</v>
      </c>
      <c r="D92" s="55"/>
      <c r="E92" s="55"/>
      <c r="F92" s="22" t="e">
        <f ca="1">_xlfn.XLOOKUP(B92,梦灵属性!$F$38:$F$41,梦灵属性!$E$38:$E$41)*C92</f>
        <v>#N/A</v>
      </c>
      <c r="G92" s="22" t="e">
        <f ca="1">_xlfn.XLOOKUP($B92,梦灵属性!$F$38:$F$41,梦灵属性!$E$38:$E$41)*$C92</f>
        <v>#N/A</v>
      </c>
      <c r="H92" s="22"/>
      <c r="I92" s="56">
        <f ca="1">OFFSET(梦灵图鉴!F$10,MATCH(A92,梦灵图鉴!$E$11:$E$61,1),0)*SUM(梦灵属性!$E$26:$J$26)+OFFSET(梦灵图鉴!H$10,MATCH(A92,梦灵图鉴!$G$11:$G$61,1),0)*SUM(梦灵属性!$E$27:$J$27)+OFFSET(梦灵图鉴!J$10,MATCH(A92,梦灵图鉴!$I$11:$I$61,1),0)*SUM(梦灵属性!$E$28:$J$28)+OFFSET(梦灵图鉴!L$10,MATCH(A92,梦灵图鉴!$K$11:$K$61,1),0)*SUM(梦灵属性!$E$29:$J$29)</f>
        <v>14.1</v>
      </c>
      <c r="J92" s="56"/>
      <c r="K92" s="56"/>
      <c r="L92" s="22"/>
      <c r="M92" s="22"/>
      <c r="N92" s="22"/>
      <c r="P92" s="3">
        <f t="shared" si="0"/>
        <v>4</v>
      </c>
      <c r="Q92" s="3">
        <f t="shared" si="1"/>
        <v>36</v>
      </c>
      <c r="R92" s="3">
        <f ca="1">OFFSET(梦灵属性!G$37,$P92-2,0)</f>
        <v>60</v>
      </c>
      <c r="S92" s="3">
        <f ca="1">OFFSET(梦灵属性!H$37,$P92-2,0)</f>
        <v>600</v>
      </c>
      <c r="T92" s="3">
        <f ca="1">OFFSET(梦灵属性!$E$37,$P92-2,0)*$Q92</f>
        <v>1.8</v>
      </c>
      <c r="U92" s="3">
        <f ca="1">OFFSET(梦灵属性!$E$37,$P92-2,0)*$Q92</f>
        <v>1.8</v>
      </c>
    </row>
    <row r="93" ht="16.5" spans="1:21">
      <c r="A93" s="54">
        <v>87</v>
      </c>
      <c r="B93" s="35">
        <f ca="1">OFFSET(梦灵本体产出!$G$6,MATCH(A93,梦灵本体产出!$I$7:$I$30,1),0)</f>
        <v>0</v>
      </c>
      <c r="C93" s="35" t="e">
        <f ca="1">MATCH(A93,OFFSET(梦灵属性!#REF!,50*(B93-3),0))</f>
        <v>#REF!</v>
      </c>
      <c r="D93" s="55"/>
      <c r="E93" s="55"/>
      <c r="F93" s="22" t="e">
        <f ca="1">_xlfn.XLOOKUP(B93,梦灵属性!$F$38:$F$41,梦灵属性!$E$38:$E$41)*C93</f>
        <v>#N/A</v>
      </c>
      <c r="G93" s="22" t="e">
        <f ca="1">_xlfn.XLOOKUP($B93,梦灵属性!$F$38:$F$41,梦灵属性!$E$38:$E$41)*$C93</f>
        <v>#N/A</v>
      </c>
      <c r="H93" s="22"/>
      <c r="I93" s="56">
        <f ca="1">OFFSET(梦灵图鉴!F$10,MATCH(A93,梦灵图鉴!$E$11:$E$61,1),0)*SUM(梦灵属性!$E$26:$J$26)+OFFSET(梦灵图鉴!H$10,MATCH(A93,梦灵图鉴!$G$11:$G$61,1),0)*SUM(梦灵属性!$E$27:$J$27)+OFFSET(梦灵图鉴!J$10,MATCH(A93,梦灵图鉴!$I$11:$I$61,1),0)*SUM(梦灵属性!$E$28:$J$28)+OFFSET(梦灵图鉴!L$10,MATCH(A93,梦灵图鉴!$K$11:$K$61,1),0)*SUM(梦灵属性!$E$29:$J$29)</f>
        <v>14.1</v>
      </c>
      <c r="J93" s="56"/>
      <c r="K93" s="56"/>
      <c r="L93" s="22"/>
      <c r="M93" s="22"/>
      <c r="N93" s="22"/>
      <c r="P93" s="3">
        <f t="shared" si="0"/>
        <v>4</v>
      </c>
      <c r="Q93" s="3">
        <f t="shared" si="1"/>
        <v>37</v>
      </c>
      <c r="R93" s="3">
        <f ca="1">OFFSET(梦灵属性!G$37,$P93-2,0)</f>
        <v>60</v>
      </c>
      <c r="S93" s="3">
        <f ca="1">OFFSET(梦灵属性!H$37,$P93-2,0)</f>
        <v>600</v>
      </c>
      <c r="T93" s="3">
        <f ca="1">OFFSET(梦灵属性!$E$37,$P93-2,0)*$Q93</f>
        <v>1.85</v>
      </c>
      <c r="U93" s="3">
        <f ca="1">OFFSET(梦灵属性!$E$37,$P93-2,0)*$Q93</f>
        <v>1.85</v>
      </c>
    </row>
    <row r="94" ht="16.5" spans="1:21">
      <c r="A94" s="54">
        <v>88</v>
      </c>
      <c r="B94" s="35">
        <f ca="1">OFFSET(梦灵本体产出!$G$6,MATCH(A94,梦灵本体产出!$I$7:$I$30,1),0)</f>
        <v>0</v>
      </c>
      <c r="C94" s="35" t="e">
        <f ca="1">MATCH(A94,OFFSET(梦灵属性!#REF!,50*(B94-3),0))</f>
        <v>#REF!</v>
      </c>
      <c r="D94" s="55"/>
      <c r="E94" s="55"/>
      <c r="F94" s="22" t="e">
        <f ca="1">_xlfn.XLOOKUP(B94,梦灵属性!$F$38:$F$41,梦灵属性!$E$38:$E$41)*C94</f>
        <v>#N/A</v>
      </c>
      <c r="G94" s="22" t="e">
        <f ca="1">_xlfn.XLOOKUP($B94,梦灵属性!$F$38:$F$41,梦灵属性!$E$38:$E$41)*$C94</f>
        <v>#N/A</v>
      </c>
      <c r="H94" s="22"/>
      <c r="I94" s="56">
        <f ca="1">OFFSET(梦灵图鉴!F$10,MATCH(A94,梦灵图鉴!$E$11:$E$61,1),0)*SUM(梦灵属性!$E$26:$J$26)+OFFSET(梦灵图鉴!H$10,MATCH(A94,梦灵图鉴!$G$11:$G$61,1),0)*SUM(梦灵属性!$E$27:$J$27)+OFFSET(梦灵图鉴!J$10,MATCH(A94,梦灵图鉴!$I$11:$I$61,1),0)*SUM(梦灵属性!$E$28:$J$28)+OFFSET(梦灵图鉴!L$10,MATCH(A94,梦灵图鉴!$K$11:$K$61,1),0)*SUM(梦灵属性!$E$29:$J$29)</f>
        <v>14.1</v>
      </c>
      <c r="J94" s="56"/>
      <c r="K94" s="56"/>
      <c r="L94" s="22"/>
      <c r="M94" s="22"/>
      <c r="N94" s="22"/>
      <c r="P94" s="3">
        <f t="shared" si="0"/>
        <v>4</v>
      </c>
      <c r="Q94" s="3">
        <f t="shared" si="1"/>
        <v>38</v>
      </c>
      <c r="R94" s="3">
        <f ca="1">OFFSET(梦灵属性!G$37,$P94-2,0)</f>
        <v>60</v>
      </c>
      <c r="S94" s="3">
        <f ca="1">OFFSET(梦灵属性!H$37,$P94-2,0)</f>
        <v>600</v>
      </c>
      <c r="T94" s="3">
        <f ca="1">OFFSET(梦灵属性!$E$37,$P94-2,0)*$Q94</f>
        <v>1.9</v>
      </c>
      <c r="U94" s="3">
        <f ca="1">OFFSET(梦灵属性!$E$37,$P94-2,0)*$Q94</f>
        <v>1.9</v>
      </c>
    </row>
    <row r="95" ht="16.5" spans="1:21">
      <c r="A95" s="54">
        <v>89</v>
      </c>
      <c r="B95" s="35">
        <f ca="1">OFFSET(梦灵本体产出!$G$6,MATCH(A95,梦灵本体产出!$I$7:$I$30,1),0)</f>
        <v>0</v>
      </c>
      <c r="C95" s="35" t="e">
        <f ca="1">MATCH(A95,OFFSET(梦灵属性!#REF!,50*(B95-3),0))</f>
        <v>#REF!</v>
      </c>
      <c r="D95" s="55"/>
      <c r="E95" s="55"/>
      <c r="F95" s="22" t="e">
        <f ca="1">_xlfn.XLOOKUP(B95,梦灵属性!$F$38:$F$41,梦灵属性!$E$38:$E$41)*C95</f>
        <v>#N/A</v>
      </c>
      <c r="G95" s="22" t="e">
        <f ca="1">_xlfn.XLOOKUP($B95,梦灵属性!$F$38:$F$41,梦灵属性!$E$38:$E$41)*$C95</f>
        <v>#N/A</v>
      </c>
      <c r="H95" s="22"/>
      <c r="I95" s="56">
        <f ca="1">OFFSET(梦灵图鉴!F$10,MATCH(A95,梦灵图鉴!$E$11:$E$61,1),0)*SUM(梦灵属性!$E$26:$J$26)+OFFSET(梦灵图鉴!H$10,MATCH(A95,梦灵图鉴!$G$11:$G$61,1),0)*SUM(梦灵属性!$E$27:$J$27)+OFFSET(梦灵图鉴!J$10,MATCH(A95,梦灵图鉴!$I$11:$I$61,1),0)*SUM(梦灵属性!$E$28:$J$28)+OFFSET(梦灵图鉴!L$10,MATCH(A95,梦灵图鉴!$K$11:$K$61,1),0)*SUM(梦灵属性!$E$29:$J$29)</f>
        <v>14.1</v>
      </c>
      <c r="J95" s="56"/>
      <c r="K95" s="56"/>
      <c r="L95" s="22"/>
      <c r="M95" s="22"/>
      <c r="N95" s="22"/>
      <c r="P95" s="3">
        <f t="shared" si="0"/>
        <v>4</v>
      </c>
      <c r="Q95" s="3">
        <f t="shared" si="1"/>
        <v>39</v>
      </c>
      <c r="R95" s="3">
        <f ca="1">OFFSET(梦灵属性!G$37,$P95-2,0)</f>
        <v>60</v>
      </c>
      <c r="S95" s="3">
        <f ca="1">OFFSET(梦灵属性!H$37,$P95-2,0)</f>
        <v>600</v>
      </c>
      <c r="T95" s="3">
        <f ca="1">OFFSET(梦灵属性!$E$37,$P95-2,0)*$Q95</f>
        <v>1.95</v>
      </c>
      <c r="U95" s="3">
        <f ca="1">OFFSET(梦灵属性!$E$37,$P95-2,0)*$Q95</f>
        <v>1.95</v>
      </c>
    </row>
    <row r="96" ht="16.5" spans="1:21">
      <c r="A96" s="54">
        <v>90</v>
      </c>
      <c r="B96" s="35">
        <f ca="1">OFFSET(梦灵本体产出!$G$6,MATCH(A96,梦灵本体产出!$I$7:$I$30,1),0)</f>
        <v>0</v>
      </c>
      <c r="C96" s="35" t="e">
        <f ca="1">MATCH(A96,OFFSET(梦灵属性!#REF!,50*(B96-3),0))</f>
        <v>#REF!</v>
      </c>
      <c r="D96" s="55"/>
      <c r="E96" s="55"/>
      <c r="F96" s="22" t="e">
        <f ca="1">_xlfn.XLOOKUP(B96,梦灵属性!$F$38:$F$41,梦灵属性!$E$38:$E$41)*C96</f>
        <v>#N/A</v>
      </c>
      <c r="G96" s="22" t="e">
        <f ca="1">_xlfn.XLOOKUP($B96,梦灵属性!$F$38:$F$41,梦灵属性!$E$38:$E$41)*$C96</f>
        <v>#N/A</v>
      </c>
      <c r="H96" s="22"/>
      <c r="I96" s="56">
        <f ca="1">OFFSET(梦灵图鉴!F$10,MATCH(A96,梦灵图鉴!$E$11:$E$61,1),0)*SUM(梦灵属性!$E$26:$J$26)+OFFSET(梦灵图鉴!H$10,MATCH(A96,梦灵图鉴!$G$11:$G$61,1),0)*SUM(梦灵属性!$E$27:$J$27)+OFFSET(梦灵图鉴!J$10,MATCH(A96,梦灵图鉴!$I$11:$I$61,1),0)*SUM(梦灵属性!$E$28:$J$28)+OFFSET(梦灵图鉴!L$10,MATCH(A96,梦灵图鉴!$K$11:$K$61,1),0)*SUM(梦灵属性!$E$29:$J$29)</f>
        <v>14.1</v>
      </c>
      <c r="J96" s="56"/>
      <c r="K96" s="56"/>
      <c r="L96" s="22"/>
      <c r="M96" s="22"/>
      <c r="N96" s="22"/>
      <c r="P96" s="3">
        <f t="shared" si="0"/>
        <v>4</v>
      </c>
      <c r="Q96" s="3">
        <f t="shared" si="1"/>
        <v>40</v>
      </c>
      <c r="R96" s="3">
        <f ca="1">OFFSET(梦灵属性!G$37,$P96-2,0)</f>
        <v>60</v>
      </c>
      <c r="S96" s="3">
        <f ca="1">OFFSET(梦灵属性!H$37,$P96-2,0)</f>
        <v>600</v>
      </c>
      <c r="T96" s="3">
        <f ca="1">OFFSET(梦灵属性!$E$37,$P96-2,0)*$Q96</f>
        <v>2</v>
      </c>
      <c r="U96" s="3">
        <f ca="1">OFFSET(梦灵属性!$E$37,$P96-2,0)*$Q96</f>
        <v>2</v>
      </c>
    </row>
    <row r="97" ht="16.5" spans="1:21">
      <c r="A97" s="54">
        <v>91</v>
      </c>
      <c r="B97" s="35">
        <f ca="1">OFFSET(梦灵本体产出!$G$6,MATCH(A97,梦灵本体产出!$I$7:$I$30,1),0)</f>
        <v>0</v>
      </c>
      <c r="C97" s="35" t="e">
        <f ca="1">MATCH(A97,OFFSET(梦灵属性!#REF!,50*(B97-3),0))</f>
        <v>#REF!</v>
      </c>
      <c r="D97" s="55"/>
      <c r="E97" s="55"/>
      <c r="F97" s="22" t="e">
        <f ca="1">_xlfn.XLOOKUP(B97,梦灵属性!$F$38:$F$41,梦灵属性!$E$38:$E$41)*C97</f>
        <v>#N/A</v>
      </c>
      <c r="G97" s="22" t="e">
        <f ca="1">_xlfn.XLOOKUP($B97,梦灵属性!$F$38:$F$41,梦灵属性!$E$38:$E$41)*$C97</f>
        <v>#N/A</v>
      </c>
      <c r="H97" s="22"/>
      <c r="I97" s="56">
        <f ca="1">OFFSET(梦灵图鉴!F$10,MATCH(A97,梦灵图鉴!$E$11:$E$61,1),0)*SUM(梦灵属性!$E$26:$J$26)+OFFSET(梦灵图鉴!H$10,MATCH(A97,梦灵图鉴!$G$11:$G$61,1),0)*SUM(梦灵属性!$E$27:$J$27)+OFFSET(梦灵图鉴!J$10,MATCH(A97,梦灵图鉴!$I$11:$I$61,1),0)*SUM(梦灵属性!$E$28:$J$28)+OFFSET(梦灵图鉴!L$10,MATCH(A97,梦灵图鉴!$K$11:$K$61,1),0)*SUM(梦灵属性!$E$29:$J$29)</f>
        <v>14.1</v>
      </c>
      <c r="J97" s="56"/>
      <c r="K97" s="56"/>
      <c r="L97" s="22"/>
      <c r="M97" s="22"/>
      <c r="N97" s="22"/>
      <c r="P97" s="3">
        <f t="shared" si="0"/>
        <v>4</v>
      </c>
      <c r="Q97" s="3">
        <f t="shared" si="1"/>
        <v>41</v>
      </c>
      <c r="R97" s="3">
        <f ca="1">OFFSET(梦灵属性!G$37,$P97-2,0)</f>
        <v>60</v>
      </c>
      <c r="S97" s="3">
        <f ca="1">OFFSET(梦灵属性!H$37,$P97-2,0)</f>
        <v>600</v>
      </c>
      <c r="T97" s="3">
        <f ca="1">OFFSET(梦灵属性!$E$37,$P97-2,0)*$Q97</f>
        <v>2.05</v>
      </c>
      <c r="U97" s="3">
        <f ca="1">OFFSET(梦灵属性!$E$37,$P97-2,0)*$Q97</f>
        <v>2.05</v>
      </c>
    </row>
    <row r="98" ht="16.5" spans="1:21">
      <c r="A98" s="54">
        <v>92</v>
      </c>
      <c r="B98" s="35">
        <f ca="1">OFFSET(梦灵本体产出!$G$6,MATCH(A98,梦灵本体产出!$I$7:$I$30,1),0)</f>
        <v>0</v>
      </c>
      <c r="C98" s="35" t="e">
        <f ca="1">MATCH(A98,OFFSET(梦灵属性!#REF!,50*(B98-3),0))</f>
        <v>#REF!</v>
      </c>
      <c r="D98" s="55"/>
      <c r="E98" s="55"/>
      <c r="F98" s="22" t="e">
        <f ca="1">_xlfn.XLOOKUP(B98,梦灵属性!$F$38:$F$41,梦灵属性!$E$38:$E$41)*C98</f>
        <v>#N/A</v>
      </c>
      <c r="G98" s="22" t="e">
        <f ca="1">_xlfn.XLOOKUP($B98,梦灵属性!$F$38:$F$41,梦灵属性!$E$38:$E$41)*$C98</f>
        <v>#N/A</v>
      </c>
      <c r="H98" s="22"/>
      <c r="I98" s="56">
        <f ca="1">OFFSET(梦灵图鉴!F$10,MATCH(A98,梦灵图鉴!$E$11:$E$61,1),0)*SUM(梦灵属性!$E$26:$J$26)+OFFSET(梦灵图鉴!H$10,MATCH(A98,梦灵图鉴!$G$11:$G$61,1),0)*SUM(梦灵属性!$E$27:$J$27)+OFFSET(梦灵图鉴!J$10,MATCH(A98,梦灵图鉴!$I$11:$I$61,1),0)*SUM(梦灵属性!$E$28:$J$28)+OFFSET(梦灵图鉴!L$10,MATCH(A98,梦灵图鉴!$K$11:$K$61,1),0)*SUM(梦灵属性!$E$29:$J$29)</f>
        <v>14.1</v>
      </c>
      <c r="J98" s="56"/>
      <c r="K98" s="56"/>
      <c r="L98" s="22"/>
      <c r="M98" s="22"/>
      <c r="N98" s="22"/>
      <c r="P98" s="3">
        <f t="shared" si="0"/>
        <v>4</v>
      </c>
      <c r="Q98" s="3">
        <f t="shared" si="1"/>
        <v>42</v>
      </c>
      <c r="R98" s="3">
        <f ca="1">OFFSET(梦灵属性!G$37,$P98-2,0)</f>
        <v>60</v>
      </c>
      <c r="S98" s="3">
        <f ca="1">OFFSET(梦灵属性!H$37,$P98-2,0)</f>
        <v>600</v>
      </c>
      <c r="T98" s="3">
        <f ca="1">OFFSET(梦灵属性!$E$37,$P98-2,0)*$Q98</f>
        <v>2.1</v>
      </c>
      <c r="U98" s="3">
        <f ca="1">OFFSET(梦灵属性!$E$37,$P98-2,0)*$Q98</f>
        <v>2.1</v>
      </c>
    </row>
    <row r="99" ht="16.5" spans="1:21">
      <c r="A99" s="54">
        <v>93</v>
      </c>
      <c r="B99" s="35">
        <f ca="1">OFFSET(梦灵本体产出!$G$6,MATCH(A99,梦灵本体产出!$I$7:$I$30,1),0)</f>
        <v>0</v>
      </c>
      <c r="C99" s="35" t="e">
        <f ca="1">MATCH(A99,OFFSET(梦灵属性!#REF!,50*(B99-3),0))</f>
        <v>#REF!</v>
      </c>
      <c r="D99" s="55"/>
      <c r="E99" s="55"/>
      <c r="F99" s="22" t="e">
        <f ca="1">_xlfn.XLOOKUP(B99,梦灵属性!$F$38:$F$41,梦灵属性!$E$38:$E$41)*C99</f>
        <v>#N/A</v>
      </c>
      <c r="G99" s="22" t="e">
        <f ca="1">_xlfn.XLOOKUP($B99,梦灵属性!$F$38:$F$41,梦灵属性!$E$38:$E$41)*$C99</f>
        <v>#N/A</v>
      </c>
      <c r="H99" s="22"/>
      <c r="I99" s="56">
        <f ca="1">OFFSET(梦灵图鉴!F$10,MATCH(A99,梦灵图鉴!$E$11:$E$61,1),0)*SUM(梦灵属性!$E$26:$J$26)+OFFSET(梦灵图鉴!H$10,MATCH(A99,梦灵图鉴!$G$11:$G$61,1),0)*SUM(梦灵属性!$E$27:$J$27)+OFFSET(梦灵图鉴!J$10,MATCH(A99,梦灵图鉴!$I$11:$I$61,1),0)*SUM(梦灵属性!$E$28:$J$28)+OFFSET(梦灵图鉴!L$10,MATCH(A99,梦灵图鉴!$K$11:$K$61,1),0)*SUM(梦灵属性!$E$29:$J$29)</f>
        <v>14.1</v>
      </c>
      <c r="J99" s="56"/>
      <c r="K99" s="56"/>
      <c r="L99" s="22"/>
      <c r="M99" s="22"/>
      <c r="N99" s="22"/>
      <c r="P99" s="3">
        <f t="shared" si="0"/>
        <v>4</v>
      </c>
      <c r="Q99" s="3">
        <f t="shared" si="1"/>
        <v>43</v>
      </c>
      <c r="R99" s="3">
        <f ca="1">OFFSET(梦灵属性!G$37,$P99-2,0)</f>
        <v>60</v>
      </c>
      <c r="S99" s="3">
        <f ca="1">OFFSET(梦灵属性!H$37,$P99-2,0)</f>
        <v>600</v>
      </c>
      <c r="T99" s="3">
        <f ca="1">OFFSET(梦灵属性!$E$37,$P99-2,0)*$Q99</f>
        <v>2.15</v>
      </c>
      <c r="U99" s="3">
        <f ca="1">OFFSET(梦灵属性!$E$37,$P99-2,0)*$Q99</f>
        <v>2.15</v>
      </c>
    </row>
    <row r="100" ht="16.5" spans="1:21">
      <c r="A100" s="54">
        <v>94</v>
      </c>
      <c r="B100" s="35">
        <f ca="1">OFFSET(梦灵本体产出!$G$6,MATCH(A100,梦灵本体产出!$I$7:$I$30,1),0)</f>
        <v>0</v>
      </c>
      <c r="C100" s="35" t="e">
        <f ca="1">MATCH(A100,OFFSET(梦灵属性!#REF!,50*(B100-3),0))</f>
        <v>#REF!</v>
      </c>
      <c r="D100" s="55"/>
      <c r="E100" s="55"/>
      <c r="F100" s="22" t="e">
        <f ca="1">_xlfn.XLOOKUP(B100,梦灵属性!$F$38:$F$41,梦灵属性!$E$38:$E$41)*C100</f>
        <v>#N/A</v>
      </c>
      <c r="G100" s="22" t="e">
        <f ca="1">_xlfn.XLOOKUP($B100,梦灵属性!$F$38:$F$41,梦灵属性!$E$38:$E$41)*$C100</f>
        <v>#N/A</v>
      </c>
      <c r="H100" s="22"/>
      <c r="I100" s="56">
        <f ca="1">OFFSET(梦灵图鉴!F$10,MATCH(A100,梦灵图鉴!$E$11:$E$61,1),0)*SUM(梦灵属性!$E$26:$J$26)+OFFSET(梦灵图鉴!H$10,MATCH(A100,梦灵图鉴!$G$11:$G$61,1),0)*SUM(梦灵属性!$E$27:$J$27)+OFFSET(梦灵图鉴!J$10,MATCH(A100,梦灵图鉴!$I$11:$I$61,1),0)*SUM(梦灵属性!$E$28:$J$28)+OFFSET(梦灵图鉴!L$10,MATCH(A100,梦灵图鉴!$K$11:$K$61,1),0)*SUM(梦灵属性!$E$29:$J$29)</f>
        <v>14.1</v>
      </c>
      <c r="J100" s="56"/>
      <c r="K100" s="56"/>
      <c r="L100" s="22"/>
      <c r="M100" s="22"/>
      <c r="N100" s="22"/>
      <c r="P100" s="3">
        <f t="shared" si="0"/>
        <v>4</v>
      </c>
      <c r="Q100" s="3">
        <f t="shared" si="1"/>
        <v>44</v>
      </c>
      <c r="R100" s="3">
        <f ca="1">OFFSET(梦灵属性!G$37,$P100-2,0)</f>
        <v>60</v>
      </c>
      <c r="S100" s="3">
        <f ca="1">OFFSET(梦灵属性!H$37,$P100-2,0)</f>
        <v>600</v>
      </c>
      <c r="T100" s="3">
        <f ca="1">OFFSET(梦灵属性!$E$37,$P100-2,0)*$Q100</f>
        <v>2.2</v>
      </c>
      <c r="U100" s="3">
        <f ca="1">OFFSET(梦灵属性!$E$37,$P100-2,0)*$Q100</f>
        <v>2.2</v>
      </c>
    </row>
    <row r="101" ht="16.5" spans="1:21">
      <c r="A101" s="54">
        <v>95</v>
      </c>
      <c r="B101" s="35">
        <f ca="1">OFFSET(梦灵本体产出!$G$6,MATCH(A101,梦灵本体产出!$I$7:$I$30,1),0)</f>
        <v>0</v>
      </c>
      <c r="C101" s="35" t="e">
        <f ca="1">MATCH(A101,OFFSET(梦灵属性!#REF!,50*(B101-3),0))</f>
        <v>#REF!</v>
      </c>
      <c r="D101" s="55"/>
      <c r="E101" s="55"/>
      <c r="F101" s="22" t="e">
        <f ca="1">_xlfn.XLOOKUP(B101,梦灵属性!$F$38:$F$41,梦灵属性!$E$38:$E$41)*C101</f>
        <v>#N/A</v>
      </c>
      <c r="G101" s="22" t="e">
        <f ca="1">_xlfn.XLOOKUP($B101,梦灵属性!$F$38:$F$41,梦灵属性!$E$38:$E$41)*$C101</f>
        <v>#N/A</v>
      </c>
      <c r="H101" s="22"/>
      <c r="I101" s="56">
        <f ca="1">OFFSET(梦灵图鉴!F$10,MATCH(A101,梦灵图鉴!$E$11:$E$61,1),0)*SUM(梦灵属性!$E$26:$J$26)+OFFSET(梦灵图鉴!H$10,MATCH(A101,梦灵图鉴!$G$11:$G$61,1),0)*SUM(梦灵属性!$E$27:$J$27)+OFFSET(梦灵图鉴!J$10,MATCH(A101,梦灵图鉴!$I$11:$I$61,1),0)*SUM(梦灵属性!$E$28:$J$28)+OFFSET(梦灵图鉴!L$10,MATCH(A101,梦灵图鉴!$K$11:$K$61,1),0)*SUM(梦灵属性!$E$29:$J$29)</f>
        <v>14.1</v>
      </c>
      <c r="J101" s="56"/>
      <c r="K101" s="56"/>
      <c r="L101" s="22"/>
      <c r="M101" s="22"/>
      <c r="N101" s="22"/>
      <c r="P101" s="3">
        <f t="shared" si="0"/>
        <v>4</v>
      </c>
      <c r="Q101" s="3">
        <f t="shared" si="1"/>
        <v>45</v>
      </c>
      <c r="R101" s="3">
        <f ca="1">OFFSET(梦灵属性!G$37,$P101-2,0)</f>
        <v>60</v>
      </c>
      <c r="S101" s="3">
        <f ca="1">OFFSET(梦灵属性!H$37,$P101-2,0)</f>
        <v>600</v>
      </c>
      <c r="T101" s="3">
        <f ca="1">OFFSET(梦灵属性!$E$37,$P101-2,0)*$Q101</f>
        <v>2.25</v>
      </c>
      <c r="U101" s="3">
        <f ca="1">OFFSET(梦灵属性!$E$37,$P101-2,0)*$Q101</f>
        <v>2.25</v>
      </c>
    </row>
    <row r="102" ht="16.5" spans="1:21">
      <c r="A102" s="54">
        <v>96</v>
      </c>
      <c r="B102" s="35">
        <f ca="1">OFFSET(梦灵本体产出!$G$6,MATCH(A102,梦灵本体产出!$I$7:$I$30,1),0)</f>
        <v>0</v>
      </c>
      <c r="C102" s="35" t="e">
        <f ca="1">MATCH(A102,OFFSET(梦灵属性!#REF!,50*(B102-3),0))</f>
        <v>#REF!</v>
      </c>
      <c r="D102" s="55"/>
      <c r="E102" s="55"/>
      <c r="F102" s="22" t="e">
        <f ca="1">_xlfn.XLOOKUP(B102,梦灵属性!$F$38:$F$41,梦灵属性!$E$38:$E$41)*C102</f>
        <v>#N/A</v>
      </c>
      <c r="G102" s="22" t="e">
        <f ca="1">_xlfn.XLOOKUP($B102,梦灵属性!$F$38:$F$41,梦灵属性!$E$38:$E$41)*$C102</f>
        <v>#N/A</v>
      </c>
      <c r="H102" s="22"/>
      <c r="I102" s="56">
        <f ca="1">OFFSET(梦灵图鉴!F$10,MATCH(A102,梦灵图鉴!$E$11:$E$61,1),0)*SUM(梦灵属性!$E$26:$J$26)+OFFSET(梦灵图鉴!H$10,MATCH(A102,梦灵图鉴!$G$11:$G$61,1),0)*SUM(梦灵属性!$E$27:$J$27)+OFFSET(梦灵图鉴!J$10,MATCH(A102,梦灵图鉴!$I$11:$I$61,1),0)*SUM(梦灵属性!$E$28:$J$28)+OFFSET(梦灵图鉴!L$10,MATCH(A102,梦灵图鉴!$K$11:$K$61,1),0)*SUM(梦灵属性!$E$29:$J$29)</f>
        <v>14.1</v>
      </c>
      <c r="J102" s="56"/>
      <c r="K102" s="56"/>
      <c r="L102" s="22"/>
      <c r="M102" s="22"/>
      <c r="N102" s="22"/>
      <c r="P102" s="3">
        <f t="shared" ref="P102:P118" si="2">P52+1</f>
        <v>4</v>
      </c>
      <c r="Q102" s="3">
        <f t="shared" ref="Q102:Q118" si="3">Q52</f>
        <v>46</v>
      </c>
      <c r="R102" s="3">
        <f ca="1">OFFSET(梦灵属性!G$37,$P102-2,0)</f>
        <v>60</v>
      </c>
      <c r="S102" s="3">
        <f ca="1">OFFSET(梦灵属性!H$37,$P102-2,0)</f>
        <v>600</v>
      </c>
      <c r="T102" s="3">
        <f ca="1">OFFSET(梦灵属性!$E$37,$P102-2,0)*$Q102</f>
        <v>2.3</v>
      </c>
      <c r="U102" s="3">
        <f ca="1">OFFSET(梦灵属性!$E$37,$P102-2,0)*$Q102</f>
        <v>2.3</v>
      </c>
    </row>
    <row r="103" ht="16.5" spans="1:21">
      <c r="A103" s="54">
        <v>97</v>
      </c>
      <c r="B103" s="35">
        <f ca="1">OFFSET(梦灵本体产出!$G$6,MATCH(A103,梦灵本体产出!$I$7:$I$30,1),0)</f>
        <v>0</v>
      </c>
      <c r="C103" s="35" t="e">
        <f ca="1">MATCH(A103,OFFSET(梦灵属性!#REF!,50*(B103-3),0))</f>
        <v>#REF!</v>
      </c>
      <c r="D103" s="55"/>
      <c r="E103" s="55"/>
      <c r="F103" s="22" t="e">
        <f ca="1">_xlfn.XLOOKUP(B103,梦灵属性!$F$38:$F$41,梦灵属性!$E$38:$E$41)*C103</f>
        <v>#N/A</v>
      </c>
      <c r="G103" s="22" t="e">
        <f ca="1">_xlfn.XLOOKUP($B103,梦灵属性!$F$38:$F$41,梦灵属性!$E$38:$E$41)*$C103</f>
        <v>#N/A</v>
      </c>
      <c r="H103" s="22"/>
      <c r="I103" s="56">
        <f ca="1">OFFSET(梦灵图鉴!F$10,MATCH(A103,梦灵图鉴!$E$11:$E$61,1),0)*SUM(梦灵属性!$E$26:$J$26)+OFFSET(梦灵图鉴!H$10,MATCH(A103,梦灵图鉴!$G$11:$G$61,1),0)*SUM(梦灵属性!$E$27:$J$27)+OFFSET(梦灵图鉴!J$10,MATCH(A103,梦灵图鉴!$I$11:$I$61,1),0)*SUM(梦灵属性!$E$28:$J$28)+OFFSET(梦灵图鉴!L$10,MATCH(A103,梦灵图鉴!$K$11:$K$61,1),0)*SUM(梦灵属性!$E$29:$J$29)</f>
        <v>14.1</v>
      </c>
      <c r="J103" s="56"/>
      <c r="K103" s="56"/>
      <c r="L103" s="22"/>
      <c r="M103" s="22"/>
      <c r="N103" s="22"/>
      <c r="P103" s="3">
        <f t="shared" si="2"/>
        <v>4</v>
      </c>
      <c r="Q103" s="3">
        <f t="shared" si="3"/>
        <v>47</v>
      </c>
      <c r="R103" s="3">
        <f ca="1">OFFSET(梦灵属性!G$37,$P103-2,0)</f>
        <v>60</v>
      </c>
      <c r="S103" s="3">
        <f ca="1">OFFSET(梦灵属性!H$37,$P103-2,0)</f>
        <v>600</v>
      </c>
      <c r="T103" s="3">
        <f ca="1">OFFSET(梦灵属性!$E$37,$P103-2,0)*$Q103</f>
        <v>2.35</v>
      </c>
      <c r="U103" s="3">
        <f ca="1">OFFSET(梦灵属性!$E$37,$P103-2,0)*$Q103</f>
        <v>2.35</v>
      </c>
    </row>
    <row r="104" ht="16.5" spans="1:21">
      <c r="A104" s="54">
        <v>98</v>
      </c>
      <c r="B104" s="35">
        <f ca="1">OFFSET(梦灵本体产出!$G$6,MATCH(A104,梦灵本体产出!$I$7:$I$30,1),0)</f>
        <v>0</v>
      </c>
      <c r="C104" s="35" t="e">
        <f ca="1">MATCH(A104,OFFSET(梦灵属性!#REF!,50*(B104-3),0))</f>
        <v>#REF!</v>
      </c>
      <c r="D104" s="55"/>
      <c r="E104" s="55"/>
      <c r="F104" s="22" t="e">
        <f ca="1">_xlfn.XLOOKUP(B104,梦灵属性!$F$38:$F$41,梦灵属性!$E$38:$E$41)*C104</f>
        <v>#N/A</v>
      </c>
      <c r="G104" s="22" t="e">
        <f ca="1">_xlfn.XLOOKUP($B104,梦灵属性!$F$38:$F$41,梦灵属性!$E$38:$E$41)*$C104</f>
        <v>#N/A</v>
      </c>
      <c r="H104" s="22"/>
      <c r="I104" s="56">
        <f ca="1">OFFSET(梦灵图鉴!F$10,MATCH(A104,梦灵图鉴!$E$11:$E$61,1),0)*SUM(梦灵属性!$E$26:$J$26)+OFFSET(梦灵图鉴!H$10,MATCH(A104,梦灵图鉴!$G$11:$G$61,1),0)*SUM(梦灵属性!$E$27:$J$27)+OFFSET(梦灵图鉴!J$10,MATCH(A104,梦灵图鉴!$I$11:$I$61,1),0)*SUM(梦灵属性!$E$28:$J$28)+OFFSET(梦灵图鉴!L$10,MATCH(A104,梦灵图鉴!$K$11:$K$61,1),0)*SUM(梦灵属性!$E$29:$J$29)</f>
        <v>14.1</v>
      </c>
      <c r="J104" s="56"/>
      <c r="K104" s="56"/>
      <c r="L104" s="22"/>
      <c r="M104" s="22"/>
      <c r="N104" s="22"/>
      <c r="P104" s="3">
        <f t="shared" si="2"/>
        <v>4</v>
      </c>
      <c r="Q104" s="3">
        <f t="shared" si="3"/>
        <v>48</v>
      </c>
      <c r="R104" s="3">
        <f ca="1">OFFSET(梦灵属性!G$37,$P104-2,0)</f>
        <v>60</v>
      </c>
      <c r="S104" s="3">
        <f ca="1">OFFSET(梦灵属性!H$37,$P104-2,0)</f>
        <v>600</v>
      </c>
      <c r="T104" s="3">
        <f ca="1">OFFSET(梦灵属性!$E$37,$P104-2,0)*$Q104</f>
        <v>2.4</v>
      </c>
      <c r="U104" s="3">
        <f ca="1">OFFSET(梦灵属性!$E$37,$P104-2,0)*$Q104</f>
        <v>2.4</v>
      </c>
    </row>
    <row r="105" ht="16.5" spans="1:21">
      <c r="A105" s="54">
        <v>99</v>
      </c>
      <c r="B105" s="35">
        <f ca="1">OFFSET(梦灵本体产出!$G$6,MATCH(A105,梦灵本体产出!$I$7:$I$30,1),0)</f>
        <v>0</v>
      </c>
      <c r="C105" s="35" t="e">
        <f ca="1">MATCH(A105,OFFSET(梦灵属性!#REF!,50*(B105-3),0))</f>
        <v>#REF!</v>
      </c>
      <c r="D105" s="55"/>
      <c r="E105" s="55"/>
      <c r="F105" s="22" t="e">
        <f ca="1">_xlfn.XLOOKUP(B105,梦灵属性!$F$38:$F$41,梦灵属性!$E$38:$E$41)*C105</f>
        <v>#N/A</v>
      </c>
      <c r="G105" s="22" t="e">
        <f ca="1">_xlfn.XLOOKUP($B105,梦灵属性!$F$38:$F$41,梦灵属性!$E$38:$E$41)*$C105</f>
        <v>#N/A</v>
      </c>
      <c r="H105" s="22"/>
      <c r="I105" s="56">
        <f ca="1">OFFSET(梦灵图鉴!F$10,MATCH(A105,梦灵图鉴!$E$11:$E$61,1),0)*SUM(梦灵属性!$E$26:$J$26)+OFFSET(梦灵图鉴!H$10,MATCH(A105,梦灵图鉴!$G$11:$G$61,1),0)*SUM(梦灵属性!$E$27:$J$27)+OFFSET(梦灵图鉴!J$10,MATCH(A105,梦灵图鉴!$I$11:$I$61,1),0)*SUM(梦灵属性!$E$28:$J$28)+OFFSET(梦灵图鉴!L$10,MATCH(A105,梦灵图鉴!$K$11:$K$61,1),0)*SUM(梦灵属性!$E$29:$J$29)</f>
        <v>14.1</v>
      </c>
      <c r="J105" s="56"/>
      <c r="K105" s="56"/>
      <c r="L105" s="22"/>
      <c r="M105" s="22"/>
      <c r="N105" s="22"/>
      <c r="P105" s="3">
        <f t="shared" si="2"/>
        <v>4</v>
      </c>
      <c r="Q105" s="3">
        <f t="shared" si="3"/>
        <v>49</v>
      </c>
      <c r="R105" s="3">
        <f ca="1">OFFSET(梦灵属性!G$37,$P105-2,0)</f>
        <v>60</v>
      </c>
      <c r="S105" s="3">
        <f ca="1">OFFSET(梦灵属性!H$37,$P105-2,0)</f>
        <v>600</v>
      </c>
      <c r="T105" s="3">
        <f ca="1">OFFSET(梦灵属性!$E$37,$P105-2,0)*$Q105</f>
        <v>2.45</v>
      </c>
      <c r="U105" s="3">
        <f ca="1">OFFSET(梦灵属性!$E$37,$P105-2,0)*$Q105</f>
        <v>2.45</v>
      </c>
    </row>
    <row r="106" ht="16.5" spans="1:21">
      <c r="A106" s="54">
        <v>100</v>
      </c>
      <c r="B106" s="35">
        <f ca="1">OFFSET(梦灵本体产出!$G$6,MATCH(A106,梦灵本体产出!$I$7:$I$30,1),0)</f>
        <v>0</v>
      </c>
      <c r="C106" s="35" t="e">
        <f ca="1">MATCH(A106,OFFSET(梦灵属性!#REF!,50*(B106-3),0))</f>
        <v>#REF!</v>
      </c>
      <c r="D106" s="55"/>
      <c r="E106" s="55"/>
      <c r="F106" s="22" t="e">
        <f ca="1">_xlfn.XLOOKUP(B106,梦灵属性!$F$38:$F$41,梦灵属性!$E$38:$E$41)*C106</f>
        <v>#N/A</v>
      </c>
      <c r="G106" s="22" t="e">
        <f ca="1">_xlfn.XLOOKUP($B106,梦灵属性!$F$38:$F$41,梦灵属性!$E$38:$E$41)*$C106</f>
        <v>#N/A</v>
      </c>
      <c r="H106" s="22"/>
      <c r="I106" s="56">
        <f ca="1">OFFSET(梦灵图鉴!F$10,MATCH(A106,梦灵图鉴!$E$11:$E$61,1),0)*SUM(梦灵属性!$E$26:$J$26)+OFFSET(梦灵图鉴!H$10,MATCH(A106,梦灵图鉴!$G$11:$G$61,1),0)*SUM(梦灵属性!$E$27:$J$27)+OFFSET(梦灵图鉴!J$10,MATCH(A106,梦灵图鉴!$I$11:$I$61,1),0)*SUM(梦灵属性!$E$28:$J$28)+OFFSET(梦灵图鉴!L$10,MATCH(A106,梦灵图鉴!$K$11:$K$61,1),0)*SUM(梦灵属性!$E$29:$J$29)</f>
        <v>14.1</v>
      </c>
      <c r="J106" s="56"/>
      <c r="K106" s="56"/>
      <c r="L106" s="22"/>
      <c r="M106" s="22"/>
      <c r="N106" s="22"/>
      <c r="P106" s="3">
        <f t="shared" si="2"/>
        <v>4</v>
      </c>
      <c r="Q106" s="3">
        <f t="shared" si="3"/>
        <v>50</v>
      </c>
      <c r="R106" s="3">
        <f ca="1">OFFSET(梦灵属性!G$37,$P106-2,0)</f>
        <v>60</v>
      </c>
      <c r="S106" s="3">
        <f ca="1">OFFSET(梦灵属性!H$37,$P106-2,0)</f>
        <v>600</v>
      </c>
      <c r="T106" s="3">
        <f ca="1">OFFSET(梦灵属性!$E$37,$P106-2,0)*$Q106</f>
        <v>2.5</v>
      </c>
      <c r="U106" s="3">
        <f ca="1">OFFSET(梦灵属性!$E$37,$P106-2,0)*$Q106</f>
        <v>2.5</v>
      </c>
    </row>
    <row r="107" ht="16.5" spans="1:21">
      <c r="A107" s="54">
        <v>101</v>
      </c>
      <c r="B107" s="35">
        <f ca="1">OFFSET(梦灵本体产出!$G$6,MATCH(A107,梦灵本体产出!$I$7:$I$30,1),0)</f>
        <v>0</v>
      </c>
      <c r="C107" s="35" t="e">
        <f ca="1">MATCH(A107,OFFSET(梦灵属性!#REF!,50*(B107-3),0))</f>
        <v>#REF!</v>
      </c>
      <c r="D107" s="55"/>
      <c r="E107" s="55"/>
      <c r="F107" s="22" t="e">
        <f ca="1">_xlfn.XLOOKUP(B107,梦灵属性!$F$38:$F$41,梦灵属性!$E$38:$E$41)*C107</f>
        <v>#N/A</v>
      </c>
      <c r="G107" s="22" t="e">
        <f ca="1">_xlfn.XLOOKUP($B107,梦灵属性!$F$38:$F$41,梦灵属性!$E$38:$E$41)*$C107</f>
        <v>#N/A</v>
      </c>
      <c r="H107" s="22"/>
      <c r="I107" s="56">
        <f ca="1">OFFSET(梦灵图鉴!F$10,MATCH(A107,梦灵图鉴!$E$11:$E$61,1),0)*SUM(梦灵属性!$E$26:$J$26)+OFFSET(梦灵图鉴!H$10,MATCH(A107,梦灵图鉴!$G$11:$G$61,1),0)*SUM(梦灵属性!$E$27:$J$27)+OFFSET(梦灵图鉴!J$10,MATCH(A107,梦灵图鉴!$I$11:$I$61,1),0)*SUM(梦灵属性!$E$28:$J$28)+OFFSET(梦灵图鉴!L$10,MATCH(A107,梦灵图鉴!$K$11:$K$61,1),0)*SUM(梦灵属性!$E$29:$J$29)</f>
        <v>14.1</v>
      </c>
      <c r="J107" s="56"/>
      <c r="K107" s="56"/>
      <c r="L107" s="22"/>
      <c r="M107" s="22"/>
      <c r="N107" s="22"/>
      <c r="P107" s="3">
        <f t="shared" si="2"/>
        <v>5</v>
      </c>
      <c r="Q107" s="3">
        <f t="shared" si="3"/>
        <v>1</v>
      </c>
      <c r="R107" s="3">
        <f ca="1">OFFSET(梦灵属性!G$37,$P107-2,0)</f>
        <v>120</v>
      </c>
      <c r="S107" s="3">
        <f ca="1">OFFSET(梦灵属性!H$37,$P107-2,0)</f>
        <v>1200</v>
      </c>
      <c r="T107" s="3">
        <f ca="1">OFFSET(梦灵属性!$E$37,$P107-2,0)*$Q107</f>
        <v>0.06</v>
      </c>
      <c r="U107" s="3">
        <f ca="1">OFFSET(梦灵属性!$E$37,$P107-2,0)*$Q107</f>
        <v>0.06</v>
      </c>
    </row>
    <row r="108" ht="16.5" spans="1:21">
      <c r="A108" s="54">
        <v>102</v>
      </c>
      <c r="B108" s="35">
        <f ca="1">OFFSET(梦灵本体产出!$G$6,MATCH(A108,梦灵本体产出!$I$7:$I$30,1),0)</f>
        <v>0</v>
      </c>
      <c r="C108" s="35" t="e">
        <f ca="1">MATCH(A108,OFFSET(梦灵属性!#REF!,50*(B108-3),0))</f>
        <v>#REF!</v>
      </c>
      <c r="D108" s="55"/>
      <c r="E108" s="55"/>
      <c r="F108" s="22" t="e">
        <f ca="1">_xlfn.XLOOKUP(B108,梦灵属性!$F$38:$F$41,梦灵属性!$E$38:$E$41)*C108</f>
        <v>#N/A</v>
      </c>
      <c r="G108" s="22" t="e">
        <f ca="1">_xlfn.XLOOKUP($B108,梦灵属性!$F$38:$F$41,梦灵属性!$E$38:$E$41)*$C108</f>
        <v>#N/A</v>
      </c>
      <c r="H108" s="22"/>
      <c r="I108" s="56">
        <f ca="1">OFFSET(梦灵图鉴!F$10,MATCH(A108,梦灵图鉴!$E$11:$E$61,1),0)*SUM(梦灵属性!$E$26:$J$26)+OFFSET(梦灵图鉴!H$10,MATCH(A108,梦灵图鉴!$G$11:$G$61,1),0)*SUM(梦灵属性!$E$27:$J$27)+OFFSET(梦灵图鉴!J$10,MATCH(A108,梦灵图鉴!$I$11:$I$61,1),0)*SUM(梦灵属性!$E$28:$J$28)+OFFSET(梦灵图鉴!L$10,MATCH(A108,梦灵图鉴!$K$11:$K$61,1),0)*SUM(梦灵属性!$E$29:$J$29)</f>
        <v>14.1</v>
      </c>
      <c r="J108" s="56"/>
      <c r="K108" s="56"/>
      <c r="L108" s="22"/>
      <c r="M108" s="22"/>
      <c r="N108" s="22"/>
      <c r="P108" s="3">
        <f t="shared" si="2"/>
        <v>5</v>
      </c>
      <c r="Q108" s="3">
        <f t="shared" si="3"/>
        <v>2</v>
      </c>
      <c r="R108" s="3">
        <f ca="1">OFFSET(梦灵属性!G$37,$P108-2,0)</f>
        <v>120</v>
      </c>
      <c r="S108" s="3">
        <f ca="1">OFFSET(梦灵属性!H$37,$P108-2,0)</f>
        <v>1200</v>
      </c>
      <c r="T108" s="3">
        <f ca="1">OFFSET(梦灵属性!$E$37,$P108-2,0)*$Q108</f>
        <v>0.12</v>
      </c>
      <c r="U108" s="3">
        <f ca="1">OFFSET(梦灵属性!$E$37,$P108-2,0)*$Q108</f>
        <v>0.12</v>
      </c>
    </row>
    <row r="109" ht="16.5" spans="1:21">
      <c r="A109" s="54">
        <v>103</v>
      </c>
      <c r="B109" s="35">
        <f ca="1">OFFSET(梦灵本体产出!$G$6,MATCH(A109,梦灵本体产出!$I$7:$I$30,1),0)</f>
        <v>0</v>
      </c>
      <c r="C109" s="35" t="e">
        <f ca="1">MATCH(A109,OFFSET(梦灵属性!#REF!,50*(B109-3),0))</f>
        <v>#REF!</v>
      </c>
      <c r="D109" s="55"/>
      <c r="E109" s="55"/>
      <c r="F109" s="22" t="e">
        <f ca="1">_xlfn.XLOOKUP(B109,梦灵属性!$F$38:$F$41,梦灵属性!$E$38:$E$41)*C109</f>
        <v>#N/A</v>
      </c>
      <c r="G109" s="22" t="e">
        <f ca="1">_xlfn.XLOOKUP($B109,梦灵属性!$F$38:$F$41,梦灵属性!$E$38:$E$41)*$C109</f>
        <v>#N/A</v>
      </c>
      <c r="H109" s="22"/>
      <c r="I109" s="56">
        <f ca="1">OFFSET(梦灵图鉴!F$10,MATCH(A109,梦灵图鉴!$E$11:$E$61,1),0)*SUM(梦灵属性!$E$26:$J$26)+OFFSET(梦灵图鉴!H$10,MATCH(A109,梦灵图鉴!$G$11:$G$61,1),0)*SUM(梦灵属性!$E$27:$J$27)+OFFSET(梦灵图鉴!J$10,MATCH(A109,梦灵图鉴!$I$11:$I$61,1),0)*SUM(梦灵属性!$E$28:$J$28)+OFFSET(梦灵图鉴!L$10,MATCH(A109,梦灵图鉴!$K$11:$K$61,1),0)*SUM(梦灵属性!$E$29:$J$29)</f>
        <v>14.1</v>
      </c>
      <c r="J109" s="56"/>
      <c r="K109" s="56"/>
      <c r="L109" s="22"/>
      <c r="M109" s="22"/>
      <c r="N109" s="22"/>
      <c r="P109" s="3">
        <f t="shared" si="2"/>
        <v>5</v>
      </c>
      <c r="Q109" s="3">
        <f t="shared" si="3"/>
        <v>3</v>
      </c>
      <c r="R109" s="3">
        <f ca="1">OFFSET(梦灵属性!G$37,$P109-2,0)</f>
        <v>120</v>
      </c>
      <c r="S109" s="3">
        <f ca="1">OFFSET(梦灵属性!H$37,$P109-2,0)</f>
        <v>1200</v>
      </c>
      <c r="T109" s="3">
        <f ca="1">OFFSET(梦灵属性!$E$37,$P109-2,0)*$Q109</f>
        <v>0.18</v>
      </c>
      <c r="U109" s="3">
        <f ca="1">OFFSET(梦灵属性!$E$37,$P109-2,0)*$Q109</f>
        <v>0.18</v>
      </c>
    </row>
    <row r="110" ht="16.5" spans="1:21">
      <c r="A110" s="54">
        <v>104</v>
      </c>
      <c r="B110" s="35">
        <f ca="1">OFFSET(梦灵本体产出!$G$6,MATCH(A110,梦灵本体产出!$I$7:$I$30,1),0)</f>
        <v>0</v>
      </c>
      <c r="C110" s="35" t="e">
        <f ca="1">MATCH(A110,OFFSET(梦灵属性!#REF!,50*(B110-3),0))</f>
        <v>#REF!</v>
      </c>
      <c r="D110" s="55"/>
      <c r="E110" s="55"/>
      <c r="F110" s="22" t="e">
        <f ca="1">_xlfn.XLOOKUP(B110,梦灵属性!$F$38:$F$41,梦灵属性!$E$38:$E$41)*C110</f>
        <v>#N/A</v>
      </c>
      <c r="G110" s="22" t="e">
        <f ca="1">_xlfn.XLOOKUP($B110,梦灵属性!$F$38:$F$41,梦灵属性!$E$38:$E$41)*$C110</f>
        <v>#N/A</v>
      </c>
      <c r="H110" s="22"/>
      <c r="I110" s="56">
        <f ca="1">OFFSET(梦灵图鉴!F$10,MATCH(A110,梦灵图鉴!$E$11:$E$61,1),0)*SUM(梦灵属性!$E$26:$J$26)+OFFSET(梦灵图鉴!H$10,MATCH(A110,梦灵图鉴!$G$11:$G$61,1),0)*SUM(梦灵属性!$E$27:$J$27)+OFFSET(梦灵图鉴!J$10,MATCH(A110,梦灵图鉴!$I$11:$I$61,1),0)*SUM(梦灵属性!$E$28:$J$28)+OFFSET(梦灵图鉴!L$10,MATCH(A110,梦灵图鉴!$K$11:$K$61,1),0)*SUM(梦灵属性!$E$29:$J$29)</f>
        <v>14.1</v>
      </c>
      <c r="J110" s="56"/>
      <c r="K110" s="56"/>
      <c r="L110" s="22"/>
      <c r="M110" s="22"/>
      <c r="N110" s="22"/>
      <c r="P110" s="3">
        <f t="shared" si="2"/>
        <v>5</v>
      </c>
      <c r="Q110" s="3">
        <f t="shared" si="3"/>
        <v>4</v>
      </c>
      <c r="R110" s="3">
        <f ca="1">OFFSET(梦灵属性!G$37,$P110-2,0)</f>
        <v>120</v>
      </c>
      <c r="S110" s="3">
        <f ca="1">OFFSET(梦灵属性!H$37,$P110-2,0)</f>
        <v>1200</v>
      </c>
      <c r="T110" s="3">
        <f ca="1">OFFSET(梦灵属性!$E$37,$P110-2,0)*$Q110</f>
        <v>0.24</v>
      </c>
      <c r="U110" s="3">
        <f ca="1">OFFSET(梦灵属性!$E$37,$P110-2,0)*$Q110</f>
        <v>0.24</v>
      </c>
    </row>
    <row r="111" ht="16.5" spans="1:21">
      <c r="A111" s="54">
        <v>105</v>
      </c>
      <c r="B111" s="35">
        <f ca="1">OFFSET(梦灵本体产出!$G$6,MATCH(A111,梦灵本体产出!$I$7:$I$30,1),0)</f>
        <v>0</v>
      </c>
      <c r="C111" s="35" t="e">
        <f ca="1">MATCH(A111,OFFSET(梦灵属性!#REF!,50*(B111-3),0))</f>
        <v>#REF!</v>
      </c>
      <c r="D111" s="55"/>
      <c r="E111" s="55"/>
      <c r="F111" s="22" t="e">
        <f ca="1">_xlfn.XLOOKUP(B111,梦灵属性!$F$38:$F$41,梦灵属性!$E$38:$E$41)*C111</f>
        <v>#N/A</v>
      </c>
      <c r="G111" s="22" t="e">
        <f ca="1">_xlfn.XLOOKUP($B111,梦灵属性!$F$38:$F$41,梦灵属性!$E$38:$E$41)*$C111</f>
        <v>#N/A</v>
      </c>
      <c r="H111" s="22"/>
      <c r="I111" s="56">
        <f ca="1">OFFSET(梦灵图鉴!F$10,MATCH(A111,梦灵图鉴!$E$11:$E$61,1),0)*SUM(梦灵属性!$E$26:$J$26)+OFFSET(梦灵图鉴!H$10,MATCH(A111,梦灵图鉴!$G$11:$G$61,1),0)*SUM(梦灵属性!$E$27:$J$27)+OFFSET(梦灵图鉴!J$10,MATCH(A111,梦灵图鉴!$I$11:$I$61,1),0)*SUM(梦灵属性!$E$28:$J$28)+OFFSET(梦灵图鉴!L$10,MATCH(A111,梦灵图鉴!$K$11:$K$61,1),0)*SUM(梦灵属性!$E$29:$J$29)</f>
        <v>14.1</v>
      </c>
      <c r="J111" s="56"/>
      <c r="K111" s="56"/>
      <c r="L111" s="22"/>
      <c r="M111" s="22"/>
      <c r="N111" s="22"/>
      <c r="P111" s="3">
        <f t="shared" si="2"/>
        <v>5</v>
      </c>
      <c r="Q111" s="3">
        <f t="shared" si="3"/>
        <v>5</v>
      </c>
      <c r="R111" s="3">
        <f ca="1">OFFSET(梦灵属性!G$37,$P111-2,0)</f>
        <v>120</v>
      </c>
      <c r="S111" s="3">
        <f ca="1">OFFSET(梦灵属性!H$37,$P111-2,0)</f>
        <v>1200</v>
      </c>
      <c r="T111" s="3">
        <f ca="1">OFFSET(梦灵属性!$E$37,$P111-2,0)*$Q111</f>
        <v>0.3</v>
      </c>
      <c r="U111" s="3">
        <f ca="1">OFFSET(梦灵属性!$E$37,$P111-2,0)*$Q111</f>
        <v>0.3</v>
      </c>
    </row>
    <row r="112" ht="16.5" spans="1:21">
      <c r="A112" s="54">
        <v>106</v>
      </c>
      <c r="B112" s="35">
        <f ca="1">OFFSET(梦灵本体产出!$G$6,MATCH(A112,梦灵本体产出!$I$7:$I$30,1),0)</f>
        <v>0</v>
      </c>
      <c r="C112" s="35" t="e">
        <f ca="1">MATCH(A112,OFFSET(梦灵属性!#REF!,50*(B112-3),0))</f>
        <v>#REF!</v>
      </c>
      <c r="D112" s="55"/>
      <c r="E112" s="55"/>
      <c r="F112" s="22" t="e">
        <f ca="1">_xlfn.XLOOKUP(B112,梦灵属性!$F$38:$F$41,梦灵属性!$E$38:$E$41)*C112</f>
        <v>#N/A</v>
      </c>
      <c r="G112" s="22" t="e">
        <f ca="1">_xlfn.XLOOKUP($B112,梦灵属性!$F$38:$F$41,梦灵属性!$E$38:$E$41)*$C112</f>
        <v>#N/A</v>
      </c>
      <c r="H112" s="22"/>
      <c r="I112" s="56">
        <f ca="1">OFFSET(梦灵图鉴!F$10,MATCH(A112,梦灵图鉴!$E$11:$E$61,1),0)*SUM(梦灵属性!$E$26:$J$26)+OFFSET(梦灵图鉴!H$10,MATCH(A112,梦灵图鉴!$G$11:$G$61,1),0)*SUM(梦灵属性!$E$27:$J$27)+OFFSET(梦灵图鉴!J$10,MATCH(A112,梦灵图鉴!$I$11:$I$61,1),0)*SUM(梦灵属性!$E$28:$J$28)+OFFSET(梦灵图鉴!L$10,MATCH(A112,梦灵图鉴!$K$11:$K$61,1),0)*SUM(梦灵属性!$E$29:$J$29)</f>
        <v>14.1</v>
      </c>
      <c r="J112" s="56"/>
      <c r="K112" s="56"/>
      <c r="L112" s="22"/>
      <c r="M112" s="22"/>
      <c r="N112" s="22"/>
      <c r="P112" s="3">
        <f t="shared" si="2"/>
        <v>5</v>
      </c>
      <c r="Q112" s="3">
        <f t="shared" si="3"/>
        <v>6</v>
      </c>
      <c r="R112" s="3">
        <f ca="1">OFFSET(梦灵属性!G$37,$P112-2,0)</f>
        <v>120</v>
      </c>
      <c r="S112" s="3">
        <f ca="1">OFFSET(梦灵属性!H$37,$P112-2,0)</f>
        <v>1200</v>
      </c>
      <c r="T112" s="3">
        <f ca="1">OFFSET(梦灵属性!$E$37,$P112-2,0)*$Q112</f>
        <v>0.36</v>
      </c>
      <c r="U112" s="3">
        <f ca="1">OFFSET(梦灵属性!$E$37,$P112-2,0)*$Q112</f>
        <v>0.36</v>
      </c>
    </row>
    <row r="113" ht="16.5" spans="1:21">
      <c r="A113" s="54">
        <v>107</v>
      </c>
      <c r="B113" s="35">
        <f ca="1">OFFSET(梦灵本体产出!$G$6,MATCH(A113,梦灵本体产出!$I$7:$I$30,1),0)</f>
        <v>0</v>
      </c>
      <c r="C113" s="35" t="e">
        <f ca="1">MATCH(A113,OFFSET(梦灵属性!#REF!,50*(B113-3),0))</f>
        <v>#REF!</v>
      </c>
      <c r="D113" s="55"/>
      <c r="E113" s="55"/>
      <c r="F113" s="22" t="e">
        <f ca="1">_xlfn.XLOOKUP(B113,梦灵属性!$F$38:$F$41,梦灵属性!$E$38:$E$41)*C113</f>
        <v>#N/A</v>
      </c>
      <c r="G113" s="22" t="e">
        <f ca="1">_xlfn.XLOOKUP($B113,梦灵属性!$F$38:$F$41,梦灵属性!$E$38:$E$41)*$C113</f>
        <v>#N/A</v>
      </c>
      <c r="H113" s="22"/>
      <c r="I113" s="56">
        <f ca="1">OFFSET(梦灵图鉴!F$10,MATCH(A113,梦灵图鉴!$E$11:$E$61,1),0)*SUM(梦灵属性!$E$26:$J$26)+OFFSET(梦灵图鉴!H$10,MATCH(A113,梦灵图鉴!$G$11:$G$61,1),0)*SUM(梦灵属性!$E$27:$J$27)+OFFSET(梦灵图鉴!J$10,MATCH(A113,梦灵图鉴!$I$11:$I$61,1),0)*SUM(梦灵属性!$E$28:$J$28)+OFFSET(梦灵图鉴!L$10,MATCH(A113,梦灵图鉴!$K$11:$K$61,1),0)*SUM(梦灵属性!$E$29:$J$29)</f>
        <v>14.1</v>
      </c>
      <c r="J113" s="56"/>
      <c r="K113" s="56"/>
      <c r="L113" s="22"/>
      <c r="M113" s="22"/>
      <c r="N113" s="22"/>
      <c r="P113" s="3">
        <f t="shared" si="2"/>
        <v>5</v>
      </c>
      <c r="Q113" s="3">
        <f t="shared" si="3"/>
        <v>7</v>
      </c>
      <c r="R113" s="3">
        <f ca="1">OFFSET(梦灵属性!G$37,$P113-2,0)</f>
        <v>120</v>
      </c>
      <c r="S113" s="3">
        <f ca="1">OFFSET(梦灵属性!H$37,$P113-2,0)</f>
        <v>1200</v>
      </c>
      <c r="T113" s="3">
        <f ca="1">OFFSET(梦灵属性!$E$37,$P113-2,0)*$Q113</f>
        <v>0.42</v>
      </c>
      <c r="U113" s="3">
        <f ca="1">OFFSET(梦灵属性!$E$37,$P113-2,0)*$Q113</f>
        <v>0.42</v>
      </c>
    </row>
    <row r="114" ht="16.5" spans="1:21">
      <c r="A114" s="54">
        <v>108</v>
      </c>
      <c r="B114" s="35">
        <f ca="1">OFFSET(梦灵本体产出!$G$6,MATCH(A114,梦灵本体产出!$I$7:$I$30,1),0)</f>
        <v>0</v>
      </c>
      <c r="C114" s="35" t="e">
        <f ca="1">MATCH(A114,OFFSET(梦灵属性!#REF!,50*(B114-3),0))</f>
        <v>#REF!</v>
      </c>
      <c r="D114" s="55"/>
      <c r="E114" s="55"/>
      <c r="F114" s="22" t="e">
        <f ca="1">_xlfn.XLOOKUP(B114,梦灵属性!$F$38:$F$41,梦灵属性!$E$38:$E$41)*C114</f>
        <v>#N/A</v>
      </c>
      <c r="G114" s="22" t="e">
        <f ca="1">_xlfn.XLOOKUP($B114,梦灵属性!$F$38:$F$41,梦灵属性!$E$38:$E$41)*$C114</f>
        <v>#N/A</v>
      </c>
      <c r="H114" s="22"/>
      <c r="I114" s="56">
        <f ca="1">OFFSET(梦灵图鉴!F$10,MATCH(A114,梦灵图鉴!$E$11:$E$61,1),0)*SUM(梦灵属性!$E$26:$J$26)+OFFSET(梦灵图鉴!H$10,MATCH(A114,梦灵图鉴!$G$11:$G$61,1),0)*SUM(梦灵属性!$E$27:$J$27)+OFFSET(梦灵图鉴!J$10,MATCH(A114,梦灵图鉴!$I$11:$I$61,1),0)*SUM(梦灵属性!$E$28:$J$28)+OFFSET(梦灵图鉴!L$10,MATCH(A114,梦灵图鉴!$K$11:$K$61,1),0)*SUM(梦灵属性!$E$29:$J$29)</f>
        <v>14.1</v>
      </c>
      <c r="J114" s="56"/>
      <c r="K114" s="56"/>
      <c r="L114" s="22"/>
      <c r="M114" s="22"/>
      <c r="N114" s="22"/>
      <c r="P114" s="3">
        <f t="shared" si="2"/>
        <v>5</v>
      </c>
      <c r="Q114" s="3">
        <f t="shared" si="3"/>
        <v>8</v>
      </c>
      <c r="R114" s="3">
        <f ca="1">OFFSET(梦灵属性!G$37,$P114-2,0)</f>
        <v>120</v>
      </c>
      <c r="S114" s="3">
        <f ca="1">OFFSET(梦灵属性!H$37,$P114-2,0)</f>
        <v>1200</v>
      </c>
      <c r="T114" s="3">
        <f ca="1">OFFSET(梦灵属性!$E$37,$P114-2,0)*$Q114</f>
        <v>0.48</v>
      </c>
      <c r="U114" s="3">
        <f ca="1">OFFSET(梦灵属性!$E$37,$P114-2,0)*$Q114</f>
        <v>0.48</v>
      </c>
    </row>
    <row r="115" ht="16.5" spans="1:21">
      <c r="A115" s="54">
        <v>109</v>
      </c>
      <c r="B115" s="35">
        <f ca="1">OFFSET(梦灵本体产出!$G$6,MATCH(A115,梦灵本体产出!$I$7:$I$30,1),0)</f>
        <v>0</v>
      </c>
      <c r="C115" s="35" t="e">
        <f ca="1">MATCH(A115,OFFSET(梦灵属性!#REF!,50*(B115-3),0))</f>
        <v>#REF!</v>
      </c>
      <c r="D115" s="55"/>
      <c r="E115" s="55"/>
      <c r="F115" s="22" t="e">
        <f ca="1">_xlfn.XLOOKUP(B115,梦灵属性!$F$38:$F$41,梦灵属性!$E$38:$E$41)*C115</f>
        <v>#N/A</v>
      </c>
      <c r="G115" s="22" t="e">
        <f ca="1">_xlfn.XLOOKUP($B115,梦灵属性!$F$38:$F$41,梦灵属性!$E$38:$E$41)*$C115</f>
        <v>#N/A</v>
      </c>
      <c r="H115" s="22"/>
      <c r="I115" s="56">
        <f ca="1">OFFSET(梦灵图鉴!F$10,MATCH(A115,梦灵图鉴!$E$11:$E$61,1),0)*SUM(梦灵属性!$E$26:$J$26)+OFFSET(梦灵图鉴!H$10,MATCH(A115,梦灵图鉴!$G$11:$G$61,1),0)*SUM(梦灵属性!$E$27:$J$27)+OFFSET(梦灵图鉴!J$10,MATCH(A115,梦灵图鉴!$I$11:$I$61,1),0)*SUM(梦灵属性!$E$28:$J$28)+OFFSET(梦灵图鉴!L$10,MATCH(A115,梦灵图鉴!$K$11:$K$61,1),0)*SUM(梦灵属性!$E$29:$J$29)</f>
        <v>14.1</v>
      </c>
      <c r="J115" s="56"/>
      <c r="K115" s="56"/>
      <c r="L115" s="22"/>
      <c r="M115" s="22"/>
      <c r="N115" s="22"/>
      <c r="P115" s="3">
        <f t="shared" si="2"/>
        <v>5</v>
      </c>
      <c r="Q115" s="3">
        <f t="shared" si="3"/>
        <v>9</v>
      </c>
      <c r="R115" s="3">
        <f ca="1">OFFSET(梦灵属性!G$37,$P115-2,0)</f>
        <v>120</v>
      </c>
      <c r="S115" s="3">
        <f ca="1">OFFSET(梦灵属性!H$37,$P115-2,0)</f>
        <v>1200</v>
      </c>
      <c r="T115" s="3">
        <f ca="1">OFFSET(梦灵属性!$E$37,$P115-2,0)*$Q115</f>
        <v>0.54</v>
      </c>
      <c r="U115" s="3">
        <f ca="1">OFFSET(梦灵属性!$E$37,$P115-2,0)*$Q115</f>
        <v>0.54</v>
      </c>
    </row>
    <row r="116" ht="16.5" spans="1:21">
      <c r="A116" s="54">
        <v>110</v>
      </c>
      <c r="B116" s="35">
        <f ca="1">OFFSET(梦灵本体产出!$G$6,MATCH(A116,梦灵本体产出!$I$7:$I$30,1),0)</f>
        <v>0</v>
      </c>
      <c r="C116" s="35" t="e">
        <f ca="1">MATCH(A116,OFFSET(梦灵属性!#REF!,50*(B116-3),0))</f>
        <v>#REF!</v>
      </c>
      <c r="D116" s="55"/>
      <c r="E116" s="55"/>
      <c r="F116" s="22" t="e">
        <f ca="1">_xlfn.XLOOKUP(B116,梦灵属性!$F$38:$F$41,梦灵属性!$E$38:$E$41)*C116</f>
        <v>#N/A</v>
      </c>
      <c r="G116" s="22" t="e">
        <f ca="1">_xlfn.XLOOKUP($B116,梦灵属性!$F$38:$F$41,梦灵属性!$E$38:$E$41)*$C116</f>
        <v>#N/A</v>
      </c>
      <c r="H116" s="22"/>
      <c r="I116" s="56">
        <f ca="1">OFFSET(梦灵图鉴!F$10,MATCH(A116,梦灵图鉴!$E$11:$E$61,1),0)*SUM(梦灵属性!$E$26:$J$26)+OFFSET(梦灵图鉴!H$10,MATCH(A116,梦灵图鉴!$G$11:$G$61,1),0)*SUM(梦灵属性!$E$27:$J$27)+OFFSET(梦灵图鉴!J$10,MATCH(A116,梦灵图鉴!$I$11:$I$61,1),0)*SUM(梦灵属性!$E$28:$J$28)+OFFSET(梦灵图鉴!L$10,MATCH(A116,梦灵图鉴!$K$11:$K$61,1),0)*SUM(梦灵属性!$E$29:$J$29)</f>
        <v>14.1</v>
      </c>
      <c r="J116" s="56"/>
      <c r="K116" s="56"/>
      <c r="L116" s="22"/>
      <c r="M116" s="22"/>
      <c r="N116" s="22"/>
      <c r="P116" s="3">
        <f t="shared" si="2"/>
        <v>5</v>
      </c>
      <c r="Q116" s="3">
        <f t="shared" si="3"/>
        <v>10</v>
      </c>
      <c r="R116" s="3">
        <f ca="1">OFFSET(梦灵属性!G$37,$P116-2,0)</f>
        <v>120</v>
      </c>
      <c r="S116" s="3">
        <f ca="1">OFFSET(梦灵属性!H$37,$P116-2,0)</f>
        <v>1200</v>
      </c>
      <c r="T116" s="3">
        <f ca="1">OFFSET(梦灵属性!$E$37,$P116-2,0)*$Q116</f>
        <v>0.6</v>
      </c>
      <c r="U116" s="3">
        <f ca="1">OFFSET(梦灵属性!$E$37,$P116-2,0)*$Q116</f>
        <v>0.6</v>
      </c>
    </row>
    <row r="117" ht="16.5" spans="1:21">
      <c r="A117" s="54">
        <v>111</v>
      </c>
      <c r="B117" s="35">
        <f ca="1">OFFSET(梦灵本体产出!$G$6,MATCH(A117,梦灵本体产出!$I$7:$I$30,1),0)</f>
        <v>0</v>
      </c>
      <c r="C117" s="35" t="e">
        <f ca="1">MATCH(A117,OFFSET(梦灵属性!#REF!,50*(B117-3),0))</f>
        <v>#REF!</v>
      </c>
      <c r="D117" s="55"/>
      <c r="E117" s="55"/>
      <c r="F117" s="22" t="e">
        <f ca="1">_xlfn.XLOOKUP(B117,梦灵属性!$F$38:$F$41,梦灵属性!$E$38:$E$41)*C117</f>
        <v>#N/A</v>
      </c>
      <c r="G117" s="22" t="e">
        <f ca="1">_xlfn.XLOOKUP($B117,梦灵属性!$F$38:$F$41,梦灵属性!$E$38:$E$41)*$C117</f>
        <v>#N/A</v>
      </c>
      <c r="H117" s="22"/>
      <c r="I117" s="56">
        <f ca="1">OFFSET(梦灵图鉴!F$10,MATCH(A117,梦灵图鉴!$E$11:$E$61,1),0)*SUM(梦灵属性!$E$26:$J$26)+OFFSET(梦灵图鉴!H$10,MATCH(A117,梦灵图鉴!$G$11:$G$61,1),0)*SUM(梦灵属性!$E$27:$J$27)+OFFSET(梦灵图鉴!J$10,MATCH(A117,梦灵图鉴!$I$11:$I$61,1),0)*SUM(梦灵属性!$E$28:$J$28)+OFFSET(梦灵图鉴!L$10,MATCH(A117,梦灵图鉴!$K$11:$K$61,1),0)*SUM(梦灵属性!$E$29:$J$29)</f>
        <v>14.1</v>
      </c>
      <c r="J117" s="56"/>
      <c r="K117" s="56"/>
      <c r="L117" s="22"/>
      <c r="M117" s="22"/>
      <c r="N117" s="22"/>
      <c r="P117" s="3">
        <f t="shared" si="2"/>
        <v>5</v>
      </c>
      <c r="Q117" s="3">
        <f t="shared" si="3"/>
        <v>11</v>
      </c>
      <c r="R117" s="3">
        <f ca="1">OFFSET(梦灵属性!G$37,$P117-2,0)</f>
        <v>120</v>
      </c>
      <c r="S117" s="3">
        <f ca="1">OFFSET(梦灵属性!H$37,$P117-2,0)</f>
        <v>1200</v>
      </c>
      <c r="T117" s="3">
        <f ca="1">OFFSET(梦灵属性!$E$37,$P117-2,0)*$Q117</f>
        <v>0.66</v>
      </c>
      <c r="U117" s="3">
        <f ca="1">OFFSET(梦灵属性!$E$37,$P117-2,0)*$Q117</f>
        <v>0.66</v>
      </c>
    </row>
    <row r="118" ht="16.5" spans="1:21">
      <c r="A118" s="54">
        <v>112</v>
      </c>
      <c r="B118" s="35">
        <f ca="1">OFFSET(梦灵本体产出!$G$6,MATCH(A118,梦灵本体产出!$I$7:$I$30,1),0)</f>
        <v>0</v>
      </c>
      <c r="C118" s="35" t="e">
        <f ca="1">MATCH(A118,OFFSET(梦灵属性!#REF!,50*(B118-3),0))</f>
        <v>#REF!</v>
      </c>
      <c r="D118" s="55"/>
      <c r="E118" s="55"/>
      <c r="F118" s="22" t="e">
        <f ca="1">_xlfn.XLOOKUP(B118,梦灵属性!$F$38:$F$41,梦灵属性!$E$38:$E$41)*C118</f>
        <v>#N/A</v>
      </c>
      <c r="G118" s="22" t="e">
        <f ca="1">_xlfn.XLOOKUP($B118,梦灵属性!$F$38:$F$41,梦灵属性!$E$38:$E$41)*$C118</f>
        <v>#N/A</v>
      </c>
      <c r="H118" s="22"/>
      <c r="I118" s="56">
        <f ca="1">OFFSET(梦灵图鉴!F$10,MATCH(A118,梦灵图鉴!$E$11:$E$61,1),0)*SUM(梦灵属性!$E$26:$J$26)+OFFSET(梦灵图鉴!H$10,MATCH(A118,梦灵图鉴!$G$11:$G$61,1),0)*SUM(梦灵属性!$E$27:$J$27)+OFFSET(梦灵图鉴!J$10,MATCH(A118,梦灵图鉴!$I$11:$I$61,1),0)*SUM(梦灵属性!$E$28:$J$28)+OFFSET(梦灵图鉴!L$10,MATCH(A118,梦灵图鉴!$K$11:$K$61,1),0)*SUM(梦灵属性!$E$29:$J$29)</f>
        <v>14.1</v>
      </c>
      <c r="J118" s="56"/>
      <c r="K118" s="56"/>
      <c r="L118" s="22"/>
      <c r="M118" s="22"/>
      <c r="N118" s="22"/>
      <c r="P118" s="3">
        <f t="shared" si="2"/>
        <v>5</v>
      </c>
      <c r="Q118" s="3">
        <f t="shared" si="3"/>
        <v>12</v>
      </c>
      <c r="R118" s="3">
        <f ca="1">OFFSET(梦灵属性!G$37,$P118-2,0)</f>
        <v>120</v>
      </c>
      <c r="S118" s="3">
        <f ca="1">OFFSET(梦灵属性!H$37,$P118-2,0)</f>
        <v>1200</v>
      </c>
      <c r="T118" s="3">
        <f ca="1">OFFSET(梦灵属性!$E$37,$P118-2,0)*$Q118</f>
        <v>0.72</v>
      </c>
      <c r="U118" s="3">
        <f ca="1">OFFSET(梦灵属性!$E$37,$P118-2,0)*$Q118</f>
        <v>0.72</v>
      </c>
    </row>
    <row r="119" ht="16.5" spans="1:21">
      <c r="A119" s="54">
        <v>113</v>
      </c>
      <c r="B119" s="35">
        <f ca="1">OFFSET(梦灵本体产出!$G$6,MATCH(A119,梦灵本体产出!$I$7:$I$30,1),0)</f>
        <v>0</v>
      </c>
      <c r="C119" s="35" t="e">
        <f ca="1">MATCH(A119,OFFSET(梦灵属性!#REF!,50*(B119-3),0))</f>
        <v>#REF!</v>
      </c>
      <c r="D119" s="55"/>
      <c r="E119" s="55"/>
      <c r="F119" s="22" t="e">
        <f ca="1">_xlfn.XLOOKUP(B119,梦灵属性!$F$38:$F$41,梦灵属性!$E$38:$E$41)*C119</f>
        <v>#N/A</v>
      </c>
      <c r="G119" s="22" t="e">
        <f ca="1">_xlfn.XLOOKUP($B119,梦灵属性!$F$38:$F$41,梦灵属性!$E$38:$E$41)*$C119</f>
        <v>#N/A</v>
      </c>
      <c r="H119" s="22"/>
      <c r="I119" s="56">
        <f ca="1">OFFSET(梦灵图鉴!F$10,MATCH(A119,梦灵图鉴!$E$11:$E$61,1),0)*SUM(梦灵属性!$E$26:$J$26)+OFFSET(梦灵图鉴!H$10,MATCH(A119,梦灵图鉴!$G$11:$G$61,1),0)*SUM(梦灵属性!$E$27:$J$27)+OFFSET(梦灵图鉴!J$10,MATCH(A119,梦灵图鉴!$I$11:$I$61,1),0)*SUM(梦灵属性!$E$28:$J$28)+OFFSET(梦灵图鉴!L$10,MATCH(A119,梦灵图鉴!$K$11:$K$61,1),0)*SUM(梦灵属性!$E$29:$J$29)</f>
        <v>14.1</v>
      </c>
      <c r="J119" s="56"/>
      <c r="K119" s="56"/>
      <c r="L119" s="22"/>
      <c r="M119" s="22"/>
      <c r="N119" s="22"/>
      <c r="P119" s="3">
        <f t="shared" ref="P119:P150" si="4">P69+1</f>
        <v>5</v>
      </c>
      <c r="Q119" s="3">
        <f t="shared" ref="Q119:Q150" si="5">Q69</f>
        <v>13</v>
      </c>
      <c r="R119" s="3">
        <f ca="1">OFFSET(梦灵属性!G$37,$P119-2,0)</f>
        <v>120</v>
      </c>
      <c r="S119" s="3">
        <f ca="1">OFFSET(梦灵属性!H$37,$P119-2,0)</f>
        <v>1200</v>
      </c>
      <c r="T119" s="3">
        <f ca="1">OFFSET(梦灵属性!$E$37,$P119-2,0)*$Q119</f>
        <v>0.78</v>
      </c>
      <c r="U119" s="3">
        <f ca="1">OFFSET(梦灵属性!$E$37,$P119-2,0)*$Q119</f>
        <v>0.78</v>
      </c>
    </row>
    <row r="120" ht="16.5" spans="1:21">
      <c r="A120" s="54">
        <v>114</v>
      </c>
      <c r="B120" s="35">
        <f ca="1">OFFSET(梦灵本体产出!$G$6,MATCH(A120,梦灵本体产出!$I$7:$I$30,1),0)</f>
        <v>0</v>
      </c>
      <c r="C120" s="35" t="e">
        <f ca="1">MATCH(A120,OFFSET(梦灵属性!#REF!,50*(B120-3),0))</f>
        <v>#REF!</v>
      </c>
      <c r="D120" s="55"/>
      <c r="E120" s="55"/>
      <c r="F120" s="22" t="e">
        <f ca="1">_xlfn.XLOOKUP(B120,梦灵属性!$F$38:$F$41,梦灵属性!$E$38:$E$41)*C120</f>
        <v>#N/A</v>
      </c>
      <c r="G120" s="22" t="e">
        <f ca="1">_xlfn.XLOOKUP($B120,梦灵属性!$F$38:$F$41,梦灵属性!$E$38:$E$41)*$C120</f>
        <v>#N/A</v>
      </c>
      <c r="H120" s="22"/>
      <c r="I120" s="56">
        <f ca="1">OFFSET(梦灵图鉴!F$10,MATCH(A120,梦灵图鉴!$E$11:$E$61,1),0)*SUM(梦灵属性!$E$26:$J$26)+OFFSET(梦灵图鉴!H$10,MATCH(A120,梦灵图鉴!$G$11:$G$61,1),0)*SUM(梦灵属性!$E$27:$J$27)+OFFSET(梦灵图鉴!J$10,MATCH(A120,梦灵图鉴!$I$11:$I$61,1),0)*SUM(梦灵属性!$E$28:$J$28)+OFFSET(梦灵图鉴!L$10,MATCH(A120,梦灵图鉴!$K$11:$K$61,1),0)*SUM(梦灵属性!$E$29:$J$29)</f>
        <v>14.1</v>
      </c>
      <c r="J120" s="56"/>
      <c r="K120" s="56"/>
      <c r="L120" s="22"/>
      <c r="M120" s="22"/>
      <c r="N120" s="22"/>
      <c r="P120" s="3">
        <f t="shared" si="4"/>
        <v>5</v>
      </c>
      <c r="Q120" s="3">
        <f t="shared" si="5"/>
        <v>14</v>
      </c>
      <c r="R120" s="3">
        <f ca="1">OFFSET(梦灵属性!G$37,$P120-2,0)</f>
        <v>120</v>
      </c>
      <c r="S120" s="3">
        <f ca="1">OFFSET(梦灵属性!H$37,$P120-2,0)</f>
        <v>1200</v>
      </c>
      <c r="T120" s="3">
        <f ca="1">OFFSET(梦灵属性!$E$37,$P120-2,0)*$Q120</f>
        <v>0.84</v>
      </c>
      <c r="U120" s="3">
        <f ca="1">OFFSET(梦灵属性!$E$37,$P120-2,0)*$Q120</f>
        <v>0.84</v>
      </c>
    </row>
    <row r="121" ht="16.5" spans="1:21">
      <c r="A121" s="54">
        <v>115</v>
      </c>
      <c r="B121" s="35">
        <f ca="1">OFFSET(梦灵本体产出!$G$6,MATCH(A121,梦灵本体产出!$I$7:$I$30,1),0)</f>
        <v>0</v>
      </c>
      <c r="C121" s="35" t="e">
        <f ca="1">MATCH(A121,OFFSET(梦灵属性!#REF!,50*(B121-3),0))</f>
        <v>#REF!</v>
      </c>
      <c r="D121" s="55"/>
      <c r="E121" s="55"/>
      <c r="F121" s="22" t="e">
        <f ca="1">_xlfn.XLOOKUP(B121,梦灵属性!$F$38:$F$41,梦灵属性!$E$38:$E$41)*C121</f>
        <v>#N/A</v>
      </c>
      <c r="G121" s="22" t="e">
        <f ca="1">_xlfn.XLOOKUP($B121,梦灵属性!$F$38:$F$41,梦灵属性!$E$38:$E$41)*$C121</f>
        <v>#N/A</v>
      </c>
      <c r="H121" s="22"/>
      <c r="I121" s="56">
        <f ca="1">OFFSET(梦灵图鉴!F$10,MATCH(A121,梦灵图鉴!$E$11:$E$61,1),0)*SUM(梦灵属性!$E$26:$J$26)+OFFSET(梦灵图鉴!H$10,MATCH(A121,梦灵图鉴!$G$11:$G$61,1),0)*SUM(梦灵属性!$E$27:$J$27)+OFFSET(梦灵图鉴!J$10,MATCH(A121,梦灵图鉴!$I$11:$I$61,1),0)*SUM(梦灵属性!$E$28:$J$28)+OFFSET(梦灵图鉴!L$10,MATCH(A121,梦灵图鉴!$K$11:$K$61,1),0)*SUM(梦灵属性!$E$29:$J$29)</f>
        <v>14.1</v>
      </c>
      <c r="J121" s="56"/>
      <c r="K121" s="56"/>
      <c r="L121" s="22"/>
      <c r="M121" s="22"/>
      <c r="N121" s="22"/>
      <c r="P121" s="3">
        <f t="shared" si="4"/>
        <v>5</v>
      </c>
      <c r="Q121" s="3">
        <f t="shared" si="5"/>
        <v>15</v>
      </c>
      <c r="R121" s="3">
        <f ca="1">OFFSET(梦灵属性!G$37,$P121-2,0)</f>
        <v>120</v>
      </c>
      <c r="S121" s="3">
        <f ca="1">OFFSET(梦灵属性!H$37,$P121-2,0)</f>
        <v>1200</v>
      </c>
      <c r="T121" s="3">
        <f ca="1">OFFSET(梦灵属性!$E$37,$P121-2,0)*$Q121</f>
        <v>0.9</v>
      </c>
      <c r="U121" s="3">
        <f ca="1">OFFSET(梦灵属性!$E$37,$P121-2,0)*$Q121</f>
        <v>0.9</v>
      </c>
    </row>
    <row r="122" ht="16.5" spans="1:21">
      <c r="A122" s="54">
        <v>116</v>
      </c>
      <c r="B122" s="35">
        <f ca="1">OFFSET(梦灵本体产出!$G$6,MATCH(A122,梦灵本体产出!$I$7:$I$30,1),0)</f>
        <v>0</v>
      </c>
      <c r="C122" s="35" t="e">
        <f ca="1">MATCH(A122,OFFSET(梦灵属性!#REF!,50*(B122-3),0))</f>
        <v>#REF!</v>
      </c>
      <c r="D122" s="55"/>
      <c r="E122" s="55"/>
      <c r="F122" s="22" t="e">
        <f ca="1">_xlfn.XLOOKUP(B122,梦灵属性!$F$38:$F$41,梦灵属性!$E$38:$E$41)*C122</f>
        <v>#N/A</v>
      </c>
      <c r="G122" s="22" t="e">
        <f ca="1">_xlfn.XLOOKUP($B122,梦灵属性!$F$38:$F$41,梦灵属性!$E$38:$E$41)*$C122</f>
        <v>#N/A</v>
      </c>
      <c r="H122" s="22"/>
      <c r="I122" s="56">
        <f ca="1">OFFSET(梦灵图鉴!F$10,MATCH(A122,梦灵图鉴!$E$11:$E$61,1),0)*SUM(梦灵属性!$E$26:$J$26)+OFFSET(梦灵图鉴!H$10,MATCH(A122,梦灵图鉴!$G$11:$G$61,1),0)*SUM(梦灵属性!$E$27:$J$27)+OFFSET(梦灵图鉴!J$10,MATCH(A122,梦灵图鉴!$I$11:$I$61,1),0)*SUM(梦灵属性!$E$28:$J$28)+OFFSET(梦灵图鉴!L$10,MATCH(A122,梦灵图鉴!$K$11:$K$61,1),0)*SUM(梦灵属性!$E$29:$J$29)</f>
        <v>14.1</v>
      </c>
      <c r="J122" s="56"/>
      <c r="K122" s="56"/>
      <c r="L122" s="22"/>
      <c r="M122" s="22"/>
      <c r="N122" s="22"/>
      <c r="P122" s="3">
        <f t="shared" si="4"/>
        <v>5</v>
      </c>
      <c r="Q122" s="3">
        <f t="shared" si="5"/>
        <v>16</v>
      </c>
      <c r="R122" s="3">
        <f ca="1">OFFSET(梦灵属性!G$37,$P122-2,0)</f>
        <v>120</v>
      </c>
      <c r="S122" s="3">
        <f ca="1">OFFSET(梦灵属性!H$37,$P122-2,0)</f>
        <v>1200</v>
      </c>
      <c r="T122" s="3">
        <f ca="1">OFFSET(梦灵属性!$E$37,$P122-2,0)*$Q122</f>
        <v>0.96</v>
      </c>
      <c r="U122" s="3">
        <f ca="1">OFFSET(梦灵属性!$E$37,$P122-2,0)*$Q122</f>
        <v>0.96</v>
      </c>
    </row>
    <row r="123" ht="16.5" spans="1:21">
      <c r="A123" s="54">
        <v>117</v>
      </c>
      <c r="B123" s="35">
        <f ca="1">OFFSET(梦灵本体产出!$G$6,MATCH(A123,梦灵本体产出!$I$7:$I$30,1),0)</f>
        <v>0</v>
      </c>
      <c r="C123" s="35" t="e">
        <f ca="1">MATCH(A123,OFFSET(梦灵属性!#REF!,50*(B123-3),0))</f>
        <v>#REF!</v>
      </c>
      <c r="D123" s="55"/>
      <c r="E123" s="55"/>
      <c r="F123" s="22" t="e">
        <f ca="1">_xlfn.XLOOKUP(B123,梦灵属性!$F$38:$F$41,梦灵属性!$E$38:$E$41)*C123</f>
        <v>#N/A</v>
      </c>
      <c r="G123" s="22" t="e">
        <f ca="1">_xlfn.XLOOKUP($B123,梦灵属性!$F$38:$F$41,梦灵属性!$E$38:$E$41)*$C123</f>
        <v>#N/A</v>
      </c>
      <c r="H123" s="22"/>
      <c r="I123" s="56">
        <f ca="1">OFFSET(梦灵图鉴!F$10,MATCH(A123,梦灵图鉴!$E$11:$E$61,1),0)*SUM(梦灵属性!$E$26:$J$26)+OFFSET(梦灵图鉴!H$10,MATCH(A123,梦灵图鉴!$G$11:$G$61,1),0)*SUM(梦灵属性!$E$27:$J$27)+OFFSET(梦灵图鉴!J$10,MATCH(A123,梦灵图鉴!$I$11:$I$61,1),0)*SUM(梦灵属性!$E$28:$J$28)+OFFSET(梦灵图鉴!L$10,MATCH(A123,梦灵图鉴!$K$11:$K$61,1),0)*SUM(梦灵属性!$E$29:$J$29)</f>
        <v>14.1</v>
      </c>
      <c r="J123" s="56"/>
      <c r="K123" s="56"/>
      <c r="L123" s="22"/>
      <c r="M123" s="22"/>
      <c r="N123" s="22"/>
      <c r="P123" s="3">
        <f t="shared" si="4"/>
        <v>5</v>
      </c>
      <c r="Q123" s="3">
        <f t="shared" si="5"/>
        <v>17</v>
      </c>
      <c r="R123" s="3">
        <f ca="1">OFFSET(梦灵属性!G$37,$P123-2,0)</f>
        <v>120</v>
      </c>
      <c r="S123" s="3">
        <f ca="1">OFFSET(梦灵属性!H$37,$P123-2,0)</f>
        <v>1200</v>
      </c>
      <c r="T123" s="3">
        <f ca="1">OFFSET(梦灵属性!$E$37,$P123-2,0)*$Q123</f>
        <v>1.02</v>
      </c>
      <c r="U123" s="3">
        <f ca="1">OFFSET(梦灵属性!$E$37,$P123-2,0)*$Q123</f>
        <v>1.02</v>
      </c>
    </row>
    <row r="124" ht="16.5" spans="1:21">
      <c r="A124" s="54">
        <v>118</v>
      </c>
      <c r="B124" s="35">
        <f ca="1">OFFSET(梦灵本体产出!$G$6,MATCH(A124,梦灵本体产出!$I$7:$I$30,1),0)</f>
        <v>0</v>
      </c>
      <c r="C124" s="35" t="e">
        <f ca="1">MATCH(A124,OFFSET(梦灵属性!#REF!,50*(B124-3),0))</f>
        <v>#REF!</v>
      </c>
      <c r="D124" s="55"/>
      <c r="E124" s="55"/>
      <c r="F124" s="22" t="e">
        <f ca="1">_xlfn.XLOOKUP(B124,梦灵属性!$F$38:$F$41,梦灵属性!$E$38:$E$41)*C124</f>
        <v>#N/A</v>
      </c>
      <c r="G124" s="22" t="e">
        <f ca="1">_xlfn.XLOOKUP($B124,梦灵属性!$F$38:$F$41,梦灵属性!$E$38:$E$41)*$C124</f>
        <v>#N/A</v>
      </c>
      <c r="H124" s="22"/>
      <c r="I124" s="56">
        <f ca="1">OFFSET(梦灵图鉴!F$10,MATCH(A124,梦灵图鉴!$E$11:$E$61,1),0)*SUM(梦灵属性!$E$26:$J$26)+OFFSET(梦灵图鉴!H$10,MATCH(A124,梦灵图鉴!$G$11:$G$61,1),0)*SUM(梦灵属性!$E$27:$J$27)+OFFSET(梦灵图鉴!J$10,MATCH(A124,梦灵图鉴!$I$11:$I$61,1),0)*SUM(梦灵属性!$E$28:$J$28)+OFFSET(梦灵图鉴!L$10,MATCH(A124,梦灵图鉴!$K$11:$K$61,1),0)*SUM(梦灵属性!$E$29:$J$29)</f>
        <v>14.1</v>
      </c>
      <c r="J124" s="56"/>
      <c r="K124" s="56"/>
      <c r="L124" s="22"/>
      <c r="M124" s="22"/>
      <c r="N124" s="22"/>
      <c r="P124" s="3">
        <f t="shared" si="4"/>
        <v>5</v>
      </c>
      <c r="Q124" s="3">
        <f t="shared" si="5"/>
        <v>18</v>
      </c>
      <c r="R124" s="3">
        <f ca="1">OFFSET(梦灵属性!G$37,$P124-2,0)</f>
        <v>120</v>
      </c>
      <c r="S124" s="3">
        <f ca="1">OFFSET(梦灵属性!H$37,$P124-2,0)</f>
        <v>1200</v>
      </c>
      <c r="T124" s="3">
        <f ca="1">OFFSET(梦灵属性!$E$37,$P124-2,0)*$Q124</f>
        <v>1.08</v>
      </c>
      <c r="U124" s="3">
        <f ca="1">OFFSET(梦灵属性!$E$37,$P124-2,0)*$Q124</f>
        <v>1.08</v>
      </c>
    </row>
    <row r="125" ht="16.5" spans="1:21">
      <c r="A125" s="54">
        <v>119</v>
      </c>
      <c r="B125" s="35">
        <f ca="1">OFFSET(梦灵本体产出!$G$6,MATCH(A125,梦灵本体产出!$I$7:$I$30,1),0)</f>
        <v>0</v>
      </c>
      <c r="C125" s="35" t="e">
        <f ca="1">MATCH(A125,OFFSET(梦灵属性!#REF!,50*(B125-3),0))</f>
        <v>#REF!</v>
      </c>
      <c r="D125" s="55"/>
      <c r="E125" s="55"/>
      <c r="F125" s="22" t="e">
        <f ca="1">_xlfn.XLOOKUP(B125,梦灵属性!$F$38:$F$41,梦灵属性!$E$38:$E$41)*C125</f>
        <v>#N/A</v>
      </c>
      <c r="G125" s="22" t="e">
        <f ca="1">_xlfn.XLOOKUP($B125,梦灵属性!$F$38:$F$41,梦灵属性!$E$38:$E$41)*$C125</f>
        <v>#N/A</v>
      </c>
      <c r="H125" s="22"/>
      <c r="I125" s="56">
        <f ca="1">OFFSET(梦灵图鉴!F$10,MATCH(A125,梦灵图鉴!$E$11:$E$61,1),0)*SUM(梦灵属性!$E$26:$J$26)+OFFSET(梦灵图鉴!H$10,MATCH(A125,梦灵图鉴!$G$11:$G$61,1),0)*SUM(梦灵属性!$E$27:$J$27)+OFFSET(梦灵图鉴!J$10,MATCH(A125,梦灵图鉴!$I$11:$I$61,1),0)*SUM(梦灵属性!$E$28:$J$28)+OFFSET(梦灵图鉴!L$10,MATCH(A125,梦灵图鉴!$K$11:$K$61,1),0)*SUM(梦灵属性!$E$29:$J$29)</f>
        <v>14.1</v>
      </c>
      <c r="J125" s="56"/>
      <c r="K125" s="56"/>
      <c r="L125" s="22"/>
      <c r="M125" s="22"/>
      <c r="N125" s="22"/>
      <c r="P125" s="3">
        <f t="shared" si="4"/>
        <v>5</v>
      </c>
      <c r="Q125" s="3">
        <f t="shared" si="5"/>
        <v>19</v>
      </c>
      <c r="R125" s="3">
        <f ca="1">OFFSET(梦灵属性!G$37,$P125-2,0)</f>
        <v>120</v>
      </c>
      <c r="S125" s="3">
        <f ca="1">OFFSET(梦灵属性!H$37,$P125-2,0)</f>
        <v>1200</v>
      </c>
      <c r="T125" s="3">
        <f ca="1">OFFSET(梦灵属性!$E$37,$P125-2,0)*$Q125</f>
        <v>1.14</v>
      </c>
      <c r="U125" s="3">
        <f ca="1">OFFSET(梦灵属性!$E$37,$P125-2,0)*$Q125</f>
        <v>1.14</v>
      </c>
    </row>
    <row r="126" ht="16.5" spans="1:21">
      <c r="A126" s="54">
        <v>120</v>
      </c>
      <c r="B126" s="35">
        <f ca="1">OFFSET(梦灵本体产出!$G$6,MATCH(A126,梦灵本体产出!$I$7:$I$30,1),0)</f>
        <v>0</v>
      </c>
      <c r="C126" s="35" t="e">
        <f ca="1">MATCH(A126,OFFSET(梦灵属性!#REF!,50*(B126-3),0))</f>
        <v>#REF!</v>
      </c>
      <c r="D126" s="55"/>
      <c r="E126" s="55"/>
      <c r="F126" s="22" t="e">
        <f ca="1">_xlfn.XLOOKUP(B126,梦灵属性!$F$38:$F$41,梦灵属性!$E$38:$E$41)*C126</f>
        <v>#N/A</v>
      </c>
      <c r="G126" s="22" t="e">
        <f ca="1">_xlfn.XLOOKUP($B126,梦灵属性!$F$38:$F$41,梦灵属性!$E$38:$E$41)*$C126</f>
        <v>#N/A</v>
      </c>
      <c r="H126" s="22"/>
      <c r="I126" s="56">
        <f ca="1">OFFSET(梦灵图鉴!F$10,MATCH(A126,梦灵图鉴!$E$11:$E$61,1),0)*SUM(梦灵属性!$E$26:$J$26)+OFFSET(梦灵图鉴!H$10,MATCH(A126,梦灵图鉴!$G$11:$G$61,1),0)*SUM(梦灵属性!$E$27:$J$27)+OFFSET(梦灵图鉴!J$10,MATCH(A126,梦灵图鉴!$I$11:$I$61,1),0)*SUM(梦灵属性!$E$28:$J$28)+OFFSET(梦灵图鉴!L$10,MATCH(A126,梦灵图鉴!$K$11:$K$61,1),0)*SUM(梦灵属性!$E$29:$J$29)</f>
        <v>14.1</v>
      </c>
      <c r="J126" s="56"/>
      <c r="K126" s="56"/>
      <c r="L126" s="22"/>
      <c r="M126" s="22"/>
      <c r="N126" s="22"/>
      <c r="P126" s="3">
        <f t="shared" si="4"/>
        <v>5</v>
      </c>
      <c r="Q126" s="3">
        <f t="shared" si="5"/>
        <v>20</v>
      </c>
      <c r="R126" s="3">
        <f ca="1">OFFSET(梦灵属性!G$37,$P126-2,0)</f>
        <v>120</v>
      </c>
      <c r="S126" s="3">
        <f ca="1">OFFSET(梦灵属性!H$37,$P126-2,0)</f>
        <v>1200</v>
      </c>
      <c r="T126" s="3">
        <f ca="1">OFFSET(梦灵属性!$E$37,$P126-2,0)*$Q126</f>
        <v>1.2</v>
      </c>
      <c r="U126" s="3">
        <f ca="1">OFFSET(梦灵属性!$E$37,$P126-2,0)*$Q126</f>
        <v>1.2</v>
      </c>
    </row>
    <row r="127" ht="16.5" spans="1:21">
      <c r="A127" s="54">
        <v>121</v>
      </c>
      <c r="B127" s="35">
        <f ca="1">OFFSET(梦灵本体产出!$G$6,MATCH(A127,梦灵本体产出!$I$7:$I$30,1),0)</f>
        <v>0</v>
      </c>
      <c r="C127" s="35" t="e">
        <f ca="1">MATCH(A127,OFFSET(梦灵属性!#REF!,50*(B127-3),0))</f>
        <v>#REF!</v>
      </c>
      <c r="D127" s="55"/>
      <c r="E127" s="55"/>
      <c r="F127" s="22" t="e">
        <f ca="1">_xlfn.XLOOKUP(B127,梦灵属性!$F$38:$F$41,梦灵属性!$E$38:$E$41)*C127</f>
        <v>#N/A</v>
      </c>
      <c r="G127" s="22" t="e">
        <f ca="1">_xlfn.XLOOKUP($B127,梦灵属性!$F$38:$F$41,梦灵属性!$E$38:$E$41)*$C127</f>
        <v>#N/A</v>
      </c>
      <c r="H127" s="22"/>
      <c r="I127" s="56">
        <f ca="1">OFFSET(梦灵图鉴!F$10,MATCH(A127,梦灵图鉴!$E$11:$E$61,1),0)*SUM(梦灵属性!$E$26:$J$26)+OFFSET(梦灵图鉴!H$10,MATCH(A127,梦灵图鉴!$G$11:$G$61,1),0)*SUM(梦灵属性!$E$27:$J$27)+OFFSET(梦灵图鉴!J$10,MATCH(A127,梦灵图鉴!$I$11:$I$61,1),0)*SUM(梦灵属性!$E$28:$J$28)+OFFSET(梦灵图鉴!L$10,MATCH(A127,梦灵图鉴!$K$11:$K$61,1),0)*SUM(梦灵属性!$E$29:$J$29)</f>
        <v>14.1</v>
      </c>
      <c r="J127" s="56"/>
      <c r="K127" s="56"/>
      <c r="L127" s="22"/>
      <c r="M127" s="22"/>
      <c r="N127" s="22"/>
      <c r="P127" s="3">
        <f t="shared" si="4"/>
        <v>5</v>
      </c>
      <c r="Q127" s="3">
        <f t="shared" si="5"/>
        <v>21</v>
      </c>
      <c r="R127" s="3">
        <f ca="1">OFFSET(梦灵属性!G$37,$P127-2,0)</f>
        <v>120</v>
      </c>
      <c r="S127" s="3">
        <f ca="1">OFFSET(梦灵属性!H$37,$P127-2,0)</f>
        <v>1200</v>
      </c>
      <c r="T127" s="3">
        <f ca="1">OFFSET(梦灵属性!$E$37,$P127-2,0)*$Q127</f>
        <v>1.26</v>
      </c>
      <c r="U127" s="3">
        <f ca="1">OFFSET(梦灵属性!$E$37,$P127-2,0)*$Q127</f>
        <v>1.26</v>
      </c>
    </row>
    <row r="128" ht="16.5" spans="1:21">
      <c r="A128" s="54">
        <v>122</v>
      </c>
      <c r="B128" s="35">
        <f ca="1">OFFSET(梦灵本体产出!$G$6,MATCH(A128,梦灵本体产出!$I$7:$I$30,1),0)</f>
        <v>0</v>
      </c>
      <c r="C128" s="35" t="e">
        <f ca="1">MATCH(A128,OFFSET(梦灵属性!#REF!,50*(B128-3),0))</f>
        <v>#REF!</v>
      </c>
      <c r="D128" s="55"/>
      <c r="E128" s="55"/>
      <c r="F128" s="22" t="e">
        <f ca="1">_xlfn.XLOOKUP(B128,梦灵属性!$F$38:$F$41,梦灵属性!$E$38:$E$41)*C128</f>
        <v>#N/A</v>
      </c>
      <c r="G128" s="22" t="e">
        <f ca="1">_xlfn.XLOOKUP($B128,梦灵属性!$F$38:$F$41,梦灵属性!$E$38:$E$41)*$C128</f>
        <v>#N/A</v>
      </c>
      <c r="H128" s="22"/>
      <c r="I128" s="56">
        <f ca="1">OFFSET(梦灵图鉴!F$10,MATCH(A128,梦灵图鉴!$E$11:$E$61,1),0)*SUM(梦灵属性!$E$26:$J$26)+OFFSET(梦灵图鉴!H$10,MATCH(A128,梦灵图鉴!$G$11:$G$61,1),0)*SUM(梦灵属性!$E$27:$J$27)+OFFSET(梦灵图鉴!J$10,MATCH(A128,梦灵图鉴!$I$11:$I$61,1),0)*SUM(梦灵属性!$E$28:$J$28)+OFFSET(梦灵图鉴!L$10,MATCH(A128,梦灵图鉴!$K$11:$K$61,1),0)*SUM(梦灵属性!$E$29:$J$29)</f>
        <v>14.1</v>
      </c>
      <c r="J128" s="56"/>
      <c r="K128" s="56"/>
      <c r="L128" s="22"/>
      <c r="M128" s="22"/>
      <c r="N128" s="22"/>
      <c r="P128" s="3">
        <f t="shared" si="4"/>
        <v>5</v>
      </c>
      <c r="Q128" s="3">
        <f t="shared" si="5"/>
        <v>22</v>
      </c>
      <c r="R128" s="3">
        <f ca="1">OFFSET(梦灵属性!G$37,$P128-2,0)</f>
        <v>120</v>
      </c>
      <c r="S128" s="3">
        <f ca="1">OFFSET(梦灵属性!H$37,$P128-2,0)</f>
        <v>1200</v>
      </c>
      <c r="T128" s="3">
        <f ca="1">OFFSET(梦灵属性!$E$37,$P128-2,0)*$Q128</f>
        <v>1.32</v>
      </c>
      <c r="U128" s="3">
        <f ca="1">OFFSET(梦灵属性!$E$37,$P128-2,0)*$Q128</f>
        <v>1.32</v>
      </c>
    </row>
    <row r="129" ht="16.5" spans="1:21">
      <c r="A129" s="54">
        <v>123</v>
      </c>
      <c r="B129" s="35">
        <f ca="1">OFFSET(梦灵本体产出!$G$6,MATCH(A129,梦灵本体产出!$I$7:$I$30,1),0)</f>
        <v>0</v>
      </c>
      <c r="C129" s="35" t="e">
        <f ca="1">MATCH(A129,OFFSET(梦灵属性!#REF!,50*(B129-3),0))</f>
        <v>#REF!</v>
      </c>
      <c r="D129" s="55"/>
      <c r="E129" s="55"/>
      <c r="F129" s="22" t="e">
        <f ca="1">_xlfn.XLOOKUP(B129,梦灵属性!$F$38:$F$41,梦灵属性!$E$38:$E$41)*C129</f>
        <v>#N/A</v>
      </c>
      <c r="G129" s="22" t="e">
        <f ca="1">_xlfn.XLOOKUP($B129,梦灵属性!$F$38:$F$41,梦灵属性!$E$38:$E$41)*$C129</f>
        <v>#N/A</v>
      </c>
      <c r="H129" s="22"/>
      <c r="I129" s="56">
        <f ca="1">OFFSET(梦灵图鉴!F$10,MATCH(A129,梦灵图鉴!$E$11:$E$61,1),0)*SUM(梦灵属性!$E$26:$J$26)+OFFSET(梦灵图鉴!H$10,MATCH(A129,梦灵图鉴!$G$11:$G$61,1),0)*SUM(梦灵属性!$E$27:$J$27)+OFFSET(梦灵图鉴!J$10,MATCH(A129,梦灵图鉴!$I$11:$I$61,1),0)*SUM(梦灵属性!$E$28:$J$28)+OFFSET(梦灵图鉴!L$10,MATCH(A129,梦灵图鉴!$K$11:$K$61,1),0)*SUM(梦灵属性!$E$29:$J$29)</f>
        <v>14.1</v>
      </c>
      <c r="J129" s="56"/>
      <c r="K129" s="56"/>
      <c r="L129" s="22"/>
      <c r="M129" s="22"/>
      <c r="N129" s="22"/>
      <c r="P129" s="3">
        <f t="shared" si="4"/>
        <v>5</v>
      </c>
      <c r="Q129" s="3">
        <f t="shared" si="5"/>
        <v>23</v>
      </c>
      <c r="R129" s="3">
        <f ca="1">OFFSET(梦灵属性!G$37,$P129-2,0)</f>
        <v>120</v>
      </c>
      <c r="S129" s="3">
        <f ca="1">OFFSET(梦灵属性!H$37,$P129-2,0)</f>
        <v>1200</v>
      </c>
      <c r="T129" s="3">
        <f ca="1">OFFSET(梦灵属性!$E$37,$P129-2,0)*$Q129</f>
        <v>1.38</v>
      </c>
      <c r="U129" s="3">
        <f ca="1">OFFSET(梦灵属性!$E$37,$P129-2,0)*$Q129</f>
        <v>1.38</v>
      </c>
    </row>
    <row r="130" ht="16.5" spans="1:21">
      <c r="A130" s="54">
        <v>124</v>
      </c>
      <c r="B130" s="35">
        <f ca="1">OFFSET(梦灵本体产出!$G$6,MATCH(A130,梦灵本体产出!$I$7:$I$30,1),0)</f>
        <v>0</v>
      </c>
      <c r="C130" s="35" t="e">
        <f ca="1">MATCH(A130,OFFSET(梦灵属性!#REF!,50*(B130-3),0))</f>
        <v>#REF!</v>
      </c>
      <c r="D130" s="55"/>
      <c r="E130" s="55"/>
      <c r="F130" s="22" t="e">
        <f ca="1">_xlfn.XLOOKUP(B130,梦灵属性!$F$38:$F$41,梦灵属性!$E$38:$E$41)*C130</f>
        <v>#N/A</v>
      </c>
      <c r="G130" s="22" t="e">
        <f ca="1">_xlfn.XLOOKUP($B130,梦灵属性!$F$38:$F$41,梦灵属性!$E$38:$E$41)*$C130</f>
        <v>#N/A</v>
      </c>
      <c r="H130" s="22"/>
      <c r="I130" s="56">
        <f ca="1">OFFSET(梦灵图鉴!F$10,MATCH(A130,梦灵图鉴!$E$11:$E$61,1),0)*SUM(梦灵属性!$E$26:$J$26)+OFFSET(梦灵图鉴!H$10,MATCH(A130,梦灵图鉴!$G$11:$G$61,1),0)*SUM(梦灵属性!$E$27:$J$27)+OFFSET(梦灵图鉴!J$10,MATCH(A130,梦灵图鉴!$I$11:$I$61,1),0)*SUM(梦灵属性!$E$28:$J$28)+OFFSET(梦灵图鉴!L$10,MATCH(A130,梦灵图鉴!$K$11:$K$61,1),0)*SUM(梦灵属性!$E$29:$J$29)</f>
        <v>14.1</v>
      </c>
      <c r="J130" s="56"/>
      <c r="K130" s="56"/>
      <c r="L130" s="22"/>
      <c r="M130" s="22"/>
      <c r="N130" s="22"/>
      <c r="P130" s="3">
        <f t="shared" si="4"/>
        <v>5</v>
      </c>
      <c r="Q130" s="3">
        <f t="shared" si="5"/>
        <v>24</v>
      </c>
      <c r="R130" s="3">
        <f ca="1">OFFSET(梦灵属性!G$37,$P130-2,0)</f>
        <v>120</v>
      </c>
      <c r="S130" s="3">
        <f ca="1">OFFSET(梦灵属性!H$37,$P130-2,0)</f>
        <v>1200</v>
      </c>
      <c r="T130" s="3">
        <f ca="1">OFFSET(梦灵属性!$E$37,$P130-2,0)*$Q130</f>
        <v>1.44</v>
      </c>
      <c r="U130" s="3">
        <f ca="1">OFFSET(梦灵属性!$E$37,$P130-2,0)*$Q130</f>
        <v>1.44</v>
      </c>
    </row>
    <row r="131" ht="16.5" spans="1:21">
      <c r="A131" s="54">
        <v>125</v>
      </c>
      <c r="B131" s="35">
        <f ca="1">OFFSET(梦灵本体产出!$G$6,MATCH(A131,梦灵本体产出!$I$7:$I$30,1),0)</f>
        <v>0</v>
      </c>
      <c r="C131" s="35" t="e">
        <f ca="1">MATCH(A131,OFFSET(梦灵属性!#REF!,50*(B131-3),0))</f>
        <v>#REF!</v>
      </c>
      <c r="D131" s="55"/>
      <c r="E131" s="55"/>
      <c r="F131" s="22" t="e">
        <f ca="1">_xlfn.XLOOKUP(B131,梦灵属性!$F$38:$F$41,梦灵属性!$E$38:$E$41)*C131</f>
        <v>#N/A</v>
      </c>
      <c r="G131" s="22" t="e">
        <f ca="1">_xlfn.XLOOKUP($B131,梦灵属性!$F$38:$F$41,梦灵属性!$E$38:$E$41)*$C131</f>
        <v>#N/A</v>
      </c>
      <c r="H131" s="22"/>
      <c r="I131" s="56">
        <f ca="1">OFFSET(梦灵图鉴!F$10,MATCH(A131,梦灵图鉴!$E$11:$E$61,1),0)*SUM(梦灵属性!$E$26:$J$26)+OFFSET(梦灵图鉴!H$10,MATCH(A131,梦灵图鉴!$G$11:$G$61,1),0)*SUM(梦灵属性!$E$27:$J$27)+OFFSET(梦灵图鉴!J$10,MATCH(A131,梦灵图鉴!$I$11:$I$61,1),0)*SUM(梦灵属性!$E$28:$J$28)+OFFSET(梦灵图鉴!L$10,MATCH(A131,梦灵图鉴!$K$11:$K$61,1),0)*SUM(梦灵属性!$E$29:$J$29)</f>
        <v>14.1</v>
      </c>
      <c r="J131" s="56"/>
      <c r="K131" s="56"/>
      <c r="L131" s="22"/>
      <c r="M131" s="22"/>
      <c r="N131" s="22"/>
      <c r="P131" s="3">
        <f t="shared" si="4"/>
        <v>5</v>
      </c>
      <c r="Q131" s="3">
        <f t="shared" si="5"/>
        <v>25</v>
      </c>
      <c r="R131" s="3">
        <f ca="1">OFFSET(梦灵属性!G$37,$P131-2,0)</f>
        <v>120</v>
      </c>
      <c r="S131" s="3">
        <f ca="1">OFFSET(梦灵属性!H$37,$P131-2,0)</f>
        <v>1200</v>
      </c>
      <c r="T131" s="3">
        <f ca="1">OFFSET(梦灵属性!$E$37,$P131-2,0)*$Q131</f>
        <v>1.5</v>
      </c>
      <c r="U131" s="3">
        <f ca="1">OFFSET(梦灵属性!$E$37,$P131-2,0)*$Q131</f>
        <v>1.5</v>
      </c>
    </row>
    <row r="132" ht="16.5" spans="1:21">
      <c r="A132" s="54">
        <v>126</v>
      </c>
      <c r="B132" s="35">
        <f ca="1">OFFSET(梦灵本体产出!$G$6,MATCH(A132,梦灵本体产出!$I$7:$I$30,1),0)</f>
        <v>0</v>
      </c>
      <c r="C132" s="35" t="e">
        <f ca="1">MATCH(A132,OFFSET(梦灵属性!#REF!,50*(B132-3),0))</f>
        <v>#REF!</v>
      </c>
      <c r="D132" s="55"/>
      <c r="E132" s="55"/>
      <c r="F132" s="22" t="e">
        <f ca="1">_xlfn.XLOOKUP(B132,梦灵属性!$F$38:$F$41,梦灵属性!$E$38:$E$41)*C132</f>
        <v>#N/A</v>
      </c>
      <c r="G132" s="22" t="e">
        <f ca="1">_xlfn.XLOOKUP($B132,梦灵属性!$F$38:$F$41,梦灵属性!$E$38:$E$41)*$C132</f>
        <v>#N/A</v>
      </c>
      <c r="H132" s="22"/>
      <c r="I132" s="56">
        <f ca="1">OFFSET(梦灵图鉴!F$10,MATCH(A132,梦灵图鉴!$E$11:$E$61,1),0)*SUM(梦灵属性!$E$26:$J$26)+OFFSET(梦灵图鉴!H$10,MATCH(A132,梦灵图鉴!$G$11:$G$61,1),0)*SUM(梦灵属性!$E$27:$J$27)+OFFSET(梦灵图鉴!J$10,MATCH(A132,梦灵图鉴!$I$11:$I$61,1),0)*SUM(梦灵属性!$E$28:$J$28)+OFFSET(梦灵图鉴!L$10,MATCH(A132,梦灵图鉴!$K$11:$K$61,1),0)*SUM(梦灵属性!$E$29:$J$29)</f>
        <v>14.1</v>
      </c>
      <c r="J132" s="56"/>
      <c r="K132" s="56"/>
      <c r="L132" s="22"/>
      <c r="M132" s="22"/>
      <c r="N132" s="22"/>
      <c r="P132" s="3">
        <f t="shared" si="4"/>
        <v>5</v>
      </c>
      <c r="Q132" s="3">
        <f t="shared" si="5"/>
        <v>26</v>
      </c>
      <c r="R132" s="3">
        <f ca="1">OFFSET(梦灵属性!G$37,$P132-2,0)</f>
        <v>120</v>
      </c>
      <c r="S132" s="3">
        <f ca="1">OFFSET(梦灵属性!H$37,$P132-2,0)</f>
        <v>1200</v>
      </c>
      <c r="T132" s="3">
        <f ca="1">OFFSET(梦灵属性!$E$37,$P132-2,0)*$Q132</f>
        <v>1.56</v>
      </c>
      <c r="U132" s="3">
        <f ca="1">OFFSET(梦灵属性!$E$37,$P132-2,0)*$Q132</f>
        <v>1.56</v>
      </c>
    </row>
    <row r="133" ht="16.5" spans="1:21">
      <c r="A133" s="54">
        <v>127</v>
      </c>
      <c r="B133" s="35">
        <f ca="1">OFFSET(梦灵本体产出!$G$6,MATCH(A133,梦灵本体产出!$I$7:$I$30,1),0)</f>
        <v>0</v>
      </c>
      <c r="C133" s="35" t="e">
        <f ca="1">MATCH(A133,OFFSET(梦灵属性!#REF!,50*(B133-3),0))</f>
        <v>#REF!</v>
      </c>
      <c r="D133" s="55"/>
      <c r="E133" s="55"/>
      <c r="F133" s="22" t="e">
        <f ca="1">_xlfn.XLOOKUP(B133,梦灵属性!$F$38:$F$41,梦灵属性!$E$38:$E$41)*C133</f>
        <v>#N/A</v>
      </c>
      <c r="G133" s="22" t="e">
        <f ca="1">_xlfn.XLOOKUP($B133,梦灵属性!$F$38:$F$41,梦灵属性!$E$38:$E$41)*$C133</f>
        <v>#N/A</v>
      </c>
      <c r="H133" s="22"/>
      <c r="I133" s="56">
        <f ca="1">OFFSET(梦灵图鉴!F$10,MATCH(A133,梦灵图鉴!$E$11:$E$61,1),0)*SUM(梦灵属性!$E$26:$J$26)+OFFSET(梦灵图鉴!H$10,MATCH(A133,梦灵图鉴!$G$11:$G$61,1),0)*SUM(梦灵属性!$E$27:$J$27)+OFFSET(梦灵图鉴!J$10,MATCH(A133,梦灵图鉴!$I$11:$I$61,1),0)*SUM(梦灵属性!$E$28:$J$28)+OFFSET(梦灵图鉴!L$10,MATCH(A133,梦灵图鉴!$K$11:$K$61,1),0)*SUM(梦灵属性!$E$29:$J$29)</f>
        <v>14.1</v>
      </c>
      <c r="J133" s="56"/>
      <c r="K133" s="56"/>
      <c r="L133" s="22"/>
      <c r="M133" s="22"/>
      <c r="N133" s="22"/>
      <c r="P133" s="3">
        <f t="shared" si="4"/>
        <v>5</v>
      </c>
      <c r="Q133" s="3">
        <f t="shared" si="5"/>
        <v>27</v>
      </c>
      <c r="R133" s="3">
        <f ca="1">OFFSET(梦灵属性!G$37,$P133-2,0)</f>
        <v>120</v>
      </c>
      <c r="S133" s="3">
        <f ca="1">OFFSET(梦灵属性!H$37,$P133-2,0)</f>
        <v>1200</v>
      </c>
      <c r="T133" s="3">
        <f ca="1">OFFSET(梦灵属性!$E$37,$P133-2,0)*$Q133</f>
        <v>1.62</v>
      </c>
      <c r="U133" s="3">
        <f ca="1">OFFSET(梦灵属性!$E$37,$P133-2,0)*$Q133</f>
        <v>1.62</v>
      </c>
    </row>
    <row r="134" ht="16.5" spans="1:21">
      <c r="A134" s="54">
        <v>128</v>
      </c>
      <c r="B134" s="35">
        <f ca="1">OFFSET(梦灵本体产出!$G$6,MATCH(A134,梦灵本体产出!$I$7:$I$30,1),0)</f>
        <v>0</v>
      </c>
      <c r="C134" s="35" t="e">
        <f ca="1">MATCH(A134,OFFSET(梦灵属性!#REF!,50*(B134-3),0))</f>
        <v>#REF!</v>
      </c>
      <c r="D134" s="55"/>
      <c r="E134" s="55"/>
      <c r="F134" s="22" t="e">
        <f ca="1">_xlfn.XLOOKUP(B134,梦灵属性!$F$38:$F$41,梦灵属性!$E$38:$E$41)*C134</f>
        <v>#N/A</v>
      </c>
      <c r="G134" s="22" t="e">
        <f ca="1">_xlfn.XLOOKUP($B134,梦灵属性!$F$38:$F$41,梦灵属性!$E$38:$E$41)*$C134</f>
        <v>#N/A</v>
      </c>
      <c r="H134" s="22"/>
      <c r="I134" s="56">
        <f ca="1">OFFSET(梦灵图鉴!F$10,MATCH(A134,梦灵图鉴!$E$11:$E$61,1),0)*SUM(梦灵属性!$E$26:$J$26)+OFFSET(梦灵图鉴!H$10,MATCH(A134,梦灵图鉴!$G$11:$G$61,1),0)*SUM(梦灵属性!$E$27:$J$27)+OFFSET(梦灵图鉴!J$10,MATCH(A134,梦灵图鉴!$I$11:$I$61,1),0)*SUM(梦灵属性!$E$28:$J$28)+OFFSET(梦灵图鉴!L$10,MATCH(A134,梦灵图鉴!$K$11:$K$61,1),0)*SUM(梦灵属性!$E$29:$J$29)</f>
        <v>14.1</v>
      </c>
      <c r="J134" s="56"/>
      <c r="K134" s="56"/>
      <c r="L134" s="22"/>
      <c r="M134" s="22"/>
      <c r="N134" s="22"/>
      <c r="P134" s="3">
        <f t="shared" si="4"/>
        <v>5</v>
      </c>
      <c r="Q134" s="3">
        <f t="shared" si="5"/>
        <v>28</v>
      </c>
      <c r="R134" s="3">
        <f ca="1">OFFSET(梦灵属性!G$37,$P134-2,0)</f>
        <v>120</v>
      </c>
      <c r="S134" s="3">
        <f ca="1">OFFSET(梦灵属性!H$37,$P134-2,0)</f>
        <v>1200</v>
      </c>
      <c r="T134" s="3">
        <f ca="1">OFFSET(梦灵属性!$E$37,$P134-2,0)*$Q134</f>
        <v>1.68</v>
      </c>
      <c r="U134" s="3">
        <f ca="1">OFFSET(梦灵属性!$E$37,$P134-2,0)*$Q134</f>
        <v>1.68</v>
      </c>
    </row>
    <row r="135" ht="16.5" spans="1:21">
      <c r="A135" s="54">
        <v>129</v>
      </c>
      <c r="B135" s="35">
        <f ca="1">OFFSET(梦灵本体产出!$G$6,MATCH(A135,梦灵本体产出!$I$7:$I$30,1),0)</f>
        <v>0</v>
      </c>
      <c r="C135" s="35" t="e">
        <f ca="1">MATCH(A135,OFFSET(梦灵属性!#REF!,50*(B135-3),0))</f>
        <v>#REF!</v>
      </c>
      <c r="D135" s="55"/>
      <c r="E135" s="55"/>
      <c r="F135" s="22" t="e">
        <f ca="1">_xlfn.XLOOKUP(B135,梦灵属性!$F$38:$F$41,梦灵属性!$E$38:$E$41)*C135</f>
        <v>#N/A</v>
      </c>
      <c r="G135" s="22" t="e">
        <f ca="1">_xlfn.XLOOKUP($B135,梦灵属性!$F$38:$F$41,梦灵属性!$E$38:$E$41)*$C135</f>
        <v>#N/A</v>
      </c>
      <c r="H135" s="22"/>
      <c r="I135" s="56">
        <f ca="1">OFFSET(梦灵图鉴!F$10,MATCH(A135,梦灵图鉴!$E$11:$E$61,1),0)*SUM(梦灵属性!$E$26:$J$26)+OFFSET(梦灵图鉴!H$10,MATCH(A135,梦灵图鉴!$G$11:$G$61,1),0)*SUM(梦灵属性!$E$27:$J$27)+OFFSET(梦灵图鉴!J$10,MATCH(A135,梦灵图鉴!$I$11:$I$61,1),0)*SUM(梦灵属性!$E$28:$J$28)+OFFSET(梦灵图鉴!L$10,MATCH(A135,梦灵图鉴!$K$11:$K$61,1),0)*SUM(梦灵属性!$E$29:$J$29)</f>
        <v>14.1</v>
      </c>
      <c r="J135" s="56"/>
      <c r="K135" s="56"/>
      <c r="L135" s="22"/>
      <c r="M135" s="22"/>
      <c r="N135" s="22"/>
      <c r="P135" s="3">
        <f t="shared" si="4"/>
        <v>5</v>
      </c>
      <c r="Q135" s="3">
        <f t="shared" si="5"/>
        <v>29</v>
      </c>
      <c r="R135" s="3">
        <f ca="1">OFFSET(梦灵属性!G$37,$P135-2,0)</f>
        <v>120</v>
      </c>
      <c r="S135" s="3">
        <f ca="1">OFFSET(梦灵属性!H$37,$P135-2,0)</f>
        <v>1200</v>
      </c>
      <c r="T135" s="3">
        <f ca="1">OFFSET(梦灵属性!$E$37,$P135-2,0)*$Q135</f>
        <v>1.74</v>
      </c>
      <c r="U135" s="3">
        <f ca="1">OFFSET(梦灵属性!$E$37,$P135-2,0)*$Q135</f>
        <v>1.74</v>
      </c>
    </row>
    <row r="136" ht="16.5" spans="1:21">
      <c r="A136" s="54">
        <v>130</v>
      </c>
      <c r="B136" s="35">
        <f ca="1">OFFSET(梦灵本体产出!$G$6,MATCH(A136,梦灵本体产出!$I$7:$I$30,1),0)</f>
        <v>0</v>
      </c>
      <c r="C136" s="35" t="e">
        <f ca="1">MATCH(A136,OFFSET(梦灵属性!#REF!,50*(B136-3),0))</f>
        <v>#REF!</v>
      </c>
      <c r="D136" s="55"/>
      <c r="E136" s="55"/>
      <c r="F136" s="22" t="e">
        <f ca="1">_xlfn.XLOOKUP(B136,梦灵属性!$F$38:$F$41,梦灵属性!$E$38:$E$41)*C136</f>
        <v>#N/A</v>
      </c>
      <c r="G136" s="22" t="e">
        <f ca="1">_xlfn.XLOOKUP($B136,梦灵属性!$F$38:$F$41,梦灵属性!$E$38:$E$41)*$C136</f>
        <v>#N/A</v>
      </c>
      <c r="H136" s="22"/>
      <c r="I136" s="56">
        <f ca="1">OFFSET(梦灵图鉴!F$10,MATCH(A136,梦灵图鉴!$E$11:$E$61,1),0)*SUM(梦灵属性!$E$26:$J$26)+OFFSET(梦灵图鉴!H$10,MATCH(A136,梦灵图鉴!$G$11:$G$61,1),0)*SUM(梦灵属性!$E$27:$J$27)+OFFSET(梦灵图鉴!J$10,MATCH(A136,梦灵图鉴!$I$11:$I$61,1),0)*SUM(梦灵属性!$E$28:$J$28)+OFFSET(梦灵图鉴!L$10,MATCH(A136,梦灵图鉴!$K$11:$K$61,1),0)*SUM(梦灵属性!$E$29:$J$29)</f>
        <v>14.1</v>
      </c>
      <c r="J136" s="56"/>
      <c r="K136" s="56"/>
      <c r="L136" s="22"/>
      <c r="M136" s="22"/>
      <c r="N136" s="22"/>
      <c r="P136" s="3">
        <f t="shared" si="4"/>
        <v>5</v>
      </c>
      <c r="Q136" s="3">
        <f t="shared" si="5"/>
        <v>30</v>
      </c>
      <c r="R136" s="3">
        <f ca="1">OFFSET(梦灵属性!G$37,$P136-2,0)</f>
        <v>120</v>
      </c>
      <c r="S136" s="3">
        <f ca="1">OFFSET(梦灵属性!H$37,$P136-2,0)</f>
        <v>1200</v>
      </c>
      <c r="T136" s="3">
        <f ca="1">OFFSET(梦灵属性!$E$37,$P136-2,0)*$Q136</f>
        <v>1.8</v>
      </c>
      <c r="U136" s="3">
        <f ca="1">OFFSET(梦灵属性!$E$37,$P136-2,0)*$Q136</f>
        <v>1.8</v>
      </c>
    </row>
    <row r="137" ht="16.5" spans="1:21">
      <c r="A137" s="54">
        <v>131</v>
      </c>
      <c r="B137" s="35">
        <f ca="1">OFFSET(梦灵本体产出!$G$6,MATCH(A137,梦灵本体产出!$I$7:$I$30,1),0)</f>
        <v>0</v>
      </c>
      <c r="C137" s="35" t="e">
        <f ca="1">MATCH(A137,OFFSET(梦灵属性!#REF!,50*(B137-3),0))</f>
        <v>#REF!</v>
      </c>
      <c r="D137" s="55"/>
      <c r="E137" s="55"/>
      <c r="F137" s="22" t="e">
        <f ca="1">_xlfn.XLOOKUP(B137,梦灵属性!$F$38:$F$41,梦灵属性!$E$38:$E$41)*C137</f>
        <v>#N/A</v>
      </c>
      <c r="G137" s="22" t="e">
        <f ca="1">_xlfn.XLOOKUP($B137,梦灵属性!$F$38:$F$41,梦灵属性!$E$38:$E$41)*$C137</f>
        <v>#N/A</v>
      </c>
      <c r="H137" s="22"/>
      <c r="I137" s="56">
        <f ca="1">OFFSET(梦灵图鉴!F$10,MATCH(A137,梦灵图鉴!$E$11:$E$61,1),0)*SUM(梦灵属性!$E$26:$J$26)+OFFSET(梦灵图鉴!H$10,MATCH(A137,梦灵图鉴!$G$11:$G$61,1),0)*SUM(梦灵属性!$E$27:$J$27)+OFFSET(梦灵图鉴!J$10,MATCH(A137,梦灵图鉴!$I$11:$I$61,1),0)*SUM(梦灵属性!$E$28:$J$28)+OFFSET(梦灵图鉴!L$10,MATCH(A137,梦灵图鉴!$K$11:$K$61,1),0)*SUM(梦灵属性!$E$29:$J$29)</f>
        <v>14.1</v>
      </c>
      <c r="J137" s="56"/>
      <c r="K137" s="56"/>
      <c r="L137" s="22"/>
      <c r="M137" s="22"/>
      <c r="N137" s="22"/>
      <c r="P137" s="3">
        <f t="shared" si="4"/>
        <v>5</v>
      </c>
      <c r="Q137" s="3">
        <f t="shared" si="5"/>
        <v>31</v>
      </c>
      <c r="R137" s="3">
        <f ca="1">OFFSET(梦灵属性!G$37,$P137-2,0)</f>
        <v>120</v>
      </c>
      <c r="S137" s="3">
        <f ca="1">OFFSET(梦灵属性!H$37,$P137-2,0)</f>
        <v>1200</v>
      </c>
      <c r="T137" s="3">
        <f ca="1">OFFSET(梦灵属性!$E$37,$P137-2,0)*$Q137</f>
        <v>1.86</v>
      </c>
      <c r="U137" s="3">
        <f ca="1">OFFSET(梦灵属性!$E$37,$P137-2,0)*$Q137</f>
        <v>1.86</v>
      </c>
    </row>
    <row r="138" ht="16.5" spans="1:21">
      <c r="A138" s="54">
        <v>132</v>
      </c>
      <c r="B138" s="35">
        <f ca="1">OFFSET(梦灵本体产出!$G$6,MATCH(A138,梦灵本体产出!$I$7:$I$30,1),0)</f>
        <v>0</v>
      </c>
      <c r="C138" s="35" t="e">
        <f ca="1">MATCH(A138,OFFSET(梦灵属性!#REF!,50*(B138-3),0))</f>
        <v>#REF!</v>
      </c>
      <c r="D138" s="55"/>
      <c r="E138" s="55"/>
      <c r="F138" s="22" t="e">
        <f ca="1">_xlfn.XLOOKUP(B138,梦灵属性!$F$38:$F$41,梦灵属性!$E$38:$E$41)*C138</f>
        <v>#N/A</v>
      </c>
      <c r="G138" s="22" t="e">
        <f ca="1">_xlfn.XLOOKUP($B138,梦灵属性!$F$38:$F$41,梦灵属性!$E$38:$E$41)*$C138</f>
        <v>#N/A</v>
      </c>
      <c r="H138" s="22"/>
      <c r="I138" s="56">
        <f ca="1">OFFSET(梦灵图鉴!F$10,MATCH(A138,梦灵图鉴!$E$11:$E$61,1),0)*SUM(梦灵属性!$E$26:$J$26)+OFFSET(梦灵图鉴!H$10,MATCH(A138,梦灵图鉴!$G$11:$G$61,1),0)*SUM(梦灵属性!$E$27:$J$27)+OFFSET(梦灵图鉴!J$10,MATCH(A138,梦灵图鉴!$I$11:$I$61,1),0)*SUM(梦灵属性!$E$28:$J$28)+OFFSET(梦灵图鉴!L$10,MATCH(A138,梦灵图鉴!$K$11:$K$61,1),0)*SUM(梦灵属性!$E$29:$J$29)</f>
        <v>14.1</v>
      </c>
      <c r="J138" s="56"/>
      <c r="K138" s="56"/>
      <c r="L138" s="22"/>
      <c r="M138" s="22"/>
      <c r="N138" s="22"/>
      <c r="P138" s="3">
        <f t="shared" si="4"/>
        <v>5</v>
      </c>
      <c r="Q138" s="3">
        <f t="shared" si="5"/>
        <v>32</v>
      </c>
      <c r="R138" s="3">
        <f ca="1">OFFSET(梦灵属性!G$37,$P138-2,0)</f>
        <v>120</v>
      </c>
      <c r="S138" s="3">
        <f ca="1">OFFSET(梦灵属性!H$37,$P138-2,0)</f>
        <v>1200</v>
      </c>
      <c r="T138" s="3">
        <f ca="1">OFFSET(梦灵属性!$E$37,$P138-2,0)*$Q138</f>
        <v>1.92</v>
      </c>
      <c r="U138" s="3">
        <f ca="1">OFFSET(梦灵属性!$E$37,$P138-2,0)*$Q138</f>
        <v>1.92</v>
      </c>
    </row>
    <row r="139" ht="16.5" spans="1:21">
      <c r="A139" s="54">
        <v>133</v>
      </c>
      <c r="B139" s="35">
        <f ca="1">OFFSET(梦灵本体产出!$G$6,MATCH(A139,梦灵本体产出!$I$7:$I$30,1),0)</f>
        <v>0</v>
      </c>
      <c r="C139" s="35" t="e">
        <f ca="1">MATCH(A139,OFFSET(梦灵属性!#REF!,50*(B139-3),0))</f>
        <v>#REF!</v>
      </c>
      <c r="D139" s="55"/>
      <c r="E139" s="55"/>
      <c r="F139" s="22" t="e">
        <f ca="1">_xlfn.XLOOKUP(B139,梦灵属性!$F$38:$F$41,梦灵属性!$E$38:$E$41)*C139</f>
        <v>#N/A</v>
      </c>
      <c r="G139" s="22" t="e">
        <f ca="1">_xlfn.XLOOKUP($B139,梦灵属性!$F$38:$F$41,梦灵属性!$E$38:$E$41)*$C139</f>
        <v>#N/A</v>
      </c>
      <c r="H139" s="22"/>
      <c r="I139" s="56">
        <f ca="1">OFFSET(梦灵图鉴!F$10,MATCH(A139,梦灵图鉴!$E$11:$E$61,1),0)*SUM(梦灵属性!$E$26:$J$26)+OFFSET(梦灵图鉴!H$10,MATCH(A139,梦灵图鉴!$G$11:$G$61,1),0)*SUM(梦灵属性!$E$27:$J$27)+OFFSET(梦灵图鉴!J$10,MATCH(A139,梦灵图鉴!$I$11:$I$61,1),0)*SUM(梦灵属性!$E$28:$J$28)+OFFSET(梦灵图鉴!L$10,MATCH(A139,梦灵图鉴!$K$11:$K$61,1),0)*SUM(梦灵属性!$E$29:$J$29)</f>
        <v>14.1</v>
      </c>
      <c r="J139" s="56"/>
      <c r="K139" s="56"/>
      <c r="L139" s="22"/>
      <c r="M139" s="22"/>
      <c r="N139" s="22"/>
      <c r="P139" s="3">
        <f t="shared" si="4"/>
        <v>5</v>
      </c>
      <c r="Q139" s="3">
        <f t="shared" si="5"/>
        <v>33</v>
      </c>
      <c r="R139" s="3">
        <f ca="1">OFFSET(梦灵属性!G$37,$P139-2,0)</f>
        <v>120</v>
      </c>
      <c r="S139" s="3">
        <f ca="1">OFFSET(梦灵属性!H$37,$P139-2,0)</f>
        <v>1200</v>
      </c>
      <c r="T139" s="3">
        <f ca="1">OFFSET(梦灵属性!$E$37,$P139-2,0)*$Q139</f>
        <v>1.98</v>
      </c>
      <c r="U139" s="3">
        <f ca="1">OFFSET(梦灵属性!$E$37,$P139-2,0)*$Q139</f>
        <v>1.98</v>
      </c>
    </row>
    <row r="140" ht="16.5" spans="1:21">
      <c r="A140" s="54">
        <v>134</v>
      </c>
      <c r="B140" s="35">
        <f ca="1">OFFSET(梦灵本体产出!$G$6,MATCH(A140,梦灵本体产出!$I$7:$I$30,1),0)</f>
        <v>0</v>
      </c>
      <c r="C140" s="35" t="e">
        <f ca="1">MATCH(A140,OFFSET(梦灵属性!#REF!,50*(B140-3),0))</f>
        <v>#REF!</v>
      </c>
      <c r="D140" s="55"/>
      <c r="E140" s="55"/>
      <c r="F140" s="22" t="e">
        <f ca="1">_xlfn.XLOOKUP(B140,梦灵属性!$F$38:$F$41,梦灵属性!$E$38:$E$41)*C140</f>
        <v>#N/A</v>
      </c>
      <c r="G140" s="22" t="e">
        <f ca="1">_xlfn.XLOOKUP($B140,梦灵属性!$F$38:$F$41,梦灵属性!$E$38:$E$41)*$C140</f>
        <v>#N/A</v>
      </c>
      <c r="H140" s="22"/>
      <c r="I140" s="56">
        <f ca="1">OFFSET(梦灵图鉴!F$10,MATCH(A140,梦灵图鉴!$E$11:$E$61,1),0)*SUM(梦灵属性!$E$26:$J$26)+OFFSET(梦灵图鉴!H$10,MATCH(A140,梦灵图鉴!$G$11:$G$61,1),0)*SUM(梦灵属性!$E$27:$J$27)+OFFSET(梦灵图鉴!J$10,MATCH(A140,梦灵图鉴!$I$11:$I$61,1),0)*SUM(梦灵属性!$E$28:$J$28)+OFFSET(梦灵图鉴!L$10,MATCH(A140,梦灵图鉴!$K$11:$K$61,1),0)*SUM(梦灵属性!$E$29:$J$29)</f>
        <v>14.1</v>
      </c>
      <c r="J140" s="56"/>
      <c r="K140" s="56"/>
      <c r="L140" s="22"/>
      <c r="M140" s="22"/>
      <c r="N140" s="22"/>
      <c r="P140" s="3">
        <f t="shared" si="4"/>
        <v>5</v>
      </c>
      <c r="Q140" s="3">
        <f t="shared" si="5"/>
        <v>34</v>
      </c>
      <c r="R140" s="3">
        <f ca="1">OFFSET(梦灵属性!G$37,$P140-2,0)</f>
        <v>120</v>
      </c>
      <c r="S140" s="3">
        <f ca="1">OFFSET(梦灵属性!H$37,$P140-2,0)</f>
        <v>1200</v>
      </c>
      <c r="T140" s="3">
        <f ca="1">OFFSET(梦灵属性!$E$37,$P140-2,0)*$Q140</f>
        <v>2.04</v>
      </c>
      <c r="U140" s="3">
        <f ca="1">OFFSET(梦灵属性!$E$37,$P140-2,0)*$Q140</f>
        <v>2.04</v>
      </c>
    </row>
    <row r="141" ht="16.5" spans="1:21">
      <c r="A141" s="54">
        <v>135</v>
      </c>
      <c r="B141" s="35">
        <f ca="1">OFFSET(梦灵本体产出!$G$6,MATCH(A141,梦灵本体产出!$I$7:$I$30,1),0)</f>
        <v>0</v>
      </c>
      <c r="C141" s="35" t="e">
        <f ca="1">MATCH(A141,OFFSET(梦灵属性!#REF!,50*(B141-3),0))</f>
        <v>#REF!</v>
      </c>
      <c r="D141" s="55"/>
      <c r="E141" s="55"/>
      <c r="F141" s="22" t="e">
        <f ca="1">_xlfn.XLOOKUP(B141,梦灵属性!$F$38:$F$41,梦灵属性!$E$38:$E$41)*C141</f>
        <v>#N/A</v>
      </c>
      <c r="G141" s="22" t="e">
        <f ca="1">_xlfn.XLOOKUP($B141,梦灵属性!$F$38:$F$41,梦灵属性!$E$38:$E$41)*$C141</f>
        <v>#N/A</v>
      </c>
      <c r="H141" s="22"/>
      <c r="I141" s="56">
        <f ca="1">OFFSET(梦灵图鉴!F$10,MATCH(A141,梦灵图鉴!$E$11:$E$61,1),0)*SUM(梦灵属性!$E$26:$J$26)+OFFSET(梦灵图鉴!H$10,MATCH(A141,梦灵图鉴!$G$11:$G$61,1),0)*SUM(梦灵属性!$E$27:$J$27)+OFFSET(梦灵图鉴!J$10,MATCH(A141,梦灵图鉴!$I$11:$I$61,1),0)*SUM(梦灵属性!$E$28:$J$28)+OFFSET(梦灵图鉴!L$10,MATCH(A141,梦灵图鉴!$K$11:$K$61,1),0)*SUM(梦灵属性!$E$29:$J$29)</f>
        <v>14.1</v>
      </c>
      <c r="J141" s="56"/>
      <c r="K141" s="56"/>
      <c r="L141" s="22"/>
      <c r="M141" s="22"/>
      <c r="N141" s="22"/>
      <c r="P141" s="3">
        <f t="shared" si="4"/>
        <v>5</v>
      </c>
      <c r="Q141" s="3">
        <f t="shared" si="5"/>
        <v>35</v>
      </c>
      <c r="R141" s="3">
        <f ca="1">OFFSET(梦灵属性!G$37,$P141-2,0)</f>
        <v>120</v>
      </c>
      <c r="S141" s="3">
        <f ca="1">OFFSET(梦灵属性!H$37,$P141-2,0)</f>
        <v>1200</v>
      </c>
      <c r="T141" s="3">
        <f ca="1">OFFSET(梦灵属性!$E$37,$P141-2,0)*$Q141</f>
        <v>2.1</v>
      </c>
      <c r="U141" s="3">
        <f ca="1">OFFSET(梦灵属性!$E$37,$P141-2,0)*$Q141</f>
        <v>2.1</v>
      </c>
    </row>
    <row r="142" ht="16.5" spans="1:21">
      <c r="A142" s="54">
        <v>136</v>
      </c>
      <c r="B142" s="35">
        <f ca="1">OFFSET(梦灵本体产出!$G$6,MATCH(A142,梦灵本体产出!$I$7:$I$30,1),0)</f>
        <v>0</v>
      </c>
      <c r="C142" s="35" t="e">
        <f ca="1">MATCH(A142,OFFSET(梦灵属性!#REF!,50*(B142-3),0))</f>
        <v>#REF!</v>
      </c>
      <c r="D142" s="55"/>
      <c r="E142" s="55"/>
      <c r="F142" s="22" t="e">
        <f ca="1">_xlfn.XLOOKUP(B142,梦灵属性!$F$38:$F$41,梦灵属性!$E$38:$E$41)*C142</f>
        <v>#N/A</v>
      </c>
      <c r="G142" s="22" t="e">
        <f ca="1">_xlfn.XLOOKUP($B142,梦灵属性!$F$38:$F$41,梦灵属性!$E$38:$E$41)*$C142</f>
        <v>#N/A</v>
      </c>
      <c r="H142" s="22"/>
      <c r="I142" s="56">
        <f ca="1">OFFSET(梦灵图鉴!F$10,MATCH(A142,梦灵图鉴!$E$11:$E$61,1),0)*SUM(梦灵属性!$E$26:$J$26)+OFFSET(梦灵图鉴!H$10,MATCH(A142,梦灵图鉴!$G$11:$G$61,1),0)*SUM(梦灵属性!$E$27:$J$27)+OFFSET(梦灵图鉴!J$10,MATCH(A142,梦灵图鉴!$I$11:$I$61,1),0)*SUM(梦灵属性!$E$28:$J$28)+OFFSET(梦灵图鉴!L$10,MATCH(A142,梦灵图鉴!$K$11:$K$61,1),0)*SUM(梦灵属性!$E$29:$J$29)</f>
        <v>14.1</v>
      </c>
      <c r="J142" s="56"/>
      <c r="K142" s="56"/>
      <c r="L142" s="22"/>
      <c r="M142" s="22"/>
      <c r="N142" s="22"/>
      <c r="P142" s="3">
        <f t="shared" si="4"/>
        <v>5</v>
      </c>
      <c r="Q142" s="3">
        <f t="shared" si="5"/>
        <v>36</v>
      </c>
      <c r="R142" s="3">
        <f ca="1">OFFSET(梦灵属性!G$37,$P142-2,0)</f>
        <v>120</v>
      </c>
      <c r="S142" s="3">
        <f ca="1">OFFSET(梦灵属性!H$37,$P142-2,0)</f>
        <v>1200</v>
      </c>
      <c r="T142" s="3">
        <f ca="1">OFFSET(梦灵属性!$E$37,$P142-2,0)*$Q142</f>
        <v>2.16</v>
      </c>
      <c r="U142" s="3">
        <f ca="1">OFFSET(梦灵属性!$E$37,$P142-2,0)*$Q142</f>
        <v>2.16</v>
      </c>
    </row>
    <row r="143" ht="16.5" spans="1:21">
      <c r="A143" s="54">
        <v>137</v>
      </c>
      <c r="B143" s="35">
        <f ca="1">OFFSET(梦灵本体产出!$G$6,MATCH(A143,梦灵本体产出!$I$7:$I$30,1),0)</f>
        <v>0</v>
      </c>
      <c r="C143" s="35" t="e">
        <f ca="1">MATCH(A143,OFFSET(梦灵属性!#REF!,50*(B143-3),0))</f>
        <v>#REF!</v>
      </c>
      <c r="D143" s="55"/>
      <c r="E143" s="55"/>
      <c r="F143" s="22" t="e">
        <f ca="1">_xlfn.XLOOKUP(B143,梦灵属性!$F$38:$F$41,梦灵属性!$E$38:$E$41)*C143</f>
        <v>#N/A</v>
      </c>
      <c r="G143" s="22" t="e">
        <f ca="1">_xlfn.XLOOKUP($B143,梦灵属性!$F$38:$F$41,梦灵属性!$E$38:$E$41)*$C143</f>
        <v>#N/A</v>
      </c>
      <c r="H143" s="22"/>
      <c r="I143" s="56">
        <f ca="1">OFFSET(梦灵图鉴!F$10,MATCH(A143,梦灵图鉴!$E$11:$E$61,1),0)*SUM(梦灵属性!$E$26:$J$26)+OFFSET(梦灵图鉴!H$10,MATCH(A143,梦灵图鉴!$G$11:$G$61,1),0)*SUM(梦灵属性!$E$27:$J$27)+OFFSET(梦灵图鉴!J$10,MATCH(A143,梦灵图鉴!$I$11:$I$61,1),0)*SUM(梦灵属性!$E$28:$J$28)+OFFSET(梦灵图鉴!L$10,MATCH(A143,梦灵图鉴!$K$11:$K$61,1),0)*SUM(梦灵属性!$E$29:$J$29)</f>
        <v>14.1</v>
      </c>
      <c r="J143" s="56"/>
      <c r="K143" s="56"/>
      <c r="L143" s="22"/>
      <c r="M143" s="22"/>
      <c r="N143" s="22"/>
      <c r="P143" s="3">
        <f t="shared" si="4"/>
        <v>5</v>
      </c>
      <c r="Q143" s="3">
        <f t="shared" si="5"/>
        <v>37</v>
      </c>
      <c r="R143" s="3">
        <f ca="1">OFFSET(梦灵属性!G$37,$P143-2,0)</f>
        <v>120</v>
      </c>
      <c r="S143" s="3">
        <f ca="1">OFFSET(梦灵属性!H$37,$P143-2,0)</f>
        <v>1200</v>
      </c>
      <c r="T143" s="3">
        <f ca="1">OFFSET(梦灵属性!$E$37,$P143-2,0)*$Q143</f>
        <v>2.22</v>
      </c>
      <c r="U143" s="3">
        <f ca="1">OFFSET(梦灵属性!$E$37,$P143-2,0)*$Q143</f>
        <v>2.22</v>
      </c>
    </row>
    <row r="144" ht="16.5" spans="1:21">
      <c r="A144" s="54">
        <v>138</v>
      </c>
      <c r="B144" s="35">
        <f ca="1">OFFSET(梦灵本体产出!$G$6,MATCH(A144,梦灵本体产出!$I$7:$I$30,1),0)</f>
        <v>0</v>
      </c>
      <c r="C144" s="35" t="e">
        <f ca="1">MATCH(A144,OFFSET(梦灵属性!#REF!,50*(B144-3),0))</f>
        <v>#REF!</v>
      </c>
      <c r="D144" s="55"/>
      <c r="E144" s="55"/>
      <c r="F144" s="22" t="e">
        <f ca="1">_xlfn.XLOOKUP(B144,梦灵属性!$F$38:$F$41,梦灵属性!$E$38:$E$41)*C144</f>
        <v>#N/A</v>
      </c>
      <c r="G144" s="22" t="e">
        <f ca="1">_xlfn.XLOOKUP($B144,梦灵属性!$F$38:$F$41,梦灵属性!$E$38:$E$41)*$C144</f>
        <v>#N/A</v>
      </c>
      <c r="H144" s="22"/>
      <c r="I144" s="56">
        <f ca="1">OFFSET(梦灵图鉴!F$10,MATCH(A144,梦灵图鉴!$E$11:$E$61,1),0)*SUM(梦灵属性!$E$26:$J$26)+OFFSET(梦灵图鉴!H$10,MATCH(A144,梦灵图鉴!$G$11:$G$61,1),0)*SUM(梦灵属性!$E$27:$J$27)+OFFSET(梦灵图鉴!J$10,MATCH(A144,梦灵图鉴!$I$11:$I$61,1),0)*SUM(梦灵属性!$E$28:$J$28)+OFFSET(梦灵图鉴!L$10,MATCH(A144,梦灵图鉴!$K$11:$K$61,1),0)*SUM(梦灵属性!$E$29:$J$29)</f>
        <v>14.1</v>
      </c>
      <c r="J144" s="56"/>
      <c r="K144" s="56"/>
      <c r="L144" s="22"/>
      <c r="M144" s="22"/>
      <c r="N144" s="22"/>
      <c r="P144" s="3">
        <f t="shared" si="4"/>
        <v>5</v>
      </c>
      <c r="Q144" s="3">
        <f t="shared" si="5"/>
        <v>38</v>
      </c>
      <c r="R144" s="3">
        <f ca="1">OFFSET(梦灵属性!G$37,$P144-2,0)</f>
        <v>120</v>
      </c>
      <c r="S144" s="3">
        <f ca="1">OFFSET(梦灵属性!H$37,$P144-2,0)</f>
        <v>1200</v>
      </c>
      <c r="T144" s="3">
        <f ca="1">OFFSET(梦灵属性!$E$37,$P144-2,0)*$Q144</f>
        <v>2.28</v>
      </c>
      <c r="U144" s="3">
        <f ca="1">OFFSET(梦灵属性!$E$37,$P144-2,0)*$Q144</f>
        <v>2.28</v>
      </c>
    </row>
    <row r="145" ht="16.5" spans="1:21">
      <c r="A145" s="54">
        <v>139</v>
      </c>
      <c r="B145" s="35">
        <f ca="1">OFFSET(梦灵本体产出!$G$6,MATCH(A145,梦灵本体产出!$I$7:$I$30,1),0)</f>
        <v>0</v>
      </c>
      <c r="C145" s="35" t="e">
        <f ca="1">MATCH(A145,OFFSET(梦灵属性!#REF!,50*(B145-3),0))</f>
        <v>#REF!</v>
      </c>
      <c r="D145" s="55"/>
      <c r="E145" s="55"/>
      <c r="F145" s="22" t="e">
        <f ca="1">_xlfn.XLOOKUP(B145,梦灵属性!$F$38:$F$41,梦灵属性!$E$38:$E$41)*C145</f>
        <v>#N/A</v>
      </c>
      <c r="G145" s="22" t="e">
        <f ca="1">_xlfn.XLOOKUP($B145,梦灵属性!$F$38:$F$41,梦灵属性!$E$38:$E$41)*$C145</f>
        <v>#N/A</v>
      </c>
      <c r="H145" s="22"/>
      <c r="I145" s="56">
        <f ca="1">OFFSET(梦灵图鉴!F$10,MATCH(A145,梦灵图鉴!$E$11:$E$61,1),0)*SUM(梦灵属性!$E$26:$J$26)+OFFSET(梦灵图鉴!H$10,MATCH(A145,梦灵图鉴!$G$11:$G$61,1),0)*SUM(梦灵属性!$E$27:$J$27)+OFFSET(梦灵图鉴!J$10,MATCH(A145,梦灵图鉴!$I$11:$I$61,1),0)*SUM(梦灵属性!$E$28:$J$28)+OFFSET(梦灵图鉴!L$10,MATCH(A145,梦灵图鉴!$K$11:$K$61,1),0)*SUM(梦灵属性!$E$29:$J$29)</f>
        <v>14.1</v>
      </c>
      <c r="J145" s="56"/>
      <c r="K145" s="56"/>
      <c r="L145" s="22"/>
      <c r="M145" s="22"/>
      <c r="N145" s="22"/>
      <c r="P145" s="3">
        <f t="shared" si="4"/>
        <v>5</v>
      </c>
      <c r="Q145" s="3">
        <f t="shared" si="5"/>
        <v>39</v>
      </c>
      <c r="R145" s="3">
        <f ca="1">OFFSET(梦灵属性!G$37,$P145-2,0)</f>
        <v>120</v>
      </c>
      <c r="S145" s="3">
        <f ca="1">OFFSET(梦灵属性!H$37,$P145-2,0)</f>
        <v>1200</v>
      </c>
      <c r="T145" s="3">
        <f ca="1">OFFSET(梦灵属性!$E$37,$P145-2,0)*$Q145</f>
        <v>2.34</v>
      </c>
      <c r="U145" s="3">
        <f ca="1">OFFSET(梦灵属性!$E$37,$P145-2,0)*$Q145</f>
        <v>2.34</v>
      </c>
    </row>
    <row r="146" ht="16.5" spans="1:21">
      <c r="A146" s="54">
        <v>140</v>
      </c>
      <c r="B146" s="35">
        <f ca="1">OFFSET(梦灵本体产出!$G$6,MATCH(A146,梦灵本体产出!$I$7:$I$30,1),0)</f>
        <v>0</v>
      </c>
      <c r="C146" s="35" t="e">
        <f ca="1">MATCH(A146,OFFSET(梦灵属性!#REF!,50*(B146-3),0))</f>
        <v>#REF!</v>
      </c>
      <c r="D146" s="55"/>
      <c r="E146" s="55"/>
      <c r="F146" s="22" t="e">
        <f ca="1">_xlfn.XLOOKUP(B146,梦灵属性!$F$38:$F$41,梦灵属性!$E$38:$E$41)*C146</f>
        <v>#N/A</v>
      </c>
      <c r="G146" s="22" t="e">
        <f ca="1">_xlfn.XLOOKUP($B146,梦灵属性!$F$38:$F$41,梦灵属性!$E$38:$E$41)*$C146</f>
        <v>#N/A</v>
      </c>
      <c r="H146" s="22"/>
      <c r="I146" s="56">
        <f ca="1">OFFSET(梦灵图鉴!F$10,MATCH(A146,梦灵图鉴!$E$11:$E$61,1),0)*SUM(梦灵属性!$E$26:$J$26)+OFFSET(梦灵图鉴!H$10,MATCH(A146,梦灵图鉴!$G$11:$G$61,1),0)*SUM(梦灵属性!$E$27:$J$27)+OFFSET(梦灵图鉴!J$10,MATCH(A146,梦灵图鉴!$I$11:$I$61,1),0)*SUM(梦灵属性!$E$28:$J$28)+OFFSET(梦灵图鉴!L$10,MATCH(A146,梦灵图鉴!$K$11:$K$61,1),0)*SUM(梦灵属性!$E$29:$J$29)</f>
        <v>14.1</v>
      </c>
      <c r="J146" s="56"/>
      <c r="K146" s="56"/>
      <c r="L146" s="22"/>
      <c r="M146" s="22"/>
      <c r="N146" s="22"/>
      <c r="P146" s="3">
        <f t="shared" si="4"/>
        <v>5</v>
      </c>
      <c r="Q146" s="3">
        <f t="shared" si="5"/>
        <v>40</v>
      </c>
      <c r="R146" s="3">
        <f ca="1">OFFSET(梦灵属性!G$37,$P146-2,0)</f>
        <v>120</v>
      </c>
      <c r="S146" s="3">
        <f ca="1">OFFSET(梦灵属性!H$37,$P146-2,0)</f>
        <v>1200</v>
      </c>
      <c r="T146" s="3">
        <f ca="1">OFFSET(梦灵属性!$E$37,$P146-2,0)*$Q146</f>
        <v>2.4</v>
      </c>
      <c r="U146" s="3">
        <f ca="1">OFFSET(梦灵属性!$E$37,$P146-2,0)*$Q146</f>
        <v>2.4</v>
      </c>
    </row>
    <row r="147" ht="16.5" spans="1:21">
      <c r="A147" s="54">
        <v>141</v>
      </c>
      <c r="B147" s="35">
        <f ca="1">OFFSET(梦灵本体产出!$G$6,MATCH(A147,梦灵本体产出!$I$7:$I$30,1),0)</f>
        <v>0</v>
      </c>
      <c r="C147" s="35" t="e">
        <f ca="1">MATCH(A147,OFFSET(梦灵属性!#REF!,50*(B147-3),0))</f>
        <v>#REF!</v>
      </c>
      <c r="D147" s="55"/>
      <c r="E147" s="55"/>
      <c r="F147" s="22" t="e">
        <f ca="1">_xlfn.XLOOKUP(B147,梦灵属性!$F$38:$F$41,梦灵属性!$E$38:$E$41)*C147</f>
        <v>#N/A</v>
      </c>
      <c r="G147" s="22" t="e">
        <f ca="1">_xlfn.XLOOKUP($B147,梦灵属性!$F$38:$F$41,梦灵属性!$E$38:$E$41)*$C147</f>
        <v>#N/A</v>
      </c>
      <c r="H147" s="22"/>
      <c r="I147" s="56">
        <f ca="1">OFFSET(梦灵图鉴!F$10,MATCH(A147,梦灵图鉴!$E$11:$E$61,1),0)*SUM(梦灵属性!$E$26:$J$26)+OFFSET(梦灵图鉴!H$10,MATCH(A147,梦灵图鉴!$G$11:$G$61,1),0)*SUM(梦灵属性!$E$27:$J$27)+OFFSET(梦灵图鉴!J$10,MATCH(A147,梦灵图鉴!$I$11:$I$61,1),0)*SUM(梦灵属性!$E$28:$J$28)+OFFSET(梦灵图鉴!L$10,MATCH(A147,梦灵图鉴!$K$11:$K$61,1),0)*SUM(梦灵属性!$E$29:$J$29)</f>
        <v>14.1</v>
      </c>
      <c r="J147" s="56"/>
      <c r="K147" s="56"/>
      <c r="L147" s="22"/>
      <c r="M147" s="22"/>
      <c r="N147" s="22"/>
      <c r="P147" s="3">
        <f t="shared" si="4"/>
        <v>5</v>
      </c>
      <c r="Q147" s="3">
        <f t="shared" si="5"/>
        <v>41</v>
      </c>
      <c r="R147" s="3">
        <f ca="1">OFFSET(梦灵属性!G$37,$P147-2,0)</f>
        <v>120</v>
      </c>
      <c r="S147" s="3">
        <f ca="1">OFFSET(梦灵属性!H$37,$P147-2,0)</f>
        <v>1200</v>
      </c>
      <c r="T147" s="3">
        <f ca="1">OFFSET(梦灵属性!$E$37,$P147-2,0)*$Q147</f>
        <v>2.46</v>
      </c>
      <c r="U147" s="3">
        <f ca="1">OFFSET(梦灵属性!$E$37,$P147-2,0)*$Q147</f>
        <v>2.46</v>
      </c>
    </row>
    <row r="148" ht="16.5" spans="1:21">
      <c r="A148" s="54">
        <v>142</v>
      </c>
      <c r="B148" s="35">
        <f ca="1">OFFSET(梦灵本体产出!$G$6,MATCH(A148,梦灵本体产出!$I$7:$I$30,1),0)</f>
        <v>0</v>
      </c>
      <c r="C148" s="35" t="e">
        <f ca="1">MATCH(A148,OFFSET(梦灵属性!#REF!,50*(B148-3),0))</f>
        <v>#REF!</v>
      </c>
      <c r="D148" s="55"/>
      <c r="E148" s="55"/>
      <c r="F148" s="22" t="e">
        <f ca="1">_xlfn.XLOOKUP(B148,梦灵属性!$F$38:$F$41,梦灵属性!$E$38:$E$41)*C148</f>
        <v>#N/A</v>
      </c>
      <c r="G148" s="22" t="e">
        <f ca="1">_xlfn.XLOOKUP($B148,梦灵属性!$F$38:$F$41,梦灵属性!$E$38:$E$41)*$C148</f>
        <v>#N/A</v>
      </c>
      <c r="H148" s="22"/>
      <c r="I148" s="56">
        <f ca="1">OFFSET(梦灵图鉴!F$10,MATCH(A148,梦灵图鉴!$E$11:$E$61,1),0)*SUM(梦灵属性!$E$26:$J$26)+OFFSET(梦灵图鉴!H$10,MATCH(A148,梦灵图鉴!$G$11:$G$61,1),0)*SUM(梦灵属性!$E$27:$J$27)+OFFSET(梦灵图鉴!J$10,MATCH(A148,梦灵图鉴!$I$11:$I$61,1),0)*SUM(梦灵属性!$E$28:$J$28)+OFFSET(梦灵图鉴!L$10,MATCH(A148,梦灵图鉴!$K$11:$K$61,1),0)*SUM(梦灵属性!$E$29:$J$29)</f>
        <v>14.1</v>
      </c>
      <c r="J148" s="56"/>
      <c r="K148" s="56"/>
      <c r="L148" s="22"/>
      <c r="M148" s="22"/>
      <c r="N148" s="22"/>
      <c r="P148" s="3">
        <f t="shared" si="4"/>
        <v>5</v>
      </c>
      <c r="Q148" s="3">
        <f t="shared" si="5"/>
        <v>42</v>
      </c>
      <c r="R148" s="3">
        <f ca="1">OFFSET(梦灵属性!G$37,$P148-2,0)</f>
        <v>120</v>
      </c>
      <c r="S148" s="3">
        <f ca="1">OFFSET(梦灵属性!H$37,$P148-2,0)</f>
        <v>1200</v>
      </c>
      <c r="T148" s="3">
        <f ca="1">OFFSET(梦灵属性!$E$37,$P148-2,0)*$Q148</f>
        <v>2.52</v>
      </c>
      <c r="U148" s="3">
        <f ca="1">OFFSET(梦灵属性!$E$37,$P148-2,0)*$Q148</f>
        <v>2.52</v>
      </c>
    </row>
    <row r="149" ht="16.5" spans="1:21">
      <c r="A149" s="54">
        <v>143</v>
      </c>
      <c r="B149" s="35">
        <f ca="1">OFFSET(梦灵本体产出!$G$6,MATCH(A149,梦灵本体产出!$I$7:$I$30,1),0)</f>
        <v>0</v>
      </c>
      <c r="C149" s="35" t="e">
        <f ca="1">MATCH(A149,OFFSET(梦灵属性!#REF!,50*(B149-3),0))</f>
        <v>#REF!</v>
      </c>
      <c r="D149" s="55"/>
      <c r="E149" s="55"/>
      <c r="F149" s="22" t="e">
        <f ca="1">_xlfn.XLOOKUP(B149,梦灵属性!$F$38:$F$41,梦灵属性!$E$38:$E$41)*C149</f>
        <v>#N/A</v>
      </c>
      <c r="G149" s="22" t="e">
        <f ca="1">_xlfn.XLOOKUP($B149,梦灵属性!$F$38:$F$41,梦灵属性!$E$38:$E$41)*$C149</f>
        <v>#N/A</v>
      </c>
      <c r="H149" s="22"/>
      <c r="I149" s="56">
        <f ca="1">OFFSET(梦灵图鉴!F$10,MATCH(A149,梦灵图鉴!$E$11:$E$61,1),0)*SUM(梦灵属性!$E$26:$J$26)+OFFSET(梦灵图鉴!H$10,MATCH(A149,梦灵图鉴!$G$11:$G$61,1),0)*SUM(梦灵属性!$E$27:$J$27)+OFFSET(梦灵图鉴!J$10,MATCH(A149,梦灵图鉴!$I$11:$I$61,1),0)*SUM(梦灵属性!$E$28:$J$28)+OFFSET(梦灵图鉴!L$10,MATCH(A149,梦灵图鉴!$K$11:$K$61,1),0)*SUM(梦灵属性!$E$29:$J$29)</f>
        <v>14.1</v>
      </c>
      <c r="J149" s="56"/>
      <c r="K149" s="56"/>
      <c r="L149" s="22"/>
      <c r="M149" s="22"/>
      <c r="N149" s="22"/>
      <c r="P149" s="3">
        <f t="shared" si="4"/>
        <v>5</v>
      </c>
      <c r="Q149" s="3">
        <f t="shared" si="5"/>
        <v>43</v>
      </c>
      <c r="R149" s="3">
        <f ca="1">OFFSET(梦灵属性!G$37,$P149-2,0)</f>
        <v>120</v>
      </c>
      <c r="S149" s="3">
        <f ca="1">OFFSET(梦灵属性!H$37,$P149-2,0)</f>
        <v>1200</v>
      </c>
      <c r="T149" s="3">
        <f ca="1">OFFSET(梦灵属性!$E$37,$P149-2,0)*$Q149</f>
        <v>2.58</v>
      </c>
      <c r="U149" s="3">
        <f ca="1">OFFSET(梦灵属性!$E$37,$P149-2,0)*$Q149</f>
        <v>2.58</v>
      </c>
    </row>
    <row r="150" ht="16.5" spans="1:21">
      <c r="A150" s="54">
        <v>144</v>
      </c>
      <c r="B150" s="35">
        <f ca="1">OFFSET(梦灵本体产出!$G$6,MATCH(A150,梦灵本体产出!$I$7:$I$30,1),0)</f>
        <v>0</v>
      </c>
      <c r="C150" s="35" t="e">
        <f ca="1">MATCH(A150,OFFSET(梦灵属性!#REF!,50*(B150-3),0))</f>
        <v>#REF!</v>
      </c>
      <c r="D150" s="55"/>
      <c r="E150" s="55"/>
      <c r="F150" s="22" t="e">
        <f ca="1">_xlfn.XLOOKUP(B150,梦灵属性!$F$38:$F$41,梦灵属性!$E$38:$E$41)*C150</f>
        <v>#N/A</v>
      </c>
      <c r="G150" s="22" t="e">
        <f ca="1">_xlfn.XLOOKUP($B150,梦灵属性!$F$38:$F$41,梦灵属性!$E$38:$E$41)*$C150</f>
        <v>#N/A</v>
      </c>
      <c r="H150" s="22"/>
      <c r="I150" s="56">
        <f ca="1">OFFSET(梦灵图鉴!F$10,MATCH(A150,梦灵图鉴!$E$11:$E$61,1),0)*SUM(梦灵属性!$E$26:$J$26)+OFFSET(梦灵图鉴!H$10,MATCH(A150,梦灵图鉴!$G$11:$G$61,1),0)*SUM(梦灵属性!$E$27:$J$27)+OFFSET(梦灵图鉴!J$10,MATCH(A150,梦灵图鉴!$I$11:$I$61,1),0)*SUM(梦灵属性!$E$28:$J$28)+OFFSET(梦灵图鉴!L$10,MATCH(A150,梦灵图鉴!$K$11:$K$61,1),0)*SUM(梦灵属性!$E$29:$J$29)</f>
        <v>14.1</v>
      </c>
      <c r="J150" s="56"/>
      <c r="K150" s="56"/>
      <c r="L150" s="22"/>
      <c r="M150" s="22"/>
      <c r="N150" s="22"/>
      <c r="P150" s="3">
        <f t="shared" si="4"/>
        <v>5</v>
      </c>
      <c r="Q150" s="3">
        <f t="shared" si="5"/>
        <v>44</v>
      </c>
      <c r="R150" s="3">
        <f ca="1">OFFSET(梦灵属性!G$37,$P150-2,0)</f>
        <v>120</v>
      </c>
      <c r="S150" s="3">
        <f ca="1">OFFSET(梦灵属性!H$37,$P150-2,0)</f>
        <v>1200</v>
      </c>
      <c r="T150" s="3">
        <f ca="1">OFFSET(梦灵属性!$E$37,$P150-2,0)*$Q150</f>
        <v>2.64</v>
      </c>
      <c r="U150" s="3">
        <f ca="1">OFFSET(梦灵属性!$E$37,$P150-2,0)*$Q150</f>
        <v>2.64</v>
      </c>
    </row>
    <row r="151" ht="16.5" spans="1:21">
      <c r="A151" s="54">
        <v>145</v>
      </c>
      <c r="B151" s="35">
        <f ca="1">OFFSET(梦灵本体产出!$G$6,MATCH(A151,梦灵本体产出!$I$7:$I$30,1),0)</f>
        <v>0</v>
      </c>
      <c r="C151" s="35" t="e">
        <f ca="1">MATCH(A151,OFFSET(梦灵属性!#REF!,50*(B151-3),0))</f>
        <v>#REF!</v>
      </c>
      <c r="D151" s="55"/>
      <c r="E151" s="55"/>
      <c r="F151" s="22" t="e">
        <f ca="1">_xlfn.XLOOKUP(B151,梦灵属性!$F$38:$F$41,梦灵属性!$E$38:$E$41)*C151</f>
        <v>#N/A</v>
      </c>
      <c r="G151" s="22" t="e">
        <f ca="1">_xlfn.XLOOKUP($B151,梦灵属性!$F$38:$F$41,梦灵属性!$E$38:$E$41)*$C151</f>
        <v>#N/A</v>
      </c>
      <c r="H151" s="22"/>
      <c r="I151" s="56">
        <f ca="1">OFFSET(梦灵图鉴!F$10,MATCH(A151,梦灵图鉴!$E$11:$E$61,1),0)*SUM(梦灵属性!$E$26:$J$26)+OFFSET(梦灵图鉴!H$10,MATCH(A151,梦灵图鉴!$G$11:$G$61,1),0)*SUM(梦灵属性!$E$27:$J$27)+OFFSET(梦灵图鉴!J$10,MATCH(A151,梦灵图鉴!$I$11:$I$61,1),0)*SUM(梦灵属性!$E$28:$J$28)+OFFSET(梦灵图鉴!L$10,MATCH(A151,梦灵图鉴!$K$11:$K$61,1),0)*SUM(梦灵属性!$E$29:$J$29)</f>
        <v>14.1</v>
      </c>
      <c r="J151" s="56"/>
      <c r="K151" s="56"/>
      <c r="L151" s="22"/>
      <c r="M151" s="22"/>
      <c r="N151" s="22"/>
      <c r="P151" s="3">
        <f t="shared" ref="P151:P176" si="6">P101+1</f>
        <v>5</v>
      </c>
      <c r="Q151" s="3">
        <f t="shared" ref="Q151:Q176" si="7">Q101</f>
        <v>45</v>
      </c>
      <c r="R151" s="3">
        <f ca="1">OFFSET(梦灵属性!G$37,$P151-2,0)</f>
        <v>120</v>
      </c>
      <c r="S151" s="3">
        <f ca="1">OFFSET(梦灵属性!H$37,$P151-2,0)</f>
        <v>1200</v>
      </c>
      <c r="T151" s="3">
        <f ca="1">OFFSET(梦灵属性!$E$37,$P151-2,0)*$Q151</f>
        <v>2.7</v>
      </c>
      <c r="U151" s="3">
        <f ca="1">OFFSET(梦灵属性!$E$37,$P151-2,0)*$Q151</f>
        <v>2.7</v>
      </c>
    </row>
    <row r="152" ht="16.5" spans="1:21">
      <c r="A152" s="54">
        <v>146</v>
      </c>
      <c r="B152" s="35">
        <f ca="1">OFFSET(梦灵本体产出!$G$6,MATCH(A152,梦灵本体产出!$I$7:$I$30,1),0)</f>
        <v>0</v>
      </c>
      <c r="C152" s="35" t="e">
        <f ca="1">MATCH(A152,OFFSET(梦灵属性!#REF!,50*(B152-3),0))</f>
        <v>#REF!</v>
      </c>
      <c r="D152" s="55"/>
      <c r="E152" s="55"/>
      <c r="F152" s="22" t="e">
        <f ca="1">_xlfn.XLOOKUP(B152,梦灵属性!$F$38:$F$41,梦灵属性!$E$38:$E$41)*C152</f>
        <v>#N/A</v>
      </c>
      <c r="G152" s="22" t="e">
        <f ca="1">_xlfn.XLOOKUP($B152,梦灵属性!$F$38:$F$41,梦灵属性!$E$38:$E$41)*$C152</f>
        <v>#N/A</v>
      </c>
      <c r="H152" s="22"/>
      <c r="I152" s="56">
        <f ca="1">OFFSET(梦灵图鉴!F$10,MATCH(A152,梦灵图鉴!$E$11:$E$61,1),0)*SUM(梦灵属性!$E$26:$J$26)+OFFSET(梦灵图鉴!H$10,MATCH(A152,梦灵图鉴!$G$11:$G$61,1),0)*SUM(梦灵属性!$E$27:$J$27)+OFFSET(梦灵图鉴!J$10,MATCH(A152,梦灵图鉴!$I$11:$I$61,1),0)*SUM(梦灵属性!$E$28:$J$28)+OFFSET(梦灵图鉴!L$10,MATCH(A152,梦灵图鉴!$K$11:$K$61,1),0)*SUM(梦灵属性!$E$29:$J$29)</f>
        <v>14.1</v>
      </c>
      <c r="J152" s="56"/>
      <c r="K152" s="56"/>
      <c r="L152" s="22"/>
      <c r="M152" s="22"/>
      <c r="N152" s="22"/>
      <c r="P152" s="3">
        <f t="shared" si="6"/>
        <v>5</v>
      </c>
      <c r="Q152" s="3">
        <f t="shared" si="7"/>
        <v>46</v>
      </c>
      <c r="R152" s="3">
        <f ca="1">OFFSET(梦灵属性!G$37,$P152-2,0)</f>
        <v>120</v>
      </c>
      <c r="S152" s="3">
        <f ca="1">OFFSET(梦灵属性!H$37,$P152-2,0)</f>
        <v>1200</v>
      </c>
      <c r="T152" s="3">
        <f ca="1">OFFSET(梦灵属性!$E$37,$P152-2,0)*$Q152</f>
        <v>2.76</v>
      </c>
      <c r="U152" s="3">
        <f ca="1">OFFSET(梦灵属性!$E$37,$P152-2,0)*$Q152</f>
        <v>2.76</v>
      </c>
    </row>
    <row r="153" ht="16.5" spans="1:21">
      <c r="A153" s="54">
        <v>147</v>
      </c>
      <c r="B153" s="35">
        <f ca="1">OFFSET(梦灵本体产出!$G$6,MATCH(A153,梦灵本体产出!$I$7:$I$30,1),0)</f>
        <v>0</v>
      </c>
      <c r="C153" s="35" t="e">
        <f ca="1">MATCH(A153,OFFSET(梦灵属性!#REF!,50*(B153-3),0))</f>
        <v>#REF!</v>
      </c>
      <c r="D153" s="55"/>
      <c r="E153" s="55"/>
      <c r="F153" s="22" t="e">
        <f ca="1">_xlfn.XLOOKUP(B153,梦灵属性!$F$38:$F$41,梦灵属性!$E$38:$E$41)*C153</f>
        <v>#N/A</v>
      </c>
      <c r="G153" s="22" t="e">
        <f ca="1">_xlfn.XLOOKUP($B153,梦灵属性!$F$38:$F$41,梦灵属性!$E$38:$E$41)*$C153</f>
        <v>#N/A</v>
      </c>
      <c r="H153" s="22"/>
      <c r="I153" s="56">
        <f ca="1">OFFSET(梦灵图鉴!F$10,MATCH(A153,梦灵图鉴!$E$11:$E$61,1),0)*SUM(梦灵属性!$E$26:$J$26)+OFFSET(梦灵图鉴!H$10,MATCH(A153,梦灵图鉴!$G$11:$G$61,1),0)*SUM(梦灵属性!$E$27:$J$27)+OFFSET(梦灵图鉴!J$10,MATCH(A153,梦灵图鉴!$I$11:$I$61,1),0)*SUM(梦灵属性!$E$28:$J$28)+OFFSET(梦灵图鉴!L$10,MATCH(A153,梦灵图鉴!$K$11:$K$61,1),0)*SUM(梦灵属性!$E$29:$J$29)</f>
        <v>14.1</v>
      </c>
      <c r="J153" s="56"/>
      <c r="K153" s="56"/>
      <c r="L153" s="22"/>
      <c r="M153" s="22"/>
      <c r="N153" s="22"/>
      <c r="P153" s="3">
        <f t="shared" si="6"/>
        <v>5</v>
      </c>
      <c r="Q153" s="3">
        <f t="shared" si="7"/>
        <v>47</v>
      </c>
      <c r="R153" s="3">
        <f ca="1">OFFSET(梦灵属性!G$37,$P153-2,0)</f>
        <v>120</v>
      </c>
      <c r="S153" s="3">
        <f ca="1">OFFSET(梦灵属性!H$37,$P153-2,0)</f>
        <v>1200</v>
      </c>
      <c r="T153" s="3">
        <f ca="1">OFFSET(梦灵属性!$E$37,$P153-2,0)*$Q153</f>
        <v>2.82</v>
      </c>
      <c r="U153" s="3">
        <f ca="1">OFFSET(梦灵属性!$E$37,$P153-2,0)*$Q153</f>
        <v>2.82</v>
      </c>
    </row>
    <row r="154" ht="16.5" spans="1:21">
      <c r="A154" s="54">
        <v>148</v>
      </c>
      <c r="B154" s="35">
        <f ca="1">OFFSET(梦灵本体产出!$G$6,MATCH(A154,梦灵本体产出!$I$7:$I$30,1),0)</f>
        <v>0</v>
      </c>
      <c r="C154" s="35" t="e">
        <f ca="1">MATCH(A154,OFFSET(梦灵属性!#REF!,50*(B154-3),0))</f>
        <v>#REF!</v>
      </c>
      <c r="D154" s="55"/>
      <c r="E154" s="55"/>
      <c r="F154" s="22" t="e">
        <f ca="1">_xlfn.XLOOKUP(B154,梦灵属性!$F$38:$F$41,梦灵属性!$E$38:$E$41)*C154</f>
        <v>#N/A</v>
      </c>
      <c r="G154" s="22" t="e">
        <f ca="1">_xlfn.XLOOKUP($B154,梦灵属性!$F$38:$F$41,梦灵属性!$E$38:$E$41)*$C154</f>
        <v>#N/A</v>
      </c>
      <c r="H154" s="22"/>
      <c r="I154" s="56">
        <f ca="1">OFFSET(梦灵图鉴!F$10,MATCH(A154,梦灵图鉴!$E$11:$E$61,1),0)*SUM(梦灵属性!$E$26:$J$26)+OFFSET(梦灵图鉴!H$10,MATCH(A154,梦灵图鉴!$G$11:$G$61,1),0)*SUM(梦灵属性!$E$27:$J$27)+OFFSET(梦灵图鉴!J$10,MATCH(A154,梦灵图鉴!$I$11:$I$61,1),0)*SUM(梦灵属性!$E$28:$J$28)+OFFSET(梦灵图鉴!L$10,MATCH(A154,梦灵图鉴!$K$11:$K$61,1),0)*SUM(梦灵属性!$E$29:$J$29)</f>
        <v>14.1</v>
      </c>
      <c r="J154" s="56"/>
      <c r="K154" s="56"/>
      <c r="L154" s="22"/>
      <c r="M154" s="22"/>
      <c r="N154" s="22"/>
      <c r="P154" s="3">
        <f t="shared" si="6"/>
        <v>5</v>
      </c>
      <c r="Q154" s="3">
        <f t="shared" si="7"/>
        <v>48</v>
      </c>
      <c r="R154" s="3">
        <f ca="1">OFFSET(梦灵属性!G$37,$P154-2,0)</f>
        <v>120</v>
      </c>
      <c r="S154" s="3">
        <f ca="1">OFFSET(梦灵属性!H$37,$P154-2,0)</f>
        <v>1200</v>
      </c>
      <c r="T154" s="3">
        <f ca="1">OFFSET(梦灵属性!$E$37,$P154-2,0)*$Q154</f>
        <v>2.88</v>
      </c>
      <c r="U154" s="3">
        <f ca="1">OFFSET(梦灵属性!$E$37,$P154-2,0)*$Q154</f>
        <v>2.88</v>
      </c>
    </row>
    <row r="155" ht="16.5" spans="1:21">
      <c r="A155" s="54">
        <v>149</v>
      </c>
      <c r="B155" s="35">
        <f ca="1">OFFSET(梦灵本体产出!$G$6,MATCH(A155,梦灵本体产出!$I$7:$I$30,1),0)</f>
        <v>0</v>
      </c>
      <c r="C155" s="35" t="e">
        <f ca="1">MATCH(A155,OFFSET(梦灵属性!#REF!,50*(B155-3),0))</f>
        <v>#REF!</v>
      </c>
      <c r="D155" s="55"/>
      <c r="E155" s="55"/>
      <c r="F155" s="22" t="e">
        <f ca="1">_xlfn.XLOOKUP(B155,梦灵属性!$F$38:$F$41,梦灵属性!$E$38:$E$41)*C155</f>
        <v>#N/A</v>
      </c>
      <c r="G155" s="22" t="e">
        <f ca="1">_xlfn.XLOOKUP($B155,梦灵属性!$F$38:$F$41,梦灵属性!$E$38:$E$41)*$C155</f>
        <v>#N/A</v>
      </c>
      <c r="H155" s="22"/>
      <c r="I155" s="56">
        <f ca="1">OFFSET(梦灵图鉴!F$10,MATCH(A155,梦灵图鉴!$E$11:$E$61,1),0)*SUM(梦灵属性!$E$26:$J$26)+OFFSET(梦灵图鉴!H$10,MATCH(A155,梦灵图鉴!$G$11:$G$61,1),0)*SUM(梦灵属性!$E$27:$J$27)+OFFSET(梦灵图鉴!J$10,MATCH(A155,梦灵图鉴!$I$11:$I$61,1),0)*SUM(梦灵属性!$E$28:$J$28)+OFFSET(梦灵图鉴!L$10,MATCH(A155,梦灵图鉴!$K$11:$K$61,1),0)*SUM(梦灵属性!$E$29:$J$29)</f>
        <v>14.1</v>
      </c>
      <c r="J155" s="56"/>
      <c r="K155" s="56"/>
      <c r="L155" s="22"/>
      <c r="M155" s="22"/>
      <c r="N155" s="22"/>
      <c r="P155" s="3">
        <f t="shared" si="6"/>
        <v>5</v>
      </c>
      <c r="Q155" s="3">
        <f t="shared" si="7"/>
        <v>49</v>
      </c>
      <c r="R155" s="3">
        <f ca="1">OFFSET(梦灵属性!G$37,$P155-2,0)</f>
        <v>120</v>
      </c>
      <c r="S155" s="3">
        <f ca="1">OFFSET(梦灵属性!H$37,$P155-2,0)</f>
        <v>1200</v>
      </c>
      <c r="T155" s="3">
        <f ca="1">OFFSET(梦灵属性!$E$37,$P155-2,0)*$Q155</f>
        <v>2.94</v>
      </c>
      <c r="U155" s="3">
        <f ca="1">OFFSET(梦灵属性!$E$37,$P155-2,0)*$Q155</f>
        <v>2.94</v>
      </c>
    </row>
    <row r="156" ht="16.5" spans="1:21">
      <c r="A156" s="54">
        <v>150</v>
      </c>
      <c r="B156" s="35">
        <f ca="1">OFFSET(梦灵本体产出!$G$6,MATCH(A156,梦灵本体产出!$I$7:$I$30,1),0)</f>
        <v>0</v>
      </c>
      <c r="C156" s="35" t="e">
        <f ca="1">MATCH(A156,OFFSET(梦灵属性!#REF!,50*(B156-3),0))</f>
        <v>#REF!</v>
      </c>
      <c r="D156" s="55"/>
      <c r="E156" s="55"/>
      <c r="F156" s="22" t="e">
        <f ca="1">_xlfn.XLOOKUP(B156,梦灵属性!$F$38:$F$41,梦灵属性!$E$38:$E$41)*C156</f>
        <v>#N/A</v>
      </c>
      <c r="G156" s="22" t="e">
        <f ca="1">_xlfn.XLOOKUP($B156,梦灵属性!$F$38:$F$41,梦灵属性!$E$38:$E$41)*$C156</f>
        <v>#N/A</v>
      </c>
      <c r="H156" s="22"/>
      <c r="I156" s="56">
        <f ca="1">OFFSET(梦灵图鉴!F$10,MATCH(A156,梦灵图鉴!$E$11:$E$61,1),0)*SUM(梦灵属性!$E$26:$J$26)+OFFSET(梦灵图鉴!H$10,MATCH(A156,梦灵图鉴!$G$11:$G$61,1),0)*SUM(梦灵属性!$E$27:$J$27)+OFFSET(梦灵图鉴!J$10,MATCH(A156,梦灵图鉴!$I$11:$I$61,1),0)*SUM(梦灵属性!$E$28:$J$28)+OFFSET(梦灵图鉴!L$10,MATCH(A156,梦灵图鉴!$K$11:$K$61,1),0)*SUM(梦灵属性!$E$29:$J$29)</f>
        <v>14.1</v>
      </c>
      <c r="J156" s="56"/>
      <c r="K156" s="56"/>
      <c r="L156" s="22"/>
      <c r="M156" s="22"/>
      <c r="N156" s="22"/>
      <c r="P156" s="3">
        <f t="shared" si="6"/>
        <v>5</v>
      </c>
      <c r="Q156" s="3">
        <f t="shared" si="7"/>
        <v>50</v>
      </c>
      <c r="R156" s="3">
        <f ca="1">OFFSET(梦灵属性!G$37,$P156-2,0)</f>
        <v>120</v>
      </c>
      <c r="S156" s="3">
        <f ca="1">OFFSET(梦灵属性!H$37,$P156-2,0)</f>
        <v>1200</v>
      </c>
      <c r="T156" s="3">
        <f ca="1">OFFSET(梦灵属性!$E$37,$P156-2,0)*$Q156</f>
        <v>3</v>
      </c>
      <c r="U156" s="3">
        <f ca="1">OFFSET(梦灵属性!$E$37,$P156-2,0)*$Q156</f>
        <v>3</v>
      </c>
    </row>
    <row r="157" ht="16.5" spans="1:21">
      <c r="A157" s="54">
        <v>151</v>
      </c>
      <c r="B157" s="35">
        <f ca="1">OFFSET(梦灵本体产出!$G$6,MATCH(A157,梦灵本体产出!$I$7:$I$30,1),0)</f>
        <v>0</v>
      </c>
      <c r="C157" s="35" t="e">
        <f ca="1">MATCH(A157,OFFSET(梦灵属性!#REF!,50*(B157-3),0))</f>
        <v>#REF!</v>
      </c>
      <c r="D157" s="55"/>
      <c r="E157" s="55"/>
      <c r="F157" s="22" t="e">
        <f ca="1">_xlfn.XLOOKUP(B157,梦灵属性!$F$38:$F$41,梦灵属性!$E$38:$E$41)*C157</f>
        <v>#N/A</v>
      </c>
      <c r="G157" s="22" t="e">
        <f ca="1">_xlfn.XLOOKUP($B157,梦灵属性!$F$38:$F$41,梦灵属性!$E$38:$E$41)*$C157</f>
        <v>#N/A</v>
      </c>
      <c r="H157" s="22"/>
      <c r="I157" s="56">
        <f ca="1">OFFSET(梦灵图鉴!F$10,MATCH(A157,梦灵图鉴!$E$11:$E$61,1),0)*SUM(梦灵属性!$E$26:$J$26)+OFFSET(梦灵图鉴!H$10,MATCH(A157,梦灵图鉴!$G$11:$G$61,1),0)*SUM(梦灵属性!$E$27:$J$27)+OFFSET(梦灵图鉴!J$10,MATCH(A157,梦灵图鉴!$I$11:$I$61,1),0)*SUM(梦灵属性!$E$28:$J$28)+OFFSET(梦灵图鉴!L$10,MATCH(A157,梦灵图鉴!$K$11:$K$61,1),0)*SUM(梦灵属性!$E$29:$J$29)</f>
        <v>14.1</v>
      </c>
      <c r="J157" s="56"/>
      <c r="K157" s="56"/>
      <c r="L157" s="22"/>
      <c r="M157" s="22"/>
      <c r="N157" s="22"/>
      <c r="P157" s="3">
        <f t="shared" si="6"/>
        <v>6</v>
      </c>
      <c r="Q157" s="3">
        <f t="shared" si="7"/>
        <v>1</v>
      </c>
      <c r="R157" s="3">
        <f ca="1">OFFSET(梦灵属性!G$37,$P157-2,0)</f>
        <v>180</v>
      </c>
      <c r="S157" s="3">
        <f ca="1">OFFSET(梦灵属性!H$37,$P157-2,0)</f>
        <v>1800</v>
      </c>
      <c r="T157" s="3">
        <f ca="1">OFFSET(梦灵属性!$E$37,$P157-2,0)*$Q157</f>
        <v>0.1</v>
      </c>
      <c r="U157" s="3">
        <f ca="1">OFFSET(梦灵属性!$E$37,$P157-2,0)*$Q157</f>
        <v>0.1</v>
      </c>
    </row>
    <row r="158" ht="16.5" spans="1:21">
      <c r="A158" s="54">
        <v>152</v>
      </c>
      <c r="B158" s="35">
        <f ca="1">OFFSET(梦灵本体产出!$G$6,MATCH(A158,梦灵本体产出!$I$7:$I$30,1),0)</f>
        <v>0</v>
      </c>
      <c r="C158" s="35" t="e">
        <f ca="1">MATCH(A158,OFFSET(梦灵属性!#REF!,50*(B158-3),0))</f>
        <v>#REF!</v>
      </c>
      <c r="D158" s="55"/>
      <c r="E158" s="55"/>
      <c r="F158" s="22" t="e">
        <f ca="1">_xlfn.XLOOKUP(B158,梦灵属性!$F$38:$F$41,梦灵属性!$E$38:$E$41)*C158</f>
        <v>#N/A</v>
      </c>
      <c r="G158" s="22" t="e">
        <f ca="1">_xlfn.XLOOKUP($B158,梦灵属性!$F$38:$F$41,梦灵属性!$E$38:$E$41)*$C158</f>
        <v>#N/A</v>
      </c>
      <c r="H158" s="22"/>
      <c r="I158" s="56">
        <f ca="1">OFFSET(梦灵图鉴!F$10,MATCH(A158,梦灵图鉴!$E$11:$E$61,1),0)*SUM(梦灵属性!$E$26:$J$26)+OFFSET(梦灵图鉴!H$10,MATCH(A158,梦灵图鉴!$G$11:$G$61,1),0)*SUM(梦灵属性!$E$27:$J$27)+OFFSET(梦灵图鉴!J$10,MATCH(A158,梦灵图鉴!$I$11:$I$61,1),0)*SUM(梦灵属性!$E$28:$J$28)+OFFSET(梦灵图鉴!L$10,MATCH(A158,梦灵图鉴!$K$11:$K$61,1),0)*SUM(梦灵属性!$E$29:$J$29)</f>
        <v>14.1</v>
      </c>
      <c r="J158" s="56"/>
      <c r="K158" s="56"/>
      <c r="L158" s="22"/>
      <c r="M158" s="22"/>
      <c r="N158" s="22"/>
      <c r="P158" s="3">
        <f t="shared" si="6"/>
        <v>6</v>
      </c>
      <c r="Q158" s="3">
        <f t="shared" si="7"/>
        <v>2</v>
      </c>
      <c r="R158" s="3">
        <f ca="1">OFFSET(梦灵属性!G$37,$P158-2,0)</f>
        <v>180</v>
      </c>
      <c r="S158" s="3">
        <f ca="1">OFFSET(梦灵属性!H$37,$P158-2,0)</f>
        <v>1800</v>
      </c>
      <c r="T158" s="3">
        <f ca="1">OFFSET(梦灵属性!$E$37,$P158-2,0)*$Q158</f>
        <v>0.2</v>
      </c>
      <c r="U158" s="3">
        <f ca="1">OFFSET(梦灵属性!$E$37,$P158-2,0)*$Q158</f>
        <v>0.2</v>
      </c>
    </row>
    <row r="159" ht="16.5" spans="1:21">
      <c r="A159" s="54">
        <v>153</v>
      </c>
      <c r="B159" s="35">
        <f ca="1">OFFSET(梦灵本体产出!$G$6,MATCH(A159,梦灵本体产出!$I$7:$I$30,1),0)</f>
        <v>0</v>
      </c>
      <c r="C159" s="35" t="e">
        <f ca="1">MATCH(A159,OFFSET(梦灵属性!#REF!,50*(B159-3),0))</f>
        <v>#REF!</v>
      </c>
      <c r="D159" s="55"/>
      <c r="E159" s="55"/>
      <c r="F159" s="22" t="e">
        <f ca="1">_xlfn.XLOOKUP(B159,梦灵属性!$F$38:$F$41,梦灵属性!$E$38:$E$41)*C159</f>
        <v>#N/A</v>
      </c>
      <c r="G159" s="22" t="e">
        <f ca="1">_xlfn.XLOOKUP($B159,梦灵属性!$F$38:$F$41,梦灵属性!$E$38:$E$41)*$C159</f>
        <v>#N/A</v>
      </c>
      <c r="H159" s="22"/>
      <c r="I159" s="56">
        <f ca="1">OFFSET(梦灵图鉴!F$10,MATCH(A159,梦灵图鉴!$E$11:$E$61,1),0)*SUM(梦灵属性!$E$26:$J$26)+OFFSET(梦灵图鉴!H$10,MATCH(A159,梦灵图鉴!$G$11:$G$61,1),0)*SUM(梦灵属性!$E$27:$J$27)+OFFSET(梦灵图鉴!J$10,MATCH(A159,梦灵图鉴!$I$11:$I$61,1),0)*SUM(梦灵属性!$E$28:$J$28)+OFFSET(梦灵图鉴!L$10,MATCH(A159,梦灵图鉴!$K$11:$K$61,1),0)*SUM(梦灵属性!$E$29:$J$29)</f>
        <v>14.1</v>
      </c>
      <c r="J159" s="56"/>
      <c r="K159" s="56"/>
      <c r="L159" s="22"/>
      <c r="M159" s="22"/>
      <c r="N159" s="22"/>
      <c r="P159" s="3">
        <f t="shared" si="6"/>
        <v>6</v>
      </c>
      <c r="Q159" s="3">
        <f t="shared" si="7"/>
        <v>3</v>
      </c>
      <c r="R159" s="3">
        <f ca="1">OFFSET(梦灵属性!G$37,$P159-2,0)</f>
        <v>180</v>
      </c>
      <c r="S159" s="3">
        <f ca="1">OFFSET(梦灵属性!H$37,$P159-2,0)</f>
        <v>1800</v>
      </c>
      <c r="T159" s="3">
        <f ca="1">OFFSET(梦灵属性!$E$37,$P159-2,0)*$Q159</f>
        <v>0.3</v>
      </c>
      <c r="U159" s="3">
        <f ca="1">OFFSET(梦灵属性!$E$37,$P159-2,0)*$Q159</f>
        <v>0.3</v>
      </c>
    </row>
    <row r="160" ht="16.5" spans="1:21">
      <c r="A160" s="54">
        <v>154</v>
      </c>
      <c r="B160" s="35">
        <f ca="1">OFFSET(梦灵本体产出!$G$6,MATCH(A160,梦灵本体产出!$I$7:$I$30,1),0)</f>
        <v>0</v>
      </c>
      <c r="C160" s="35" t="e">
        <f ca="1">MATCH(A160,OFFSET(梦灵属性!#REF!,50*(B160-3),0))</f>
        <v>#REF!</v>
      </c>
      <c r="D160" s="55"/>
      <c r="E160" s="55"/>
      <c r="F160" s="22" t="e">
        <f ca="1">_xlfn.XLOOKUP(B160,梦灵属性!$F$38:$F$41,梦灵属性!$E$38:$E$41)*C160</f>
        <v>#N/A</v>
      </c>
      <c r="G160" s="22" t="e">
        <f ca="1">_xlfn.XLOOKUP($B160,梦灵属性!$F$38:$F$41,梦灵属性!$E$38:$E$41)*$C160</f>
        <v>#N/A</v>
      </c>
      <c r="H160" s="22"/>
      <c r="I160" s="56">
        <f ca="1">OFFSET(梦灵图鉴!F$10,MATCH(A160,梦灵图鉴!$E$11:$E$61,1),0)*SUM(梦灵属性!$E$26:$J$26)+OFFSET(梦灵图鉴!H$10,MATCH(A160,梦灵图鉴!$G$11:$G$61,1),0)*SUM(梦灵属性!$E$27:$J$27)+OFFSET(梦灵图鉴!J$10,MATCH(A160,梦灵图鉴!$I$11:$I$61,1),0)*SUM(梦灵属性!$E$28:$J$28)+OFFSET(梦灵图鉴!L$10,MATCH(A160,梦灵图鉴!$K$11:$K$61,1),0)*SUM(梦灵属性!$E$29:$J$29)</f>
        <v>14.1</v>
      </c>
      <c r="J160" s="56"/>
      <c r="K160" s="56"/>
      <c r="L160" s="22"/>
      <c r="M160" s="22"/>
      <c r="N160" s="22"/>
      <c r="P160" s="3">
        <f t="shared" si="6"/>
        <v>6</v>
      </c>
      <c r="Q160" s="3">
        <f t="shared" si="7"/>
        <v>4</v>
      </c>
      <c r="R160" s="3">
        <f ca="1">OFFSET(梦灵属性!G$37,$P160-2,0)</f>
        <v>180</v>
      </c>
      <c r="S160" s="3">
        <f ca="1">OFFSET(梦灵属性!H$37,$P160-2,0)</f>
        <v>1800</v>
      </c>
      <c r="T160" s="3">
        <f ca="1">OFFSET(梦灵属性!$E$37,$P160-2,0)*$Q160</f>
        <v>0.4</v>
      </c>
      <c r="U160" s="3">
        <f ca="1">OFFSET(梦灵属性!$E$37,$P160-2,0)*$Q160</f>
        <v>0.4</v>
      </c>
    </row>
    <row r="161" ht="16.5" spans="1:21">
      <c r="A161" s="54">
        <v>155</v>
      </c>
      <c r="B161" s="35">
        <f ca="1">OFFSET(梦灵本体产出!$G$6,MATCH(A161,梦灵本体产出!$I$7:$I$30,1),0)</f>
        <v>0</v>
      </c>
      <c r="C161" s="35" t="e">
        <f ca="1">MATCH(A161,OFFSET(梦灵属性!#REF!,50*(B161-3),0))</f>
        <v>#REF!</v>
      </c>
      <c r="D161" s="55"/>
      <c r="E161" s="55"/>
      <c r="F161" s="22" t="e">
        <f ca="1">_xlfn.XLOOKUP(B161,梦灵属性!$F$38:$F$41,梦灵属性!$E$38:$E$41)*C161</f>
        <v>#N/A</v>
      </c>
      <c r="G161" s="22" t="e">
        <f ca="1">_xlfn.XLOOKUP($B161,梦灵属性!$F$38:$F$41,梦灵属性!$E$38:$E$41)*$C161</f>
        <v>#N/A</v>
      </c>
      <c r="H161" s="22"/>
      <c r="I161" s="56">
        <f ca="1">OFFSET(梦灵图鉴!F$10,MATCH(A161,梦灵图鉴!$E$11:$E$61,1),0)*SUM(梦灵属性!$E$26:$J$26)+OFFSET(梦灵图鉴!H$10,MATCH(A161,梦灵图鉴!$G$11:$G$61,1),0)*SUM(梦灵属性!$E$27:$J$27)+OFFSET(梦灵图鉴!J$10,MATCH(A161,梦灵图鉴!$I$11:$I$61,1),0)*SUM(梦灵属性!$E$28:$J$28)+OFFSET(梦灵图鉴!L$10,MATCH(A161,梦灵图鉴!$K$11:$K$61,1),0)*SUM(梦灵属性!$E$29:$J$29)</f>
        <v>14.1</v>
      </c>
      <c r="J161" s="56"/>
      <c r="K161" s="56"/>
      <c r="L161" s="22"/>
      <c r="M161" s="22"/>
      <c r="N161" s="22"/>
      <c r="P161" s="3">
        <f t="shared" si="6"/>
        <v>6</v>
      </c>
      <c r="Q161" s="3">
        <f t="shared" si="7"/>
        <v>5</v>
      </c>
      <c r="R161" s="3">
        <f ca="1">OFFSET(梦灵属性!G$37,$P161-2,0)</f>
        <v>180</v>
      </c>
      <c r="S161" s="3">
        <f ca="1">OFFSET(梦灵属性!H$37,$P161-2,0)</f>
        <v>1800</v>
      </c>
      <c r="T161" s="3">
        <f ca="1">OFFSET(梦灵属性!$E$37,$P161-2,0)*$Q161</f>
        <v>0.5</v>
      </c>
      <c r="U161" s="3">
        <f ca="1">OFFSET(梦灵属性!$E$37,$P161-2,0)*$Q161</f>
        <v>0.5</v>
      </c>
    </row>
    <row r="162" ht="16.5" spans="1:21">
      <c r="A162" s="54">
        <v>156</v>
      </c>
      <c r="B162" s="35">
        <f ca="1">OFFSET(梦灵本体产出!$G$6,MATCH(A162,梦灵本体产出!$I$7:$I$30,1),0)</f>
        <v>0</v>
      </c>
      <c r="C162" s="35" t="e">
        <f ca="1">MATCH(A162,OFFSET(梦灵属性!#REF!,50*(B162-3),0))</f>
        <v>#REF!</v>
      </c>
      <c r="D162" s="55"/>
      <c r="E162" s="55"/>
      <c r="F162" s="22" t="e">
        <f ca="1">_xlfn.XLOOKUP(B162,梦灵属性!$F$38:$F$41,梦灵属性!$E$38:$E$41)*C162</f>
        <v>#N/A</v>
      </c>
      <c r="G162" s="22" t="e">
        <f ca="1">_xlfn.XLOOKUP($B162,梦灵属性!$F$38:$F$41,梦灵属性!$E$38:$E$41)*$C162</f>
        <v>#N/A</v>
      </c>
      <c r="H162" s="22"/>
      <c r="I162" s="56">
        <f ca="1">OFFSET(梦灵图鉴!F$10,MATCH(A162,梦灵图鉴!$E$11:$E$61,1),0)*SUM(梦灵属性!$E$26:$J$26)+OFFSET(梦灵图鉴!H$10,MATCH(A162,梦灵图鉴!$G$11:$G$61,1),0)*SUM(梦灵属性!$E$27:$J$27)+OFFSET(梦灵图鉴!J$10,MATCH(A162,梦灵图鉴!$I$11:$I$61,1),0)*SUM(梦灵属性!$E$28:$J$28)+OFFSET(梦灵图鉴!L$10,MATCH(A162,梦灵图鉴!$K$11:$K$61,1),0)*SUM(梦灵属性!$E$29:$J$29)</f>
        <v>14.1</v>
      </c>
      <c r="J162" s="56"/>
      <c r="K162" s="56"/>
      <c r="L162" s="22"/>
      <c r="M162" s="22"/>
      <c r="N162" s="22"/>
      <c r="P162" s="3">
        <f t="shared" si="6"/>
        <v>6</v>
      </c>
      <c r="Q162" s="3">
        <f t="shared" si="7"/>
        <v>6</v>
      </c>
      <c r="R162" s="3">
        <f ca="1">OFFSET(梦灵属性!G$37,$P162-2,0)</f>
        <v>180</v>
      </c>
      <c r="S162" s="3">
        <f ca="1">OFFSET(梦灵属性!H$37,$P162-2,0)</f>
        <v>1800</v>
      </c>
      <c r="T162" s="3">
        <f ca="1">OFFSET(梦灵属性!$E$37,$P162-2,0)*$Q162</f>
        <v>0.6</v>
      </c>
      <c r="U162" s="3">
        <f ca="1">OFFSET(梦灵属性!$E$37,$P162-2,0)*$Q162</f>
        <v>0.6</v>
      </c>
    </row>
    <row r="163" ht="16.5" spans="1:21">
      <c r="A163" s="54">
        <v>157</v>
      </c>
      <c r="B163" s="35">
        <f ca="1">OFFSET(梦灵本体产出!$G$6,MATCH(A163,梦灵本体产出!$I$7:$I$30,1),0)</f>
        <v>0</v>
      </c>
      <c r="C163" s="35" t="e">
        <f ca="1">MATCH(A163,OFFSET(梦灵属性!#REF!,50*(B163-3),0))</f>
        <v>#REF!</v>
      </c>
      <c r="D163" s="55"/>
      <c r="E163" s="55"/>
      <c r="F163" s="22" t="e">
        <f ca="1">_xlfn.XLOOKUP(B163,梦灵属性!$F$38:$F$41,梦灵属性!$E$38:$E$41)*C163</f>
        <v>#N/A</v>
      </c>
      <c r="G163" s="22" t="e">
        <f ca="1">_xlfn.XLOOKUP($B163,梦灵属性!$F$38:$F$41,梦灵属性!$E$38:$E$41)*$C163</f>
        <v>#N/A</v>
      </c>
      <c r="H163" s="22"/>
      <c r="I163" s="56">
        <f ca="1">OFFSET(梦灵图鉴!F$10,MATCH(A163,梦灵图鉴!$E$11:$E$61,1),0)*SUM(梦灵属性!$E$26:$J$26)+OFFSET(梦灵图鉴!H$10,MATCH(A163,梦灵图鉴!$G$11:$G$61,1),0)*SUM(梦灵属性!$E$27:$J$27)+OFFSET(梦灵图鉴!J$10,MATCH(A163,梦灵图鉴!$I$11:$I$61,1),0)*SUM(梦灵属性!$E$28:$J$28)+OFFSET(梦灵图鉴!L$10,MATCH(A163,梦灵图鉴!$K$11:$K$61,1),0)*SUM(梦灵属性!$E$29:$J$29)</f>
        <v>14.1</v>
      </c>
      <c r="J163" s="56"/>
      <c r="K163" s="56"/>
      <c r="L163" s="22"/>
      <c r="M163" s="22"/>
      <c r="N163" s="22"/>
      <c r="P163" s="3">
        <f t="shared" si="6"/>
        <v>6</v>
      </c>
      <c r="Q163" s="3">
        <f t="shared" si="7"/>
        <v>7</v>
      </c>
      <c r="R163" s="3">
        <f ca="1">OFFSET(梦灵属性!G$37,$P163-2,0)</f>
        <v>180</v>
      </c>
      <c r="S163" s="3">
        <f ca="1">OFFSET(梦灵属性!H$37,$P163-2,0)</f>
        <v>1800</v>
      </c>
      <c r="T163" s="3">
        <f ca="1">OFFSET(梦灵属性!$E$37,$P163-2,0)*$Q163</f>
        <v>0.7</v>
      </c>
      <c r="U163" s="3">
        <f ca="1">OFFSET(梦灵属性!$E$37,$P163-2,0)*$Q163</f>
        <v>0.7</v>
      </c>
    </row>
    <row r="164" ht="16.5" spans="1:21">
      <c r="A164" s="54">
        <v>158</v>
      </c>
      <c r="B164" s="35">
        <f ca="1">OFFSET(梦灵本体产出!$G$6,MATCH(A164,梦灵本体产出!$I$7:$I$30,1),0)</f>
        <v>0</v>
      </c>
      <c r="C164" s="35" t="e">
        <f ca="1">MATCH(A164,OFFSET(梦灵属性!#REF!,50*(B164-3),0))</f>
        <v>#REF!</v>
      </c>
      <c r="D164" s="55"/>
      <c r="E164" s="55"/>
      <c r="F164" s="22" t="e">
        <f ca="1">_xlfn.XLOOKUP(B164,梦灵属性!$F$38:$F$41,梦灵属性!$E$38:$E$41)*C164</f>
        <v>#N/A</v>
      </c>
      <c r="G164" s="22" t="e">
        <f ca="1">_xlfn.XLOOKUP($B164,梦灵属性!$F$38:$F$41,梦灵属性!$E$38:$E$41)*$C164</f>
        <v>#N/A</v>
      </c>
      <c r="H164" s="22"/>
      <c r="I164" s="56">
        <f ca="1">OFFSET(梦灵图鉴!F$10,MATCH(A164,梦灵图鉴!$E$11:$E$61,1),0)*SUM(梦灵属性!$E$26:$J$26)+OFFSET(梦灵图鉴!H$10,MATCH(A164,梦灵图鉴!$G$11:$G$61,1),0)*SUM(梦灵属性!$E$27:$J$27)+OFFSET(梦灵图鉴!J$10,MATCH(A164,梦灵图鉴!$I$11:$I$61,1),0)*SUM(梦灵属性!$E$28:$J$28)+OFFSET(梦灵图鉴!L$10,MATCH(A164,梦灵图鉴!$K$11:$K$61,1),0)*SUM(梦灵属性!$E$29:$J$29)</f>
        <v>14.1</v>
      </c>
      <c r="J164" s="56"/>
      <c r="K164" s="56"/>
      <c r="L164" s="22"/>
      <c r="M164" s="22"/>
      <c r="N164" s="22"/>
      <c r="P164" s="3">
        <f t="shared" si="6"/>
        <v>6</v>
      </c>
      <c r="Q164" s="3">
        <f t="shared" si="7"/>
        <v>8</v>
      </c>
      <c r="R164" s="3">
        <f ca="1">OFFSET(梦灵属性!G$37,$P164-2,0)</f>
        <v>180</v>
      </c>
      <c r="S164" s="3">
        <f ca="1">OFFSET(梦灵属性!H$37,$P164-2,0)</f>
        <v>1800</v>
      </c>
      <c r="T164" s="3">
        <f ca="1">OFFSET(梦灵属性!$E$37,$P164-2,0)*$Q164</f>
        <v>0.8</v>
      </c>
      <c r="U164" s="3">
        <f ca="1">OFFSET(梦灵属性!$E$37,$P164-2,0)*$Q164</f>
        <v>0.8</v>
      </c>
    </row>
    <row r="165" ht="16.5" spans="1:21">
      <c r="A165" s="54">
        <v>159</v>
      </c>
      <c r="B165" s="35">
        <f ca="1">OFFSET(梦灵本体产出!$G$6,MATCH(A165,梦灵本体产出!$I$7:$I$30,1),0)</f>
        <v>0</v>
      </c>
      <c r="C165" s="35" t="e">
        <f ca="1">MATCH(A165,OFFSET(梦灵属性!#REF!,50*(B165-3),0))</f>
        <v>#REF!</v>
      </c>
      <c r="D165" s="55"/>
      <c r="E165" s="55"/>
      <c r="F165" s="22" t="e">
        <f ca="1">_xlfn.XLOOKUP(B165,梦灵属性!$F$38:$F$41,梦灵属性!$E$38:$E$41)*C165</f>
        <v>#N/A</v>
      </c>
      <c r="G165" s="22" t="e">
        <f ca="1">_xlfn.XLOOKUP($B165,梦灵属性!$F$38:$F$41,梦灵属性!$E$38:$E$41)*$C165</f>
        <v>#N/A</v>
      </c>
      <c r="H165" s="22"/>
      <c r="I165" s="56">
        <f ca="1">OFFSET(梦灵图鉴!F$10,MATCH(A165,梦灵图鉴!$E$11:$E$61,1),0)*SUM(梦灵属性!$E$26:$J$26)+OFFSET(梦灵图鉴!H$10,MATCH(A165,梦灵图鉴!$G$11:$G$61,1),0)*SUM(梦灵属性!$E$27:$J$27)+OFFSET(梦灵图鉴!J$10,MATCH(A165,梦灵图鉴!$I$11:$I$61,1),0)*SUM(梦灵属性!$E$28:$J$28)+OFFSET(梦灵图鉴!L$10,MATCH(A165,梦灵图鉴!$K$11:$K$61,1),0)*SUM(梦灵属性!$E$29:$J$29)</f>
        <v>14.1</v>
      </c>
      <c r="J165" s="56"/>
      <c r="K165" s="56"/>
      <c r="L165" s="22"/>
      <c r="M165" s="22"/>
      <c r="N165" s="22"/>
      <c r="P165" s="3">
        <f t="shared" si="6"/>
        <v>6</v>
      </c>
      <c r="Q165" s="3">
        <f t="shared" si="7"/>
        <v>9</v>
      </c>
      <c r="R165" s="3">
        <f ca="1">OFFSET(梦灵属性!G$37,$P165-2,0)</f>
        <v>180</v>
      </c>
      <c r="S165" s="3">
        <f ca="1">OFFSET(梦灵属性!H$37,$P165-2,0)</f>
        <v>1800</v>
      </c>
      <c r="T165" s="3">
        <f ca="1">OFFSET(梦灵属性!$E$37,$P165-2,0)*$Q165</f>
        <v>0.9</v>
      </c>
      <c r="U165" s="3">
        <f ca="1">OFFSET(梦灵属性!$E$37,$P165-2,0)*$Q165</f>
        <v>0.9</v>
      </c>
    </row>
    <row r="166" ht="16.5" spans="1:21">
      <c r="A166" s="54">
        <v>160</v>
      </c>
      <c r="B166" s="35">
        <f ca="1">OFFSET(梦灵本体产出!$G$6,MATCH(A166,梦灵本体产出!$I$7:$I$30,1),0)</f>
        <v>0</v>
      </c>
      <c r="C166" s="35" t="e">
        <f ca="1">MATCH(A166,OFFSET(梦灵属性!#REF!,50*(B166-3),0))</f>
        <v>#REF!</v>
      </c>
      <c r="D166" s="55"/>
      <c r="E166" s="55"/>
      <c r="F166" s="22" t="e">
        <f ca="1">_xlfn.XLOOKUP(B166,梦灵属性!$F$38:$F$41,梦灵属性!$E$38:$E$41)*C166</f>
        <v>#N/A</v>
      </c>
      <c r="G166" s="22" t="e">
        <f ca="1">_xlfn.XLOOKUP($B166,梦灵属性!$F$38:$F$41,梦灵属性!$E$38:$E$41)*$C166</f>
        <v>#N/A</v>
      </c>
      <c r="H166" s="22"/>
      <c r="I166" s="56">
        <f ca="1">OFFSET(梦灵图鉴!F$10,MATCH(A166,梦灵图鉴!$E$11:$E$61,1),0)*SUM(梦灵属性!$E$26:$J$26)+OFFSET(梦灵图鉴!H$10,MATCH(A166,梦灵图鉴!$G$11:$G$61,1),0)*SUM(梦灵属性!$E$27:$J$27)+OFFSET(梦灵图鉴!J$10,MATCH(A166,梦灵图鉴!$I$11:$I$61,1),0)*SUM(梦灵属性!$E$28:$J$28)+OFFSET(梦灵图鉴!L$10,MATCH(A166,梦灵图鉴!$K$11:$K$61,1),0)*SUM(梦灵属性!$E$29:$J$29)</f>
        <v>14.1</v>
      </c>
      <c r="J166" s="56"/>
      <c r="K166" s="56"/>
      <c r="L166" s="22"/>
      <c r="M166" s="22"/>
      <c r="N166" s="22"/>
      <c r="P166" s="3">
        <f t="shared" si="6"/>
        <v>6</v>
      </c>
      <c r="Q166" s="3">
        <f t="shared" si="7"/>
        <v>10</v>
      </c>
      <c r="R166" s="3">
        <f ca="1">OFFSET(梦灵属性!G$37,$P166-2,0)</f>
        <v>180</v>
      </c>
      <c r="S166" s="3">
        <f ca="1">OFFSET(梦灵属性!H$37,$P166-2,0)</f>
        <v>1800</v>
      </c>
      <c r="T166" s="3">
        <f ca="1">OFFSET(梦灵属性!$E$37,$P166-2,0)*$Q166</f>
        <v>1</v>
      </c>
      <c r="U166" s="3">
        <f ca="1">OFFSET(梦灵属性!$E$37,$P166-2,0)*$Q166</f>
        <v>1</v>
      </c>
    </row>
    <row r="167" ht="16.5" spans="1:21">
      <c r="A167" s="54">
        <v>161</v>
      </c>
      <c r="B167" s="35">
        <f ca="1">OFFSET(梦灵本体产出!$G$6,MATCH(A167,梦灵本体产出!$I$7:$I$30,1),0)</f>
        <v>0</v>
      </c>
      <c r="C167" s="35" t="e">
        <f ca="1">MATCH(A167,OFFSET(梦灵属性!#REF!,50*(B167-3),0))</f>
        <v>#REF!</v>
      </c>
      <c r="D167" s="55"/>
      <c r="E167" s="55"/>
      <c r="F167" s="22" t="e">
        <f ca="1">_xlfn.XLOOKUP(B167,梦灵属性!$F$38:$F$41,梦灵属性!$E$38:$E$41)*C167</f>
        <v>#N/A</v>
      </c>
      <c r="G167" s="22" t="e">
        <f ca="1">_xlfn.XLOOKUP($B167,梦灵属性!$F$38:$F$41,梦灵属性!$E$38:$E$41)*$C167</f>
        <v>#N/A</v>
      </c>
      <c r="H167" s="22"/>
      <c r="I167" s="56">
        <f ca="1">OFFSET(梦灵图鉴!F$10,MATCH(A167,梦灵图鉴!$E$11:$E$61,1),0)*SUM(梦灵属性!$E$26:$J$26)+OFFSET(梦灵图鉴!H$10,MATCH(A167,梦灵图鉴!$G$11:$G$61,1),0)*SUM(梦灵属性!$E$27:$J$27)+OFFSET(梦灵图鉴!J$10,MATCH(A167,梦灵图鉴!$I$11:$I$61,1),0)*SUM(梦灵属性!$E$28:$J$28)+OFFSET(梦灵图鉴!L$10,MATCH(A167,梦灵图鉴!$K$11:$K$61,1),0)*SUM(梦灵属性!$E$29:$J$29)</f>
        <v>14.1</v>
      </c>
      <c r="J167" s="56"/>
      <c r="K167" s="56"/>
      <c r="L167" s="22"/>
      <c r="M167" s="22"/>
      <c r="N167" s="22"/>
      <c r="P167" s="3">
        <f t="shared" si="6"/>
        <v>6</v>
      </c>
      <c r="Q167" s="3">
        <f t="shared" si="7"/>
        <v>11</v>
      </c>
      <c r="R167" s="3">
        <f ca="1">OFFSET(梦灵属性!G$37,$P167-2,0)</f>
        <v>180</v>
      </c>
      <c r="S167" s="3">
        <f ca="1">OFFSET(梦灵属性!H$37,$P167-2,0)</f>
        <v>1800</v>
      </c>
      <c r="T167" s="3">
        <f ca="1">OFFSET(梦灵属性!$E$37,$P167-2,0)*$Q167</f>
        <v>1.1</v>
      </c>
      <c r="U167" s="3">
        <f ca="1">OFFSET(梦灵属性!$E$37,$P167-2,0)*$Q167</f>
        <v>1.1</v>
      </c>
    </row>
    <row r="168" ht="16.5" spans="1:21">
      <c r="A168" s="54">
        <v>162</v>
      </c>
      <c r="B168" s="35">
        <f ca="1">OFFSET(梦灵本体产出!$G$6,MATCH(A168,梦灵本体产出!$I$7:$I$30,1),0)</f>
        <v>0</v>
      </c>
      <c r="C168" s="35" t="e">
        <f ca="1">MATCH(A168,OFFSET(梦灵属性!#REF!,50*(B168-3),0))</f>
        <v>#REF!</v>
      </c>
      <c r="D168" s="55"/>
      <c r="E168" s="55"/>
      <c r="F168" s="22" t="e">
        <f ca="1">_xlfn.XLOOKUP(B168,梦灵属性!$F$38:$F$41,梦灵属性!$E$38:$E$41)*C168</f>
        <v>#N/A</v>
      </c>
      <c r="G168" s="22" t="e">
        <f ca="1">_xlfn.XLOOKUP($B168,梦灵属性!$F$38:$F$41,梦灵属性!$E$38:$E$41)*$C168</f>
        <v>#N/A</v>
      </c>
      <c r="H168" s="22"/>
      <c r="I168" s="56">
        <f ca="1">OFFSET(梦灵图鉴!F$10,MATCH(A168,梦灵图鉴!$E$11:$E$61,1),0)*SUM(梦灵属性!$E$26:$J$26)+OFFSET(梦灵图鉴!H$10,MATCH(A168,梦灵图鉴!$G$11:$G$61,1),0)*SUM(梦灵属性!$E$27:$J$27)+OFFSET(梦灵图鉴!J$10,MATCH(A168,梦灵图鉴!$I$11:$I$61,1),0)*SUM(梦灵属性!$E$28:$J$28)+OFFSET(梦灵图鉴!L$10,MATCH(A168,梦灵图鉴!$K$11:$K$61,1),0)*SUM(梦灵属性!$E$29:$J$29)</f>
        <v>14.1</v>
      </c>
      <c r="J168" s="56"/>
      <c r="K168" s="56"/>
      <c r="L168" s="22"/>
      <c r="M168" s="22"/>
      <c r="N168" s="22"/>
      <c r="P168" s="3">
        <f t="shared" si="6"/>
        <v>6</v>
      </c>
      <c r="Q168" s="3">
        <f t="shared" si="7"/>
        <v>12</v>
      </c>
      <c r="R168" s="3">
        <f ca="1">OFFSET(梦灵属性!G$37,$P168-2,0)</f>
        <v>180</v>
      </c>
      <c r="S168" s="3">
        <f ca="1">OFFSET(梦灵属性!H$37,$P168-2,0)</f>
        <v>1800</v>
      </c>
      <c r="T168" s="3">
        <f ca="1">OFFSET(梦灵属性!$E$37,$P168-2,0)*$Q168</f>
        <v>1.2</v>
      </c>
      <c r="U168" s="3">
        <f ca="1">OFFSET(梦灵属性!$E$37,$P168-2,0)*$Q168</f>
        <v>1.2</v>
      </c>
    </row>
    <row r="169" ht="16.5" spans="1:21">
      <c r="A169" s="54">
        <v>163</v>
      </c>
      <c r="B169" s="35">
        <f ca="1">OFFSET(梦灵本体产出!$G$6,MATCH(A169,梦灵本体产出!$I$7:$I$30,1),0)</f>
        <v>0</v>
      </c>
      <c r="C169" s="35" t="e">
        <f ca="1">MATCH(A169,OFFSET(梦灵属性!#REF!,50*(B169-3),0))</f>
        <v>#REF!</v>
      </c>
      <c r="D169" s="55"/>
      <c r="E169" s="55"/>
      <c r="F169" s="22" t="e">
        <f ca="1">_xlfn.XLOOKUP(B169,梦灵属性!$F$38:$F$41,梦灵属性!$E$38:$E$41)*C169</f>
        <v>#N/A</v>
      </c>
      <c r="G169" s="22" t="e">
        <f ca="1">_xlfn.XLOOKUP($B169,梦灵属性!$F$38:$F$41,梦灵属性!$E$38:$E$41)*$C169</f>
        <v>#N/A</v>
      </c>
      <c r="H169" s="22"/>
      <c r="I169" s="56">
        <f ca="1">OFFSET(梦灵图鉴!F$10,MATCH(A169,梦灵图鉴!$E$11:$E$61,1),0)*SUM(梦灵属性!$E$26:$J$26)+OFFSET(梦灵图鉴!H$10,MATCH(A169,梦灵图鉴!$G$11:$G$61,1),0)*SUM(梦灵属性!$E$27:$J$27)+OFFSET(梦灵图鉴!J$10,MATCH(A169,梦灵图鉴!$I$11:$I$61,1),0)*SUM(梦灵属性!$E$28:$J$28)+OFFSET(梦灵图鉴!L$10,MATCH(A169,梦灵图鉴!$K$11:$K$61,1),0)*SUM(梦灵属性!$E$29:$J$29)</f>
        <v>14.1</v>
      </c>
      <c r="J169" s="56"/>
      <c r="K169" s="56"/>
      <c r="L169" s="22"/>
      <c r="M169" s="22"/>
      <c r="N169" s="22"/>
      <c r="P169" s="3">
        <f t="shared" si="6"/>
        <v>6</v>
      </c>
      <c r="Q169" s="3">
        <f t="shared" si="7"/>
        <v>13</v>
      </c>
      <c r="R169" s="3">
        <f ca="1">OFFSET(梦灵属性!G$37,$P169-2,0)</f>
        <v>180</v>
      </c>
      <c r="S169" s="3">
        <f ca="1">OFFSET(梦灵属性!H$37,$P169-2,0)</f>
        <v>1800</v>
      </c>
      <c r="T169" s="3">
        <f ca="1">OFFSET(梦灵属性!$E$37,$P169-2,0)*$Q169</f>
        <v>1.3</v>
      </c>
      <c r="U169" s="3">
        <f ca="1">OFFSET(梦灵属性!$E$37,$P169-2,0)*$Q169</f>
        <v>1.3</v>
      </c>
    </row>
    <row r="170" ht="16.5" spans="1:21">
      <c r="A170" s="54">
        <v>164</v>
      </c>
      <c r="B170" s="35">
        <f ca="1">OFFSET(梦灵本体产出!$G$6,MATCH(A170,梦灵本体产出!$I$7:$I$30,1),0)</f>
        <v>0</v>
      </c>
      <c r="C170" s="35" t="e">
        <f ca="1">MATCH(A170,OFFSET(梦灵属性!#REF!,50*(B170-3),0))</f>
        <v>#REF!</v>
      </c>
      <c r="D170" s="55"/>
      <c r="E170" s="55"/>
      <c r="F170" s="22" t="e">
        <f ca="1">_xlfn.XLOOKUP(B170,梦灵属性!$F$38:$F$41,梦灵属性!$E$38:$E$41)*C170</f>
        <v>#N/A</v>
      </c>
      <c r="G170" s="22" t="e">
        <f ca="1">_xlfn.XLOOKUP($B170,梦灵属性!$F$38:$F$41,梦灵属性!$E$38:$E$41)*$C170</f>
        <v>#N/A</v>
      </c>
      <c r="H170" s="22"/>
      <c r="I170" s="56">
        <f ca="1">OFFSET(梦灵图鉴!F$10,MATCH(A170,梦灵图鉴!$E$11:$E$61,1),0)*SUM(梦灵属性!$E$26:$J$26)+OFFSET(梦灵图鉴!H$10,MATCH(A170,梦灵图鉴!$G$11:$G$61,1),0)*SUM(梦灵属性!$E$27:$J$27)+OFFSET(梦灵图鉴!J$10,MATCH(A170,梦灵图鉴!$I$11:$I$61,1),0)*SUM(梦灵属性!$E$28:$J$28)+OFFSET(梦灵图鉴!L$10,MATCH(A170,梦灵图鉴!$K$11:$K$61,1),0)*SUM(梦灵属性!$E$29:$J$29)</f>
        <v>14.1</v>
      </c>
      <c r="J170" s="56"/>
      <c r="K170" s="56"/>
      <c r="L170" s="22"/>
      <c r="M170" s="22"/>
      <c r="N170" s="22"/>
      <c r="P170" s="3">
        <f t="shared" si="6"/>
        <v>6</v>
      </c>
      <c r="Q170" s="3">
        <f t="shared" si="7"/>
        <v>14</v>
      </c>
      <c r="R170" s="3">
        <f ca="1">OFFSET(梦灵属性!G$37,$P170-2,0)</f>
        <v>180</v>
      </c>
      <c r="S170" s="3">
        <f ca="1">OFFSET(梦灵属性!H$37,$P170-2,0)</f>
        <v>1800</v>
      </c>
      <c r="T170" s="3">
        <f ca="1">OFFSET(梦灵属性!$E$37,$P170-2,0)*$Q170</f>
        <v>1.4</v>
      </c>
      <c r="U170" s="3">
        <f ca="1">OFFSET(梦灵属性!$E$37,$P170-2,0)*$Q170</f>
        <v>1.4</v>
      </c>
    </row>
    <row r="171" ht="16.5" spans="1:21">
      <c r="A171" s="54">
        <v>165</v>
      </c>
      <c r="B171" s="35">
        <f ca="1">OFFSET(梦灵本体产出!$G$6,MATCH(A171,梦灵本体产出!$I$7:$I$30,1),0)</f>
        <v>0</v>
      </c>
      <c r="C171" s="35" t="e">
        <f ca="1">MATCH(A171,OFFSET(梦灵属性!#REF!,50*(B171-3),0))</f>
        <v>#REF!</v>
      </c>
      <c r="D171" s="55"/>
      <c r="E171" s="55"/>
      <c r="F171" s="22" t="e">
        <f ca="1">_xlfn.XLOOKUP(B171,梦灵属性!$F$38:$F$41,梦灵属性!$E$38:$E$41)*C171</f>
        <v>#N/A</v>
      </c>
      <c r="G171" s="22" t="e">
        <f ca="1">_xlfn.XLOOKUP($B171,梦灵属性!$F$38:$F$41,梦灵属性!$E$38:$E$41)*$C171</f>
        <v>#N/A</v>
      </c>
      <c r="H171" s="22"/>
      <c r="I171" s="56">
        <f ca="1">OFFSET(梦灵图鉴!F$10,MATCH(A171,梦灵图鉴!$E$11:$E$61,1),0)*SUM(梦灵属性!$E$26:$J$26)+OFFSET(梦灵图鉴!H$10,MATCH(A171,梦灵图鉴!$G$11:$G$61,1),0)*SUM(梦灵属性!$E$27:$J$27)+OFFSET(梦灵图鉴!J$10,MATCH(A171,梦灵图鉴!$I$11:$I$61,1),0)*SUM(梦灵属性!$E$28:$J$28)+OFFSET(梦灵图鉴!L$10,MATCH(A171,梦灵图鉴!$K$11:$K$61,1),0)*SUM(梦灵属性!$E$29:$J$29)</f>
        <v>14.1</v>
      </c>
      <c r="J171" s="56"/>
      <c r="K171" s="56"/>
      <c r="L171" s="22"/>
      <c r="M171" s="22"/>
      <c r="N171" s="22"/>
      <c r="P171" s="3">
        <f t="shared" si="6"/>
        <v>6</v>
      </c>
      <c r="Q171" s="3">
        <f t="shared" si="7"/>
        <v>15</v>
      </c>
      <c r="R171" s="3">
        <f ca="1">OFFSET(梦灵属性!G$37,$P171-2,0)</f>
        <v>180</v>
      </c>
      <c r="S171" s="3">
        <f ca="1">OFFSET(梦灵属性!H$37,$P171-2,0)</f>
        <v>1800</v>
      </c>
      <c r="T171" s="3">
        <f ca="1">OFFSET(梦灵属性!$E$37,$P171-2,0)*$Q171</f>
        <v>1.5</v>
      </c>
      <c r="U171" s="3">
        <f ca="1">OFFSET(梦灵属性!$E$37,$P171-2,0)*$Q171</f>
        <v>1.5</v>
      </c>
    </row>
    <row r="172" ht="16.5" spans="1:21">
      <c r="A172" s="54">
        <v>166</v>
      </c>
      <c r="B172" s="35">
        <f ca="1">OFFSET(梦灵本体产出!$G$6,MATCH(A172,梦灵本体产出!$I$7:$I$30,1),0)</f>
        <v>0</v>
      </c>
      <c r="C172" s="35" t="e">
        <f ca="1">MATCH(A172,OFFSET(梦灵属性!#REF!,50*(B172-3),0))</f>
        <v>#REF!</v>
      </c>
      <c r="D172" s="55"/>
      <c r="E172" s="55"/>
      <c r="F172" s="22" t="e">
        <f ca="1">_xlfn.XLOOKUP(B172,梦灵属性!$F$38:$F$41,梦灵属性!$E$38:$E$41)*C172</f>
        <v>#N/A</v>
      </c>
      <c r="G172" s="22" t="e">
        <f ca="1">_xlfn.XLOOKUP($B172,梦灵属性!$F$38:$F$41,梦灵属性!$E$38:$E$41)*$C172</f>
        <v>#N/A</v>
      </c>
      <c r="H172" s="22"/>
      <c r="I172" s="56">
        <f ca="1">OFFSET(梦灵图鉴!F$10,MATCH(A172,梦灵图鉴!$E$11:$E$61,1),0)*SUM(梦灵属性!$E$26:$J$26)+OFFSET(梦灵图鉴!H$10,MATCH(A172,梦灵图鉴!$G$11:$G$61,1),0)*SUM(梦灵属性!$E$27:$J$27)+OFFSET(梦灵图鉴!J$10,MATCH(A172,梦灵图鉴!$I$11:$I$61,1),0)*SUM(梦灵属性!$E$28:$J$28)+OFFSET(梦灵图鉴!L$10,MATCH(A172,梦灵图鉴!$K$11:$K$61,1),0)*SUM(梦灵属性!$E$29:$J$29)</f>
        <v>14.1</v>
      </c>
      <c r="J172" s="56"/>
      <c r="K172" s="56"/>
      <c r="L172" s="22"/>
      <c r="M172" s="22"/>
      <c r="N172" s="22"/>
      <c r="P172" s="3">
        <f t="shared" si="6"/>
        <v>6</v>
      </c>
      <c r="Q172" s="3">
        <f t="shared" si="7"/>
        <v>16</v>
      </c>
      <c r="R172" s="3">
        <f ca="1">OFFSET(梦灵属性!G$37,$P172-2,0)</f>
        <v>180</v>
      </c>
      <c r="S172" s="3">
        <f ca="1">OFFSET(梦灵属性!H$37,$P172-2,0)</f>
        <v>1800</v>
      </c>
      <c r="T172" s="3">
        <f ca="1">OFFSET(梦灵属性!$E$37,$P172-2,0)*$Q172</f>
        <v>1.6</v>
      </c>
      <c r="U172" s="3">
        <f ca="1">OFFSET(梦灵属性!$E$37,$P172-2,0)*$Q172</f>
        <v>1.6</v>
      </c>
    </row>
    <row r="173" ht="16.5" spans="1:21">
      <c r="A173" s="54">
        <v>167</v>
      </c>
      <c r="B173" s="35">
        <f ca="1">OFFSET(梦灵本体产出!$G$6,MATCH(A173,梦灵本体产出!$I$7:$I$30,1),0)</f>
        <v>0</v>
      </c>
      <c r="C173" s="35" t="e">
        <f ca="1">MATCH(A173,OFFSET(梦灵属性!#REF!,50*(B173-3),0))</f>
        <v>#REF!</v>
      </c>
      <c r="D173" s="55"/>
      <c r="E173" s="55"/>
      <c r="F173" s="22" t="e">
        <f ca="1">_xlfn.XLOOKUP(B173,梦灵属性!$F$38:$F$41,梦灵属性!$E$38:$E$41)*C173</f>
        <v>#N/A</v>
      </c>
      <c r="G173" s="22" t="e">
        <f ca="1">_xlfn.XLOOKUP($B173,梦灵属性!$F$38:$F$41,梦灵属性!$E$38:$E$41)*$C173</f>
        <v>#N/A</v>
      </c>
      <c r="H173" s="22"/>
      <c r="I173" s="56">
        <f ca="1">OFFSET(梦灵图鉴!F$10,MATCH(A173,梦灵图鉴!$E$11:$E$61,1),0)*SUM(梦灵属性!$E$26:$J$26)+OFFSET(梦灵图鉴!H$10,MATCH(A173,梦灵图鉴!$G$11:$G$61,1),0)*SUM(梦灵属性!$E$27:$J$27)+OFFSET(梦灵图鉴!J$10,MATCH(A173,梦灵图鉴!$I$11:$I$61,1),0)*SUM(梦灵属性!$E$28:$J$28)+OFFSET(梦灵图鉴!L$10,MATCH(A173,梦灵图鉴!$K$11:$K$61,1),0)*SUM(梦灵属性!$E$29:$J$29)</f>
        <v>14.1</v>
      </c>
      <c r="J173" s="56"/>
      <c r="K173" s="56"/>
      <c r="L173" s="22"/>
      <c r="M173" s="22"/>
      <c r="N173" s="22"/>
      <c r="P173" s="3">
        <f t="shared" si="6"/>
        <v>6</v>
      </c>
      <c r="Q173" s="3">
        <f t="shared" si="7"/>
        <v>17</v>
      </c>
      <c r="R173" s="3">
        <f ca="1">OFFSET(梦灵属性!G$37,$P173-2,0)</f>
        <v>180</v>
      </c>
      <c r="S173" s="3">
        <f ca="1">OFFSET(梦灵属性!H$37,$P173-2,0)</f>
        <v>1800</v>
      </c>
      <c r="T173" s="3">
        <f ca="1">OFFSET(梦灵属性!$E$37,$P173-2,0)*$Q173</f>
        <v>1.7</v>
      </c>
      <c r="U173" s="3">
        <f ca="1">OFFSET(梦灵属性!$E$37,$P173-2,0)*$Q173</f>
        <v>1.7</v>
      </c>
    </row>
    <row r="174" ht="16.5" spans="1:21">
      <c r="A174" s="54">
        <v>168</v>
      </c>
      <c r="B174" s="35">
        <f ca="1">OFFSET(梦灵本体产出!$G$6,MATCH(A174,梦灵本体产出!$I$7:$I$30,1),0)</f>
        <v>0</v>
      </c>
      <c r="C174" s="35" t="e">
        <f ca="1">MATCH(A174,OFFSET(梦灵属性!#REF!,50*(B174-3),0))</f>
        <v>#REF!</v>
      </c>
      <c r="D174" s="55"/>
      <c r="E174" s="55"/>
      <c r="F174" s="22" t="e">
        <f ca="1">_xlfn.XLOOKUP(B174,梦灵属性!$F$38:$F$41,梦灵属性!$E$38:$E$41)*C174</f>
        <v>#N/A</v>
      </c>
      <c r="G174" s="22" t="e">
        <f ca="1">_xlfn.XLOOKUP($B174,梦灵属性!$F$38:$F$41,梦灵属性!$E$38:$E$41)*$C174</f>
        <v>#N/A</v>
      </c>
      <c r="H174" s="22"/>
      <c r="I174" s="56">
        <f ca="1">OFFSET(梦灵图鉴!F$10,MATCH(A174,梦灵图鉴!$E$11:$E$61,1),0)*SUM(梦灵属性!$E$26:$J$26)+OFFSET(梦灵图鉴!H$10,MATCH(A174,梦灵图鉴!$G$11:$G$61,1),0)*SUM(梦灵属性!$E$27:$J$27)+OFFSET(梦灵图鉴!J$10,MATCH(A174,梦灵图鉴!$I$11:$I$61,1),0)*SUM(梦灵属性!$E$28:$J$28)+OFFSET(梦灵图鉴!L$10,MATCH(A174,梦灵图鉴!$K$11:$K$61,1),0)*SUM(梦灵属性!$E$29:$J$29)</f>
        <v>14.1</v>
      </c>
      <c r="J174" s="56"/>
      <c r="K174" s="56"/>
      <c r="L174" s="22"/>
      <c r="M174" s="22"/>
      <c r="N174" s="22"/>
      <c r="P174" s="3">
        <f t="shared" si="6"/>
        <v>6</v>
      </c>
      <c r="Q174" s="3">
        <f t="shared" si="7"/>
        <v>18</v>
      </c>
      <c r="R174" s="3">
        <f ca="1">OFFSET(梦灵属性!G$37,$P174-2,0)</f>
        <v>180</v>
      </c>
      <c r="S174" s="3">
        <f ca="1">OFFSET(梦灵属性!H$37,$P174-2,0)</f>
        <v>1800</v>
      </c>
      <c r="T174" s="3">
        <f ca="1">OFFSET(梦灵属性!$E$37,$P174-2,0)*$Q174</f>
        <v>1.8</v>
      </c>
      <c r="U174" s="3">
        <f ca="1">OFFSET(梦灵属性!$E$37,$P174-2,0)*$Q174</f>
        <v>1.8</v>
      </c>
    </row>
    <row r="175" ht="16.5" spans="1:21">
      <c r="A175" s="54">
        <v>169</v>
      </c>
      <c r="B175" s="35">
        <f ca="1">OFFSET(梦灵本体产出!$G$6,MATCH(A175,梦灵本体产出!$I$7:$I$30,1),0)</f>
        <v>0</v>
      </c>
      <c r="C175" s="35" t="e">
        <f ca="1">MATCH(A175,OFFSET(梦灵属性!#REF!,50*(B175-3),0))</f>
        <v>#REF!</v>
      </c>
      <c r="D175" s="55"/>
      <c r="E175" s="55"/>
      <c r="F175" s="22" t="e">
        <f ca="1">_xlfn.XLOOKUP(B175,梦灵属性!$F$38:$F$41,梦灵属性!$E$38:$E$41)*C175</f>
        <v>#N/A</v>
      </c>
      <c r="G175" s="22" t="e">
        <f ca="1">_xlfn.XLOOKUP($B175,梦灵属性!$F$38:$F$41,梦灵属性!$E$38:$E$41)*$C175</f>
        <v>#N/A</v>
      </c>
      <c r="H175" s="22"/>
      <c r="I175" s="56">
        <f ca="1">OFFSET(梦灵图鉴!F$10,MATCH(A175,梦灵图鉴!$E$11:$E$61,1),0)*SUM(梦灵属性!$E$26:$J$26)+OFFSET(梦灵图鉴!H$10,MATCH(A175,梦灵图鉴!$G$11:$G$61,1),0)*SUM(梦灵属性!$E$27:$J$27)+OFFSET(梦灵图鉴!J$10,MATCH(A175,梦灵图鉴!$I$11:$I$61,1),0)*SUM(梦灵属性!$E$28:$J$28)+OFFSET(梦灵图鉴!L$10,MATCH(A175,梦灵图鉴!$K$11:$K$61,1),0)*SUM(梦灵属性!$E$29:$J$29)</f>
        <v>14.1</v>
      </c>
      <c r="J175" s="56"/>
      <c r="K175" s="56"/>
      <c r="L175" s="22"/>
      <c r="M175" s="22"/>
      <c r="N175" s="22"/>
      <c r="P175" s="3">
        <f t="shared" si="6"/>
        <v>6</v>
      </c>
      <c r="Q175" s="3">
        <f t="shared" si="7"/>
        <v>19</v>
      </c>
      <c r="R175" s="3">
        <f ca="1">OFFSET(梦灵属性!G$37,$P175-2,0)</f>
        <v>180</v>
      </c>
      <c r="S175" s="3">
        <f ca="1">OFFSET(梦灵属性!H$37,$P175-2,0)</f>
        <v>1800</v>
      </c>
      <c r="T175" s="3">
        <f ca="1">OFFSET(梦灵属性!$E$37,$P175-2,0)*$Q175</f>
        <v>1.9</v>
      </c>
      <c r="U175" s="3">
        <f ca="1">OFFSET(梦灵属性!$E$37,$P175-2,0)*$Q175</f>
        <v>1.9</v>
      </c>
    </row>
    <row r="176" ht="16.5" spans="1:21">
      <c r="A176" s="54">
        <v>170</v>
      </c>
      <c r="B176" s="35">
        <f ca="1">OFFSET(梦灵本体产出!$G$6,MATCH(A176,梦灵本体产出!$I$7:$I$30,1),0)</f>
        <v>0</v>
      </c>
      <c r="C176" s="35" t="e">
        <f ca="1">MATCH(A176,OFFSET(梦灵属性!#REF!,50*(B176-3),0))</f>
        <v>#REF!</v>
      </c>
      <c r="D176" s="55"/>
      <c r="E176" s="55"/>
      <c r="F176" s="22" t="e">
        <f ca="1">_xlfn.XLOOKUP(B176,梦灵属性!$F$38:$F$41,梦灵属性!$E$38:$E$41)*C176</f>
        <v>#N/A</v>
      </c>
      <c r="G176" s="22" t="e">
        <f ca="1">_xlfn.XLOOKUP($B176,梦灵属性!$F$38:$F$41,梦灵属性!$E$38:$E$41)*$C176</f>
        <v>#N/A</v>
      </c>
      <c r="H176" s="22"/>
      <c r="I176" s="56">
        <f ca="1">OFFSET(梦灵图鉴!F$10,MATCH(A176,梦灵图鉴!$E$11:$E$61,1),0)*SUM(梦灵属性!$E$26:$J$26)+OFFSET(梦灵图鉴!H$10,MATCH(A176,梦灵图鉴!$G$11:$G$61,1),0)*SUM(梦灵属性!$E$27:$J$27)+OFFSET(梦灵图鉴!J$10,MATCH(A176,梦灵图鉴!$I$11:$I$61,1),0)*SUM(梦灵属性!$E$28:$J$28)+OFFSET(梦灵图鉴!L$10,MATCH(A176,梦灵图鉴!$K$11:$K$61,1),0)*SUM(梦灵属性!$E$29:$J$29)</f>
        <v>14.1</v>
      </c>
      <c r="J176" s="56"/>
      <c r="K176" s="56"/>
      <c r="L176" s="22"/>
      <c r="M176" s="22"/>
      <c r="N176" s="22"/>
      <c r="P176" s="3">
        <f t="shared" si="6"/>
        <v>6</v>
      </c>
      <c r="Q176" s="3">
        <f t="shared" si="7"/>
        <v>20</v>
      </c>
      <c r="R176" s="3">
        <f ca="1">OFFSET(梦灵属性!G$37,$P176-2,0)</f>
        <v>180</v>
      </c>
      <c r="S176" s="3">
        <f ca="1">OFFSET(梦灵属性!H$37,$P176-2,0)</f>
        <v>1800</v>
      </c>
      <c r="T176" s="3">
        <f ca="1">OFFSET(梦灵属性!$E$37,$P176-2,0)*$Q176</f>
        <v>2</v>
      </c>
      <c r="U176" s="3">
        <f ca="1">OFFSET(梦灵属性!$E$37,$P176-2,0)*$Q176</f>
        <v>2</v>
      </c>
    </row>
    <row r="177" ht="16.5" spans="1:21">
      <c r="A177" s="54">
        <v>171</v>
      </c>
      <c r="B177" s="35">
        <f ca="1">OFFSET(梦灵本体产出!$G$6,MATCH(A177,梦灵本体产出!$I$7:$I$30,1),0)</f>
        <v>0</v>
      </c>
      <c r="C177" s="35" t="e">
        <f ca="1">MATCH(A177,OFFSET(梦灵属性!#REF!,50*(B177-3),0))</f>
        <v>#REF!</v>
      </c>
      <c r="D177" s="55"/>
      <c r="E177" s="55"/>
      <c r="F177" s="22" t="e">
        <f ca="1">_xlfn.XLOOKUP(B177,梦灵属性!$F$38:$F$41,梦灵属性!$E$38:$E$41)*C177</f>
        <v>#N/A</v>
      </c>
      <c r="G177" s="22" t="e">
        <f ca="1">_xlfn.XLOOKUP($B177,梦灵属性!$F$38:$F$41,梦灵属性!$E$38:$E$41)*$C177</f>
        <v>#N/A</v>
      </c>
      <c r="H177" s="22"/>
      <c r="I177" s="56">
        <f ca="1">OFFSET(梦灵图鉴!F$10,MATCH(A177,梦灵图鉴!$E$11:$E$61,1),0)*SUM(梦灵属性!$E$26:$J$26)+OFFSET(梦灵图鉴!H$10,MATCH(A177,梦灵图鉴!$G$11:$G$61,1),0)*SUM(梦灵属性!$E$27:$J$27)+OFFSET(梦灵图鉴!J$10,MATCH(A177,梦灵图鉴!$I$11:$I$61,1),0)*SUM(梦灵属性!$E$28:$J$28)+OFFSET(梦灵图鉴!L$10,MATCH(A177,梦灵图鉴!$K$11:$K$61,1),0)*SUM(梦灵属性!$E$29:$J$29)</f>
        <v>14.1</v>
      </c>
      <c r="J177" s="56"/>
      <c r="K177" s="56"/>
      <c r="L177" s="22"/>
      <c r="M177" s="22"/>
      <c r="N177" s="22"/>
      <c r="P177" s="3">
        <f t="shared" ref="P177:P195" si="8">P127+1</f>
        <v>6</v>
      </c>
      <c r="Q177" s="3">
        <f t="shared" ref="Q177:Q195" si="9">Q127</f>
        <v>21</v>
      </c>
      <c r="R177" s="3">
        <f ca="1">OFFSET(梦灵属性!G$37,$P177-2,0)</f>
        <v>180</v>
      </c>
      <c r="S177" s="3">
        <f ca="1">OFFSET(梦灵属性!H$37,$P177-2,0)</f>
        <v>1800</v>
      </c>
      <c r="T177" s="3">
        <f ca="1">OFFSET(梦灵属性!$E$37,$P177-2,0)*$Q177</f>
        <v>2.1</v>
      </c>
      <c r="U177" s="3">
        <f ca="1">OFFSET(梦灵属性!$E$37,$P177-2,0)*$Q177</f>
        <v>2.1</v>
      </c>
    </row>
    <row r="178" ht="16.5" spans="1:21">
      <c r="A178" s="54">
        <v>172</v>
      </c>
      <c r="B178" s="35">
        <f ca="1">OFFSET(梦灵本体产出!$G$6,MATCH(A178,梦灵本体产出!$I$7:$I$30,1),0)</f>
        <v>0</v>
      </c>
      <c r="C178" s="35" t="e">
        <f ca="1">MATCH(A178,OFFSET(梦灵属性!#REF!,50*(B178-3),0))</f>
        <v>#REF!</v>
      </c>
      <c r="D178" s="55"/>
      <c r="E178" s="55"/>
      <c r="F178" s="22" t="e">
        <f ca="1">_xlfn.XLOOKUP(B178,梦灵属性!$F$38:$F$41,梦灵属性!$E$38:$E$41)*C178</f>
        <v>#N/A</v>
      </c>
      <c r="G178" s="22" t="e">
        <f ca="1">_xlfn.XLOOKUP($B178,梦灵属性!$F$38:$F$41,梦灵属性!$E$38:$E$41)*$C178</f>
        <v>#N/A</v>
      </c>
      <c r="H178" s="22"/>
      <c r="I178" s="56">
        <f ca="1">OFFSET(梦灵图鉴!F$10,MATCH(A178,梦灵图鉴!$E$11:$E$61,1),0)*SUM(梦灵属性!$E$26:$J$26)+OFFSET(梦灵图鉴!H$10,MATCH(A178,梦灵图鉴!$G$11:$G$61,1),0)*SUM(梦灵属性!$E$27:$J$27)+OFFSET(梦灵图鉴!J$10,MATCH(A178,梦灵图鉴!$I$11:$I$61,1),0)*SUM(梦灵属性!$E$28:$J$28)+OFFSET(梦灵图鉴!L$10,MATCH(A178,梦灵图鉴!$K$11:$K$61,1),0)*SUM(梦灵属性!$E$29:$J$29)</f>
        <v>14.1</v>
      </c>
      <c r="J178" s="56"/>
      <c r="K178" s="56"/>
      <c r="L178" s="22"/>
      <c r="M178" s="22"/>
      <c r="N178" s="22"/>
      <c r="P178" s="3">
        <f t="shared" si="8"/>
        <v>6</v>
      </c>
      <c r="Q178" s="3">
        <f t="shared" si="9"/>
        <v>22</v>
      </c>
      <c r="R178" s="3">
        <f ca="1">OFFSET(梦灵属性!G$37,$P178-2,0)</f>
        <v>180</v>
      </c>
      <c r="S178" s="3">
        <f ca="1">OFFSET(梦灵属性!H$37,$P178-2,0)</f>
        <v>1800</v>
      </c>
      <c r="T178" s="3">
        <f ca="1">OFFSET(梦灵属性!$E$37,$P178-2,0)*$Q178</f>
        <v>2.2</v>
      </c>
      <c r="U178" s="3">
        <f ca="1">OFFSET(梦灵属性!$E$37,$P178-2,0)*$Q178</f>
        <v>2.2</v>
      </c>
    </row>
    <row r="179" ht="16.5" spans="1:21">
      <c r="A179" s="54">
        <v>173</v>
      </c>
      <c r="B179" s="35">
        <f ca="1">OFFSET(梦灵本体产出!$G$6,MATCH(A179,梦灵本体产出!$I$7:$I$30,1),0)</f>
        <v>0</v>
      </c>
      <c r="C179" s="35" t="e">
        <f ca="1">MATCH(A179,OFFSET(梦灵属性!#REF!,50*(B179-3),0))</f>
        <v>#REF!</v>
      </c>
      <c r="D179" s="55"/>
      <c r="E179" s="55"/>
      <c r="F179" s="22" t="e">
        <f ca="1">_xlfn.XLOOKUP(B179,梦灵属性!$F$38:$F$41,梦灵属性!$E$38:$E$41)*C179</f>
        <v>#N/A</v>
      </c>
      <c r="G179" s="22" t="e">
        <f ca="1">_xlfn.XLOOKUP($B179,梦灵属性!$F$38:$F$41,梦灵属性!$E$38:$E$41)*$C179</f>
        <v>#N/A</v>
      </c>
      <c r="H179" s="22"/>
      <c r="I179" s="56">
        <f ca="1">OFFSET(梦灵图鉴!F$10,MATCH(A179,梦灵图鉴!$E$11:$E$61,1),0)*SUM(梦灵属性!$E$26:$J$26)+OFFSET(梦灵图鉴!H$10,MATCH(A179,梦灵图鉴!$G$11:$G$61,1),0)*SUM(梦灵属性!$E$27:$J$27)+OFFSET(梦灵图鉴!J$10,MATCH(A179,梦灵图鉴!$I$11:$I$61,1),0)*SUM(梦灵属性!$E$28:$J$28)+OFFSET(梦灵图鉴!L$10,MATCH(A179,梦灵图鉴!$K$11:$K$61,1),0)*SUM(梦灵属性!$E$29:$J$29)</f>
        <v>14.1</v>
      </c>
      <c r="J179" s="56"/>
      <c r="K179" s="56"/>
      <c r="L179" s="22"/>
      <c r="M179" s="22"/>
      <c r="N179" s="22"/>
      <c r="P179" s="3">
        <f t="shared" si="8"/>
        <v>6</v>
      </c>
      <c r="Q179" s="3">
        <f t="shared" si="9"/>
        <v>23</v>
      </c>
      <c r="R179" s="3">
        <f ca="1">OFFSET(梦灵属性!G$37,$P179-2,0)</f>
        <v>180</v>
      </c>
      <c r="S179" s="3">
        <f ca="1">OFFSET(梦灵属性!H$37,$P179-2,0)</f>
        <v>1800</v>
      </c>
      <c r="T179" s="3">
        <f ca="1">OFFSET(梦灵属性!$E$37,$P179-2,0)*$Q179</f>
        <v>2.3</v>
      </c>
      <c r="U179" s="3">
        <f ca="1">OFFSET(梦灵属性!$E$37,$P179-2,0)*$Q179</f>
        <v>2.3</v>
      </c>
    </row>
    <row r="180" ht="16.5" spans="1:21">
      <c r="A180" s="54">
        <v>174</v>
      </c>
      <c r="B180" s="35">
        <f ca="1">OFFSET(梦灵本体产出!$G$6,MATCH(A180,梦灵本体产出!$I$7:$I$30,1),0)</f>
        <v>0</v>
      </c>
      <c r="C180" s="35" t="e">
        <f ca="1">MATCH(A180,OFFSET(梦灵属性!#REF!,50*(B180-3),0))</f>
        <v>#REF!</v>
      </c>
      <c r="D180" s="55"/>
      <c r="E180" s="55"/>
      <c r="F180" s="22" t="e">
        <f ca="1">_xlfn.XLOOKUP(B180,梦灵属性!$F$38:$F$41,梦灵属性!$E$38:$E$41)*C180</f>
        <v>#N/A</v>
      </c>
      <c r="G180" s="22" t="e">
        <f ca="1">_xlfn.XLOOKUP($B180,梦灵属性!$F$38:$F$41,梦灵属性!$E$38:$E$41)*$C180</f>
        <v>#N/A</v>
      </c>
      <c r="H180" s="22"/>
      <c r="I180" s="56">
        <f ca="1">OFFSET(梦灵图鉴!F$10,MATCH(A180,梦灵图鉴!$E$11:$E$61,1),0)*SUM(梦灵属性!$E$26:$J$26)+OFFSET(梦灵图鉴!H$10,MATCH(A180,梦灵图鉴!$G$11:$G$61,1),0)*SUM(梦灵属性!$E$27:$J$27)+OFFSET(梦灵图鉴!J$10,MATCH(A180,梦灵图鉴!$I$11:$I$61,1),0)*SUM(梦灵属性!$E$28:$J$28)+OFFSET(梦灵图鉴!L$10,MATCH(A180,梦灵图鉴!$K$11:$K$61,1),0)*SUM(梦灵属性!$E$29:$J$29)</f>
        <v>14.1</v>
      </c>
      <c r="J180" s="56"/>
      <c r="K180" s="56"/>
      <c r="L180" s="22"/>
      <c r="M180" s="22"/>
      <c r="N180" s="22"/>
      <c r="P180" s="3">
        <f t="shared" si="8"/>
        <v>6</v>
      </c>
      <c r="Q180" s="3">
        <f t="shared" si="9"/>
        <v>24</v>
      </c>
      <c r="R180" s="3">
        <f ca="1">OFFSET(梦灵属性!G$37,$P180-2,0)</f>
        <v>180</v>
      </c>
      <c r="S180" s="3">
        <f ca="1">OFFSET(梦灵属性!H$37,$P180-2,0)</f>
        <v>1800</v>
      </c>
      <c r="T180" s="3">
        <f ca="1">OFFSET(梦灵属性!$E$37,$P180-2,0)*$Q180</f>
        <v>2.4</v>
      </c>
      <c r="U180" s="3">
        <f ca="1">OFFSET(梦灵属性!$E$37,$P180-2,0)*$Q180</f>
        <v>2.4</v>
      </c>
    </row>
    <row r="181" ht="16.5" spans="1:21">
      <c r="A181" s="54">
        <v>175</v>
      </c>
      <c r="B181" s="35">
        <f ca="1">OFFSET(梦灵本体产出!$G$6,MATCH(A181,梦灵本体产出!$I$7:$I$30,1),0)</f>
        <v>0</v>
      </c>
      <c r="C181" s="35" t="e">
        <f ca="1">MATCH(A181,OFFSET(梦灵属性!#REF!,50*(B181-3),0))</f>
        <v>#REF!</v>
      </c>
      <c r="D181" s="55"/>
      <c r="E181" s="55"/>
      <c r="F181" s="22" t="e">
        <f ca="1">_xlfn.XLOOKUP(B181,梦灵属性!$F$38:$F$41,梦灵属性!$E$38:$E$41)*C181</f>
        <v>#N/A</v>
      </c>
      <c r="G181" s="22" t="e">
        <f ca="1">_xlfn.XLOOKUP($B181,梦灵属性!$F$38:$F$41,梦灵属性!$E$38:$E$41)*$C181</f>
        <v>#N/A</v>
      </c>
      <c r="H181" s="22"/>
      <c r="I181" s="56">
        <f ca="1">OFFSET(梦灵图鉴!F$10,MATCH(A181,梦灵图鉴!$E$11:$E$61,1),0)*SUM(梦灵属性!$E$26:$J$26)+OFFSET(梦灵图鉴!H$10,MATCH(A181,梦灵图鉴!$G$11:$G$61,1),0)*SUM(梦灵属性!$E$27:$J$27)+OFFSET(梦灵图鉴!J$10,MATCH(A181,梦灵图鉴!$I$11:$I$61,1),0)*SUM(梦灵属性!$E$28:$J$28)+OFFSET(梦灵图鉴!L$10,MATCH(A181,梦灵图鉴!$K$11:$K$61,1),0)*SUM(梦灵属性!$E$29:$J$29)</f>
        <v>14.1</v>
      </c>
      <c r="J181" s="56"/>
      <c r="K181" s="56"/>
      <c r="L181" s="22"/>
      <c r="M181" s="22"/>
      <c r="N181" s="22"/>
      <c r="P181" s="3">
        <f t="shared" si="8"/>
        <v>6</v>
      </c>
      <c r="Q181" s="3">
        <f t="shared" si="9"/>
        <v>25</v>
      </c>
      <c r="R181" s="3">
        <f ca="1">OFFSET(梦灵属性!G$37,$P181-2,0)</f>
        <v>180</v>
      </c>
      <c r="S181" s="3">
        <f ca="1">OFFSET(梦灵属性!H$37,$P181-2,0)</f>
        <v>1800</v>
      </c>
      <c r="T181" s="3">
        <f ca="1">OFFSET(梦灵属性!$E$37,$P181-2,0)*$Q181</f>
        <v>2.5</v>
      </c>
      <c r="U181" s="3">
        <f ca="1">OFFSET(梦灵属性!$E$37,$P181-2,0)*$Q181</f>
        <v>2.5</v>
      </c>
    </row>
    <row r="182" ht="16.5" spans="1:21">
      <c r="A182" s="54">
        <v>176</v>
      </c>
      <c r="B182" s="35">
        <f ca="1">OFFSET(梦灵本体产出!$G$6,MATCH(A182,梦灵本体产出!$I$7:$I$30,1),0)</f>
        <v>0</v>
      </c>
      <c r="C182" s="35" t="e">
        <f ca="1">MATCH(A182,OFFSET(梦灵属性!#REF!,50*(B182-3),0))</f>
        <v>#REF!</v>
      </c>
      <c r="D182" s="55"/>
      <c r="E182" s="55"/>
      <c r="F182" s="22" t="e">
        <f ca="1">_xlfn.XLOOKUP(B182,梦灵属性!$F$38:$F$41,梦灵属性!$E$38:$E$41)*C182</f>
        <v>#N/A</v>
      </c>
      <c r="G182" s="22" t="e">
        <f ca="1">_xlfn.XLOOKUP($B182,梦灵属性!$F$38:$F$41,梦灵属性!$E$38:$E$41)*$C182</f>
        <v>#N/A</v>
      </c>
      <c r="H182" s="22"/>
      <c r="I182" s="56">
        <f ca="1">OFFSET(梦灵图鉴!F$10,MATCH(A182,梦灵图鉴!$E$11:$E$61,1),0)*SUM(梦灵属性!$E$26:$J$26)+OFFSET(梦灵图鉴!H$10,MATCH(A182,梦灵图鉴!$G$11:$G$61,1),0)*SUM(梦灵属性!$E$27:$J$27)+OFFSET(梦灵图鉴!J$10,MATCH(A182,梦灵图鉴!$I$11:$I$61,1),0)*SUM(梦灵属性!$E$28:$J$28)+OFFSET(梦灵图鉴!L$10,MATCH(A182,梦灵图鉴!$K$11:$K$61,1),0)*SUM(梦灵属性!$E$29:$J$29)</f>
        <v>14.1</v>
      </c>
      <c r="J182" s="56"/>
      <c r="K182" s="56"/>
      <c r="L182" s="22"/>
      <c r="M182" s="22"/>
      <c r="N182" s="22"/>
      <c r="P182" s="3">
        <f t="shared" si="8"/>
        <v>6</v>
      </c>
      <c r="Q182" s="3">
        <f t="shared" si="9"/>
        <v>26</v>
      </c>
      <c r="R182" s="3">
        <f ca="1">OFFSET(梦灵属性!G$37,$P182-2,0)</f>
        <v>180</v>
      </c>
      <c r="S182" s="3">
        <f ca="1">OFFSET(梦灵属性!H$37,$P182-2,0)</f>
        <v>1800</v>
      </c>
      <c r="T182" s="3">
        <f ca="1">OFFSET(梦灵属性!$E$37,$P182-2,0)*$Q182</f>
        <v>2.6</v>
      </c>
      <c r="U182" s="3">
        <f ca="1">OFFSET(梦灵属性!$E$37,$P182-2,0)*$Q182</f>
        <v>2.6</v>
      </c>
    </row>
    <row r="183" ht="16.5" spans="1:21">
      <c r="A183" s="54">
        <v>177</v>
      </c>
      <c r="B183" s="35">
        <f ca="1">OFFSET(梦灵本体产出!$G$6,MATCH(A183,梦灵本体产出!$I$7:$I$30,1),0)</f>
        <v>0</v>
      </c>
      <c r="C183" s="35" t="e">
        <f ca="1">MATCH(A183,OFFSET(梦灵属性!#REF!,50*(B183-3),0))</f>
        <v>#REF!</v>
      </c>
      <c r="D183" s="55"/>
      <c r="E183" s="55"/>
      <c r="F183" s="22" t="e">
        <f ca="1">_xlfn.XLOOKUP(B183,梦灵属性!$F$38:$F$41,梦灵属性!$E$38:$E$41)*C183</f>
        <v>#N/A</v>
      </c>
      <c r="G183" s="22" t="e">
        <f ca="1">_xlfn.XLOOKUP($B183,梦灵属性!$F$38:$F$41,梦灵属性!$E$38:$E$41)*$C183</f>
        <v>#N/A</v>
      </c>
      <c r="H183" s="22"/>
      <c r="I183" s="56">
        <f ca="1">OFFSET(梦灵图鉴!F$10,MATCH(A183,梦灵图鉴!$E$11:$E$61,1),0)*SUM(梦灵属性!$E$26:$J$26)+OFFSET(梦灵图鉴!H$10,MATCH(A183,梦灵图鉴!$G$11:$G$61,1),0)*SUM(梦灵属性!$E$27:$J$27)+OFFSET(梦灵图鉴!J$10,MATCH(A183,梦灵图鉴!$I$11:$I$61,1),0)*SUM(梦灵属性!$E$28:$J$28)+OFFSET(梦灵图鉴!L$10,MATCH(A183,梦灵图鉴!$K$11:$K$61,1),0)*SUM(梦灵属性!$E$29:$J$29)</f>
        <v>14.1</v>
      </c>
      <c r="J183" s="56"/>
      <c r="K183" s="56"/>
      <c r="L183" s="22"/>
      <c r="M183" s="22"/>
      <c r="N183" s="22"/>
      <c r="P183" s="3">
        <f t="shared" si="8"/>
        <v>6</v>
      </c>
      <c r="Q183" s="3">
        <f t="shared" si="9"/>
        <v>27</v>
      </c>
      <c r="R183" s="3">
        <f ca="1">OFFSET(梦灵属性!G$37,$P183-2,0)</f>
        <v>180</v>
      </c>
      <c r="S183" s="3">
        <f ca="1">OFFSET(梦灵属性!H$37,$P183-2,0)</f>
        <v>1800</v>
      </c>
      <c r="T183" s="3">
        <f ca="1">OFFSET(梦灵属性!$E$37,$P183-2,0)*$Q183</f>
        <v>2.7</v>
      </c>
      <c r="U183" s="3">
        <f ca="1">OFFSET(梦灵属性!$E$37,$P183-2,0)*$Q183</f>
        <v>2.7</v>
      </c>
    </row>
    <row r="184" ht="16.5" spans="1:21">
      <c r="A184" s="54">
        <v>178</v>
      </c>
      <c r="B184" s="35">
        <f ca="1">OFFSET(梦灵本体产出!$G$6,MATCH(A184,梦灵本体产出!$I$7:$I$30,1),0)</f>
        <v>0</v>
      </c>
      <c r="C184" s="35" t="e">
        <f ca="1">MATCH(A184,OFFSET(梦灵属性!#REF!,50*(B184-3),0))</f>
        <v>#REF!</v>
      </c>
      <c r="D184" s="55"/>
      <c r="E184" s="55"/>
      <c r="F184" s="22" t="e">
        <f ca="1">_xlfn.XLOOKUP(B184,梦灵属性!$F$38:$F$41,梦灵属性!$E$38:$E$41)*C184</f>
        <v>#N/A</v>
      </c>
      <c r="G184" s="22" t="e">
        <f ca="1">_xlfn.XLOOKUP($B184,梦灵属性!$F$38:$F$41,梦灵属性!$E$38:$E$41)*$C184</f>
        <v>#N/A</v>
      </c>
      <c r="H184" s="22"/>
      <c r="I184" s="56">
        <f ca="1">OFFSET(梦灵图鉴!F$10,MATCH(A184,梦灵图鉴!$E$11:$E$61,1),0)*SUM(梦灵属性!$E$26:$J$26)+OFFSET(梦灵图鉴!H$10,MATCH(A184,梦灵图鉴!$G$11:$G$61,1),0)*SUM(梦灵属性!$E$27:$J$27)+OFFSET(梦灵图鉴!J$10,MATCH(A184,梦灵图鉴!$I$11:$I$61,1),0)*SUM(梦灵属性!$E$28:$J$28)+OFFSET(梦灵图鉴!L$10,MATCH(A184,梦灵图鉴!$K$11:$K$61,1),0)*SUM(梦灵属性!$E$29:$J$29)</f>
        <v>14.1</v>
      </c>
      <c r="J184" s="56"/>
      <c r="K184" s="56"/>
      <c r="L184" s="22"/>
      <c r="M184" s="22"/>
      <c r="N184" s="22"/>
      <c r="P184" s="3">
        <f t="shared" si="8"/>
        <v>6</v>
      </c>
      <c r="Q184" s="3">
        <f t="shared" si="9"/>
        <v>28</v>
      </c>
      <c r="R184" s="3">
        <f ca="1">OFFSET(梦灵属性!G$37,$P184-2,0)</f>
        <v>180</v>
      </c>
      <c r="S184" s="3">
        <f ca="1">OFFSET(梦灵属性!H$37,$P184-2,0)</f>
        <v>1800</v>
      </c>
      <c r="T184" s="3">
        <f ca="1">OFFSET(梦灵属性!$E$37,$P184-2,0)*$Q184</f>
        <v>2.8</v>
      </c>
      <c r="U184" s="3">
        <f ca="1">OFFSET(梦灵属性!$E$37,$P184-2,0)*$Q184</f>
        <v>2.8</v>
      </c>
    </row>
    <row r="185" ht="16.5" spans="1:21">
      <c r="A185" s="54">
        <v>179</v>
      </c>
      <c r="B185" s="35">
        <f ca="1">OFFSET(梦灵本体产出!$G$6,MATCH(A185,梦灵本体产出!$I$7:$I$30,1),0)</f>
        <v>0</v>
      </c>
      <c r="C185" s="35" t="e">
        <f ca="1">MATCH(A185,OFFSET(梦灵属性!#REF!,50*(B185-3),0))</f>
        <v>#REF!</v>
      </c>
      <c r="D185" s="55"/>
      <c r="E185" s="55"/>
      <c r="F185" s="22" t="e">
        <f ca="1">_xlfn.XLOOKUP(B185,梦灵属性!$F$38:$F$41,梦灵属性!$E$38:$E$41)*C185</f>
        <v>#N/A</v>
      </c>
      <c r="G185" s="22" t="e">
        <f ca="1">_xlfn.XLOOKUP($B185,梦灵属性!$F$38:$F$41,梦灵属性!$E$38:$E$41)*$C185</f>
        <v>#N/A</v>
      </c>
      <c r="H185" s="22"/>
      <c r="I185" s="56">
        <f ca="1">OFFSET(梦灵图鉴!F$10,MATCH(A185,梦灵图鉴!$E$11:$E$61,1),0)*SUM(梦灵属性!$E$26:$J$26)+OFFSET(梦灵图鉴!H$10,MATCH(A185,梦灵图鉴!$G$11:$G$61,1),0)*SUM(梦灵属性!$E$27:$J$27)+OFFSET(梦灵图鉴!J$10,MATCH(A185,梦灵图鉴!$I$11:$I$61,1),0)*SUM(梦灵属性!$E$28:$J$28)+OFFSET(梦灵图鉴!L$10,MATCH(A185,梦灵图鉴!$K$11:$K$61,1),0)*SUM(梦灵属性!$E$29:$J$29)</f>
        <v>14.1</v>
      </c>
      <c r="J185" s="56"/>
      <c r="K185" s="56"/>
      <c r="L185" s="22"/>
      <c r="M185" s="22"/>
      <c r="N185" s="22"/>
      <c r="P185" s="3">
        <f t="shared" si="8"/>
        <v>6</v>
      </c>
      <c r="Q185" s="3">
        <f t="shared" si="9"/>
        <v>29</v>
      </c>
      <c r="R185" s="3">
        <f ca="1">OFFSET(梦灵属性!G$37,$P185-2,0)</f>
        <v>180</v>
      </c>
      <c r="S185" s="3">
        <f ca="1">OFFSET(梦灵属性!H$37,$P185-2,0)</f>
        <v>1800</v>
      </c>
      <c r="T185" s="3">
        <f ca="1">OFFSET(梦灵属性!$E$37,$P185-2,0)*$Q185</f>
        <v>2.9</v>
      </c>
      <c r="U185" s="3">
        <f ca="1">OFFSET(梦灵属性!$E$37,$P185-2,0)*$Q185</f>
        <v>2.9</v>
      </c>
    </row>
    <row r="186" ht="16.5" spans="1:21">
      <c r="A186" s="54">
        <v>180</v>
      </c>
      <c r="B186" s="35">
        <f ca="1">OFFSET(梦灵本体产出!$G$6,MATCH(A186,梦灵本体产出!$I$7:$I$30,1),0)</f>
        <v>0</v>
      </c>
      <c r="C186" s="35" t="e">
        <f ca="1">MATCH(A186,OFFSET(梦灵属性!#REF!,50*(B186-3),0))</f>
        <v>#REF!</v>
      </c>
      <c r="D186" s="55"/>
      <c r="E186" s="55"/>
      <c r="F186" s="22" t="e">
        <f ca="1">_xlfn.XLOOKUP(B186,梦灵属性!$F$38:$F$41,梦灵属性!$E$38:$E$41)*C186</f>
        <v>#N/A</v>
      </c>
      <c r="G186" s="22" t="e">
        <f ca="1">_xlfn.XLOOKUP($B186,梦灵属性!$F$38:$F$41,梦灵属性!$E$38:$E$41)*$C186</f>
        <v>#N/A</v>
      </c>
      <c r="H186" s="22"/>
      <c r="I186" s="56">
        <f ca="1">OFFSET(梦灵图鉴!F$10,MATCH(A186,梦灵图鉴!$E$11:$E$61,1),0)*SUM(梦灵属性!$E$26:$J$26)+OFFSET(梦灵图鉴!H$10,MATCH(A186,梦灵图鉴!$G$11:$G$61,1),0)*SUM(梦灵属性!$E$27:$J$27)+OFFSET(梦灵图鉴!J$10,MATCH(A186,梦灵图鉴!$I$11:$I$61,1),0)*SUM(梦灵属性!$E$28:$J$28)+OFFSET(梦灵图鉴!L$10,MATCH(A186,梦灵图鉴!$K$11:$K$61,1),0)*SUM(梦灵属性!$E$29:$J$29)</f>
        <v>14.1</v>
      </c>
      <c r="J186" s="56"/>
      <c r="K186" s="56"/>
      <c r="L186" s="22"/>
      <c r="M186" s="22"/>
      <c r="N186" s="22"/>
      <c r="P186" s="3">
        <f t="shared" si="8"/>
        <v>6</v>
      </c>
      <c r="Q186" s="3">
        <f t="shared" si="9"/>
        <v>30</v>
      </c>
      <c r="R186" s="3">
        <f ca="1">OFFSET(梦灵属性!G$37,$P186-2,0)</f>
        <v>180</v>
      </c>
      <c r="S186" s="3">
        <f ca="1">OFFSET(梦灵属性!H$37,$P186-2,0)</f>
        <v>1800</v>
      </c>
      <c r="T186" s="3">
        <f ca="1">OFFSET(梦灵属性!$E$37,$P186-2,0)*$Q186</f>
        <v>3</v>
      </c>
      <c r="U186" s="3">
        <f ca="1">OFFSET(梦灵属性!$E$37,$P186-2,0)*$Q186</f>
        <v>3</v>
      </c>
    </row>
    <row r="187" ht="16.5" spans="1:21">
      <c r="A187" s="54">
        <v>181</v>
      </c>
      <c r="B187" s="35">
        <f ca="1">OFFSET(梦灵本体产出!$G$6,MATCH(A187,梦灵本体产出!$I$7:$I$30,1),0)</f>
        <v>0</v>
      </c>
      <c r="C187" s="35" t="e">
        <f ca="1">MATCH(A187,OFFSET(梦灵属性!#REF!,50*(B187-3),0))</f>
        <v>#REF!</v>
      </c>
      <c r="D187" s="55"/>
      <c r="E187" s="55"/>
      <c r="F187" s="22" t="e">
        <f ca="1">_xlfn.XLOOKUP(B187,梦灵属性!$F$38:$F$41,梦灵属性!$E$38:$E$41)*C187</f>
        <v>#N/A</v>
      </c>
      <c r="G187" s="22" t="e">
        <f ca="1">_xlfn.XLOOKUP($B187,梦灵属性!$F$38:$F$41,梦灵属性!$E$38:$E$41)*$C187</f>
        <v>#N/A</v>
      </c>
      <c r="H187" s="22"/>
      <c r="I187" s="56">
        <f ca="1">OFFSET(梦灵图鉴!F$10,MATCH(A187,梦灵图鉴!$E$11:$E$61,1),0)*SUM(梦灵属性!$E$26:$J$26)+OFFSET(梦灵图鉴!H$10,MATCH(A187,梦灵图鉴!$G$11:$G$61,1),0)*SUM(梦灵属性!$E$27:$J$27)+OFFSET(梦灵图鉴!J$10,MATCH(A187,梦灵图鉴!$I$11:$I$61,1),0)*SUM(梦灵属性!$E$28:$J$28)+OFFSET(梦灵图鉴!L$10,MATCH(A187,梦灵图鉴!$K$11:$K$61,1),0)*SUM(梦灵属性!$E$29:$J$29)</f>
        <v>14.1</v>
      </c>
      <c r="J187" s="56"/>
      <c r="K187" s="56"/>
      <c r="L187" s="22"/>
      <c r="M187" s="22"/>
      <c r="N187" s="22"/>
      <c r="P187" s="3">
        <f t="shared" si="8"/>
        <v>6</v>
      </c>
      <c r="Q187" s="3">
        <f t="shared" si="9"/>
        <v>31</v>
      </c>
      <c r="R187" s="3">
        <f ca="1">OFFSET(梦灵属性!G$37,$P187-2,0)</f>
        <v>180</v>
      </c>
      <c r="S187" s="3">
        <f ca="1">OFFSET(梦灵属性!H$37,$P187-2,0)</f>
        <v>1800</v>
      </c>
      <c r="T187" s="3">
        <f ca="1">OFFSET(梦灵属性!$E$37,$P187-2,0)*$Q187</f>
        <v>3.1</v>
      </c>
      <c r="U187" s="3">
        <f ca="1">OFFSET(梦灵属性!$E$37,$P187-2,0)*$Q187</f>
        <v>3.1</v>
      </c>
    </row>
    <row r="188" ht="16.5" spans="1:21">
      <c r="A188" s="54">
        <v>182</v>
      </c>
      <c r="B188" s="35">
        <f ca="1">OFFSET(梦灵本体产出!$G$6,MATCH(A188,梦灵本体产出!$I$7:$I$30,1),0)</f>
        <v>0</v>
      </c>
      <c r="C188" s="35" t="e">
        <f ca="1">MATCH(A188,OFFSET(梦灵属性!#REF!,50*(B188-3),0))</f>
        <v>#REF!</v>
      </c>
      <c r="D188" s="55"/>
      <c r="E188" s="55"/>
      <c r="F188" s="22" t="e">
        <f ca="1">_xlfn.XLOOKUP(B188,梦灵属性!$F$38:$F$41,梦灵属性!$E$38:$E$41)*C188</f>
        <v>#N/A</v>
      </c>
      <c r="G188" s="22" t="e">
        <f ca="1">_xlfn.XLOOKUP($B188,梦灵属性!$F$38:$F$41,梦灵属性!$E$38:$E$41)*$C188</f>
        <v>#N/A</v>
      </c>
      <c r="H188" s="22"/>
      <c r="I188" s="56">
        <f ca="1">OFFSET(梦灵图鉴!F$10,MATCH(A188,梦灵图鉴!$E$11:$E$61,1),0)*SUM(梦灵属性!$E$26:$J$26)+OFFSET(梦灵图鉴!H$10,MATCH(A188,梦灵图鉴!$G$11:$G$61,1),0)*SUM(梦灵属性!$E$27:$J$27)+OFFSET(梦灵图鉴!J$10,MATCH(A188,梦灵图鉴!$I$11:$I$61,1),0)*SUM(梦灵属性!$E$28:$J$28)+OFFSET(梦灵图鉴!L$10,MATCH(A188,梦灵图鉴!$K$11:$K$61,1),0)*SUM(梦灵属性!$E$29:$J$29)</f>
        <v>14.1</v>
      </c>
      <c r="J188" s="56"/>
      <c r="K188" s="56"/>
      <c r="L188" s="22"/>
      <c r="M188" s="22"/>
      <c r="N188" s="22"/>
      <c r="P188" s="3">
        <f t="shared" si="8"/>
        <v>6</v>
      </c>
      <c r="Q188" s="3">
        <f t="shared" si="9"/>
        <v>32</v>
      </c>
      <c r="R188" s="3">
        <f ca="1">OFFSET(梦灵属性!G$37,$P188-2,0)</f>
        <v>180</v>
      </c>
      <c r="S188" s="3">
        <f ca="1">OFFSET(梦灵属性!H$37,$P188-2,0)</f>
        <v>1800</v>
      </c>
      <c r="T188" s="3">
        <f ca="1">OFFSET(梦灵属性!$E$37,$P188-2,0)*$Q188</f>
        <v>3.2</v>
      </c>
      <c r="U188" s="3">
        <f ca="1">OFFSET(梦灵属性!$E$37,$P188-2,0)*$Q188</f>
        <v>3.2</v>
      </c>
    </row>
    <row r="189" ht="16.5" spans="1:21">
      <c r="A189" s="54">
        <v>183</v>
      </c>
      <c r="B189" s="35">
        <f ca="1">OFFSET(梦灵本体产出!$G$6,MATCH(A189,梦灵本体产出!$I$7:$I$30,1),0)</f>
        <v>0</v>
      </c>
      <c r="C189" s="35" t="e">
        <f ca="1">MATCH(A189,OFFSET(梦灵属性!#REF!,50*(B189-3),0))</f>
        <v>#REF!</v>
      </c>
      <c r="D189" s="55"/>
      <c r="E189" s="55"/>
      <c r="F189" s="22" t="e">
        <f ca="1">_xlfn.XLOOKUP(B189,梦灵属性!$F$38:$F$41,梦灵属性!$E$38:$E$41)*C189</f>
        <v>#N/A</v>
      </c>
      <c r="G189" s="22" t="e">
        <f ca="1">_xlfn.XLOOKUP($B189,梦灵属性!$F$38:$F$41,梦灵属性!$E$38:$E$41)*$C189</f>
        <v>#N/A</v>
      </c>
      <c r="H189" s="22"/>
      <c r="I189" s="56">
        <f ca="1">OFFSET(梦灵图鉴!F$10,MATCH(A189,梦灵图鉴!$E$11:$E$61,1),0)*SUM(梦灵属性!$E$26:$J$26)+OFFSET(梦灵图鉴!H$10,MATCH(A189,梦灵图鉴!$G$11:$G$61,1),0)*SUM(梦灵属性!$E$27:$J$27)+OFFSET(梦灵图鉴!J$10,MATCH(A189,梦灵图鉴!$I$11:$I$61,1),0)*SUM(梦灵属性!$E$28:$J$28)+OFFSET(梦灵图鉴!L$10,MATCH(A189,梦灵图鉴!$K$11:$K$61,1),0)*SUM(梦灵属性!$E$29:$J$29)</f>
        <v>14.1</v>
      </c>
      <c r="J189" s="56"/>
      <c r="K189" s="56"/>
      <c r="L189" s="22"/>
      <c r="M189" s="22"/>
      <c r="N189" s="22"/>
      <c r="P189" s="3">
        <f t="shared" si="8"/>
        <v>6</v>
      </c>
      <c r="Q189" s="3">
        <f t="shared" si="9"/>
        <v>33</v>
      </c>
      <c r="R189" s="3">
        <f ca="1">OFFSET(梦灵属性!G$37,$P189-2,0)</f>
        <v>180</v>
      </c>
      <c r="S189" s="3">
        <f ca="1">OFFSET(梦灵属性!H$37,$P189-2,0)</f>
        <v>1800</v>
      </c>
      <c r="T189" s="3">
        <f ca="1">OFFSET(梦灵属性!$E$37,$P189-2,0)*$Q189</f>
        <v>3.3</v>
      </c>
      <c r="U189" s="3">
        <f ca="1">OFFSET(梦灵属性!$E$37,$P189-2,0)*$Q189</f>
        <v>3.3</v>
      </c>
    </row>
    <row r="190" ht="16.5" spans="1:21">
      <c r="A190" s="54">
        <v>184</v>
      </c>
      <c r="B190" s="35">
        <f ca="1">OFFSET(梦灵本体产出!$G$6,MATCH(A190,梦灵本体产出!$I$7:$I$30,1),0)</f>
        <v>0</v>
      </c>
      <c r="C190" s="35" t="e">
        <f ca="1">MATCH(A190,OFFSET(梦灵属性!#REF!,50*(B190-3),0))</f>
        <v>#REF!</v>
      </c>
      <c r="D190" s="55"/>
      <c r="E190" s="55"/>
      <c r="F190" s="22" t="e">
        <f ca="1">_xlfn.XLOOKUP(B190,梦灵属性!$F$38:$F$41,梦灵属性!$E$38:$E$41)*C190</f>
        <v>#N/A</v>
      </c>
      <c r="G190" s="22" t="e">
        <f ca="1">_xlfn.XLOOKUP($B190,梦灵属性!$F$38:$F$41,梦灵属性!$E$38:$E$41)*$C190</f>
        <v>#N/A</v>
      </c>
      <c r="H190" s="22"/>
      <c r="I190" s="56">
        <f ca="1">OFFSET(梦灵图鉴!F$10,MATCH(A190,梦灵图鉴!$E$11:$E$61,1),0)*SUM(梦灵属性!$E$26:$J$26)+OFFSET(梦灵图鉴!H$10,MATCH(A190,梦灵图鉴!$G$11:$G$61,1),0)*SUM(梦灵属性!$E$27:$J$27)+OFFSET(梦灵图鉴!J$10,MATCH(A190,梦灵图鉴!$I$11:$I$61,1),0)*SUM(梦灵属性!$E$28:$J$28)+OFFSET(梦灵图鉴!L$10,MATCH(A190,梦灵图鉴!$K$11:$K$61,1),0)*SUM(梦灵属性!$E$29:$J$29)</f>
        <v>14.1</v>
      </c>
      <c r="J190" s="56"/>
      <c r="K190" s="56"/>
      <c r="L190" s="22"/>
      <c r="M190" s="22"/>
      <c r="N190" s="22"/>
      <c r="P190" s="3">
        <f t="shared" si="8"/>
        <v>6</v>
      </c>
      <c r="Q190" s="3">
        <f t="shared" si="9"/>
        <v>34</v>
      </c>
      <c r="R190" s="3">
        <f ca="1">OFFSET(梦灵属性!G$37,$P190-2,0)</f>
        <v>180</v>
      </c>
      <c r="S190" s="3">
        <f ca="1">OFFSET(梦灵属性!H$37,$P190-2,0)</f>
        <v>1800</v>
      </c>
      <c r="T190" s="3">
        <f ca="1">OFFSET(梦灵属性!$E$37,$P190-2,0)*$Q190</f>
        <v>3.4</v>
      </c>
      <c r="U190" s="3">
        <f ca="1">OFFSET(梦灵属性!$E$37,$P190-2,0)*$Q190</f>
        <v>3.4</v>
      </c>
    </row>
    <row r="191" ht="16.5" spans="1:21">
      <c r="A191" s="54">
        <v>185</v>
      </c>
      <c r="B191" s="35">
        <f ca="1">OFFSET(梦灵本体产出!$G$6,MATCH(A191,梦灵本体产出!$I$7:$I$30,1),0)</f>
        <v>0</v>
      </c>
      <c r="C191" s="35" t="e">
        <f ca="1">MATCH(A191,OFFSET(梦灵属性!#REF!,50*(B191-3),0))</f>
        <v>#REF!</v>
      </c>
      <c r="D191" s="55"/>
      <c r="E191" s="55"/>
      <c r="F191" s="22" t="e">
        <f ca="1">_xlfn.XLOOKUP(B191,梦灵属性!$F$38:$F$41,梦灵属性!$E$38:$E$41)*C191</f>
        <v>#N/A</v>
      </c>
      <c r="G191" s="22" t="e">
        <f ca="1">_xlfn.XLOOKUP($B191,梦灵属性!$F$38:$F$41,梦灵属性!$E$38:$E$41)*$C191</f>
        <v>#N/A</v>
      </c>
      <c r="H191" s="22"/>
      <c r="I191" s="56">
        <f ca="1">OFFSET(梦灵图鉴!F$10,MATCH(A191,梦灵图鉴!$E$11:$E$61,1),0)*SUM(梦灵属性!$E$26:$J$26)+OFFSET(梦灵图鉴!H$10,MATCH(A191,梦灵图鉴!$G$11:$G$61,1),0)*SUM(梦灵属性!$E$27:$J$27)+OFFSET(梦灵图鉴!J$10,MATCH(A191,梦灵图鉴!$I$11:$I$61,1),0)*SUM(梦灵属性!$E$28:$J$28)+OFFSET(梦灵图鉴!L$10,MATCH(A191,梦灵图鉴!$K$11:$K$61,1),0)*SUM(梦灵属性!$E$29:$J$29)</f>
        <v>14.1</v>
      </c>
      <c r="J191" s="56"/>
      <c r="K191" s="56"/>
      <c r="L191" s="22"/>
      <c r="M191" s="22"/>
      <c r="N191" s="22"/>
      <c r="P191" s="3">
        <f t="shared" si="8"/>
        <v>6</v>
      </c>
      <c r="Q191" s="3">
        <f t="shared" si="9"/>
        <v>35</v>
      </c>
      <c r="R191" s="3">
        <f ca="1">OFFSET(梦灵属性!G$37,$P191-2,0)</f>
        <v>180</v>
      </c>
      <c r="S191" s="3">
        <f ca="1">OFFSET(梦灵属性!H$37,$P191-2,0)</f>
        <v>1800</v>
      </c>
      <c r="T191" s="3">
        <f ca="1">OFFSET(梦灵属性!$E$37,$P191-2,0)*$Q191</f>
        <v>3.5</v>
      </c>
      <c r="U191" s="3">
        <f ca="1">OFFSET(梦灵属性!$E$37,$P191-2,0)*$Q191</f>
        <v>3.5</v>
      </c>
    </row>
    <row r="192" ht="16.5" spans="1:21">
      <c r="A192" s="54">
        <v>186</v>
      </c>
      <c r="B192" s="35">
        <f ca="1">OFFSET(梦灵本体产出!$G$6,MATCH(A192,梦灵本体产出!$I$7:$I$30,1),0)</f>
        <v>0</v>
      </c>
      <c r="C192" s="35" t="e">
        <f ca="1">MATCH(A192,OFFSET(梦灵属性!#REF!,50*(B192-3),0))</f>
        <v>#REF!</v>
      </c>
      <c r="D192" s="55"/>
      <c r="E192" s="55"/>
      <c r="F192" s="22" t="e">
        <f ca="1">_xlfn.XLOOKUP(B192,梦灵属性!$F$38:$F$41,梦灵属性!$E$38:$E$41)*C192</f>
        <v>#N/A</v>
      </c>
      <c r="G192" s="22" t="e">
        <f ca="1">_xlfn.XLOOKUP($B192,梦灵属性!$F$38:$F$41,梦灵属性!$E$38:$E$41)*$C192</f>
        <v>#N/A</v>
      </c>
      <c r="H192" s="22"/>
      <c r="I192" s="56">
        <f ca="1">OFFSET(梦灵图鉴!F$10,MATCH(A192,梦灵图鉴!$E$11:$E$61,1),0)*SUM(梦灵属性!$E$26:$J$26)+OFFSET(梦灵图鉴!H$10,MATCH(A192,梦灵图鉴!$G$11:$G$61,1),0)*SUM(梦灵属性!$E$27:$J$27)+OFFSET(梦灵图鉴!J$10,MATCH(A192,梦灵图鉴!$I$11:$I$61,1),0)*SUM(梦灵属性!$E$28:$J$28)+OFFSET(梦灵图鉴!L$10,MATCH(A192,梦灵图鉴!$K$11:$K$61,1),0)*SUM(梦灵属性!$E$29:$J$29)</f>
        <v>14.1</v>
      </c>
      <c r="J192" s="56"/>
      <c r="K192" s="56"/>
      <c r="L192" s="22"/>
      <c r="M192" s="22"/>
      <c r="N192" s="22"/>
      <c r="P192" s="3">
        <f t="shared" si="8"/>
        <v>6</v>
      </c>
      <c r="Q192" s="3">
        <f t="shared" si="9"/>
        <v>36</v>
      </c>
      <c r="R192" s="3">
        <f ca="1">OFFSET(梦灵属性!G$37,$P192-2,0)</f>
        <v>180</v>
      </c>
      <c r="S192" s="3">
        <f ca="1">OFFSET(梦灵属性!H$37,$P192-2,0)</f>
        <v>1800</v>
      </c>
      <c r="T192" s="3">
        <f ca="1">OFFSET(梦灵属性!$E$37,$P192-2,0)*$Q192</f>
        <v>3.6</v>
      </c>
      <c r="U192" s="3">
        <f ca="1">OFFSET(梦灵属性!$E$37,$P192-2,0)*$Q192</f>
        <v>3.6</v>
      </c>
    </row>
    <row r="193" ht="16.5" spans="1:21">
      <c r="A193" s="54">
        <v>187</v>
      </c>
      <c r="B193" s="35">
        <f ca="1">OFFSET(梦灵本体产出!$G$6,MATCH(A193,梦灵本体产出!$I$7:$I$30,1),0)</f>
        <v>0</v>
      </c>
      <c r="C193" s="35" t="e">
        <f ca="1">MATCH(A193,OFFSET(梦灵属性!#REF!,50*(B193-3),0))</f>
        <v>#REF!</v>
      </c>
      <c r="D193" s="55"/>
      <c r="E193" s="55"/>
      <c r="F193" s="22" t="e">
        <f ca="1">_xlfn.XLOOKUP(B193,梦灵属性!$F$38:$F$41,梦灵属性!$E$38:$E$41)*C193</f>
        <v>#N/A</v>
      </c>
      <c r="G193" s="22" t="e">
        <f ca="1">_xlfn.XLOOKUP($B193,梦灵属性!$F$38:$F$41,梦灵属性!$E$38:$E$41)*$C193</f>
        <v>#N/A</v>
      </c>
      <c r="H193" s="22"/>
      <c r="I193" s="56">
        <f ca="1">OFFSET(梦灵图鉴!F$10,MATCH(A193,梦灵图鉴!$E$11:$E$61,1),0)*SUM(梦灵属性!$E$26:$J$26)+OFFSET(梦灵图鉴!H$10,MATCH(A193,梦灵图鉴!$G$11:$G$61,1),0)*SUM(梦灵属性!$E$27:$J$27)+OFFSET(梦灵图鉴!J$10,MATCH(A193,梦灵图鉴!$I$11:$I$61,1),0)*SUM(梦灵属性!$E$28:$J$28)+OFFSET(梦灵图鉴!L$10,MATCH(A193,梦灵图鉴!$K$11:$K$61,1),0)*SUM(梦灵属性!$E$29:$J$29)</f>
        <v>14.1</v>
      </c>
      <c r="J193" s="56"/>
      <c r="K193" s="56"/>
      <c r="L193" s="22"/>
      <c r="M193" s="22"/>
      <c r="N193" s="22"/>
      <c r="P193" s="3">
        <f t="shared" si="8"/>
        <v>6</v>
      </c>
      <c r="Q193" s="3">
        <f t="shared" si="9"/>
        <v>37</v>
      </c>
      <c r="R193" s="3">
        <f ca="1">OFFSET(梦灵属性!G$37,$P193-2,0)</f>
        <v>180</v>
      </c>
      <c r="S193" s="3">
        <f ca="1">OFFSET(梦灵属性!H$37,$P193-2,0)</f>
        <v>1800</v>
      </c>
      <c r="T193" s="3">
        <f ca="1">OFFSET(梦灵属性!$E$37,$P193-2,0)*$Q193</f>
        <v>3.7</v>
      </c>
      <c r="U193" s="3">
        <f ca="1">OFFSET(梦灵属性!$E$37,$P193-2,0)*$Q193</f>
        <v>3.7</v>
      </c>
    </row>
    <row r="194" ht="16.5" spans="1:21">
      <c r="A194" s="54">
        <v>188</v>
      </c>
      <c r="B194" s="35">
        <f ca="1">OFFSET(梦灵本体产出!$G$6,MATCH(A194,梦灵本体产出!$I$7:$I$30,1),0)</f>
        <v>0</v>
      </c>
      <c r="C194" s="35" t="e">
        <f ca="1">MATCH(A194,OFFSET(梦灵属性!#REF!,50*(B194-3),0))</f>
        <v>#REF!</v>
      </c>
      <c r="D194" s="55"/>
      <c r="E194" s="55"/>
      <c r="F194" s="22" t="e">
        <f ca="1">_xlfn.XLOOKUP(B194,梦灵属性!$F$38:$F$41,梦灵属性!$E$38:$E$41)*C194</f>
        <v>#N/A</v>
      </c>
      <c r="G194" s="22" t="e">
        <f ca="1">_xlfn.XLOOKUP($B194,梦灵属性!$F$38:$F$41,梦灵属性!$E$38:$E$41)*$C194</f>
        <v>#N/A</v>
      </c>
      <c r="H194" s="22"/>
      <c r="I194" s="56">
        <f ca="1">OFFSET(梦灵图鉴!F$10,MATCH(A194,梦灵图鉴!$E$11:$E$61,1),0)*SUM(梦灵属性!$E$26:$J$26)+OFFSET(梦灵图鉴!H$10,MATCH(A194,梦灵图鉴!$G$11:$G$61,1),0)*SUM(梦灵属性!$E$27:$J$27)+OFFSET(梦灵图鉴!J$10,MATCH(A194,梦灵图鉴!$I$11:$I$61,1),0)*SUM(梦灵属性!$E$28:$J$28)+OFFSET(梦灵图鉴!L$10,MATCH(A194,梦灵图鉴!$K$11:$K$61,1),0)*SUM(梦灵属性!$E$29:$J$29)</f>
        <v>14.1</v>
      </c>
      <c r="J194" s="56"/>
      <c r="K194" s="56"/>
      <c r="L194" s="22"/>
      <c r="M194" s="22"/>
      <c r="N194" s="22"/>
      <c r="P194" s="3">
        <f t="shared" si="8"/>
        <v>6</v>
      </c>
      <c r="Q194" s="3">
        <f t="shared" si="9"/>
        <v>38</v>
      </c>
      <c r="R194" s="3">
        <f ca="1">OFFSET(梦灵属性!G$37,$P194-2,0)</f>
        <v>180</v>
      </c>
      <c r="S194" s="3">
        <f ca="1">OFFSET(梦灵属性!H$37,$P194-2,0)</f>
        <v>1800</v>
      </c>
      <c r="T194" s="3">
        <f ca="1">OFFSET(梦灵属性!$E$37,$P194-2,0)*$Q194</f>
        <v>3.8</v>
      </c>
      <c r="U194" s="3">
        <f ca="1">OFFSET(梦灵属性!$E$37,$P194-2,0)*$Q194</f>
        <v>3.8</v>
      </c>
    </row>
    <row r="195" ht="16.5" spans="1:21">
      <c r="A195" s="54">
        <v>189</v>
      </c>
      <c r="B195" s="35">
        <f ca="1">OFFSET(梦灵本体产出!$G$6,MATCH(A195,梦灵本体产出!$I$7:$I$30,1),0)</f>
        <v>0</v>
      </c>
      <c r="C195" s="35" t="e">
        <f ca="1">MATCH(A195,OFFSET(梦灵属性!#REF!,50*(B195-3),0))</f>
        <v>#REF!</v>
      </c>
      <c r="D195" s="55"/>
      <c r="E195" s="55"/>
      <c r="F195" s="22" t="e">
        <f ca="1">_xlfn.XLOOKUP(B195,梦灵属性!$F$38:$F$41,梦灵属性!$E$38:$E$41)*C195</f>
        <v>#N/A</v>
      </c>
      <c r="G195" s="22" t="e">
        <f ca="1">_xlfn.XLOOKUP($B195,梦灵属性!$F$38:$F$41,梦灵属性!$E$38:$E$41)*$C195</f>
        <v>#N/A</v>
      </c>
      <c r="H195" s="22"/>
      <c r="I195" s="56">
        <f ca="1">OFFSET(梦灵图鉴!F$10,MATCH(A195,梦灵图鉴!$E$11:$E$61,1),0)*SUM(梦灵属性!$E$26:$J$26)+OFFSET(梦灵图鉴!H$10,MATCH(A195,梦灵图鉴!$G$11:$G$61,1),0)*SUM(梦灵属性!$E$27:$J$27)+OFFSET(梦灵图鉴!J$10,MATCH(A195,梦灵图鉴!$I$11:$I$61,1),0)*SUM(梦灵属性!$E$28:$J$28)+OFFSET(梦灵图鉴!L$10,MATCH(A195,梦灵图鉴!$K$11:$K$61,1),0)*SUM(梦灵属性!$E$29:$J$29)</f>
        <v>14.1</v>
      </c>
      <c r="J195" s="56"/>
      <c r="K195" s="56"/>
      <c r="L195" s="22"/>
      <c r="M195" s="22"/>
      <c r="N195" s="22"/>
      <c r="P195" s="3">
        <f t="shared" si="8"/>
        <v>6</v>
      </c>
      <c r="Q195" s="3">
        <f t="shared" si="9"/>
        <v>39</v>
      </c>
      <c r="R195" s="3">
        <f ca="1">OFFSET(梦灵属性!G$37,$P195-2,0)</f>
        <v>180</v>
      </c>
      <c r="S195" s="3">
        <f ca="1">OFFSET(梦灵属性!H$37,$P195-2,0)</f>
        <v>1800</v>
      </c>
      <c r="T195" s="3">
        <f ca="1">OFFSET(梦灵属性!$E$37,$P195-2,0)*$Q195</f>
        <v>3.9</v>
      </c>
      <c r="U195" s="3">
        <f ca="1">OFFSET(梦灵属性!$E$37,$P195-2,0)*$Q195</f>
        <v>3.9</v>
      </c>
    </row>
    <row r="196" ht="16.5" spans="1:21">
      <c r="A196" s="54">
        <v>190</v>
      </c>
      <c r="B196" s="35">
        <f ca="1">OFFSET(梦灵本体产出!$G$6,MATCH(A196,梦灵本体产出!$I$7:$I$30,1),0)</f>
        <v>0</v>
      </c>
      <c r="C196" s="35" t="e">
        <f ca="1">MATCH(A196,OFFSET(梦灵属性!#REF!,50*(B196-3),0))</f>
        <v>#REF!</v>
      </c>
      <c r="D196" s="55"/>
      <c r="E196" s="55"/>
      <c r="F196" s="22" t="e">
        <f ca="1">_xlfn.XLOOKUP(B196,梦灵属性!$F$38:$F$41,梦灵属性!$E$38:$E$41)*C196</f>
        <v>#N/A</v>
      </c>
      <c r="G196" s="22" t="e">
        <f ca="1">_xlfn.XLOOKUP($B196,梦灵属性!$F$38:$F$41,梦灵属性!$E$38:$E$41)*$C196</f>
        <v>#N/A</v>
      </c>
      <c r="H196" s="22"/>
      <c r="I196" s="56">
        <f ca="1">OFFSET(梦灵图鉴!F$10,MATCH(A196,梦灵图鉴!$E$11:$E$61,1),0)*SUM(梦灵属性!$E$26:$J$26)+OFFSET(梦灵图鉴!H$10,MATCH(A196,梦灵图鉴!$G$11:$G$61,1),0)*SUM(梦灵属性!$E$27:$J$27)+OFFSET(梦灵图鉴!J$10,MATCH(A196,梦灵图鉴!$I$11:$I$61,1),0)*SUM(梦灵属性!$E$28:$J$28)+OFFSET(梦灵图鉴!L$10,MATCH(A196,梦灵图鉴!$K$11:$K$61,1),0)*SUM(梦灵属性!$E$29:$J$29)</f>
        <v>14.1</v>
      </c>
      <c r="J196" s="56"/>
      <c r="K196" s="56"/>
      <c r="L196" s="22"/>
      <c r="M196" s="22"/>
      <c r="N196" s="22"/>
      <c r="P196" s="3">
        <f t="shared" ref="P196:P206" si="10">P146+1</f>
        <v>6</v>
      </c>
      <c r="Q196" s="3">
        <f t="shared" ref="Q196:Q206" si="11">Q146</f>
        <v>40</v>
      </c>
      <c r="R196" s="3">
        <f ca="1">OFFSET(梦灵属性!G$37,$P196-2,0)</f>
        <v>180</v>
      </c>
      <c r="S196" s="3">
        <f ca="1">OFFSET(梦灵属性!H$37,$P196-2,0)</f>
        <v>1800</v>
      </c>
      <c r="T196" s="3">
        <f ca="1">OFFSET(梦灵属性!$E$37,$P196-2,0)*$Q196</f>
        <v>4</v>
      </c>
      <c r="U196" s="3">
        <f ca="1">OFFSET(梦灵属性!$E$37,$P196-2,0)*$Q196</f>
        <v>4</v>
      </c>
    </row>
    <row r="197" ht="16.5" spans="1:21">
      <c r="A197" s="54">
        <v>191</v>
      </c>
      <c r="B197" s="35">
        <f ca="1">OFFSET(梦灵本体产出!$G$6,MATCH(A197,梦灵本体产出!$I$7:$I$30,1),0)</f>
        <v>0</v>
      </c>
      <c r="C197" s="35" t="e">
        <f ca="1">MATCH(A197,OFFSET(梦灵属性!#REF!,50*(B197-3),0))</f>
        <v>#REF!</v>
      </c>
      <c r="D197" s="55"/>
      <c r="E197" s="55"/>
      <c r="F197" s="22" t="e">
        <f ca="1">_xlfn.XLOOKUP(B197,梦灵属性!$F$38:$F$41,梦灵属性!$E$38:$E$41)*C197</f>
        <v>#N/A</v>
      </c>
      <c r="G197" s="22" t="e">
        <f ca="1">_xlfn.XLOOKUP($B197,梦灵属性!$F$38:$F$41,梦灵属性!$E$38:$E$41)*$C197</f>
        <v>#N/A</v>
      </c>
      <c r="H197" s="22"/>
      <c r="I197" s="56">
        <f ca="1">OFFSET(梦灵图鉴!F$10,MATCH(A197,梦灵图鉴!$E$11:$E$61,1),0)*SUM(梦灵属性!$E$26:$J$26)+OFFSET(梦灵图鉴!H$10,MATCH(A197,梦灵图鉴!$G$11:$G$61,1),0)*SUM(梦灵属性!$E$27:$J$27)+OFFSET(梦灵图鉴!J$10,MATCH(A197,梦灵图鉴!$I$11:$I$61,1),0)*SUM(梦灵属性!$E$28:$J$28)+OFFSET(梦灵图鉴!L$10,MATCH(A197,梦灵图鉴!$K$11:$K$61,1),0)*SUM(梦灵属性!$E$29:$J$29)</f>
        <v>14.1</v>
      </c>
      <c r="J197" s="56"/>
      <c r="K197" s="56"/>
      <c r="L197" s="22"/>
      <c r="M197" s="22"/>
      <c r="N197" s="22"/>
      <c r="P197" s="3">
        <f t="shared" si="10"/>
        <v>6</v>
      </c>
      <c r="Q197" s="3">
        <f t="shared" si="11"/>
        <v>41</v>
      </c>
      <c r="R197" s="3">
        <f ca="1">OFFSET(梦灵属性!G$37,$P197-2,0)</f>
        <v>180</v>
      </c>
      <c r="S197" s="3">
        <f ca="1">OFFSET(梦灵属性!H$37,$P197-2,0)</f>
        <v>1800</v>
      </c>
      <c r="T197" s="3">
        <f ca="1">OFFSET(梦灵属性!$E$37,$P197-2,0)*$Q197</f>
        <v>4.1</v>
      </c>
      <c r="U197" s="3">
        <f ca="1">OFFSET(梦灵属性!$E$37,$P197-2,0)*$Q197</f>
        <v>4.1</v>
      </c>
    </row>
    <row r="198" ht="16.5" spans="1:21">
      <c r="A198" s="54">
        <v>192</v>
      </c>
      <c r="B198" s="35">
        <f ca="1">OFFSET(梦灵本体产出!$G$6,MATCH(A198,梦灵本体产出!$I$7:$I$30,1),0)</f>
        <v>0</v>
      </c>
      <c r="C198" s="35" t="e">
        <f ca="1">MATCH(A198,OFFSET(梦灵属性!#REF!,50*(B198-3),0))</f>
        <v>#REF!</v>
      </c>
      <c r="D198" s="55"/>
      <c r="E198" s="55"/>
      <c r="F198" s="22" t="e">
        <f ca="1">_xlfn.XLOOKUP(B198,梦灵属性!$F$38:$F$41,梦灵属性!$E$38:$E$41)*C198</f>
        <v>#N/A</v>
      </c>
      <c r="G198" s="22" t="e">
        <f ca="1">_xlfn.XLOOKUP($B198,梦灵属性!$F$38:$F$41,梦灵属性!$E$38:$E$41)*$C198</f>
        <v>#N/A</v>
      </c>
      <c r="H198" s="22"/>
      <c r="I198" s="56">
        <f ca="1">OFFSET(梦灵图鉴!F$10,MATCH(A198,梦灵图鉴!$E$11:$E$61,1),0)*SUM(梦灵属性!$E$26:$J$26)+OFFSET(梦灵图鉴!H$10,MATCH(A198,梦灵图鉴!$G$11:$G$61,1),0)*SUM(梦灵属性!$E$27:$J$27)+OFFSET(梦灵图鉴!J$10,MATCH(A198,梦灵图鉴!$I$11:$I$61,1),0)*SUM(梦灵属性!$E$28:$J$28)+OFFSET(梦灵图鉴!L$10,MATCH(A198,梦灵图鉴!$K$11:$K$61,1),0)*SUM(梦灵属性!$E$29:$J$29)</f>
        <v>14.1</v>
      </c>
      <c r="J198" s="56"/>
      <c r="K198" s="56"/>
      <c r="L198" s="22"/>
      <c r="M198" s="22"/>
      <c r="N198" s="22"/>
      <c r="P198" s="3">
        <f t="shared" si="10"/>
        <v>6</v>
      </c>
      <c r="Q198" s="3">
        <f t="shared" si="11"/>
        <v>42</v>
      </c>
      <c r="R198" s="3">
        <f ca="1">OFFSET(梦灵属性!G$37,$P198-2,0)</f>
        <v>180</v>
      </c>
      <c r="S198" s="3">
        <f ca="1">OFFSET(梦灵属性!H$37,$P198-2,0)</f>
        <v>1800</v>
      </c>
      <c r="T198" s="3">
        <f ca="1">OFFSET(梦灵属性!$E$37,$P198-2,0)*$Q198</f>
        <v>4.2</v>
      </c>
      <c r="U198" s="3">
        <f ca="1">OFFSET(梦灵属性!$E$37,$P198-2,0)*$Q198</f>
        <v>4.2</v>
      </c>
    </row>
    <row r="199" ht="16.5" spans="1:21">
      <c r="A199" s="54">
        <v>193</v>
      </c>
      <c r="B199" s="35">
        <f ca="1">OFFSET(梦灵本体产出!$G$6,MATCH(A199,梦灵本体产出!$I$7:$I$30,1),0)</f>
        <v>0</v>
      </c>
      <c r="C199" s="35" t="e">
        <f ca="1">MATCH(A199,OFFSET(梦灵属性!#REF!,50*(B199-3),0))</f>
        <v>#REF!</v>
      </c>
      <c r="D199" s="55"/>
      <c r="E199" s="55"/>
      <c r="F199" s="22" t="e">
        <f ca="1">_xlfn.XLOOKUP(B199,梦灵属性!$F$38:$F$41,梦灵属性!$E$38:$E$41)*C199</f>
        <v>#N/A</v>
      </c>
      <c r="G199" s="22" t="e">
        <f ca="1">_xlfn.XLOOKUP($B199,梦灵属性!$F$38:$F$41,梦灵属性!$E$38:$E$41)*$C199</f>
        <v>#N/A</v>
      </c>
      <c r="H199" s="22"/>
      <c r="I199" s="56">
        <f ca="1">OFFSET(梦灵图鉴!F$10,MATCH(A199,梦灵图鉴!$E$11:$E$61,1),0)*SUM(梦灵属性!$E$26:$J$26)+OFFSET(梦灵图鉴!H$10,MATCH(A199,梦灵图鉴!$G$11:$G$61,1),0)*SUM(梦灵属性!$E$27:$J$27)+OFFSET(梦灵图鉴!J$10,MATCH(A199,梦灵图鉴!$I$11:$I$61,1),0)*SUM(梦灵属性!$E$28:$J$28)+OFFSET(梦灵图鉴!L$10,MATCH(A199,梦灵图鉴!$K$11:$K$61,1),0)*SUM(梦灵属性!$E$29:$J$29)</f>
        <v>14.1</v>
      </c>
      <c r="J199" s="56"/>
      <c r="K199" s="56"/>
      <c r="L199" s="22"/>
      <c r="M199" s="22"/>
      <c r="N199" s="22"/>
      <c r="P199" s="3">
        <f t="shared" si="10"/>
        <v>6</v>
      </c>
      <c r="Q199" s="3">
        <f t="shared" si="11"/>
        <v>43</v>
      </c>
      <c r="R199" s="3">
        <f ca="1">OFFSET(梦灵属性!G$37,$P199-2,0)</f>
        <v>180</v>
      </c>
      <c r="S199" s="3">
        <f ca="1">OFFSET(梦灵属性!H$37,$P199-2,0)</f>
        <v>1800</v>
      </c>
      <c r="T199" s="3">
        <f ca="1">OFFSET(梦灵属性!$E$37,$P199-2,0)*$Q199</f>
        <v>4.3</v>
      </c>
      <c r="U199" s="3">
        <f ca="1">OFFSET(梦灵属性!$E$37,$P199-2,0)*$Q199</f>
        <v>4.3</v>
      </c>
    </row>
    <row r="200" ht="16.5" spans="1:21">
      <c r="A200" s="54">
        <v>194</v>
      </c>
      <c r="B200" s="35">
        <f ca="1">OFFSET(梦灵本体产出!$G$6,MATCH(A200,梦灵本体产出!$I$7:$I$30,1),0)</f>
        <v>0</v>
      </c>
      <c r="C200" s="35" t="e">
        <f ca="1">MATCH(A200,OFFSET(梦灵属性!#REF!,50*(B200-3),0))</f>
        <v>#REF!</v>
      </c>
      <c r="D200" s="55"/>
      <c r="E200" s="55"/>
      <c r="F200" s="22" t="e">
        <f ca="1">_xlfn.XLOOKUP(B200,梦灵属性!$F$38:$F$41,梦灵属性!$E$38:$E$41)*C200</f>
        <v>#N/A</v>
      </c>
      <c r="G200" s="22" t="e">
        <f ca="1">_xlfn.XLOOKUP($B200,梦灵属性!$F$38:$F$41,梦灵属性!$E$38:$E$41)*$C200</f>
        <v>#N/A</v>
      </c>
      <c r="H200" s="22"/>
      <c r="I200" s="56">
        <f ca="1">OFFSET(梦灵图鉴!F$10,MATCH(A200,梦灵图鉴!$E$11:$E$61,1),0)*SUM(梦灵属性!$E$26:$J$26)+OFFSET(梦灵图鉴!H$10,MATCH(A200,梦灵图鉴!$G$11:$G$61,1),0)*SUM(梦灵属性!$E$27:$J$27)+OFFSET(梦灵图鉴!J$10,MATCH(A200,梦灵图鉴!$I$11:$I$61,1),0)*SUM(梦灵属性!$E$28:$J$28)+OFFSET(梦灵图鉴!L$10,MATCH(A200,梦灵图鉴!$K$11:$K$61,1),0)*SUM(梦灵属性!$E$29:$J$29)</f>
        <v>14.1</v>
      </c>
      <c r="J200" s="56"/>
      <c r="K200" s="56"/>
      <c r="L200" s="22"/>
      <c r="M200" s="22"/>
      <c r="N200" s="22"/>
      <c r="P200" s="3">
        <f t="shared" si="10"/>
        <v>6</v>
      </c>
      <c r="Q200" s="3">
        <f t="shared" si="11"/>
        <v>44</v>
      </c>
      <c r="R200" s="3">
        <f ca="1">OFFSET(梦灵属性!G$37,$P200-2,0)</f>
        <v>180</v>
      </c>
      <c r="S200" s="3">
        <f ca="1">OFFSET(梦灵属性!H$37,$P200-2,0)</f>
        <v>1800</v>
      </c>
      <c r="T200" s="3">
        <f ca="1">OFFSET(梦灵属性!$E$37,$P200-2,0)*$Q200</f>
        <v>4.4</v>
      </c>
      <c r="U200" s="3">
        <f ca="1">OFFSET(梦灵属性!$E$37,$P200-2,0)*$Q200</f>
        <v>4.4</v>
      </c>
    </row>
    <row r="201" ht="16.5" spans="1:21">
      <c r="A201" s="54">
        <v>195</v>
      </c>
      <c r="B201" s="35">
        <f ca="1">OFFSET(梦灵本体产出!$G$6,MATCH(A201,梦灵本体产出!$I$7:$I$30,1),0)</f>
        <v>0</v>
      </c>
      <c r="C201" s="35" t="e">
        <f ca="1">MATCH(A201,OFFSET(梦灵属性!#REF!,50*(B201-3),0))</f>
        <v>#REF!</v>
      </c>
      <c r="D201" s="55"/>
      <c r="E201" s="55"/>
      <c r="F201" s="22" t="e">
        <f ca="1">_xlfn.XLOOKUP(B201,梦灵属性!$F$38:$F$41,梦灵属性!$E$38:$E$41)*C201</f>
        <v>#N/A</v>
      </c>
      <c r="G201" s="22" t="e">
        <f ca="1">_xlfn.XLOOKUP($B201,梦灵属性!$F$38:$F$41,梦灵属性!$E$38:$E$41)*$C201</f>
        <v>#N/A</v>
      </c>
      <c r="H201" s="22"/>
      <c r="I201" s="56">
        <f ca="1">OFFSET(梦灵图鉴!F$10,MATCH(A201,梦灵图鉴!$E$11:$E$61,1),0)*SUM(梦灵属性!$E$26:$J$26)+OFFSET(梦灵图鉴!H$10,MATCH(A201,梦灵图鉴!$G$11:$G$61,1),0)*SUM(梦灵属性!$E$27:$J$27)+OFFSET(梦灵图鉴!J$10,MATCH(A201,梦灵图鉴!$I$11:$I$61,1),0)*SUM(梦灵属性!$E$28:$J$28)+OFFSET(梦灵图鉴!L$10,MATCH(A201,梦灵图鉴!$K$11:$K$61,1),0)*SUM(梦灵属性!$E$29:$J$29)</f>
        <v>14.1</v>
      </c>
      <c r="J201" s="56"/>
      <c r="K201" s="56"/>
      <c r="L201" s="22"/>
      <c r="M201" s="22"/>
      <c r="N201" s="22"/>
      <c r="P201" s="3">
        <f t="shared" si="10"/>
        <v>6</v>
      </c>
      <c r="Q201" s="3">
        <f t="shared" si="11"/>
        <v>45</v>
      </c>
      <c r="R201" s="3">
        <f ca="1">OFFSET(梦灵属性!G$37,$P201-2,0)</f>
        <v>180</v>
      </c>
      <c r="S201" s="3">
        <f ca="1">OFFSET(梦灵属性!H$37,$P201-2,0)</f>
        <v>1800</v>
      </c>
      <c r="T201" s="3">
        <f ca="1">OFFSET(梦灵属性!$E$37,$P201-2,0)*$Q201</f>
        <v>4.5</v>
      </c>
      <c r="U201" s="3">
        <f ca="1">OFFSET(梦灵属性!$E$37,$P201-2,0)*$Q201</f>
        <v>4.5</v>
      </c>
    </row>
    <row r="202" ht="16.5" spans="1:21">
      <c r="A202" s="54">
        <v>196</v>
      </c>
      <c r="B202" s="35">
        <f ca="1">OFFSET(梦灵本体产出!$G$6,MATCH(A202,梦灵本体产出!$I$7:$I$30,1),0)</f>
        <v>0</v>
      </c>
      <c r="C202" s="35" t="e">
        <f ca="1">MATCH(A202,OFFSET(梦灵属性!#REF!,50*(B202-3),0))</f>
        <v>#REF!</v>
      </c>
      <c r="D202" s="55"/>
      <c r="E202" s="55"/>
      <c r="F202" s="22" t="e">
        <f ca="1">_xlfn.XLOOKUP(B202,梦灵属性!$F$38:$F$41,梦灵属性!$E$38:$E$41)*C202</f>
        <v>#N/A</v>
      </c>
      <c r="G202" s="22" t="e">
        <f ca="1">_xlfn.XLOOKUP($B202,梦灵属性!$F$38:$F$41,梦灵属性!$E$38:$E$41)*$C202</f>
        <v>#N/A</v>
      </c>
      <c r="H202" s="22"/>
      <c r="I202" s="56">
        <f ca="1">OFFSET(梦灵图鉴!F$10,MATCH(A202,梦灵图鉴!$E$11:$E$61,1),0)*SUM(梦灵属性!$E$26:$J$26)+OFFSET(梦灵图鉴!H$10,MATCH(A202,梦灵图鉴!$G$11:$G$61,1),0)*SUM(梦灵属性!$E$27:$J$27)+OFFSET(梦灵图鉴!J$10,MATCH(A202,梦灵图鉴!$I$11:$I$61,1),0)*SUM(梦灵属性!$E$28:$J$28)+OFFSET(梦灵图鉴!L$10,MATCH(A202,梦灵图鉴!$K$11:$K$61,1),0)*SUM(梦灵属性!$E$29:$J$29)</f>
        <v>14.1</v>
      </c>
      <c r="J202" s="56"/>
      <c r="K202" s="56"/>
      <c r="L202" s="22"/>
      <c r="M202" s="22"/>
      <c r="N202" s="22"/>
      <c r="P202" s="3">
        <f t="shared" si="10"/>
        <v>6</v>
      </c>
      <c r="Q202" s="3">
        <f t="shared" si="11"/>
        <v>46</v>
      </c>
      <c r="R202" s="3">
        <f ca="1">OFFSET(梦灵属性!G$37,$P202-2,0)</f>
        <v>180</v>
      </c>
      <c r="S202" s="3">
        <f ca="1">OFFSET(梦灵属性!H$37,$P202-2,0)</f>
        <v>1800</v>
      </c>
      <c r="T202" s="3">
        <f ca="1">OFFSET(梦灵属性!$E$37,$P202-2,0)*$Q202</f>
        <v>4.6</v>
      </c>
      <c r="U202" s="3">
        <f ca="1">OFFSET(梦灵属性!$E$37,$P202-2,0)*$Q202</f>
        <v>4.6</v>
      </c>
    </row>
    <row r="203" ht="16.5" spans="1:21">
      <c r="A203" s="54">
        <v>197</v>
      </c>
      <c r="B203" s="35">
        <f ca="1">OFFSET(梦灵本体产出!$G$6,MATCH(A203,梦灵本体产出!$I$7:$I$30,1),0)</f>
        <v>0</v>
      </c>
      <c r="C203" s="35" t="e">
        <f ca="1">MATCH(A203,OFFSET(梦灵属性!#REF!,50*(B203-3),0))</f>
        <v>#REF!</v>
      </c>
      <c r="D203" s="55"/>
      <c r="E203" s="55"/>
      <c r="F203" s="22" t="e">
        <f ca="1">_xlfn.XLOOKUP(B203,梦灵属性!$F$38:$F$41,梦灵属性!$E$38:$E$41)*C203</f>
        <v>#N/A</v>
      </c>
      <c r="G203" s="22" t="e">
        <f ca="1">_xlfn.XLOOKUP($B203,梦灵属性!$F$38:$F$41,梦灵属性!$E$38:$E$41)*$C203</f>
        <v>#N/A</v>
      </c>
      <c r="H203" s="22"/>
      <c r="I203" s="56">
        <f ca="1">OFFSET(梦灵图鉴!F$10,MATCH(A203,梦灵图鉴!$E$11:$E$61,1),0)*SUM(梦灵属性!$E$26:$J$26)+OFFSET(梦灵图鉴!H$10,MATCH(A203,梦灵图鉴!$G$11:$G$61,1),0)*SUM(梦灵属性!$E$27:$J$27)+OFFSET(梦灵图鉴!J$10,MATCH(A203,梦灵图鉴!$I$11:$I$61,1),0)*SUM(梦灵属性!$E$28:$J$28)+OFFSET(梦灵图鉴!L$10,MATCH(A203,梦灵图鉴!$K$11:$K$61,1),0)*SUM(梦灵属性!$E$29:$J$29)</f>
        <v>14.1</v>
      </c>
      <c r="J203" s="56"/>
      <c r="K203" s="56"/>
      <c r="L203" s="22"/>
      <c r="M203" s="22"/>
      <c r="N203" s="22"/>
      <c r="P203" s="3">
        <f t="shared" si="10"/>
        <v>6</v>
      </c>
      <c r="Q203" s="3">
        <f t="shared" si="11"/>
        <v>47</v>
      </c>
      <c r="R203" s="3">
        <f ca="1">OFFSET(梦灵属性!G$37,$P203-2,0)</f>
        <v>180</v>
      </c>
      <c r="S203" s="3">
        <f ca="1">OFFSET(梦灵属性!H$37,$P203-2,0)</f>
        <v>1800</v>
      </c>
      <c r="T203" s="3">
        <f ca="1">OFFSET(梦灵属性!$E$37,$P203-2,0)*$Q203</f>
        <v>4.7</v>
      </c>
      <c r="U203" s="3">
        <f ca="1">OFFSET(梦灵属性!$E$37,$P203-2,0)*$Q203</f>
        <v>4.7</v>
      </c>
    </row>
    <row r="204" ht="16.5" spans="1:21">
      <c r="A204" s="54">
        <v>198</v>
      </c>
      <c r="B204" s="35">
        <f ca="1">OFFSET(梦灵本体产出!$G$6,MATCH(A204,梦灵本体产出!$I$7:$I$30,1),0)</f>
        <v>0</v>
      </c>
      <c r="C204" s="35" t="e">
        <f ca="1">MATCH(A204,OFFSET(梦灵属性!#REF!,50*(B204-3),0))</f>
        <v>#REF!</v>
      </c>
      <c r="D204" s="55"/>
      <c r="E204" s="55"/>
      <c r="F204" s="22" t="e">
        <f ca="1">_xlfn.XLOOKUP(B204,梦灵属性!$F$38:$F$41,梦灵属性!$E$38:$E$41)*C204</f>
        <v>#N/A</v>
      </c>
      <c r="G204" s="22" t="e">
        <f ca="1">_xlfn.XLOOKUP($B204,梦灵属性!$F$38:$F$41,梦灵属性!$E$38:$E$41)*$C204</f>
        <v>#N/A</v>
      </c>
      <c r="H204" s="22"/>
      <c r="I204" s="56">
        <f ca="1">OFFSET(梦灵图鉴!F$10,MATCH(A204,梦灵图鉴!$E$11:$E$61,1),0)*SUM(梦灵属性!$E$26:$J$26)+OFFSET(梦灵图鉴!H$10,MATCH(A204,梦灵图鉴!$G$11:$G$61,1),0)*SUM(梦灵属性!$E$27:$J$27)+OFFSET(梦灵图鉴!J$10,MATCH(A204,梦灵图鉴!$I$11:$I$61,1),0)*SUM(梦灵属性!$E$28:$J$28)+OFFSET(梦灵图鉴!L$10,MATCH(A204,梦灵图鉴!$K$11:$K$61,1),0)*SUM(梦灵属性!$E$29:$J$29)</f>
        <v>14.1</v>
      </c>
      <c r="J204" s="56"/>
      <c r="K204" s="56"/>
      <c r="L204" s="22"/>
      <c r="M204" s="22"/>
      <c r="N204" s="22"/>
      <c r="P204" s="3">
        <f t="shared" si="10"/>
        <v>6</v>
      </c>
      <c r="Q204" s="3">
        <f t="shared" si="11"/>
        <v>48</v>
      </c>
      <c r="R204" s="3">
        <f ca="1">OFFSET(梦灵属性!G$37,$P204-2,0)</f>
        <v>180</v>
      </c>
      <c r="S204" s="3">
        <f ca="1">OFFSET(梦灵属性!H$37,$P204-2,0)</f>
        <v>1800</v>
      </c>
      <c r="T204" s="3">
        <f ca="1">OFFSET(梦灵属性!$E$37,$P204-2,0)*$Q204</f>
        <v>4.8</v>
      </c>
      <c r="U204" s="3">
        <f ca="1">OFFSET(梦灵属性!$E$37,$P204-2,0)*$Q204</f>
        <v>4.8</v>
      </c>
    </row>
    <row r="205" ht="16.5" spans="1:21">
      <c r="A205" s="54">
        <v>199</v>
      </c>
      <c r="B205" s="35">
        <f ca="1">OFFSET(梦灵本体产出!$G$6,MATCH(A205,梦灵本体产出!$I$7:$I$30,1),0)</f>
        <v>0</v>
      </c>
      <c r="C205" s="35" t="e">
        <f ca="1">MATCH(A205,OFFSET(梦灵属性!#REF!,50*(B205-3),0))</f>
        <v>#REF!</v>
      </c>
      <c r="D205" s="55"/>
      <c r="E205" s="55"/>
      <c r="F205" s="22" t="e">
        <f ca="1">_xlfn.XLOOKUP(B205,梦灵属性!$F$38:$F$41,梦灵属性!$E$38:$E$41)*C205</f>
        <v>#N/A</v>
      </c>
      <c r="G205" s="22" t="e">
        <f ca="1">_xlfn.XLOOKUP($B205,梦灵属性!$F$38:$F$41,梦灵属性!$E$38:$E$41)*$C205</f>
        <v>#N/A</v>
      </c>
      <c r="H205" s="22"/>
      <c r="I205" s="56">
        <f ca="1">OFFSET(梦灵图鉴!F$10,MATCH(A205,梦灵图鉴!$E$11:$E$61,1),0)*SUM(梦灵属性!$E$26:$J$26)+OFFSET(梦灵图鉴!H$10,MATCH(A205,梦灵图鉴!$G$11:$G$61,1),0)*SUM(梦灵属性!$E$27:$J$27)+OFFSET(梦灵图鉴!J$10,MATCH(A205,梦灵图鉴!$I$11:$I$61,1),0)*SUM(梦灵属性!$E$28:$J$28)+OFFSET(梦灵图鉴!L$10,MATCH(A205,梦灵图鉴!$K$11:$K$61,1),0)*SUM(梦灵属性!$E$29:$J$29)</f>
        <v>14.1</v>
      </c>
      <c r="J205" s="56"/>
      <c r="K205" s="56"/>
      <c r="L205" s="22"/>
      <c r="M205" s="22"/>
      <c r="N205" s="22"/>
      <c r="P205" s="3">
        <f t="shared" si="10"/>
        <v>6</v>
      </c>
      <c r="Q205" s="3">
        <f t="shared" si="11"/>
        <v>49</v>
      </c>
      <c r="R205" s="3">
        <f ca="1">OFFSET(梦灵属性!G$37,$P205-2,0)</f>
        <v>180</v>
      </c>
      <c r="S205" s="3">
        <f ca="1">OFFSET(梦灵属性!H$37,$P205-2,0)</f>
        <v>1800</v>
      </c>
      <c r="T205" s="3">
        <f ca="1">OFFSET(梦灵属性!$E$37,$P205-2,0)*$Q205</f>
        <v>4.9</v>
      </c>
      <c r="U205" s="3">
        <f ca="1">OFFSET(梦灵属性!$E$37,$P205-2,0)*$Q205</f>
        <v>4.9</v>
      </c>
    </row>
    <row r="206" ht="16.5" spans="1:21">
      <c r="A206" s="54">
        <v>200</v>
      </c>
      <c r="B206" s="35">
        <f ca="1">OFFSET(梦灵本体产出!$G$6,MATCH(A206,梦灵本体产出!$I$7:$I$30,1),0)</f>
        <v>0</v>
      </c>
      <c r="C206" s="35" t="e">
        <f ca="1">MATCH(A206,OFFSET(梦灵属性!#REF!,50*(B206-3),0))</f>
        <v>#REF!</v>
      </c>
      <c r="D206" s="55"/>
      <c r="E206" s="55"/>
      <c r="F206" s="22" t="e">
        <f ca="1">_xlfn.XLOOKUP(B206,梦灵属性!$F$38:$F$41,梦灵属性!$E$38:$E$41)*C206</f>
        <v>#N/A</v>
      </c>
      <c r="G206" s="22" t="e">
        <f ca="1">_xlfn.XLOOKUP($B206,梦灵属性!$F$38:$F$41,梦灵属性!$E$38:$E$41)*$C206</f>
        <v>#N/A</v>
      </c>
      <c r="H206" s="22"/>
      <c r="I206" s="56">
        <f ca="1">OFFSET(梦灵图鉴!F$10,MATCH(A206,梦灵图鉴!$E$11:$E$61,1),0)*SUM(梦灵属性!$E$26:$J$26)+OFFSET(梦灵图鉴!H$10,MATCH(A206,梦灵图鉴!$G$11:$G$61,1),0)*SUM(梦灵属性!$E$27:$J$27)+OFFSET(梦灵图鉴!J$10,MATCH(A206,梦灵图鉴!$I$11:$I$61,1),0)*SUM(梦灵属性!$E$28:$J$28)+OFFSET(梦灵图鉴!L$10,MATCH(A206,梦灵图鉴!$K$11:$K$61,1),0)*SUM(梦灵属性!$E$29:$J$29)</f>
        <v>14.1</v>
      </c>
      <c r="J206" s="56"/>
      <c r="K206" s="56"/>
      <c r="L206" s="22"/>
      <c r="M206" s="22"/>
      <c r="N206" s="22"/>
      <c r="P206" s="3">
        <f t="shared" si="10"/>
        <v>6</v>
      </c>
      <c r="Q206" s="3">
        <f t="shared" si="11"/>
        <v>50</v>
      </c>
      <c r="R206" s="3">
        <f ca="1">OFFSET(梦灵属性!G$37,$P206-2,0)</f>
        <v>180</v>
      </c>
      <c r="S206" s="3">
        <f ca="1">OFFSET(梦灵属性!H$37,$P206-2,0)</f>
        <v>1800</v>
      </c>
      <c r="T206" s="3">
        <f ca="1">OFFSET(梦灵属性!$E$37,$P206-2,0)*$Q206</f>
        <v>5</v>
      </c>
      <c r="U206" s="3">
        <f ca="1">OFFSET(梦灵属性!$E$37,$P206-2,0)*$Q206</f>
        <v>5</v>
      </c>
    </row>
    <row r="207" ht="16.5" spans="1:21">
      <c r="A207" s="54">
        <v>201</v>
      </c>
      <c r="B207" s="35">
        <f ca="1">OFFSET(梦灵本体产出!$G$6,MATCH(A207,梦灵本体产出!$I$7:$I$30,1),0)</f>
        <v>0</v>
      </c>
      <c r="C207" s="35" t="e">
        <f ca="1">MATCH(A207,OFFSET(梦灵属性!#REF!,50*(B207-3),0))</f>
        <v>#REF!</v>
      </c>
      <c r="D207" s="55"/>
      <c r="E207" s="55"/>
      <c r="F207" s="22" t="e">
        <f ca="1">_xlfn.XLOOKUP(B207,梦灵属性!$F$38:$F$41,梦灵属性!$E$38:$E$41)*C207</f>
        <v>#N/A</v>
      </c>
      <c r="G207" s="22" t="e">
        <f ca="1">_xlfn.XLOOKUP($B207,梦灵属性!$F$38:$F$41,梦灵属性!$E$38:$E$41)*$C207</f>
        <v>#N/A</v>
      </c>
      <c r="H207" s="22"/>
      <c r="I207" s="56">
        <f ca="1">OFFSET(梦灵图鉴!F$10,MATCH(A207,梦灵图鉴!$E$11:$E$61,1),0)*SUM(梦灵属性!$E$26:$J$26)+OFFSET(梦灵图鉴!H$10,MATCH(A207,梦灵图鉴!$G$11:$G$61,1),0)*SUM(梦灵属性!$E$27:$J$27)+OFFSET(梦灵图鉴!J$10,MATCH(A207,梦灵图鉴!$I$11:$I$61,1),0)*SUM(梦灵属性!$E$28:$J$28)+OFFSET(梦灵图鉴!L$10,MATCH(A207,梦灵图鉴!$K$11:$K$61,1),0)*SUM(梦灵属性!$E$29:$J$29)</f>
        <v>14.1</v>
      </c>
      <c r="J207" s="56"/>
      <c r="K207" s="56"/>
      <c r="L207" s="22"/>
      <c r="M207" s="22"/>
      <c r="N207" s="22"/>
    </row>
    <row r="208" ht="16.5" spans="1:21">
      <c r="A208" s="54">
        <v>202</v>
      </c>
      <c r="B208" s="35">
        <f ca="1">OFFSET(梦灵本体产出!$G$6,MATCH(A208,梦灵本体产出!$I$7:$I$30,1),0)</f>
        <v>0</v>
      </c>
      <c r="C208" s="35" t="e">
        <f ca="1">MATCH(A208,OFFSET(梦灵属性!#REF!,50*(B208-3),0))</f>
        <v>#REF!</v>
      </c>
      <c r="D208" s="55"/>
      <c r="E208" s="55"/>
      <c r="F208" s="22" t="e">
        <f ca="1">_xlfn.XLOOKUP(B208,梦灵属性!$F$38:$F$41,梦灵属性!$E$38:$E$41)*C208</f>
        <v>#N/A</v>
      </c>
      <c r="G208" s="22" t="e">
        <f ca="1">_xlfn.XLOOKUP($B208,梦灵属性!$F$38:$F$41,梦灵属性!$E$38:$E$41)*$C208</f>
        <v>#N/A</v>
      </c>
      <c r="H208" s="22"/>
      <c r="I208" s="56">
        <f ca="1">OFFSET(梦灵图鉴!F$10,MATCH(A208,梦灵图鉴!$E$11:$E$61,1),0)*SUM(梦灵属性!$E$26:$J$26)+OFFSET(梦灵图鉴!H$10,MATCH(A208,梦灵图鉴!$G$11:$G$61,1),0)*SUM(梦灵属性!$E$27:$J$27)+OFFSET(梦灵图鉴!J$10,MATCH(A208,梦灵图鉴!$I$11:$I$61,1),0)*SUM(梦灵属性!$E$28:$J$28)+OFFSET(梦灵图鉴!L$10,MATCH(A208,梦灵图鉴!$K$11:$K$61,1),0)*SUM(梦灵属性!$E$29:$J$29)</f>
        <v>14.1</v>
      </c>
      <c r="J208" s="56"/>
      <c r="K208" s="56"/>
      <c r="L208" s="22"/>
      <c r="M208" s="22"/>
      <c r="N208" s="22"/>
    </row>
    <row r="209" ht="16.5" spans="1:14">
      <c r="A209" s="54">
        <v>203</v>
      </c>
      <c r="B209" s="35">
        <f ca="1">OFFSET(梦灵本体产出!$G$6,MATCH(A209,梦灵本体产出!$I$7:$I$30,1),0)</f>
        <v>0</v>
      </c>
      <c r="C209" s="35" t="e">
        <f ca="1">MATCH(A209,OFFSET(梦灵属性!#REF!,50*(B209-3),0))</f>
        <v>#REF!</v>
      </c>
      <c r="D209" s="55"/>
      <c r="E209" s="55"/>
      <c r="F209" s="22" t="e">
        <f ca="1">_xlfn.XLOOKUP(B209,梦灵属性!$F$38:$F$41,梦灵属性!$E$38:$E$41)*C209</f>
        <v>#N/A</v>
      </c>
      <c r="G209" s="22" t="e">
        <f ca="1">_xlfn.XLOOKUP($B209,梦灵属性!$F$38:$F$41,梦灵属性!$E$38:$E$41)*$C209</f>
        <v>#N/A</v>
      </c>
      <c r="H209" s="22"/>
      <c r="I209" s="56">
        <f ca="1">OFFSET(梦灵图鉴!F$10,MATCH(A209,梦灵图鉴!$E$11:$E$61,1),0)*SUM(梦灵属性!$E$26:$J$26)+OFFSET(梦灵图鉴!H$10,MATCH(A209,梦灵图鉴!$G$11:$G$61,1),0)*SUM(梦灵属性!$E$27:$J$27)+OFFSET(梦灵图鉴!J$10,MATCH(A209,梦灵图鉴!$I$11:$I$61,1),0)*SUM(梦灵属性!$E$28:$J$28)+OFFSET(梦灵图鉴!L$10,MATCH(A209,梦灵图鉴!$K$11:$K$61,1),0)*SUM(梦灵属性!$E$29:$J$29)</f>
        <v>14.1</v>
      </c>
      <c r="J209" s="56"/>
      <c r="K209" s="56"/>
      <c r="L209" s="22"/>
      <c r="M209" s="22"/>
      <c r="N209" s="22"/>
    </row>
    <row r="210" ht="16.5" spans="1:14">
      <c r="A210" s="54">
        <v>204</v>
      </c>
      <c r="B210" s="35">
        <f ca="1">OFFSET(梦灵本体产出!$G$6,MATCH(A210,梦灵本体产出!$I$7:$I$30,1),0)</f>
        <v>0</v>
      </c>
      <c r="C210" s="35" t="e">
        <f ca="1">MATCH(A210,OFFSET(梦灵属性!#REF!,50*(B210-3),0))</f>
        <v>#REF!</v>
      </c>
      <c r="D210" s="55"/>
      <c r="E210" s="55"/>
      <c r="F210" s="22" t="e">
        <f ca="1">_xlfn.XLOOKUP(B210,梦灵属性!$F$38:$F$41,梦灵属性!$E$38:$E$41)*C210</f>
        <v>#N/A</v>
      </c>
      <c r="G210" s="22" t="e">
        <f ca="1">_xlfn.XLOOKUP($B210,梦灵属性!$F$38:$F$41,梦灵属性!$E$38:$E$41)*$C210</f>
        <v>#N/A</v>
      </c>
      <c r="H210" s="22"/>
      <c r="I210" s="56">
        <f ca="1">OFFSET(梦灵图鉴!F$10,MATCH(A210,梦灵图鉴!$E$11:$E$61,1),0)*SUM(梦灵属性!$E$26:$J$26)+OFFSET(梦灵图鉴!H$10,MATCH(A210,梦灵图鉴!$G$11:$G$61,1),0)*SUM(梦灵属性!$E$27:$J$27)+OFFSET(梦灵图鉴!J$10,MATCH(A210,梦灵图鉴!$I$11:$I$61,1),0)*SUM(梦灵属性!$E$28:$J$28)+OFFSET(梦灵图鉴!L$10,MATCH(A210,梦灵图鉴!$K$11:$K$61,1),0)*SUM(梦灵属性!$E$29:$J$29)</f>
        <v>14.1</v>
      </c>
      <c r="J210" s="56"/>
      <c r="K210" s="56"/>
      <c r="L210" s="22"/>
      <c r="M210" s="22"/>
      <c r="N210" s="22"/>
    </row>
    <row r="211" ht="16.5" spans="1:14">
      <c r="A211" s="54">
        <v>205</v>
      </c>
      <c r="B211" s="35">
        <f ca="1">OFFSET(梦灵本体产出!$G$6,MATCH(A211,梦灵本体产出!$I$7:$I$30,1),0)</f>
        <v>0</v>
      </c>
      <c r="C211" s="35" t="e">
        <f ca="1">MATCH(A211,OFFSET(梦灵属性!#REF!,50*(B211-3),0))</f>
        <v>#REF!</v>
      </c>
      <c r="D211" s="55"/>
      <c r="E211" s="55"/>
      <c r="F211" s="22" t="e">
        <f ca="1">_xlfn.XLOOKUP(B211,梦灵属性!$F$38:$F$41,梦灵属性!$E$38:$E$41)*C211</f>
        <v>#N/A</v>
      </c>
      <c r="G211" s="22" t="e">
        <f ca="1">_xlfn.XLOOKUP($B211,梦灵属性!$F$38:$F$41,梦灵属性!$E$38:$E$41)*$C211</f>
        <v>#N/A</v>
      </c>
      <c r="H211" s="22"/>
      <c r="I211" s="56">
        <f ca="1">OFFSET(梦灵图鉴!F$10,MATCH(A211,梦灵图鉴!$E$11:$E$61,1),0)*SUM(梦灵属性!$E$26:$J$26)+OFFSET(梦灵图鉴!H$10,MATCH(A211,梦灵图鉴!$G$11:$G$61,1),0)*SUM(梦灵属性!$E$27:$J$27)+OFFSET(梦灵图鉴!J$10,MATCH(A211,梦灵图鉴!$I$11:$I$61,1),0)*SUM(梦灵属性!$E$28:$J$28)+OFFSET(梦灵图鉴!L$10,MATCH(A211,梦灵图鉴!$K$11:$K$61,1),0)*SUM(梦灵属性!$E$29:$J$29)</f>
        <v>14.1</v>
      </c>
      <c r="J211" s="56"/>
      <c r="K211" s="56"/>
      <c r="L211" s="22"/>
      <c r="M211" s="22"/>
      <c r="N211" s="22"/>
    </row>
    <row r="212" ht="16.5" spans="1:14">
      <c r="A212" s="54">
        <v>206</v>
      </c>
      <c r="B212" s="35">
        <f ca="1">OFFSET(梦灵本体产出!$G$6,MATCH(A212,梦灵本体产出!$I$7:$I$30,1),0)</f>
        <v>0</v>
      </c>
      <c r="C212" s="35" t="e">
        <f ca="1">MATCH(A212,OFFSET(梦灵属性!#REF!,50*(B212-3),0))</f>
        <v>#REF!</v>
      </c>
      <c r="D212" s="55"/>
      <c r="E212" s="55"/>
      <c r="F212" s="22" t="e">
        <f ca="1">_xlfn.XLOOKUP(B212,梦灵属性!$F$38:$F$41,梦灵属性!$E$38:$E$41)*C212</f>
        <v>#N/A</v>
      </c>
      <c r="G212" s="22" t="e">
        <f ca="1">_xlfn.XLOOKUP($B212,梦灵属性!$F$38:$F$41,梦灵属性!$E$38:$E$41)*$C212</f>
        <v>#N/A</v>
      </c>
      <c r="H212" s="22"/>
      <c r="I212" s="56">
        <f ca="1">OFFSET(梦灵图鉴!F$10,MATCH(A212,梦灵图鉴!$E$11:$E$61,1),0)*SUM(梦灵属性!$E$26:$J$26)+OFFSET(梦灵图鉴!H$10,MATCH(A212,梦灵图鉴!$G$11:$G$61,1),0)*SUM(梦灵属性!$E$27:$J$27)+OFFSET(梦灵图鉴!J$10,MATCH(A212,梦灵图鉴!$I$11:$I$61,1),0)*SUM(梦灵属性!$E$28:$J$28)+OFFSET(梦灵图鉴!L$10,MATCH(A212,梦灵图鉴!$K$11:$K$61,1),0)*SUM(梦灵属性!$E$29:$J$29)</f>
        <v>14.1</v>
      </c>
      <c r="J212" s="56"/>
      <c r="K212" s="56"/>
      <c r="L212" s="22"/>
      <c r="M212" s="22"/>
      <c r="N212" s="22"/>
    </row>
    <row r="213" ht="16.5" spans="1:14">
      <c r="A213" s="54">
        <v>207</v>
      </c>
      <c r="B213" s="35">
        <f ca="1">OFFSET(梦灵本体产出!$G$6,MATCH(A213,梦灵本体产出!$I$7:$I$30,1),0)</f>
        <v>0</v>
      </c>
      <c r="C213" s="35" t="e">
        <f ca="1">MATCH(A213,OFFSET(梦灵属性!#REF!,50*(B213-3),0))</f>
        <v>#REF!</v>
      </c>
      <c r="D213" s="55"/>
      <c r="E213" s="55"/>
      <c r="F213" s="22" t="e">
        <f ca="1">_xlfn.XLOOKUP(B213,梦灵属性!$F$38:$F$41,梦灵属性!$E$38:$E$41)*C213</f>
        <v>#N/A</v>
      </c>
      <c r="G213" s="22" t="e">
        <f ca="1">_xlfn.XLOOKUP($B213,梦灵属性!$F$38:$F$41,梦灵属性!$E$38:$E$41)*$C213</f>
        <v>#N/A</v>
      </c>
      <c r="H213" s="22"/>
      <c r="I213" s="56">
        <f ca="1">OFFSET(梦灵图鉴!F$10,MATCH(A213,梦灵图鉴!$E$11:$E$61,1),0)*SUM(梦灵属性!$E$26:$J$26)+OFFSET(梦灵图鉴!H$10,MATCH(A213,梦灵图鉴!$G$11:$G$61,1),0)*SUM(梦灵属性!$E$27:$J$27)+OFFSET(梦灵图鉴!J$10,MATCH(A213,梦灵图鉴!$I$11:$I$61,1),0)*SUM(梦灵属性!$E$28:$J$28)+OFFSET(梦灵图鉴!L$10,MATCH(A213,梦灵图鉴!$K$11:$K$61,1),0)*SUM(梦灵属性!$E$29:$J$29)</f>
        <v>14.1</v>
      </c>
      <c r="J213" s="56"/>
      <c r="K213" s="56"/>
      <c r="L213" s="22"/>
      <c r="M213" s="22"/>
      <c r="N213" s="22"/>
    </row>
    <row r="214" ht="16.5" spans="1:14">
      <c r="A214" s="54">
        <v>208</v>
      </c>
      <c r="B214" s="35">
        <f ca="1">OFFSET(梦灵本体产出!$G$6,MATCH(A214,梦灵本体产出!$I$7:$I$30,1),0)</f>
        <v>0</v>
      </c>
      <c r="C214" s="35" t="e">
        <f ca="1">MATCH(A214,OFFSET(梦灵属性!#REF!,50*(B214-3),0))</f>
        <v>#REF!</v>
      </c>
      <c r="D214" s="55"/>
      <c r="E214" s="55"/>
      <c r="F214" s="22" t="e">
        <f ca="1">_xlfn.XLOOKUP(B214,梦灵属性!$F$38:$F$41,梦灵属性!$E$38:$E$41)*C214</f>
        <v>#N/A</v>
      </c>
      <c r="G214" s="22" t="e">
        <f ca="1">_xlfn.XLOOKUP($B214,梦灵属性!$F$38:$F$41,梦灵属性!$E$38:$E$41)*$C214</f>
        <v>#N/A</v>
      </c>
      <c r="H214" s="22"/>
      <c r="I214" s="56">
        <f ca="1">OFFSET(梦灵图鉴!F$10,MATCH(A214,梦灵图鉴!$E$11:$E$61,1),0)*SUM(梦灵属性!$E$26:$J$26)+OFFSET(梦灵图鉴!H$10,MATCH(A214,梦灵图鉴!$G$11:$G$61,1),0)*SUM(梦灵属性!$E$27:$J$27)+OFFSET(梦灵图鉴!J$10,MATCH(A214,梦灵图鉴!$I$11:$I$61,1),0)*SUM(梦灵属性!$E$28:$J$28)+OFFSET(梦灵图鉴!L$10,MATCH(A214,梦灵图鉴!$K$11:$K$61,1),0)*SUM(梦灵属性!$E$29:$J$29)</f>
        <v>14.1</v>
      </c>
      <c r="J214" s="56"/>
      <c r="K214" s="56"/>
      <c r="L214" s="22"/>
      <c r="M214" s="22"/>
      <c r="N214" s="22"/>
    </row>
    <row r="215" ht="16.5" spans="1:14">
      <c r="A215" s="54">
        <v>209</v>
      </c>
      <c r="B215" s="35">
        <f ca="1">OFFSET(梦灵本体产出!$G$6,MATCH(A215,梦灵本体产出!$I$7:$I$30,1),0)</f>
        <v>0</v>
      </c>
      <c r="C215" s="35" t="e">
        <f ca="1">MATCH(A215,OFFSET(梦灵属性!#REF!,50*(B215-3),0))</f>
        <v>#REF!</v>
      </c>
      <c r="D215" s="55"/>
      <c r="E215" s="55"/>
      <c r="F215" s="22" t="e">
        <f ca="1">_xlfn.XLOOKUP(B215,梦灵属性!$F$38:$F$41,梦灵属性!$E$38:$E$41)*C215</f>
        <v>#N/A</v>
      </c>
      <c r="G215" s="22" t="e">
        <f ca="1">_xlfn.XLOOKUP($B215,梦灵属性!$F$38:$F$41,梦灵属性!$E$38:$E$41)*$C215</f>
        <v>#N/A</v>
      </c>
      <c r="H215" s="22"/>
      <c r="I215" s="56">
        <f ca="1">OFFSET(梦灵图鉴!F$10,MATCH(A215,梦灵图鉴!$E$11:$E$61,1),0)*SUM(梦灵属性!$E$26:$J$26)+OFFSET(梦灵图鉴!H$10,MATCH(A215,梦灵图鉴!$G$11:$G$61,1),0)*SUM(梦灵属性!$E$27:$J$27)+OFFSET(梦灵图鉴!J$10,MATCH(A215,梦灵图鉴!$I$11:$I$61,1),0)*SUM(梦灵属性!$E$28:$J$28)+OFFSET(梦灵图鉴!L$10,MATCH(A215,梦灵图鉴!$K$11:$K$61,1),0)*SUM(梦灵属性!$E$29:$J$29)</f>
        <v>14.1</v>
      </c>
      <c r="J215" s="56"/>
      <c r="K215" s="56"/>
      <c r="L215" s="22"/>
      <c r="M215" s="22"/>
      <c r="N215" s="22"/>
    </row>
    <row r="216" ht="16.5" spans="1:14">
      <c r="A216" s="54">
        <v>210</v>
      </c>
      <c r="B216" s="35">
        <f ca="1">OFFSET(梦灵本体产出!$G$6,MATCH(A216,梦灵本体产出!$I$7:$I$30,1),0)</f>
        <v>0</v>
      </c>
      <c r="C216" s="35" t="e">
        <f ca="1">MATCH(A216,OFFSET(梦灵属性!#REF!,50*(B216-3),0))</f>
        <v>#REF!</v>
      </c>
      <c r="D216" s="55"/>
      <c r="E216" s="55"/>
      <c r="F216" s="22" t="e">
        <f ca="1">_xlfn.XLOOKUP(B216,梦灵属性!$F$38:$F$41,梦灵属性!$E$38:$E$41)*C216</f>
        <v>#N/A</v>
      </c>
      <c r="G216" s="22" t="e">
        <f ca="1">_xlfn.XLOOKUP($B216,梦灵属性!$F$38:$F$41,梦灵属性!$E$38:$E$41)*$C216</f>
        <v>#N/A</v>
      </c>
      <c r="H216" s="22"/>
      <c r="I216" s="56">
        <f ca="1">OFFSET(梦灵图鉴!F$10,MATCH(A216,梦灵图鉴!$E$11:$E$61,1),0)*SUM(梦灵属性!$E$26:$J$26)+OFFSET(梦灵图鉴!H$10,MATCH(A216,梦灵图鉴!$G$11:$G$61,1),0)*SUM(梦灵属性!$E$27:$J$27)+OFFSET(梦灵图鉴!J$10,MATCH(A216,梦灵图鉴!$I$11:$I$61,1),0)*SUM(梦灵属性!$E$28:$J$28)+OFFSET(梦灵图鉴!L$10,MATCH(A216,梦灵图鉴!$K$11:$K$61,1),0)*SUM(梦灵属性!$E$29:$J$29)</f>
        <v>14.1</v>
      </c>
      <c r="J216" s="56"/>
      <c r="K216" s="56"/>
      <c r="L216" s="22"/>
      <c r="M216" s="22"/>
      <c r="N216" s="22"/>
    </row>
    <row r="217" ht="16.5" spans="1:14">
      <c r="A217" s="54">
        <v>211</v>
      </c>
      <c r="B217" s="35">
        <f ca="1">OFFSET(梦灵本体产出!$G$6,MATCH(A217,梦灵本体产出!$I$7:$I$30,1),0)</f>
        <v>0</v>
      </c>
      <c r="C217" s="35" t="e">
        <f ca="1">MATCH(A217,OFFSET(梦灵属性!#REF!,50*(B217-3),0))</f>
        <v>#REF!</v>
      </c>
      <c r="D217" s="55"/>
      <c r="E217" s="55"/>
      <c r="F217" s="22" t="e">
        <f ca="1">_xlfn.XLOOKUP(B217,梦灵属性!$F$38:$F$41,梦灵属性!$E$38:$E$41)*C217</f>
        <v>#N/A</v>
      </c>
      <c r="G217" s="22" t="e">
        <f ca="1">_xlfn.XLOOKUP($B217,梦灵属性!$F$38:$F$41,梦灵属性!$E$38:$E$41)*$C217</f>
        <v>#N/A</v>
      </c>
      <c r="H217" s="22"/>
      <c r="I217" s="56">
        <f ca="1">OFFSET(梦灵图鉴!F$10,MATCH(A217,梦灵图鉴!$E$11:$E$61,1),0)*SUM(梦灵属性!$E$26:$J$26)+OFFSET(梦灵图鉴!H$10,MATCH(A217,梦灵图鉴!$G$11:$G$61,1),0)*SUM(梦灵属性!$E$27:$J$27)+OFFSET(梦灵图鉴!J$10,MATCH(A217,梦灵图鉴!$I$11:$I$61,1),0)*SUM(梦灵属性!$E$28:$J$28)+OFFSET(梦灵图鉴!L$10,MATCH(A217,梦灵图鉴!$K$11:$K$61,1),0)*SUM(梦灵属性!$E$29:$J$29)</f>
        <v>14.1</v>
      </c>
      <c r="J217" s="56"/>
      <c r="K217" s="56"/>
      <c r="L217" s="22"/>
      <c r="M217" s="22"/>
      <c r="N217" s="22"/>
    </row>
    <row r="218" ht="16.5" spans="1:14">
      <c r="A218" s="54">
        <v>212</v>
      </c>
      <c r="B218" s="35">
        <f ca="1">OFFSET(梦灵本体产出!$G$6,MATCH(A218,梦灵本体产出!$I$7:$I$30,1),0)</f>
        <v>0</v>
      </c>
      <c r="C218" s="35" t="e">
        <f ca="1">MATCH(A218,OFFSET(梦灵属性!#REF!,50*(B218-3),0))</f>
        <v>#REF!</v>
      </c>
      <c r="D218" s="55"/>
      <c r="E218" s="55"/>
      <c r="F218" s="22" t="e">
        <f ca="1">_xlfn.XLOOKUP(B218,梦灵属性!$F$38:$F$41,梦灵属性!$E$38:$E$41)*C218</f>
        <v>#N/A</v>
      </c>
      <c r="G218" s="22" t="e">
        <f ca="1">_xlfn.XLOOKUP($B218,梦灵属性!$F$38:$F$41,梦灵属性!$E$38:$E$41)*$C218</f>
        <v>#N/A</v>
      </c>
      <c r="H218" s="22"/>
      <c r="I218" s="56">
        <f ca="1">OFFSET(梦灵图鉴!F$10,MATCH(A218,梦灵图鉴!$E$11:$E$61,1),0)*SUM(梦灵属性!$E$26:$J$26)+OFFSET(梦灵图鉴!H$10,MATCH(A218,梦灵图鉴!$G$11:$G$61,1),0)*SUM(梦灵属性!$E$27:$J$27)+OFFSET(梦灵图鉴!J$10,MATCH(A218,梦灵图鉴!$I$11:$I$61,1),0)*SUM(梦灵属性!$E$28:$J$28)+OFFSET(梦灵图鉴!L$10,MATCH(A218,梦灵图鉴!$K$11:$K$61,1),0)*SUM(梦灵属性!$E$29:$J$29)</f>
        <v>14.1</v>
      </c>
      <c r="J218" s="56"/>
      <c r="K218" s="56"/>
      <c r="L218" s="22"/>
      <c r="M218" s="22"/>
      <c r="N218" s="22"/>
    </row>
    <row r="219" ht="16.5" spans="1:14">
      <c r="A219" s="54">
        <v>213</v>
      </c>
      <c r="B219" s="35">
        <f ca="1">OFFSET(梦灵本体产出!$G$6,MATCH(A219,梦灵本体产出!$I$7:$I$30,1),0)</f>
        <v>0</v>
      </c>
      <c r="C219" s="35" t="e">
        <f ca="1">MATCH(A219,OFFSET(梦灵属性!#REF!,50*(B219-3),0))</f>
        <v>#REF!</v>
      </c>
      <c r="D219" s="55"/>
      <c r="E219" s="55"/>
      <c r="F219" s="22" t="e">
        <f ca="1">_xlfn.XLOOKUP(B219,梦灵属性!$F$38:$F$41,梦灵属性!$E$38:$E$41)*C219</f>
        <v>#N/A</v>
      </c>
      <c r="G219" s="22" t="e">
        <f ca="1">_xlfn.XLOOKUP($B219,梦灵属性!$F$38:$F$41,梦灵属性!$E$38:$E$41)*$C219</f>
        <v>#N/A</v>
      </c>
      <c r="H219" s="22"/>
      <c r="I219" s="56">
        <f ca="1">OFFSET(梦灵图鉴!F$10,MATCH(A219,梦灵图鉴!$E$11:$E$61,1),0)*SUM(梦灵属性!$E$26:$J$26)+OFFSET(梦灵图鉴!H$10,MATCH(A219,梦灵图鉴!$G$11:$G$61,1),0)*SUM(梦灵属性!$E$27:$J$27)+OFFSET(梦灵图鉴!J$10,MATCH(A219,梦灵图鉴!$I$11:$I$61,1),0)*SUM(梦灵属性!$E$28:$J$28)+OFFSET(梦灵图鉴!L$10,MATCH(A219,梦灵图鉴!$K$11:$K$61,1),0)*SUM(梦灵属性!$E$29:$J$29)</f>
        <v>14.1</v>
      </c>
      <c r="J219" s="56"/>
      <c r="K219" s="56"/>
      <c r="L219" s="22"/>
      <c r="M219" s="22"/>
      <c r="N219" s="22"/>
    </row>
    <row r="220" ht="16.5" spans="1:14">
      <c r="A220" s="54">
        <v>214</v>
      </c>
      <c r="B220" s="35">
        <f ca="1">OFFSET(梦灵本体产出!$G$6,MATCH(A220,梦灵本体产出!$I$7:$I$30,1),0)</f>
        <v>0</v>
      </c>
      <c r="C220" s="35" t="e">
        <f ca="1">MATCH(A220,OFFSET(梦灵属性!#REF!,50*(B220-3),0))</f>
        <v>#REF!</v>
      </c>
      <c r="D220" s="55"/>
      <c r="E220" s="55"/>
      <c r="F220" s="22" t="e">
        <f ca="1">_xlfn.XLOOKUP(B220,梦灵属性!$F$38:$F$41,梦灵属性!$E$38:$E$41)*C220</f>
        <v>#N/A</v>
      </c>
      <c r="G220" s="22" t="e">
        <f ca="1">_xlfn.XLOOKUP($B220,梦灵属性!$F$38:$F$41,梦灵属性!$E$38:$E$41)*$C220</f>
        <v>#N/A</v>
      </c>
      <c r="H220" s="22"/>
      <c r="I220" s="56">
        <f ca="1">OFFSET(梦灵图鉴!F$10,MATCH(A220,梦灵图鉴!$E$11:$E$61,1),0)*SUM(梦灵属性!$E$26:$J$26)+OFFSET(梦灵图鉴!H$10,MATCH(A220,梦灵图鉴!$G$11:$G$61,1),0)*SUM(梦灵属性!$E$27:$J$27)+OFFSET(梦灵图鉴!J$10,MATCH(A220,梦灵图鉴!$I$11:$I$61,1),0)*SUM(梦灵属性!$E$28:$J$28)+OFFSET(梦灵图鉴!L$10,MATCH(A220,梦灵图鉴!$K$11:$K$61,1),0)*SUM(梦灵属性!$E$29:$J$29)</f>
        <v>14.1</v>
      </c>
      <c r="J220" s="56"/>
      <c r="K220" s="56"/>
      <c r="L220" s="22"/>
      <c r="M220" s="22"/>
      <c r="N220" s="22"/>
    </row>
    <row r="221" ht="16.5" spans="1:14">
      <c r="A221" s="54">
        <v>215</v>
      </c>
      <c r="B221" s="35">
        <f ca="1">OFFSET(梦灵本体产出!$G$6,MATCH(A221,梦灵本体产出!$I$7:$I$30,1),0)</f>
        <v>0</v>
      </c>
      <c r="C221" s="35" t="e">
        <f ca="1">MATCH(A221,OFFSET(梦灵属性!#REF!,50*(B221-3),0))</f>
        <v>#REF!</v>
      </c>
      <c r="D221" s="55"/>
      <c r="E221" s="55"/>
      <c r="F221" s="22" t="e">
        <f ca="1">_xlfn.XLOOKUP(B221,梦灵属性!$F$38:$F$41,梦灵属性!$E$38:$E$41)*C221</f>
        <v>#N/A</v>
      </c>
      <c r="G221" s="22" t="e">
        <f ca="1">_xlfn.XLOOKUP($B221,梦灵属性!$F$38:$F$41,梦灵属性!$E$38:$E$41)*$C221</f>
        <v>#N/A</v>
      </c>
      <c r="H221" s="22"/>
      <c r="I221" s="56">
        <f ca="1">OFFSET(梦灵图鉴!F$10,MATCH(A221,梦灵图鉴!$E$11:$E$61,1),0)*SUM(梦灵属性!$E$26:$J$26)+OFFSET(梦灵图鉴!H$10,MATCH(A221,梦灵图鉴!$G$11:$G$61,1),0)*SUM(梦灵属性!$E$27:$J$27)+OFFSET(梦灵图鉴!J$10,MATCH(A221,梦灵图鉴!$I$11:$I$61,1),0)*SUM(梦灵属性!$E$28:$J$28)+OFFSET(梦灵图鉴!L$10,MATCH(A221,梦灵图鉴!$K$11:$K$61,1),0)*SUM(梦灵属性!$E$29:$J$29)</f>
        <v>14.1</v>
      </c>
      <c r="J221" s="56"/>
      <c r="K221" s="56"/>
      <c r="L221" s="22"/>
      <c r="M221" s="22"/>
      <c r="N221" s="22"/>
    </row>
    <row r="222" ht="16.5" spans="1:14">
      <c r="A222" s="54">
        <v>216</v>
      </c>
      <c r="B222" s="35">
        <f ca="1">OFFSET(梦灵本体产出!$G$6,MATCH(A222,梦灵本体产出!$I$7:$I$30,1),0)</f>
        <v>0</v>
      </c>
      <c r="C222" s="35" t="e">
        <f ca="1">MATCH(A222,OFFSET(梦灵属性!#REF!,50*(B222-3),0))</f>
        <v>#REF!</v>
      </c>
      <c r="D222" s="55"/>
      <c r="E222" s="55"/>
      <c r="F222" s="22" t="e">
        <f ca="1">_xlfn.XLOOKUP(B222,梦灵属性!$F$38:$F$41,梦灵属性!$E$38:$E$41)*C222</f>
        <v>#N/A</v>
      </c>
      <c r="G222" s="22" t="e">
        <f ca="1">_xlfn.XLOOKUP($B222,梦灵属性!$F$38:$F$41,梦灵属性!$E$38:$E$41)*$C222</f>
        <v>#N/A</v>
      </c>
      <c r="H222" s="22"/>
      <c r="I222" s="56">
        <f ca="1">OFFSET(梦灵图鉴!F$10,MATCH(A222,梦灵图鉴!$E$11:$E$61,1),0)*SUM(梦灵属性!$E$26:$J$26)+OFFSET(梦灵图鉴!H$10,MATCH(A222,梦灵图鉴!$G$11:$G$61,1),0)*SUM(梦灵属性!$E$27:$J$27)+OFFSET(梦灵图鉴!J$10,MATCH(A222,梦灵图鉴!$I$11:$I$61,1),0)*SUM(梦灵属性!$E$28:$J$28)+OFFSET(梦灵图鉴!L$10,MATCH(A222,梦灵图鉴!$K$11:$K$61,1),0)*SUM(梦灵属性!$E$29:$J$29)</f>
        <v>14.1</v>
      </c>
      <c r="J222" s="56"/>
      <c r="K222" s="56"/>
      <c r="L222" s="22"/>
      <c r="M222" s="22"/>
      <c r="N222" s="22"/>
    </row>
    <row r="223" ht="16.5" spans="1:14">
      <c r="A223" s="54">
        <v>217</v>
      </c>
      <c r="B223" s="35">
        <f ca="1">OFFSET(梦灵本体产出!$G$6,MATCH(A223,梦灵本体产出!$I$7:$I$30,1),0)</f>
        <v>0</v>
      </c>
      <c r="C223" s="35" t="e">
        <f ca="1">MATCH(A223,OFFSET(梦灵属性!#REF!,50*(B223-3),0))</f>
        <v>#REF!</v>
      </c>
      <c r="D223" s="55"/>
      <c r="E223" s="55"/>
      <c r="F223" s="22" t="e">
        <f ca="1">_xlfn.XLOOKUP(B223,梦灵属性!$F$38:$F$41,梦灵属性!$E$38:$E$41)*C223</f>
        <v>#N/A</v>
      </c>
      <c r="G223" s="22" t="e">
        <f ca="1">_xlfn.XLOOKUP($B223,梦灵属性!$F$38:$F$41,梦灵属性!$E$38:$E$41)*$C223</f>
        <v>#N/A</v>
      </c>
      <c r="H223" s="22"/>
      <c r="I223" s="56">
        <f ca="1">OFFSET(梦灵图鉴!F$10,MATCH(A223,梦灵图鉴!$E$11:$E$61,1),0)*SUM(梦灵属性!$E$26:$J$26)+OFFSET(梦灵图鉴!H$10,MATCH(A223,梦灵图鉴!$G$11:$G$61,1),0)*SUM(梦灵属性!$E$27:$J$27)+OFFSET(梦灵图鉴!J$10,MATCH(A223,梦灵图鉴!$I$11:$I$61,1),0)*SUM(梦灵属性!$E$28:$J$28)+OFFSET(梦灵图鉴!L$10,MATCH(A223,梦灵图鉴!$K$11:$K$61,1),0)*SUM(梦灵属性!$E$29:$J$29)</f>
        <v>14.1</v>
      </c>
      <c r="J223" s="56"/>
      <c r="K223" s="56"/>
      <c r="L223" s="22"/>
      <c r="M223" s="22"/>
      <c r="N223" s="22"/>
    </row>
    <row r="224" ht="16.5" spans="1:14">
      <c r="A224" s="54">
        <v>218</v>
      </c>
      <c r="B224" s="35">
        <f ca="1">OFFSET(梦灵本体产出!$G$6,MATCH(A224,梦灵本体产出!$I$7:$I$30,1),0)</f>
        <v>0</v>
      </c>
      <c r="C224" s="35" t="e">
        <f ca="1">MATCH(A224,OFFSET(梦灵属性!#REF!,50*(B224-3),0))</f>
        <v>#REF!</v>
      </c>
      <c r="D224" s="55"/>
      <c r="E224" s="55"/>
      <c r="F224" s="22" t="e">
        <f ca="1">_xlfn.XLOOKUP(B224,梦灵属性!$F$38:$F$41,梦灵属性!$E$38:$E$41)*C224</f>
        <v>#N/A</v>
      </c>
      <c r="G224" s="22" t="e">
        <f ca="1">_xlfn.XLOOKUP($B224,梦灵属性!$F$38:$F$41,梦灵属性!$E$38:$E$41)*$C224</f>
        <v>#N/A</v>
      </c>
      <c r="H224" s="22"/>
      <c r="I224" s="56">
        <f ca="1">OFFSET(梦灵图鉴!F$10,MATCH(A224,梦灵图鉴!$E$11:$E$61,1),0)*SUM(梦灵属性!$E$26:$J$26)+OFFSET(梦灵图鉴!H$10,MATCH(A224,梦灵图鉴!$G$11:$G$61,1),0)*SUM(梦灵属性!$E$27:$J$27)+OFFSET(梦灵图鉴!J$10,MATCH(A224,梦灵图鉴!$I$11:$I$61,1),0)*SUM(梦灵属性!$E$28:$J$28)+OFFSET(梦灵图鉴!L$10,MATCH(A224,梦灵图鉴!$K$11:$K$61,1),0)*SUM(梦灵属性!$E$29:$J$29)</f>
        <v>14.1</v>
      </c>
      <c r="J224" s="56"/>
      <c r="K224" s="56"/>
      <c r="L224" s="22"/>
      <c r="M224" s="22"/>
      <c r="N224" s="22"/>
    </row>
    <row r="225" ht="16.5" spans="1:14">
      <c r="A225" s="54">
        <v>219</v>
      </c>
      <c r="B225" s="35">
        <f ca="1">OFFSET(梦灵本体产出!$G$6,MATCH(A225,梦灵本体产出!$I$7:$I$30,1),0)</f>
        <v>0</v>
      </c>
      <c r="C225" s="35" t="e">
        <f ca="1">MATCH(A225,OFFSET(梦灵属性!#REF!,50*(B225-3),0))</f>
        <v>#REF!</v>
      </c>
      <c r="D225" s="55"/>
      <c r="E225" s="55"/>
      <c r="F225" s="22" t="e">
        <f ca="1">_xlfn.XLOOKUP(B225,梦灵属性!$F$38:$F$41,梦灵属性!$E$38:$E$41)*C225</f>
        <v>#N/A</v>
      </c>
      <c r="G225" s="22" t="e">
        <f ca="1">_xlfn.XLOOKUP($B225,梦灵属性!$F$38:$F$41,梦灵属性!$E$38:$E$41)*$C225</f>
        <v>#N/A</v>
      </c>
      <c r="H225" s="22"/>
      <c r="I225" s="56">
        <f ca="1">OFFSET(梦灵图鉴!F$10,MATCH(A225,梦灵图鉴!$E$11:$E$61,1),0)*SUM(梦灵属性!$E$26:$J$26)+OFFSET(梦灵图鉴!H$10,MATCH(A225,梦灵图鉴!$G$11:$G$61,1),0)*SUM(梦灵属性!$E$27:$J$27)+OFFSET(梦灵图鉴!J$10,MATCH(A225,梦灵图鉴!$I$11:$I$61,1),0)*SUM(梦灵属性!$E$28:$J$28)+OFFSET(梦灵图鉴!L$10,MATCH(A225,梦灵图鉴!$K$11:$K$61,1),0)*SUM(梦灵属性!$E$29:$J$29)</f>
        <v>14.1</v>
      </c>
      <c r="J225" s="56"/>
      <c r="K225" s="56"/>
      <c r="L225" s="22"/>
      <c r="M225" s="22"/>
      <c r="N225" s="22"/>
    </row>
    <row r="226" ht="16.5" spans="1:14">
      <c r="A226" s="54">
        <v>220</v>
      </c>
      <c r="B226" s="35">
        <f ca="1">OFFSET(梦灵本体产出!$G$6,MATCH(A226,梦灵本体产出!$I$7:$I$30,1),0)</f>
        <v>0</v>
      </c>
      <c r="C226" s="35" t="e">
        <f ca="1">MATCH(A226,OFFSET(梦灵属性!#REF!,50*(B226-3),0))</f>
        <v>#REF!</v>
      </c>
      <c r="D226" s="55"/>
      <c r="E226" s="55"/>
      <c r="F226" s="22" t="e">
        <f ca="1">_xlfn.XLOOKUP(B226,梦灵属性!$F$38:$F$41,梦灵属性!$E$38:$E$41)*C226</f>
        <v>#N/A</v>
      </c>
      <c r="G226" s="22" t="e">
        <f ca="1">_xlfn.XLOOKUP($B226,梦灵属性!$F$38:$F$41,梦灵属性!$E$38:$E$41)*$C226</f>
        <v>#N/A</v>
      </c>
      <c r="H226" s="22"/>
      <c r="I226" s="56">
        <f ca="1">OFFSET(梦灵图鉴!F$10,MATCH(A226,梦灵图鉴!$E$11:$E$61,1),0)*SUM(梦灵属性!$E$26:$J$26)+OFFSET(梦灵图鉴!H$10,MATCH(A226,梦灵图鉴!$G$11:$G$61,1),0)*SUM(梦灵属性!$E$27:$J$27)+OFFSET(梦灵图鉴!J$10,MATCH(A226,梦灵图鉴!$I$11:$I$61,1),0)*SUM(梦灵属性!$E$28:$J$28)+OFFSET(梦灵图鉴!L$10,MATCH(A226,梦灵图鉴!$K$11:$K$61,1),0)*SUM(梦灵属性!$E$29:$J$29)</f>
        <v>14.1</v>
      </c>
      <c r="J226" s="56"/>
      <c r="K226" s="56"/>
      <c r="L226" s="22"/>
      <c r="M226" s="22"/>
      <c r="N226" s="22"/>
    </row>
    <row r="227" ht="16.5" spans="1:14">
      <c r="A227" s="54">
        <v>221</v>
      </c>
      <c r="B227" s="35">
        <f ca="1">OFFSET(梦灵本体产出!$G$6,MATCH(A227,梦灵本体产出!$I$7:$I$30,1),0)</f>
        <v>0</v>
      </c>
      <c r="C227" s="35" t="e">
        <f ca="1">MATCH(A227,OFFSET(梦灵属性!#REF!,50*(B227-3),0))</f>
        <v>#REF!</v>
      </c>
      <c r="D227" s="55"/>
      <c r="E227" s="55"/>
      <c r="F227" s="22" t="e">
        <f ca="1">_xlfn.XLOOKUP(B227,梦灵属性!$F$38:$F$41,梦灵属性!$E$38:$E$41)*C227</f>
        <v>#N/A</v>
      </c>
      <c r="G227" s="22" t="e">
        <f ca="1">_xlfn.XLOOKUP($B227,梦灵属性!$F$38:$F$41,梦灵属性!$E$38:$E$41)*$C227</f>
        <v>#N/A</v>
      </c>
      <c r="H227" s="22"/>
      <c r="I227" s="56">
        <f ca="1">OFFSET(梦灵图鉴!F$10,MATCH(A227,梦灵图鉴!$E$11:$E$61,1),0)*SUM(梦灵属性!$E$26:$J$26)+OFFSET(梦灵图鉴!H$10,MATCH(A227,梦灵图鉴!$G$11:$G$61,1),0)*SUM(梦灵属性!$E$27:$J$27)+OFFSET(梦灵图鉴!J$10,MATCH(A227,梦灵图鉴!$I$11:$I$61,1),0)*SUM(梦灵属性!$E$28:$J$28)+OFFSET(梦灵图鉴!L$10,MATCH(A227,梦灵图鉴!$K$11:$K$61,1),0)*SUM(梦灵属性!$E$29:$J$29)</f>
        <v>14.1</v>
      </c>
      <c r="J227" s="56"/>
      <c r="K227" s="56"/>
      <c r="L227" s="22"/>
      <c r="M227" s="22"/>
      <c r="N227" s="22"/>
    </row>
    <row r="228" ht="16.5" spans="1:14">
      <c r="A228" s="54">
        <v>222</v>
      </c>
      <c r="B228" s="35">
        <f ca="1">OFFSET(梦灵本体产出!$G$6,MATCH(A228,梦灵本体产出!$I$7:$I$30,1),0)</f>
        <v>0</v>
      </c>
      <c r="C228" s="35" t="e">
        <f ca="1">MATCH(A228,OFFSET(梦灵属性!#REF!,50*(B228-3),0))</f>
        <v>#REF!</v>
      </c>
      <c r="D228" s="55"/>
      <c r="E228" s="55"/>
      <c r="F228" s="22" t="e">
        <f ca="1">_xlfn.XLOOKUP(B228,梦灵属性!$F$38:$F$41,梦灵属性!$E$38:$E$41)*C228</f>
        <v>#N/A</v>
      </c>
      <c r="G228" s="22" t="e">
        <f ca="1">_xlfn.XLOOKUP($B228,梦灵属性!$F$38:$F$41,梦灵属性!$E$38:$E$41)*$C228</f>
        <v>#N/A</v>
      </c>
      <c r="H228" s="22"/>
      <c r="I228" s="56">
        <f ca="1">OFFSET(梦灵图鉴!F$10,MATCH(A228,梦灵图鉴!$E$11:$E$61,1),0)*SUM(梦灵属性!$E$26:$J$26)+OFFSET(梦灵图鉴!H$10,MATCH(A228,梦灵图鉴!$G$11:$G$61,1),0)*SUM(梦灵属性!$E$27:$J$27)+OFFSET(梦灵图鉴!J$10,MATCH(A228,梦灵图鉴!$I$11:$I$61,1),0)*SUM(梦灵属性!$E$28:$J$28)+OFFSET(梦灵图鉴!L$10,MATCH(A228,梦灵图鉴!$K$11:$K$61,1),0)*SUM(梦灵属性!$E$29:$J$29)</f>
        <v>14.1</v>
      </c>
      <c r="J228" s="56"/>
      <c r="K228" s="56"/>
      <c r="L228" s="22"/>
      <c r="M228" s="22"/>
      <c r="N228" s="22"/>
    </row>
    <row r="229" ht="16.5" spans="1:14">
      <c r="A229" s="54">
        <v>223</v>
      </c>
      <c r="B229" s="35">
        <f ca="1">OFFSET(梦灵本体产出!$G$6,MATCH(A229,梦灵本体产出!$I$7:$I$30,1),0)</f>
        <v>0</v>
      </c>
      <c r="C229" s="35" t="e">
        <f ca="1">MATCH(A229,OFFSET(梦灵属性!#REF!,50*(B229-3),0))</f>
        <v>#REF!</v>
      </c>
      <c r="D229" s="55"/>
      <c r="E229" s="55"/>
      <c r="F229" s="22" t="e">
        <f ca="1">_xlfn.XLOOKUP(B229,梦灵属性!$F$38:$F$41,梦灵属性!$E$38:$E$41)*C229</f>
        <v>#N/A</v>
      </c>
      <c r="G229" s="22" t="e">
        <f ca="1">_xlfn.XLOOKUP($B229,梦灵属性!$F$38:$F$41,梦灵属性!$E$38:$E$41)*$C229</f>
        <v>#N/A</v>
      </c>
      <c r="H229" s="22"/>
      <c r="I229" s="56">
        <f ca="1">OFFSET(梦灵图鉴!F$10,MATCH(A229,梦灵图鉴!$E$11:$E$61,1),0)*SUM(梦灵属性!$E$26:$J$26)+OFFSET(梦灵图鉴!H$10,MATCH(A229,梦灵图鉴!$G$11:$G$61,1),0)*SUM(梦灵属性!$E$27:$J$27)+OFFSET(梦灵图鉴!J$10,MATCH(A229,梦灵图鉴!$I$11:$I$61,1),0)*SUM(梦灵属性!$E$28:$J$28)+OFFSET(梦灵图鉴!L$10,MATCH(A229,梦灵图鉴!$K$11:$K$61,1),0)*SUM(梦灵属性!$E$29:$J$29)</f>
        <v>14.1</v>
      </c>
      <c r="J229" s="56"/>
      <c r="K229" s="56"/>
      <c r="L229" s="22"/>
      <c r="M229" s="22"/>
      <c r="N229" s="22"/>
    </row>
    <row r="230" ht="16.5" spans="1:14">
      <c r="A230" s="54">
        <v>224</v>
      </c>
      <c r="B230" s="35">
        <f ca="1">OFFSET(梦灵本体产出!$G$6,MATCH(A230,梦灵本体产出!$I$7:$I$30,1),0)</f>
        <v>0</v>
      </c>
      <c r="C230" s="35" t="e">
        <f ca="1">MATCH(A230,OFFSET(梦灵属性!#REF!,50*(B230-3),0))</f>
        <v>#REF!</v>
      </c>
      <c r="D230" s="55"/>
      <c r="E230" s="55"/>
      <c r="F230" s="22" t="e">
        <f ca="1">_xlfn.XLOOKUP(B230,梦灵属性!$F$38:$F$41,梦灵属性!$E$38:$E$41)*C230</f>
        <v>#N/A</v>
      </c>
      <c r="G230" s="22" t="e">
        <f ca="1">_xlfn.XLOOKUP($B230,梦灵属性!$F$38:$F$41,梦灵属性!$E$38:$E$41)*$C230</f>
        <v>#N/A</v>
      </c>
      <c r="H230" s="22"/>
      <c r="I230" s="56">
        <f ca="1">OFFSET(梦灵图鉴!F$10,MATCH(A230,梦灵图鉴!$E$11:$E$61,1),0)*SUM(梦灵属性!$E$26:$J$26)+OFFSET(梦灵图鉴!H$10,MATCH(A230,梦灵图鉴!$G$11:$G$61,1),0)*SUM(梦灵属性!$E$27:$J$27)+OFFSET(梦灵图鉴!J$10,MATCH(A230,梦灵图鉴!$I$11:$I$61,1),0)*SUM(梦灵属性!$E$28:$J$28)+OFFSET(梦灵图鉴!L$10,MATCH(A230,梦灵图鉴!$K$11:$K$61,1),0)*SUM(梦灵属性!$E$29:$J$29)</f>
        <v>14.1</v>
      </c>
      <c r="J230" s="56"/>
      <c r="K230" s="56"/>
      <c r="L230" s="22"/>
      <c r="M230" s="22"/>
      <c r="N230" s="22"/>
    </row>
    <row r="231" ht="16.5" spans="1:14">
      <c r="A231" s="54">
        <v>225</v>
      </c>
      <c r="B231" s="35">
        <f ca="1">OFFSET(梦灵本体产出!$G$6,MATCH(A231,梦灵本体产出!$I$7:$I$30,1),0)</f>
        <v>0</v>
      </c>
      <c r="C231" s="35" t="e">
        <f ca="1">MATCH(A231,OFFSET(梦灵属性!#REF!,50*(B231-3),0))</f>
        <v>#REF!</v>
      </c>
      <c r="D231" s="55"/>
      <c r="E231" s="55"/>
      <c r="F231" s="22" t="e">
        <f ca="1">_xlfn.XLOOKUP(B231,梦灵属性!$F$38:$F$41,梦灵属性!$E$38:$E$41)*C231</f>
        <v>#N/A</v>
      </c>
      <c r="G231" s="22" t="e">
        <f ca="1">_xlfn.XLOOKUP($B231,梦灵属性!$F$38:$F$41,梦灵属性!$E$38:$E$41)*$C231</f>
        <v>#N/A</v>
      </c>
      <c r="H231" s="22"/>
      <c r="I231" s="56">
        <f ca="1">OFFSET(梦灵图鉴!F$10,MATCH(A231,梦灵图鉴!$E$11:$E$61,1),0)*SUM(梦灵属性!$E$26:$J$26)+OFFSET(梦灵图鉴!H$10,MATCH(A231,梦灵图鉴!$G$11:$G$61,1),0)*SUM(梦灵属性!$E$27:$J$27)+OFFSET(梦灵图鉴!J$10,MATCH(A231,梦灵图鉴!$I$11:$I$61,1),0)*SUM(梦灵属性!$E$28:$J$28)+OFFSET(梦灵图鉴!L$10,MATCH(A231,梦灵图鉴!$K$11:$K$61,1),0)*SUM(梦灵属性!$E$29:$J$29)</f>
        <v>14.1</v>
      </c>
      <c r="J231" s="56"/>
      <c r="K231" s="56"/>
      <c r="L231" s="22"/>
      <c r="M231" s="22"/>
      <c r="N231" s="22"/>
    </row>
    <row r="232" ht="16.5" spans="1:14">
      <c r="A232" s="54">
        <v>226</v>
      </c>
      <c r="B232" s="35">
        <f ca="1">OFFSET(梦灵本体产出!$G$6,MATCH(A232,梦灵本体产出!$I$7:$I$30,1),0)</f>
        <v>0</v>
      </c>
      <c r="C232" s="35" t="e">
        <f ca="1">MATCH(A232,OFFSET(梦灵属性!#REF!,50*(B232-3),0))</f>
        <v>#REF!</v>
      </c>
      <c r="D232" s="55"/>
      <c r="E232" s="55"/>
      <c r="F232" s="22" t="e">
        <f ca="1">_xlfn.XLOOKUP(B232,梦灵属性!$F$38:$F$41,梦灵属性!$E$38:$E$41)*C232</f>
        <v>#N/A</v>
      </c>
      <c r="G232" s="22" t="e">
        <f ca="1">_xlfn.XLOOKUP($B232,梦灵属性!$F$38:$F$41,梦灵属性!$E$38:$E$41)*$C232</f>
        <v>#N/A</v>
      </c>
      <c r="H232" s="22"/>
      <c r="I232" s="56">
        <f ca="1">OFFSET(梦灵图鉴!F$10,MATCH(A232,梦灵图鉴!$E$11:$E$61,1),0)*SUM(梦灵属性!$E$26:$J$26)+OFFSET(梦灵图鉴!H$10,MATCH(A232,梦灵图鉴!$G$11:$G$61,1),0)*SUM(梦灵属性!$E$27:$J$27)+OFFSET(梦灵图鉴!J$10,MATCH(A232,梦灵图鉴!$I$11:$I$61,1),0)*SUM(梦灵属性!$E$28:$J$28)+OFFSET(梦灵图鉴!L$10,MATCH(A232,梦灵图鉴!$K$11:$K$61,1),0)*SUM(梦灵属性!$E$29:$J$29)</f>
        <v>14.1</v>
      </c>
      <c r="J232" s="56"/>
      <c r="K232" s="56"/>
      <c r="L232" s="22"/>
      <c r="M232" s="22"/>
      <c r="N232" s="22"/>
    </row>
    <row r="233" ht="16.5" spans="1:14">
      <c r="A233" s="54">
        <v>227</v>
      </c>
      <c r="B233" s="35">
        <f ca="1">OFFSET(梦灵本体产出!$G$6,MATCH(A233,梦灵本体产出!$I$7:$I$30,1),0)</f>
        <v>0</v>
      </c>
      <c r="C233" s="35" t="e">
        <f ca="1">MATCH(A233,OFFSET(梦灵属性!#REF!,50*(B233-3),0))</f>
        <v>#REF!</v>
      </c>
      <c r="D233" s="55"/>
      <c r="E233" s="55"/>
      <c r="F233" s="22" t="e">
        <f ca="1">_xlfn.XLOOKUP(B233,梦灵属性!$F$38:$F$41,梦灵属性!$E$38:$E$41)*C233</f>
        <v>#N/A</v>
      </c>
      <c r="G233" s="22" t="e">
        <f ca="1">_xlfn.XLOOKUP($B233,梦灵属性!$F$38:$F$41,梦灵属性!$E$38:$E$41)*$C233</f>
        <v>#N/A</v>
      </c>
      <c r="H233" s="22"/>
      <c r="I233" s="56">
        <f ca="1">OFFSET(梦灵图鉴!F$10,MATCH(A233,梦灵图鉴!$E$11:$E$61,1),0)*SUM(梦灵属性!$E$26:$J$26)+OFFSET(梦灵图鉴!H$10,MATCH(A233,梦灵图鉴!$G$11:$G$61,1),0)*SUM(梦灵属性!$E$27:$J$27)+OFFSET(梦灵图鉴!J$10,MATCH(A233,梦灵图鉴!$I$11:$I$61,1),0)*SUM(梦灵属性!$E$28:$J$28)+OFFSET(梦灵图鉴!L$10,MATCH(A233,梦灵图鉴!$K$11:$K$61,1),0)*SUM(梦灵属性!$E$29:$J$29)</f>
        <v>14.1</v>
      </c>
      <c r="J233" s="56"/>
      <c r="K233" s="56"/>
      <c r="L233" s="22"/>
      <c r="M233" s="22"/>
      <c r="N233" s="22"/>
    </row>
    <row r="234" ht="16.5" spans="1:14">
      <c r="A234" s="54">
        <v>228</v>
      </c>
      <c r="B234" s="35">
        <f ca="1">OFFSET(梦灵本体产出!$G$6,MATCH(A234,梦灵本体产出!$I$7:$I$30,1),0)</f>
        <v>0</v>
      </c>
      <c r="C234" s="35" t="e">
        <f ca="1">MATCH(A234,OFFSET(梦灵属性!#REF!,50*(B234-3),0))</f>
        <v>#REF!</v>
      </c>
      <c r="D234" s="55"/>
      <c r="E234" s="55"/>
      <c r="F234" s="22" t="e">
        <f ca="1">_xlfn.XLOOKUP(B234,梦灵属性!$F$38:$F$41,梦灵属性!$E$38:$E$41)*C234</f>
        <v>#N/A</v>
      </c>
      <c r="G234" s="22" t="e">
        <f ca="1">_xlfn.XLOOKUP($B234,梦灵属性!$F$38:$F$41,梦灵属性!$E$38:$E$41)*$C234</f>
        <v>#N/A</v>
      </c>
      <c r="H234" s="22"/>
      <c r="I234" s="56">
        <f ca="1">OFFSET(梦灵图鉴!F$10,MATCH(A234,梦灵图鉴!$E$11:$E$61,1),0)*SUM(梦灵属性!$E$26:$J$26)+OFFSET(梦灵图鉴!H$10,MATCH(A234,梦灵图鉴!$G$11:$G$61,1),0)*SUM(梦灵属性!$E$27:$J$27)+OFFSET(梦灵图鉴!J$10,MATCH(A234,梦灵图鉴!$I$11:$I$61,1),0)*SUM(梦灵属性!$E$28:$J$28)+OFFSET(梦灵图鉴!L$10,MATCH(A234,梦灵图鉴!$K$11:$K$61,1),0)*SUM(梦灵属性!$E$29:$J$29)</f>
        <v>14.1</v>
      </c>
      <c r="J234" s="56"/>
      <c r="K234" s="56"/>
      <c r="L234" s="22"/>
      <c r="M234" s="22"/>
      <c r="N234" s="22"/>
    </row>
    <row r="235" ht="16.5" spans="1:14">
      <c r="A235" s="54">
        <v>229</v>
      </c>
      <c r="B235" s="35">
        <f ca="1">OFFSET(梦灵本体产出!$G$6,MATCH(A235,梦灵本体产出!$I$7:$I$30,1),0)</f>
        <v>0</v>
      </c>
      <c r="C235" s="35" t="e">
        <f ca="1">MATCH(A235,OFFSET(梦灵属性!#REF!,50*(B235-3),0))</f>
        <v>#REF!</v>
      </c>
      <c r="D235" s="55"/>
      <c r="E235" s="55"/>
      <c r="F235" s="22" t="e">
        <f ca="1">_xlfn.XLOOKUP(B235,梦灵属性!$F$38:$F$41,梦灵属性!$E$38:$E$41)*C235</f>
        <v>#N/A</v>
      </c>
      <c r="G235" s="22" t="e">
        <f ca="1">_xlfn.XLOOKUP($B235,梦灵属性!$F$38:$F$41,梦灵属性!$E$38:$E$41)*$C235</f>
        <v>#N/A</v>
      </c>
      <c r="H235" s="22"/>
      <c r="I235" s="56">
        <f ca="1">OFFSET(梦灵图鉴!F$10,MATCH(A235,梦灵图鉴!$E$11:$E$61,1),0)*SUM(梦灵属性!$E$26:$J$26)+OFFSET(梦灵图鉴!H$10,MATCH(A235,梦灵图鉴!$G$11:$G$61,1),0)*SUM(梦灵属性!$E$27:$J$27)+OFFSET(梦灵图鉴!J$10,MATCH(A235,梦灵图鉴!$I$11:$I$61,1),0)*SUM(梦灵属性!$E$28:$J$28)+OFFSET(梦灵图鉴!L$10,MATCH(A235,梦灵图鉴!$K$11:$K$61,1),0)*SUM(梦灵属性!$E$29:$J$29)</f>
        <v>14.1</v>
      </c>
      <c r="J235" s="56"/>
      <c r="K235" s="56"/>
      <c r="L235" s="22"/>
      <c r="M235" s="22"/>
      <c r="N235" s="22"/>
    </row>
    <row r="236" ht="16.5" spans="1:14">
      <c r="A236" s="54">
        <v>230</v>
      </c>
      <c r="B236" s="35">
        <f ca="1">OFFSET(梦灵本体产出!$G$6,MATCH(A236,梦灵本体产出!$I$7:$I$30,1),0)</f>
        <v>0</v>
      </c>
      <c r="C236" s="35" t="e">
        <f ca="1">MATCH(A236,OFFSET(梦灵属性!#REF!,50*(B236-3),0))</f>
        <v>#REF!</v>
      </c>
      <c r="D236" s="55"/>
      <c r="E236" s="55"/>
      <c r="F236" s="22" t="e">
        <f ca="1">_xlfn.XLOOKUP(B236,梦灵属性!$F$38:$F$41,梦灵属性!$E$38:$E$41)*C236</f>
        <v>#N/A</v>
      </c>
      <c r="G236" s="22" t="e">
        <f ca="1">_xlfn.XLOOKUP($B236,梦灵属性!$F$38:$F$41,梦灵属性!$E$38:$E$41)*$C236</f>
        <v>#N/A</v>
      </c>
      <c r="H236" s="22"/>
      <c r="I236" s="56">
        <f ca="1">OFFSET(梦灵图鉴!F$10,MATCH(A236,梦灵图鉴!$E$11:$E$61,1),0)*SUM(梦灵属性!$E$26:$J$26)+OFFSET(梦灵图鉴!H$10,MATCH(A236,梦灵图鉴!$G$11:$G$61,1),0)*SUM(梦灵属性!$E$27:$J$27)+OFFSET(梦灵图鉴!J$10,MATCH(A236,梦灵图鉴!$I$11:$I$61,1),0)*SUM(梦灵属性!$E$28:$J$28)+OFFSET(梦灵图鉴!L$10,MATCH(A236,梦灵图鉴!$K$11:$K$61,1),0)*SUM(梦灵属性!$E$29:$J$29)</f>
        <v>14.1</v>
      </c>
      <c r="J236" s="56"/>
      <c r="K236" s="56"/>
      <c r="L236" s="22"/>
      <c r="M236" s="22"/>
      <c r="N236" s="22"/>
    </row>
    <row r="237" ht="16.5" spans="1:14">
      <c r="A237" s="54">
        <v>231</v>
      </c>
      <c r="B237" s="35">
        <f ca="1">OFFSET(梦灵本体产出!$G$6,MATCH(A237,梦灵本体产出!$I$7:$I$30,1),0)</f>
        <v>0</v>
      </c>
      <c r="C237" s="35" t="e">
        <f ca="1">MATCH(A237,OFFSET(梦灵属性!#REF!,50*(B237-3),0))</f>
        <v>#REF!</v>
      </c>
      <c r="D237" s="55"/>
      <c r="E237" s="55"/>
      <c r="F237" s="22" t="e">
        <f ca="1">_xlfn.XLOOKUP(B237,梦灵属性!$F$38:$F$41,梦灵属性!$E$38:$E$41)*C237</f>
        <v>#N/A</v>
      </c>
      <c r="G237" s="22" t="e">
        <f ca="1">_xlfn.XLOOKUP($B237,梦灵属性!$F$38:$F$41,梦灵属性!$E$38:$E$41)*$C237</f>
        <v>#N/A</v>
      </c>
      <c r="H237" s="22"/>
      <c r="I237" s="56">
        <f ca="1">OFFSET(梦灵图鉴!F$10,MATCH(A237,梦灵图鉴!$E$11:$E$61,1),0)*SUM(梦灵属性!$E$26:$J$26)+OFFSET(梦灵图鉴!H$10,MATCH(A237,梦灵图鉴!$G$11:$G$61,1),0)*SUM(梦灵属性!$E$27:$J$27)+OFFSET(梦灵图鉴!J$10,MATCH(A237,梦灵图鉴!$I$11:$I$61,1),0)*SUM(梦灵属性!$E$28:$J$28)+OFFSET(梦灵图鉴!L$10,MATCH(A237,梦灵图鉴!$K$11:$K$61,1),0)*SUM(梦灵属性!$E$29:$J$29)</f>
        <v>14.1</v>
      </c>
      <c r="J237" s="56"/>
      <c r="K237" s="56"/>
      <c r="L237" s="22"/>
      <c r="M237" s="22"/>
      <c r="N237" s="22"/>
    </row>
    <row r="238" ht="16.5" spans="1:14">
      <c r="A238" s="54">
        <v>232</v>
      </c>
      <c r="B238" s="35">
        <f ca="1">OFFSET(梦灵本体产出!$G$6,MATCH(A238,梦灵本体产出!$I$7:$I$30,1),0)</f>
        <v>0</v>
      </c>
      <c r="C238" s="35" t="e">
        <f ca="1">MATCH(A238,OFFSET(梦灵属性!#REF!,50*(B238-3),0))</f>
        <v>#REF!</v>
      </c>
      <c r="D238" s="55"/>
      <c r="E238" s="55"/>
      <c r="F238" s="22" t="e">
        <f ca="1">_xlfn.XLOOKUP(B238,梦灵属性!$F$38:$F$41,梦灵属性!$E$38:$E$41)*C238</f>
        <v>#N/A</v>
      </c>
      <c r="G238" s="22" t="e">
        <f ca="1">_xlfn.XLOOKUP($B238,梦灵属性!$F$38:$F$41,梦灵属性!$E$38:$E$41)*$C238</f>
        <v>#N/A</v>
      </c>
      <c r="H238" s="22"/>
      <c r="I238" s="56">
        <f ca="1">OFFSET(梦灵图鉴!F$10,MATCH(A238,梦灵图鉴!$E$11:$E$61,1),0)*SUM(梦灵属性!$E$26:$J$26)+OFFSET(梦灵图鉴!H$10,MATCH(A238,梦灵图鉴!$G$11:$G$61,1),0)*SUM(梦灵属性!$E$27:$J$27)+OFFSET(梦灵图鉴!J$10,MATCH(A238,梦灵图鉴!$I$11:$I$61,1),0)*SUM(梦灵属性!$E$28:$J$28)+OFFSET(梦灵图鉴!L$10,MATCH(A238,梦灵图鉴!$K$11:$K$61,1),0)*SUM(梦灵属性!$E$29:$J$29)</f>
        <v>14.1</v>
      </c>
      <c r="J238" s="56"/>
      <c r="K238" s="56"/>
      <c r="L238" s="22"/>
      <c r="M238" s="22"/>
      <c r="N238" s="22"/>
    </row>
    <row r="239" ht="16.5" spans="1:14">
      <c r="A239" s="54">
        <v>233</v>
      </c>
      <c r="B239" s="35">
        <f ca="1">OFFSET(梦灵本体产出!$G$6,MATCH(A239,梦灵本体产出!$I$7:$I$30,1),0)</f>
        <v>0</v>
      </c>
      <c r="C239" s="35" t="e">
        <f ca="1">MATCH(A239,OFFSET(梦灵属性!#REF!,50*(B239-3),0))</f>
        <v>#REF!</v>
      </c>
      <c r="D239" s="55"/>
      <c r="E239" s="55"/>
      <c r="F239" s="22" t="e">
        <f ca="1">_xlfn.XLOOKUP(B239,梦灵属性!$F$38:$F$41,梦灵属性!$E$38:$E$41)*C239</f>
        <v>#N/A</v>
      </c>
      <c r="G239" s="22" t="e">
        <f ca="1">_xlfn.XLOOKUP($B239,梦灵属性!$F$38:$F$41,梦灵属性!$E$38:$E$41)*$C239</f>
        <v>#N/A</v>
      </c>
      <c r="H239" s="22"/>
      <c r="I239" s="56">
        <f ca="1">OFFSET(梦灵图鉴!F$10,MATCH(A239,梦灵图鉴!$E$11:$E$61,1),0)*SUM(梦灵属性!$E$26:$J$26)+OFFSET(梦灵图鉴!H$10,MATCH(A239,梦灵图鉴!$G$11:$G$61,1),0)*SUM(梦灵属性!$E$27:$J$27)+OFFSET(梦灵图鉴!J$10,MATCH(A239,梦灵图鉴!$I$11:$I$61,1),0)*SUM(梦灵属性!$E$28:$J$28)+OFFSET(梦灵图鉴!L$10,MATCH(A239,梦灵图鉴!$K$11:$K$61,1),0)*SUM(梦灵属性!$E$29:$J$29)</f>
        <v>14.1</v>
      </c>
      <c r="J239" s="56"/>
      <c r="K239" s="56"/>
      <c r="L239" s="22"/>
      <c r="M239" s="22"/>
      <c r="N239" s="22"/>
    </row>
    <row r="240" ht="16.5" spans="1:14">
      <c r="A240" s="54">
        <v>234</v>
      </c>
      <c r="B240" s="35">
        <f ca="1">OFFSET(梦灵本体产出!$G$6,MATCH(A240,梦灵本体产出!$I$7:$I$30,1),0)</f>
        <v>0</v>
      </c>
      <c r="C240" s="35" t="e">
        <f ca="1">MATCH(A240,OFFSET(梦灵属性!#REF!,50*(B240-3),0))</f>
        <v>#REF!</v>
      </c>
      <c r="D240" s="55"/>
      <c r="E240" s="55"/>
      <c r="F240" s="22" t="e">
        <f ca="1">_xlfn.XLOOKUP(B240,梦灵属性!$F$38:$F$41,梦灵属性!$E$38:$E$41)*C240</f>
        <v>#N/A</v>
      </c>
      <c r="G240" s="22" t="e">
        <f ca="1">_xlfn.XLOOKUP($B240,梦灵属性!$F$38:$F$41,梦灵属性!$E$38:$E$41)*$C240</f>
        <v>#N/A</v>
      </c>
      <c r="H240" s="22"/>
      <c r="I240" s="56">
        <f ca="1">OFFSET(梦灵图鉴!F$10,MATCH(A240,梦灵图鉴!$E$11:$E$61,1),0)*SUM(梦灵属性!$E$26:$J$26)+OFFSET(梦灵图鉴!H$10,MATCH(A240,梦灵图鉴!$G$11:$G$61,1),0)*SUM(梦灵属性!$E$27:$J$27)+OFFSET(梦灵图鉴!J$10,MATCH(A240,梦灵图鉴!$I$11:$I$61,1),0)*SUM(梦灵属性!$E$28:$J$28)+OFFSET(梦灵图鉴!L$10,MATCH(A240,梦灵图鉴!$K$11:$K$61,1),0)*SUM(梦灵属性!$E$29:$J$29)</f>
        <v>14.1</v>
      </c>
      <c r="J240" s="56"/>
      <c r="K240" s="56"/>
      <c r="L240" s="22"/>
      <c r="M240" s="22"/>
      <c r="N240" s="22"/>
    </row>
    <row r="241" ht="16.5" spans="1:14">
      <c r="A241" s="54">
        <v>235</v>
      </c>
      <c r="B241" s="35">
        <f ca="1">OFFSET(梦灵本体产出!$G$6,MATCH(A241,梦灵本体产出!$I$7:$I$30,1),0)</f>
        <v>0</v>
      </c>
      <c r="C241" s="35" t="e">
        <f ca="1">MATCH(A241,OFFSET(梦灵属性!#REF!,50*(B241-3),0))</f>
        <v>#REF!</v>
      </c>
      <c r="D241" s="55"/>
      <c r="E241" s="55"/>
      <c r="F241" s="22" t="e">
        <f ca="1">_xlfn.XLOOKUP(B241,梦灵属性!$F$38:$F$41,梦灵属性!$E$38:$E$41)*C241</f>
        <v>#N/A</v>
      </c>
      <c r="G241" s="22" t="e">
        <f ca="1">_xlfn.XLOOKUP($B241,梦灵属性!$F$38:$F$41,梦灵属性!$E$38:$E$41)*$C241</f>
        <v>#N/A</v>
      </c>
      <c r="H241" s="22"/>
      <c r="I241" s="56">
        <f ca="1">OFFSET(梦灵图鉴!F$10,MATCH(A241,梦灵图鉴!$E$11:$E$61,1),0)*SUM(梦灵属性!$E$26:$J$26)+OFFSET(梦灵图鉴!H$10,MATCH(A241,梦灵图鉴!$G$11:$G$61,1),0)*SUM(梦灵属性!$E$27:$J$27)+OFFSET(梦灵图鉴!J$10,MATCH(A241,梦灵图鉴!$I$11:$I$61,1),0)*SUM(梦灵属性!$E$28:$J$28)+OFFSET(梦灵图鉴!L$10,MATCH(A241,梦灵图鉴!$K$11:$K$61,1),0)*SUM(梦灵属性!$E$29:$J$29)</f>
        <v>14.1</v>
      </c>
      <c r="J241" s="56"/>
      <c r="K241" s="56"/>
      <c r="L241" s="22"/>
      <c r="M241" s="22"/>
      <c r="N241" s="22"/>
    </row>
    <row r="242" ht="16.5" spans="1:14">
      <c r="A242" s="54">
        <v>236</v>
      </c>
      <c r="B242" s="35">
        <f ca="1">OFFSET(梦灵本体产出!$G$6,MATCH(A242,梦灵本体产出!$I$7:$I$30,1),0)</f>
        <v>0</v>
      </c>
      <c r="C242" s="35" t="e">
        <f ca="1">MATCH(A242,OFFSET(梦灵属性!#REF!,50*(B242-3),0))</f>
        <v>#REF!</v>
      </c>
      <c r="D242" s="55"/>
      <c r="E242" s="55"/>
      <c r="F242" s="22" t="e">
        <f ca="1">_xlfn.XLOOKUP(B242,梦灵属性!$F$38:$F$41,梦灵属性!$E$38:$E$41)*C242</f>
        <v>#N/A</v>
      </c>
      <c r="G242" s="22" t="e">
        <f ca="1">_xlfn.XLOOKUP($B242,梦灵属性!$F$38:$F$41,梦灵属性!$E$38:$E$41)*$C242</f>
        <v>#N/A</v>
      </c>
      <c r="H242" s="22"/>
      <c r="I242" s="56">
        <f ca="1">OFFSET(梦灵图鉴!F$10,MATCH(A242,梦灵图鉴!$E$11:$E$61,1),0)*SUM(梦灵属性!$E$26:$J$26)+OFFSET(梦灵图鉴!H$10,MATCH(A242,梦灵图鉴!$G$11:$G$61,1),0)*SUM(梦灵属性!$E$27:$J$27)+OFFSET(梦灵图鉴!J$10,MATCH(A242,梦灵图鉴!$I$11:$I$61,1),0)*SUM(梦灵属性!$E$28:$J$28)+OFFSET(梦灵图鉴!L$10,MATCH(A242,梦灵图鉴!$K$11:$K$61,1),0)*SUM(梦灵属性!$E$29:$J$29)</f>
        <v>14.1</v>
      </c>
      <c r="J242" s="56"/>
      <c r="K242" s="56"/>
      <c r="L242" s="22"/>
      <c r="M242" s="22"/>
      <c r="N242" s="22"/>
    </row>
    <row r="243" ht="16.5" spans="1:14">
      <c r="A243" s="54">
        <v>237</v>
      </c>
      <c r="B243" s="35">
        <f ca="1">OFFSET(梦灵本体产出!$G$6,MATCH(A243,梦灵本体产出!$I$7:$I$30,1),0)</f>
        <v>0</v>
      </c>
      <c r="C243" s="35" t="e">
        <f ca="1">MATCH(A243,OFFSET(梦灵属性!#REF!,50*(B243-3),0))</f>
        <v>#REF!</v>
      </c>
      <c r="D243" s="55"/>
      <c r="E243" s="55"/>
      <c r="F243" s="22" t="e">
        <f ca="1">_xlfn.XLOOKUP(B243,梦灵属性!$F$38:$F$41,梦灵属性!$E$38:$E$41)*C243</f>
        <v>#N/A</v>
      </c>
      <c r="G243" s="22" t="e">
        <f ca="1">_xlfn.XLOOKUP($B243,梦灵属性!$F$38:$F$41,梦灵属性!$E$38:$E$41)*$C243</f>
        <v>#N/A</v>
      </c>
      <c r="H243" s="22"/>
      <c r="I243" s="56">
        <f ca="1">OFFSET(梦灵图鉴!F$10,MATCH(A243,梦灵图鉴!$E$11:$E$61,1),0)*SUM(梦灵属性!$E$26:$J$26)+OFFSET(梦灵图鉴!H$10,MATCH(A243,梦灵图鉴!$G$11:$G$61,1),0)*SUM(梦灵属性!$E$27:$J$27)+OFFSET(梦灵图鉴!J$10,MATCH(A243,梦灵图鉴!$I$11:$I$61,1),0)*SUM(梦灵属性!$E$28:$J$28)+OFFSET(梦灵图鉴!L$10,MATCH(A243,梦灵图鉴!$K$11:$K$61,1),0)*SUM(梦灵属性!$E$29:$J$29)</f>
        <v>14.1</v>
      </c>
      <c r="J243" s="56"/>
      <c r="K243" s="56"/>
      <c r="L243" s="22"/>
      <c r="M243" s="22"/>
      <c r="N243" s="22"/>
    </row>
    <row r="244" ht="16.5" spans="1:14">
      <c r="A244" s="54">
        <v>238</v>
      </c>
      <c r="B244" s="35">
        <f ca="1">OFFSET(梦灵本体产出!$G$6,MATCH(A244,梦灵本体产出!$I$7:$I$30,1),0)</f>
        <v>0</v>
      </c>
      <c r="C244" s="35" t="e">
        <f ca="1">MATCH(A244,OFFSET(梦灵属性!#REF!,50*(B244-3),0))</f>
        <v>#REF!</v>
      </c>
      <c r="D244" s="55"/>
      <c r="E244" s="55"/>
      <c r="F244" s="22" t="e">
        <f ca="1">_xlfn.XLOOKUP(B244,梦灵属性!$F$38:$F$41,梦灵属性!$E$38:$E$41)*C244</f>
        <v>#N/A</v>
      </c>
      <c r="G244" s="22" t="e">
        <f ca="1">_xlfn.XLOOKUP($B244,梦灵属性!$F$38:$F$41,梦灵属性!$E$38:$E$41)*$C244</f>
        <v>#N/A</v>
      </c>
      <c r="H244" s="22"/>
      <c r="I244" s="56">
        <f ca="1">OFFSET(梦灵图鉴!F$10,MATCH(A244,梦灵图鉴!$E$11:$E$61,1),0)*SUM(梦灵属性!$E$26:$J$26)+OFFSET(梦灵图鉴!H$10,MATCH(A244,梦灵图鉴!$G$11:$G$61,1),0)*SUM(梦灵属性!$E$27:$J$27)+OFFSET(梦灵图鉴!J$10,MATCH(A244,梦灵图鉴!$I$11:$I$61,1),0)*SUM(梦灵属性!$E$28:$J$28)+OFFSET(梦灵图鉴!L$10,MATCH(A244,梦灵图鉴!$K$11:$K$61,1),0)*SUM(梦灵属性!$E$29:$J$29)</f>
        <v>14.1</v>
      </c>
      <c r="J244" s="56"/>
      <c r="K244" s="56"/>
      <c r="L244" s="22"/>
      <c r="M244" s="22"/>
      <c r="N244" s="22"/>
    </row>
    <row r="245" ht="16.5" spans="1:14">
      <c r="A245" s="54">
        <v>239</v>
      </c>
      <c r="B245" s="35">
        <f ca="1">OFFSET(梦灵本体产出!$G$6,MATCH(A245,梦灵本体产出!$I$7:$I$30,1),0)</f>
        <v>0</v>
      </c>
      <c r="C245" s="35" t="e">
        <f ca="1">MATCH(A245,OFFSET(梦灵属性!#REF!,50*(B245-3),0))</f>
        <v>#REF!</v>
      </c>
      <c r="D245" s="55"/>
      <c r="E245" s="55"/>
      <c r="F245" s="22" t="e">
        <f ca="1">_xlfn.XLOOKUP(B245,梦灵属性!$F$38:$F$41,梦灵属性!$E$38:$E$41)*C245</f>
        <v>#N/A</v>
      </c>
      <c r="G245" s="22" t="e">
        <f ca="1">_xlfn.XLOOKUP($B245,梦灵属性!$F$38:$F$41,梦灵属性!$E$38:$E$41)*$C245</f>
        <v>#N/A</v>
      </c>
      <c r="H245" s="22"/>
      <c r="I245" s="56">
        <f ca="1">OFFSET(梦灵图鉴!F$10,MATCH(A245,梦灵图鉴!$E$11:$E$61,1),0)*SUM(梦灵属性!$E$26:$J$26)+OFFSET(梦灵图鉴!H$10,MATCH(A245,梦灵图鉴!$G$11:$G$61,1),0)*SUM(梦灵属性!$E$27:$J$27)+OFFSET(梦灵图鉴!J$10,MATCH(A245,梦灵图鉴!$I$11:$I$61,1),0)*SUM(梦灵属性!$E$28:$J$28)+OFFSET(梦灵图鉴!L$10,MATCH(A245,梦灵图鉴!$K$11:$K$61,1),0)*SUM(梦灵属性!$E$29:$J$29)</f>
        <v>14.1</v>
      </c>
      <c r="J245" s="56"/>
      <c r="K245" s="56"/>
      <c r="L245" s="22"/>
      <c r="M245" s="22"/>
      <c r="N245" s="22"/>
    </row>
    <row r="246" ht="16.5" spans="1:14">
      <c r="A246" s="54">
        <v>240</v>
      </c>
      <c r="B246" s="35">
        <f ca="1">OFFSET(梦灵本体产出!$G$6,MATCH(A246,梦灵本体产出!$I$7:$I$30,1),0)</f>
        <v>0</v>
      </c>
      <c r="C246" s="35" t="e">
        <f ca="1">MATCH(A246,OFFSET(梦灵属性!#REF!,50*(B246-3),0))</f>
        <v>#REF!</v>
      </c>
      <c r="D246" s="55"/>
      <c r="E246" s="55"/>
      <c r="F246" s="22" t="e">
        <f ca="1">_xlfn.XLOOKUP(B246,梦灵属性!$F$38:$F$41,梦灵属性!$E$38:$E$41)*C246</f>
        <v>#N/A</v>
      </c>
      <c r="G246" s="22" t="e">
        <f ca="1">_xlfn.XLOOKUP($B246,梦灵属性!$F$38:$F$41,梦灵属性!$E$38:$E$41)*$C246</f>
        <v>#N/A</v>
      </c>
      <c r="H246" s="22"/>
      <c r="I246" s="56">
        <f ca="1">OFFSET(梦灵图鉴!F$10,MATCH(A246,梦灵图鉴!$E$11:$E$61,1),0)*SUM(梦灵属性!$E$26:$J$26)+OFFSET(梦灵图鉴!H$10,MATCH(A246,梦灵图鉴!$G$11:$G$61,1),0)*SUM(梦灵属性!$E$27:$J$27)+OFFSET(梦灵图鉴!J$10,MATCH(A246,梦灵图鉴!$I$11:$I$61,1),0)*SUM(梦灵属性!$E$28:$J$28)+OFFSET(梦灵图鉴!L$10,MATCH(A246,梦灵图鉴!$K$11:$K$61,1),0)*SUM(梦灵属性!$E$29:$J$29)</f>
        <v>14.1</v>
      </c>
      <c r="J246" s="56"/>
      <c r="K246" s="56"/>
      <c r="L246" s="22"/>
      <c r="M246" s="22"/>
      <c r="N246" s="22"/>
    </row>
    <row r="247" ht="16.5" spans="1:14">
      <c r="A247" s="54">
        <v>241</v>
      </c>
      <c r="B247" s="35">
        <f ca="1">OFFSET(梦灵本体产出!$G$6,MATCH(A247,梦灵本体产出!$I$7:$I$30,1),0)</f>
        <v>0</v>
      </c>
      <c r="C247" s="35" t="e">
        <f ca="1">MATCH(A247,OFFSET(梦灵属性!#REF!,50*(B247-3),0))</f>
        <v>#REF!</v>
      </c>
      <c r="D247" s="55"/>
      <c r="E247" s="55"/>
      <c r="F247" s="22" t="e">
        <f ca="1">_xlfn.XLOOKUP(B247,梦灵属性!$F$38:$F$41,梦灵属性!$E$38:$E$41)*C247</f>
        <v>#N/A</v>
      </c>
      <c r="G247" s="22" t="e">
        <f ca="1">_xlfn.XLOOKUP($B247,梦灵属性!$F$38:$F$41,梦灵属性!$E$38:$E$41)*$C247</f>
        <v>#N/A</v>
      </c>
      <c r="H247" s="22"/>
      <c r="I247" s="56">
        <f ca="1">OFFSET(梦灵图鉴!F$10,MATCH(A247,梦灵图鉴!$E$11:$E$61,1),0)*SUM(梦灵属性!$E$26:$J$26)+OFFSET(梦灵图鉴!H$10,MATCH(A247,梦灵图鉴!$G$11:$G$61,1),0)*SUM(梦灵属性!$E$27:$J$27)+OFFSET(梦灵图鉴!J$10,MATCH(A247,梦灵图鉴!$I$11:$I$61,1),0)*SUM(梦灵属性!$E$28:$J$28)+OFFSET(梦灵图鉴!L$10,MATCH(A247,梦灵图鉴!$K$11:$K$61,1),0)*SUM(梦灵属性!$E$29:$J$29)</f>
        <v>14.1</v>
      </c>
      <c r="J247" s="56"/>
      <c r="K247" s="56"/>
      <c r="L247" s="22"/>
      <c r="M247" s="22"/>
      <c r="N247" s="22"/>
    </row>
    <row r="248" ht="16.5" spans="1:14">
      <c r="A248" s="54">
        <v>242</v>
      </c>
      <c r="B248" s="35">
        <f ca="1">OFFSET(梦灵本体产出!$G$6,MATCH(A248,梦灵本体产出!$I$7:$I$30,1),0)</f>
        <v>0</v>
      </c>
      <c r="C248" s="35" t="e">
        <f ca="1">MATCH(A248,OFFSET(梦灵属性!#REF!,50*(B248-3),0))</f>
        <v>#REF!</v>
      </c>
      <c r="D248" s="55"/>
      <c r="E248" s="55"/>
      <c r="F248" s="22" t="e">
        <f ca="1">_xlfn.XLOOKUP(B248,梦灵属性!$F$38:$F$41,梦灵属性!$E$38:$E$41)*C248</f>
        <v>#N/A</v>
      </c>
      <c r="G248" s="22" t="e">
        <f ca="1">_xlfn.XLOOKUP($B248,梦灵属性!$F$38:$F$41,梦灵属性!$E$38:$E$41)*$C248</f>
        <v>#N/A</v>
      </c>
      <c r="H248" s="22"/>
      <c r="I248" s="56">
        <f ca="1">OFFSET(梦灵图鉴!F$10,MATCH(A248,梦灵图鉴!$E$11:$E$61,1),0)*SUM(梦灵属性!$E$26:$J$26)+OFFSET(梦灵图鉴!H$10,MATCH(A248,梦灵图鉴!$G$11:$G$61,1),0)*SUM(梦灵属性!$E$27:$J$27)+OFFSET(梦灵图鉴!J$10,MATCH(A248,梦灵图鉴!$I$11:$I$61,1),0)*SUM(梦灵属性!$E$28:$J$28)+OFFSET(梦灵图鉴!L$10,MATCH(A248,梦灵图鉴!$K$11:$K$61,1),0)*SUM(梦灵属性!$E$29:$J$29)</f>
        <v>14.1</v>
      </c>
      <c r="J248" s="56"/>
      <c r="K248" s="56"/>
      <c r="L248" s="22"/>
      <c r="M248" s="22"/>
      <c r="N248" s="22"/>
    </row>
    <row r="249" ht="16.5" spans="1:14">
      <c r="A249" s="54">
        <v>243</v>
      </c>
      <c r="B249" s="35">
        <f ca="1">OFFSET(梦灵本体产出!$G$6,MATCH(A249,梦灵本体产出!$I$7:$I$30,1),0)</f>
        <v>0</v>
      </c>
      <c r="C249" s="35" t="e">
        <f ca="1">MATCH(A249,OFFSET(梦灵属性!#REF!,50*(B249-3),0))</f>
        <v>#REF!</v>
      </c>
      <c r="D249" s="55"/>
      <c r="E249" s="55"/>
      <c r="F249" s="22" t="e">
        <f ca="1">_xlfn.XLOOKUP(B249,梦灵属性!$F$38:$F$41,梦灵属性!$E$38:$E$41)*C249</f>
        <v>#N/A</v>
      </c>
      <c r="G249" s="22" t="e">
        <f ca="1">_xlfn.XLOOKUP($B249,梦灵属性!$F$38:$F$41,梦灵属性!$E$38:$E$41)*$C249</f>
        <v>#N/A</v>
      </c>
      <c r="H249" s="22"/>
      <c r="I249" s="56">
        <f ca="1">OFFSET(梦灵图鉴!F$10,MATCH(A249,梦灵图鉴!$E$11:$E$61,1),0)*SUM(梦灵属性!$E$26:$J$26)+OFFSET(梦灵图鉴!H$10,MATCH(A249,梦灵图鉴!$G$11:$G$61,1),0)*SUM(梦灵属性!$E$27:$J$27)+OFFSET(梦灵图鉴!J$10,MATCH(A249,梦灵图鉴!$I$11:$I$61,1),0)*SUM(梦灵属性!$E$28:$J$28)+OFFSET(梦灵图鉴!L$10,MATCH(A249,梦灵图鉴!$K$11:$K$61,1),0)*SUM(梦灵属性!$E$29:$J$29)</f>
        <v>14.1</v>
      </c>
      <c r="J249" s="56"/>
      <c r="K249" s="56"/>
      <c r="L249" s="22"/>
      <c r="M249" s="22"/>
      <c r="N249" s="22"/>
    </row>
    <row r="250" ht="16.5" spans="1:14">
      <c r="A250" s="54">
        <v>244</v>
      </c>
      <c r="B250" s="35">
        <f ca="1">OFFSET(梦灵本体产出!$G$6,MATCH(A250,梦灵本体产出!$I$7:$I$30,1),0)</f>
        <v>0</v>
      </c>
      <c r="C250" s="35" t="e">
        <f ca="1">MATCH(A250,OFFSET(梦灵属性!#REF!,50*(B250-3),0))</f>
        <v>#REF!</v>
      </c>
      <c r="D250" s="55"/>
      <c r="E250" s="55"/>
      <c r="F250" s="22" t="e">
        <f ca="1">_xlfn.XLOOKUP(B250,梦灵属性!$F$38:$F$41,梦灵属性!$E$38:$E$41)*C250</f>
        <v>#N/A</v>
      </c>
      <c r="G250" s="22" t="e">
        <f ca="1">_xlfn.XLOOKUP($B250,梦灵属性!$F$38:$F$41,梦灵属性!$E$38:$E$41)*$C250</f>
        <v>#N/A</v>
      </c>
      <c r="H250" s="22"/>
      <c r="I250" s="56">
        <f ca="1">OFFSET(梦灵图鉴!F$10,MATCH(A250,梦灵图鉴!$E$11:$E$61,1),0)*SUM(梦灵属性!$E$26:$J$26)+OFFSET(梦灵图鉴!H$10,MATCH(A250,梦灵图鉴!$G$11:$G$61,1),0)*SUM(梦灵属性!$E$27:$J$27)+OFFSET(梦灵图鉴!J$10,MATCH(A250,梦灵图鉴!$I$11:$I$61,1),0)*SUM(梦灵属性!$E$28:$J$28)+OFFSET(梦灵图鉴!L$10,MATCH(A250,梦灵图鉴!$K$11:$K$61,1),0)*SUM(梦灵属性!$E$29:$J$29)</f>
        <v>14.1</v>
      </c>
      <c r="J250" s="56"/>
      <c r="K250" s="56"/>
      <c r="L250" s="22"/>
      <c r="M250" s="22"/>
      <c r="N250" s="22"/>
    </row>
    <row r="251" ht="16.5" spans="1:14">
      <c r="A251" s="54">
        <v>245</v>
      </c>
      <c r="B251" s="35">
        <f ca="1">OFFSET(梦灵本体产出!$G$6,MATCH(A251,梦灵本体产出!$I$7:$I$30,1),0)</f>
        <v>0</v>
      </c>
      <c r="C251" s="35" t="e">
        <f ca="1">MATCH(A251,OFFSET(梦灵属性!#REF!,50*(B251-3),0))</f>
        <v>#REF!</v>
      </c>
      <c r="D251" s="55"/>
      <c r="E251" s="55"/>
      <c r="F251" s="22" t="e">
        <f ca="1">_xlfn.XLOOKUP(B251,梦灵属性!$F$38:$F$41,梦灵属性!$E$38:$E$41)*C251</f>
        <v>#N/A</v>
      </c>
      <c r="G251" s="22" t="e">
        <f ca="1">_xlfn.XLOOKUP($B251,梦灵属性!$F$38:$F$41,梦灵属性!$E$38:$E$41)*$C251</f>
        <v>#N/A</v>
      </c>
      <c r="H251" s="22"/>
      <c r="I251" s="56">
        <f ca="1">OFFSET(梦灵图鉴!F$10,MATCH(A251,梦灵图鉴!$E$11:$E$61,1),0)*SUM(梦灵属性!$E$26:$J$26)+OFFSET(梦灵图鉴!H$10,MATCH(A251,梦灵图鉴!$G$11:$G$61,1),0)*SUM(梦灵属性!$E$27:$J$27)+OFFSET(梦灵图鉴!J$10,MATCH(A251,梦灵图鉴!$I$11:$I$61,1),0)*SUM(梦灵属性!$E$28:$J$28)+OFFSET(梦灵图鉴!L$10,MATCH(A251,梦灵图鉴!$K$11:$K$61,1),0)*SUM(梦灵属性!$E$29:$J$29)</f>
        <v>14.1</v>
      </c>
      <c r="J251" s="56"/>
      <c r="K251" s="56"/>
      <c r="L251" s="22"/>
      <c r="M251" s="22"/>
      <c r="N251" s="22"/>
    </row>
    <row r="252" ht="16.5" spans="1:14">
      <c r="A252" s="54">
        <v>246</v>
      </c>
      <c r="B252" s="35">
        <f ca="1">OFFSET(梦灵本体产出!$G$6,MATCH(A252,梦灵本体产出!$I$7:$I$30,1),0)</f>
        <v>0</v>
      </c>
      <c r="C252" s="35" t="e">
        <f ca="1">MATCH(A252,OFFSET(梦灵属性!#REF!,50*(B252-3),0))</f>
        <v>#REF!</v>
      </c>
      <c r="D252" s="55"/>
      <c r="E252" s="55"/>
      <c r="F252" s="22" t="e">
        <f ca="1">_xlfn.XLOOKUP(B252,梦灵属性!$F$38:$F$41,梦灵属性!$E$38:$E$41)*C252</f>
        <v>#N/A</v>
      </c>
      <c r="G252" s="22" t="e">
        <f ca="1">_xlfn.XLOOKUP($B252,梦灵属性!$F$38:$F$41,梦灵属性!$E$38:$E$41)*$C252</f>
        <v>#N/A</v>
      </c>
      <c r="H252" s="22"/>
      <c r="I252" s="56">
        <f ca="1">OFFSET(梦灵图鉴!F$10,MATCH(A252,梦灵图鉴!$E$11:$E$61,1),0)*SUM(梦灵属性!$E$26:$J$26)+OFFSET(梦灵图鉴!H$10,MATCH(A252,梦灵图鉴!$G$11:$G$61,1),0)*SUM(梦灵属性!$E$27:$J$27)+OFFSET(梦灵图鉴!J$10,MATCH(A252,梦灵图鉴!$I$11:$I$61,1),0)*SUM(梦灵属性!$E$28:$J$28)+OFFSET(梦灵图鉴!L$10,MATCH(A252,梦灵图鉴!$K$11:$K$61,1),0)*SUM(梦灵属性!$E$29:$J$29)</f>
        <v>14.1</v>
      </c>
      <c r="J252" s="56"/>
      <c r="K252" s="56"/>
      <c r="L252" s="22"/>
      <c r="M252" s="22"/>
      <c r="N252" s="22"/>
    </row>
    <row r="253" ht="16.5" spans="1:14">
      <c r="A253" s="54">
        <v>247</v>
      </c>
      <c r="B253" s="35">
        <f ca="1">OFFSET(梦灵本体产出!$G$6,MATCH(A253,梦灵本体产出!$I$7:$I$30,1),0)</f>
        <v>0</v>
      </c>
      <c r="C253" s="35" t="e">
        <f ca="1">MATCH(A253,OFFSET(梦灵属性!#REF!,50*(B253-3),0))</f>
        <v>#REF!</v>
      </c>
      <c r="D253" s="55"/>
      <c r="E253" s="55"/>
      <c r="F253" s="22" t="e">
        <f ca="1">_xlfn.XLOOKUP(B253,梦灵属性!$F$38:$F$41,梦灵属性!$E$38:$E$41)*C253</f>
        <v>#N/A</v>
      </c>
      <c r="G253" s="22" t="e">
        <f ca="1">_xlfn.XLOOKUP($B253,梦灵属性!$F$38:$F$41,梦灵属性!$E$38:$E$41)*$C253</f>
        <v>#N/A</v>
      </c>
      <c r="H253" s="22"/>
      <c r="I253" s="56">
        <f ca="1">OFFSET(梦灵图鉴!F$10,MATCH(A253,梦灵图鉴!$E$11:$E$61,1),0)*SUM(梦灵属性!$E$26:$J$26)+OFFSET(梦灵图鉴!H$10,MATCH(A253,梦灵图鉴!$G$11:$G$61,1),0)*SUM(梦灵属性!$E$27:$J$27)+OFFSET(梦灵图鉴!J$10,MATCH(A253,梦灵图鉴!$I$11:$I$61,1),0)*SUM(梦灵属性!$E$28:$J$28)+OFFSET(梦灵图鉴!L$10,MATCH(A253,梦灵图鉴!$K$11:$K$61,1),0)*SUM(梦灵属性!$E$29:$J$29)</f>
        <v>14.1</v>
      </c>
      <c r="J253" s="56"/>
      <c r="K253" s="56"/>
      <c r="L253" s="22"/>
      <c r="M253" s="22"/>
      <c r="N253" s="22"/>
    </row>
    <row r="254" ht="16.5" spans="1:14">
      <c r="A254" s="54">
        <v>248</v>
      </c>
      <c r="B254" s="35">
        <f ca="1">OFFSET(梦灵本体产出!$G$6,MATCH(A254,梦灵本体产出!$I$7:$I$30,1),0)</f>
        <v>0</v>
      </c>
      <c r="C254" s="35" t="e">
        <f ca="1">MATCH(A254,OFFSET(梦灵属性!#REF!,50*(B254-3),0))</f>
        <v>#REF!</v>
      </c>
      <c r="D254" s="55"/>
      <c r="E254" s="55"/>
      <c r="F254" s="22" t="e">
        <f ca="1">_xlfn.XLOOKUP(B254,梦灵属性!$F$38:$F$41,梦灵属性!$E$38:$E$41)*C254</f>
        <v>#N/A</v>
      </c>
      <c r="G254" s="22" t="e">
        <f ca="1">_xlfn.XLOOKUP($B254,梦灵属性!$F$38:$F$41,梦灵属性!$E$38:$E$41)*$C254</f>
        <v>#N/A</v>
      </c>
      <c r="H254" s="22"/>
      <c r="I254" s="56">
        <f ca="1">OFFSET(梦灵图鉴!F$10,MATCH(A254,梦灵图鉴!$E$11:$E$61,1),0)*SUM(梦灵属性!$E$26:$J$26)+OFFSET(梦灵图鉴!H$10,MATCH(A254,梦灵图鉴!$G$11:$G$61,1),0)*SUM(梦灵属性!$E$27:$J$27)+OFFSET(梦灵图鉴!J$10,MATCH(A254,梦灵图鉴!$I$11:$I$61,1),0)*SUM(梦灵属性!$E$28:$J$28)+OFFSET(梦灵图鉴!L$10,MATCH(A254,梦灵图鉴!$K$11:$K$61,1),0)*SUM(梦灵属性!$E$29:$J$29)</f>
        <v>14.1</v>
      </c>
      <c r="J254" s="56"/>
      <c r="K254" s="56"/>
      <c r="L254" s="22"/>
      <c r="M254" s="22"/>
      <c r="N254" s="22"/>
    </row>
    <row r="255" ht="16.5" spans="1:14">
      <c r="A255" s="54">
        <v>249</v>
      </c>
      <c r="B255" s="35">
        <f ca="1">OFFSET(梦灵本体产出!$G$6,MATCH(A255,梦灵本体产出!$I$7:$I$30,1),0)</f>
        <v>0</v>
      </c>
      <c r="C255" s="35" t="e">
        <f ca="1">MATCH(A255,OFFSET(梦灵属性!#REF!,50*(B255-3),0))</f>
        <v>#REF!</v>
      </c>
      <c r="D255" s="55"/>
      <c r="E255" s="55"/>
      <c r="F255" s="22" t="e">
        <f ca="1">_xlfn.XLOOKUP(B255,梦灵属性!$F$38:$F$41,梦灵属性!$E$38:$E$41)*C255</f>
        <v>#N/A</v>
      </c>
      <c r="G255" s="22" t="e">
        <f ca="1">_xlfn.XLOOKUP($B255,梦灵属性!$F$38:$F$41,梦灵属性!$E$38:$E$41)*$C255</f>
        <v>#N/A</v>
      </c>
      <c r="H255" s="22"/>
      <c r="I255" s="56">
        <f ca="1">OFFSET(梦灵图鉴!F$10,MATCH(A255,梦灵图鉴!$E$11:$E$61,1),0)*SUM(梦灵属性!$E$26:$J$26)+OFFSET(梦灵图鉴!H$10,MATCH(A255,梦灵图鉴!$G$11:$G$61,1),0)*SUM(梦灵属性!$E$27:$J$27)+OFFSET(梦灵图鉴!J$10,MATCH(A255,梦灵图鉴!$I$11:$I$61,1),0)*SUM(梦灵属性!$E$28:$J$28)+OFFSET(梦灵图鉴!L$10,MATCH(A255,梦灵图鉴!$K$11:$K$61,1),0)*SUM(梦灵属性!$E$29:$J$29)</f>
        <v>14.1</v>
      </c>
      <c r="J255" s="56"/>
      <c r="K255" s="56"/>
      <c r="L255" s="22"/>
      <c r="M255" s="22"/>
      <c r="N255" s="22"/>
    </row>
    <row r="256" ht="16.5" spans="1:14">
      <c r="A256" s="54">
        <v>250</v>
      </c>
      <c r="B256" s="35">
        <f ca="1">OFFSET(梦灵本体产出!$G$6,MATCH(A256,梦灵本体产出!$I$7:$I$30,1),0)</f>
        <v>0</v>
      </c>
      <c r="C256" s="35" t="e">
        <f ca="1">MATCH(A256,OFFSET(梦灵属性!#REF!,50*(B256-3),0))</f>
        <v>#REF!</v>
      </c>
      <c r="D256" s="55"/>
      <c r="E256" s="55"/>
      <c r="F256" s="22" t="e">
        <f ca="1">_xlfn.XLOOKUP(B256,梦灵属性!$F$38:$F$41,梦灵属性!$E$38:$E$41)*C256</f>
        <v>#N/A</v>
      </c>
      <c r="G256" s="22" t="e">
        <f ca="1">_xlfn.XLOOKUP($B256,梦灵属性!$F$38:$F$41,梦灵属性!$E$38:$E$41)*$C256</f>
        <v>#N/A</v>
      </c>
      <c r="H256" s="22"/>
      <c r="I256" s="56">
        <f ca="1">OFFSET(梦灵图鉴!F$10,MATCH(A256,梦灵图鉴!$E$11:$E$61,1),0)*SUM(梦灵属性!$E$26:$J$26)+OFFSET(梦灵图鉴!H$10,MATCH(A256,梦灵图鉴!$G$11:$G$61,1),0)*SUM(梦灵属性!$E$27:$J$27)+OFFSET(梦灵图鉴!J$10,MATCH(A256,梦灵图鉴!$I$11:$I$61,1),0)*SUM(梦灵属性!$E$28:$J$28)+OFFSET(梦灵图鉴!L$10,MATCH(A256,梦灵图鉴!$K$11:$K$61,1),0)*SUM(梦灵属性!$E$29:$J$29)</f>
        <v>14.1</v>
      </c>
      <c r="J256" s="56"/>
      <c r="K256" s="56"/>
      <c r="L256" s="22"/>
      <c r="M256" s="22"/>
      <c r="N256" s="22"/>
    </row>
    <row r="257" ht="16.5" spans="1:14">
      <c r="A257" s="54">
        <v>251</v>
      </c>
      <c r="B257" s="35">
        <f ca="1">OFFSET(梦灵本体产出!$G$6,MATCH(A257,梦灵本体产出!$I$7:$I$30,1),0)</f>
        <v>0</v>
      </c>
      <c r="C257" s="35" t="e">
        <f ca="1">MATCH(A257,OFFSET(梦灵属性!#REF!,50*(B257-3),0))</f>
        <v>#REF!</v>
      </c>
      <c r="D257" s="55"/>
      <c r="E257" s="55"/>
      <c r="F257" s="22" t="e">
        <f ca="1">_xlfn.XLOOKUP(B257,梦灵属性!$F$38:$F$41,梦灵属性!$E$38:$E$41)*C257</f>
        <v>#N/A</v>
      </c>
      <c r="G257" s="22" t="e">
        <f ca="1">_xlfn.XLOOKUP($B257,梦灵属性!$F$38:$F$41,梦灵属性!$E$38:$E$41)*$C257</f>
        <v>#N/A</v>
      </c>
      <c r="H257" s="22"/>
      <c r="I257" s="56">
        <f ca="1">OFFSET(梦灵图鉴!F$10,MATCH(A257,梦灵图鉴!$E$11:$E$61,1),0)*SUM(梦灵属性!$E$26:$J$26)+OFFSET(梦灵图鉴!H$10,MATCH(A257,梦灵图鉴!$G$11:$G$61,1),0)*SUM(梦灵属性!$E$27:$J$27)+OFFSET(梦灵图鉴!J$10,MATCH(A257,梦灵图鉴!$I$11:$I$61,1),0)*SUM(梦灵属性!$E$28:$J$28)+OFFSET(梦灵图鉴!L$10,MATCH(A257,梦灵图鉴!$K$11:$K$61,1),0)*SUM(梦灵属性!$E$29:$J$29)</f>
        <v>14.1</v>
      </c>
      <c r="J257" s="56"/>
      <c r="K257" s="56"/>
      <c r="L257" s="22"/>
      <c r="M257" s="22"/>
      <c r="N257" s="22"/>
    </row>
    <row r="258" ht="16.5" spans="1:14">
      <c r="A258" s="54">
        <v>252</v>
      </c>
      <c r="B258" s="35">
        <f ca="1">OFFSET(梦灵本体产出!$G$6,MATCH(A258,梦灵本体产出!$I$7:$I$30,1),0)</f>
        <v>0</v>
      </c>
      <c r="C258" s="35" t="e">
        <f ca="1">MATCH(A258,OFFSET(梦灵属性!#REF!,50*(B258-3),0))</f>
        <v>#REF!</v>
      </c>
      <c r="D258" s="55"/>
      <c r="E258" s="55"/>
      <c r="F258" s="22" t="e">
        <f ca="1">_xlfn.XLOOKUP(B258,梦灵属性!$F$38:$F$41,梦灵属性!$E$38:$E$41)*C258</f>
        <v>#N/A</v>
      </c>
      <c r="G258" s="22" t="e">
        <f ca="1">_xlfn.XLOOKUP($B258,梦灵属性!$F$38:$F$41,梦灵属性!$E$38:$E$41)*$C258</f>
        <v>#N/A</v>
      </c>
      <c r="H258" s="22"/>
      <c r="I258" s="56">
        <f ca="1">OFFSET(梦灵图鉴!F$10,MATCH(A258,梦灵图鉴!$E$11:$E$61,1),0)*SUM(梦灵属性!$E$26:$J$26)+OFFSET(梦灵图鉴!H$10,MATCH(A258,梦灵图鉴!$G$11:$G$61,1),0)*SUM(梦灵属性!$E$27:$J$27)+OFFSET(梦灵图鉴!J$10,MATCH(A258,梦灵图鉴!$I$11:$I$61,1),0)*SUM(梦灵属性!$E$28:$J$28)+OFFSET(梦灵图鉴!L$10,MATCH(A258,梦灵图鉴!$K$11:$K$61,1),0)*SUM(梦灵属性!$E$29:$J$29)</f>
        <v>14.1</v>
      </c>
      <c r="J258" s="56"/>
      <c r="K258" s="56"/>
      <c r="L258" s="22"/>
      <c r="M258" s="22"/>
      <c r="N258" s="22"/>
    </row>
    <row r="259" ht="16.5" spans="1:14">
      <c r="A259" s="54">
        <v>253</v>
      </c>
      <c r="B259" s="35">
        <f ca="1">OFFSET(梦灵本体产出!$G$6,MATCH(A259,梦灵本体产出!$I$7:$I$30,1),0)</f>
        <v>0</v>
      </c>
      <c r="C259" s="35" t="e">
        <f ca="1">MATCH(A259,OFFSET(梦灵属性!#REF!,50*(B259-3),0))</f>
        <v>#REF!</v>
      </c>
      <c r="D259" s="55"/>
      <c r="E259" s="55"/>
      <c r="F259" s="22" t="e">
        <f ca="1">_xlfn.XLOOKUP(B259,梦灵属性!$F$38:$F$41,梦灵属性!$E$38:$E$41)*C259</f>
        <v>#N/A</v>
      </c>
      <c r="G259" s="22" t="e">
        <f ca="1">_xlfn.XLOOKUP($B259,梦灵属性!$F$38:$F$41,梦灵属性!$E$38:$E$41)*$C259</f>
        <v>#N/A</v>
      </c>
      <c r="H259" s="22"/>
      <c r="I259" s="56">
        <f ca="1">OFFSET(梦灵图鉴!F$10,MATCH(A259,梦灵图鉴!$E$11:$E$61,1),0)*SUM(梦灵属性!$E$26:$J$26)+OFFSET(梦灵图鉴!H$10,MATCH(A259,梦灵图鉴!$G$11:$G$61,1),0)*SUM(梦灵属性!$E$27:$J$27)+OFFSET(梦灵图鉴!J$10,MATCH(A259,梦灵图鉴!$I$11:$I$61,1),0)*SUM(梦灵属性!$E$28:$J$28)+OFFSET(梦灵图鉴!L$10,MATCH(A259,梦灵图鉴!$K$11:$K$61,1),0)*SUM(梦灵属性!$E$29:$J$29)</f>
        <v>14.1</v>
      </c>
      <c r="J259" s="56"/>
      <c r="K259" s="56"/>
      <c r="L259" s="22"/>
      <c r="M259" s="22"/>
      <c r="N259" s="22"/>
    </row>
    <row r="260" ht="16.5" spans="1:14">
      <c r="A260" s="54">
        <v>254</v>
      </c>
      <c r="B260" s="35">
        <f ca="1">OFFSET(梦灵本体产出!$G$6,MATCH(A260,梦灵本体产出!$I$7:$I$30,1),0)</f>
        <v>0</v>
      </c>
      <c r="C260" s="35" t="e">
        <f ca="1">MATCH(A260,OFFSET(梦灵属性!#REF!,50*(B260-3),0))</f>
        <v>#REF!</v>
      </c>
      <c r="D260" s="55"/>
      <c r="E260" s="55"/>
      <c r="F260" s="22" t="e">
        <f ca="1">_xlfn.XLOOKUP(B260,梦灵属性!$F$38:$F$41,梦灵属性!$E$38:$E$41)*C260</f>
        <v>#N/A</v>
      </c>
      <c r="G260" s="22" t="e">
        <f ca="1">_xlfn.XLOOKUP($B260,梦灵属性!$F$38:$F$41,梦灵属性!$E$38:$E$41)*$C260</f>
        <v>#N/A</v>
      </c>
      <c r="H260" s="22"/>
      <c r="I260" s="56">
        <f ca="1">OFFSET(梦灵图鉴!F$10,MATCH(A260,梦灵图鉴!$E$11:$E$61,1),0)*SUM(梦灵属性!$E$26:$J$26)+OFFSET(梦灵图鉴!H$10,MATCH(A260,梦灵图鉴!$G$11:$G$61,1),0)*SUM(梦灵属性!$E$27:$J$27)+OFFSET(梦灵图鉴!J$10,MATCH(A260,梦灵图鉴!$I$11:$I$61,1),0)*SUM(梦灵属性!$E$28:$J$28)+OFFSET(梦灵图鉴!L$10,MATCH(A260,梦灵图鉴!$K$11:$K$61,1),0)*SUM(梦灵属性!$E$29:$J$29)</f>
        <v>14.1</v>
      </c>
      <c r="J260" s="56"/>
      <c r="K260" s="56"/>
      <c r="L260" s="22"/>
      <c r="M260" s="22"/>
      <c r="N260" s="22"/>
    </row>
    <row r="261" ht="16.5" spans="1:14">
      <c r="A261" s="54">
        <v>255</v>
      </c>
      <c r="B261" s="35">
        <f ca="1">OFFSET(梦灵本体产出!$G$6,MATCH(A261,梦灵本体产出!$I$7:$I$30,1),0)</f>
        <v>0</v>
      </c>
      <c r="C261" s="35" t="e">
        <f ca="1">MATCH(A261,OFFSET(梦灵属性!#REF!,50*(B261-3),0))</f>
        <v>#REF!</v>
      </c>
      <c r="D261" s="55"/>
      <c r="E261" s="55"/>
      <c r="F261" s="22" t="e">
        <f ca="1">_xlfn.XLOOKUP(B261,梦灵属性!$F$38:$F$41,梦灵属性!$E$38:$E$41)*C261</f>
        <v>#N/A</v>
      </c>
      <c r="G261" s="22" t="e">
        <f ca="1">_xlfn.XLOOKUP($B261,梦灵属性!$F$38:$F$41,梦灵属性!$E$38:$E$41)*$C261</f>
        <v>#N/A</v>
      </c>
      <c r="H261" s="22"/>
      <c r="I261" s="56">
        <f ca="1">OFFSET(梦灵图鉴!F$10,MATCH(A261,梦灵图鉴!$E$11:$E$61,1),0)*SUM(梦灵属性!$E$26:$J$26)+OFFSET(梦灵图鉴!H$10,MATCH(A261,梦灵图鉴!$G$11:$G$61,1),0)*SUM(梦灵属性!$E$27:$J$27)+OFFSET(梦灵图鉴!J$10,MATCH(A261,梦灵图鉴!$I$11:$I$61,1),0)*SUM(梦灵属性!$E$28:$J$28)+OFFSET(梦灵图鉴!L$10,MATCH(A261,梦灵图鉴!$K$11:$K$61,1),0)*SUM(梦灵属性!$E$29:$J$29)</f>
        <v>14.1</v>
      </c>
      <c r="J261" s="56"/>
      <c r="K261" s="56"/>
      <c r="L261" s="22"/>
      <c r="M261" s="22"/>
      <c r="N261" s="22"/>
    </row>
    <row r="262" ht="16.5" spans="1:14">
      <c r="A262" s="54">
        <v>256</v>
      </c>
      <c r="B262" s="35">
        <f ca="1">OFFSET(梦灵本体产出!$G$6,MATCH(A262,梦灵本体产出!$I$7:$I$30,1),0)</f>
        <v>0</v>
      </c>
      <c r="C262" s="35" t="e">
        <f ca="1">MATCH(A262,OFFSET(梦灵属性!#REF!,50*(B262-3),0))</f>
        <v>#REF!</v>
      </c>
      <c r="D262" s="55"/>
      <c r="E262" s="55"/>
      <c r="F262" s="22" t="e">
        <f ca="1">_xlfn.XLOOKUP(B262,梦灵属性!$F$38:$F$41,梦灵属性!$E$38:$E$41)*C262</f>
        <v>#N/A</v>
      </c>
      <c r="G262" s="22" t="e">
        <f ca="1">_xlfn.XLOOKUP($B262,梦灵属性!$F$38:$F$41,梦灵属性!$E$38:$E$41)*$C262</f>
        <v>#N/A</v>
      </c>
      <c r="H262" s="22"/>
      <c r="I262" s="56">
        <f ca="1">OFFSET(梦灵图鉴!F$10,MATCH(A262,梦灵图鉴!$E$11:$E$61,1),0)*SUM(梦灵属性!$E$26:$J$26)+OFFSET(梦灵图鉴!H$10,MATCH(A262,梦灵图鉴!$G$11:$G$61,1),0)*SUM(梦灵属性!$E$27:$J$27)+OFFSET(梦灵图鉴!J$10,MATCH(A262,梦灵图鉴!$I$11:$I$61,1),0)*SUM(梦灵属性!$E$28:$J$28)+OFFSET(梦灵图鉴!L$10,MATCH(A262,梦灵图鉴!$K$11:$K$61,1),0)*SUM(梦灵属性!$E$29:$J$29)</f>
        <v>14.1</v>
      </c>
      <c r="J262" s="56"/>
      <c r="K262" s="56"/>
      <c r="L262" s="22"/>
      <c r="M262" s="22"/>
      <c r="N262" s="22"/>
    </row>
    <row r="263" ht="16.5" spans="1:14">
      <c r="A263" s="54">
        <v>257</v>
      </c>
      <c r="B263" s="35">
        <f ca="1">OFFSET(梦灵本体产出!$G$6,MATCH(A263,梦灵本体产出!$I$7:$I$30,1),0)</f>
        <v>0</v>
      </c>
      <c r="C263" s="35" t="e">
        <f ca="1">MATCH(A263,OFFSET(梦灵属性!#REF!,50*(B263-3),0))</f>
        <v>#REF!</v>
      </c>
      <c r="D263" s="55"/>
      <c r="E263" s="55"/>
      <c r="F263" s="22" t="e">
        <f ca="1">_xlfn.XLOOKUP(B263,梦灵属性!$F$38:$F$41,梦灵属性!$E$38:$E$41)*C263</f>
        <v>#N/A</v>
      </c>
      <c r="G263" s="22" t="e">
        <f ca="1">_xlfn.XLOOKUP($B263,梦灵属性!$F$38:$F$41,梦灵属性!$E$38:$E$41)*$C263</f>
        <v>#N/A</v>
      </c>
      <c r="H263" s="22"/>
      <c r="I263" s="56">
        <f ca="1">OFFSET(梦灵图鉴!F$10,MATCH(A263,梦灵图鉴!$E$11:$E$61,1),0)*SUM(梦灵属性!$E$26:$J$26)+OFFSET(梦灵图鉴!H$10,MATCH(A263,梦灵图鉴!$G$11:$G$61,1),0)*SUM(梦灵属性!$E$27:$J$27)+OFFSET(梦灵图鉴!J$10,MATCH(A263,梦灵图鉴!$I$11:$I$61,1),0)*SUM(梦灵属性!$E$28:$J$28)+OFFSET(梦灵图鉴!L$10,MATCH(A263,梦灵图鉴!$K$11:$K$61,1),0)*SUM(梦灵属性!$E$29:$J$29)</f>
        <v>14.1</v>
      </c>
      <c r="J263" s="56"/>
      <c r="K263" s="56"/>
      <c r="L263" s="22"/>
      <c r="M263" s="22"/>
      <c r="N263" s="22"/>
    </row>
    <row r="264" ht="16.5" spans="1:14">
      <c r="A264" s="54">
        <v>258</v>
      </c>
      <c r="B264" s="35">
        <f ca="1">OFFSET(梦灵本体产出!$G$6,MATCH(A264,梦灵本体产出!$I$7:$I$30,1),0)</f>
        <v>0</v>
      </c>
      <c r="C264" s="35" t="e">
        <f ca="1">MATCH(A264,OFFSET(梦灵属性!#REF!,50*(B264-3),0))</f>
        <v>#REF!</v>
      </c>
      <c r="D264" s="55"/>
      <c r="E264" s="55"/>
      <c r="F264" s="22" t="e">
        <f ca="1">_xlfn.XLOOKUP(B264,梦灵属性!$F$38:$F$41,梦灵属性!$E$38:$E$41)*C264</f>
        <v>#N/A</v>
      </c>
      <c r="G264" s="22" t="e">
        <f ca="1">_xlfn.XLOOKUP($B264,梦灵属性!$F$38:$F$41,梦灵属性!$E$38:$E$41)*$C264</f>
        <v>#N/A</v>
      </c>
      <c r="H264" s="22"/>
      <c r="I264" s="56">
        <f ca="1">OFFSET(梦灵图鉴!F$10,MATCH(A264,梦灵图鉴!$E$11:$E$61,1),0)*SUM(梦灵属性!$E$26:$J$26)+OFFSET(梦灵图鉴!H$10,MATCH(A264,梦灵图鉴!$G$11:$G$61,1),0)*SUM(梦灵属性!$E$27:$J$27)+OFFSET(梦灵图鉴!J$10,MATCH(A264,梦灵图鉴!$I$11:$I$61,1),0)*SUM(梦灵属性!$E$28:$J$28)+OFFSET(梦灵图鉴!L$10,MATCH(A264,梦灵图鉴!$K$11:$K$61,1),0)*SUM(梦灵属性!$E$29:$J$29)</f>
        <v>14.1</v>
      </c>
      <c r="J264" s="56"/>
      <c r="K264" s="56"/>
      <c r="L264" s="22"/>
      <c r="M264" s="22"/>
      <c r="N264" s="22"/>
    </row>
    <row r="265" ht="16.5" spans="1:14">
      <c r="A265" s="54">
        <v>259</v>
      </c>
      <c r="B265" s="35">
        <f ca="1">OFFSET(梦灵本体产出!$G$6,MATCH(A265,梦灵本体产出!$I$7:$I$30,1),0)</f>
        <v>0</v>
      </c>
      <c r="C265" s="35" t="e">
        <f ca="1">MATCH(A265,OFFSET(梦灵属性!#REF!,50*(B265-3),0))</f>
        <v>#REF!</v>
      </c>
      <c r="D265" s="55"/>
      <c r="E265" s="55"/>
      <c r="F265" s="22" t="e">
        <f ca="1">_xlfn.XLOOKUP(B265,梦灵属性!$F$38:$F$41,梦灵属性!$E$38:$E$41)*C265</f>
        <v>#N/A</v>
      </c>
      <c r="G265" s="22" t="e">
        <f ca="1">_xlfn.XLOOKUP($B265,梦灵属性!$F$38:$F$41,梦灵属性!$E$38:$E$41)*$C265</f>
        <v>#N/A</v>
      </c>
      <c r="H265" s="22"/>
      <c r="I265" s="56">
        <f ca="1">OFFSET(梦灵图鉴!F$10,MATCH(A265,梦灵图鉴!$E$11:$E$61,1),0)*SUM(梦灵属性!$E$26:$J$26)+OFFSET(梦灵图鉴!H$10,MATCH(A265,梦灵图鉴!$G$11:$G$61,1),0)*SUM(梦灵属性!$E$27:$J$27)+OFFSET(梦灵图鉴!J$10,MATCH(A265,梦灵图鉴!$I$11:$I$61,1),0)*SUM(梦灵属性!$E$28:$J$28)+OFFSET(梦灵图鉴!L$10,MATCH(A265,梦灵图鉴!$K$11:$K$61,1),0)*SUM(梦灵属性!$E$29:$J$29)</f>
        <v>14.1</v>
      </c>
      <c r="J265" s="56"/>
      <c r="K265" s="56"/>
      <c r="L265" s="22"/>
      <c r="M265" s="22"/>
      <c r="N265" s="22"/>
    </row>
    <row r="266" ht="16.5" spans="1:14">
      <c r="A266" s="54">
        <v>260</v>
      </c>
      <c r="B266" s="35">
        <f ca="1">OFFSET(梦灵本体产出!$G$6,MATCH(A266,梦灵本体产出!$I$7:$I$30,1),0)</f>
        <v>0</v>
      </c>
      <c r="C266" s="35" t="e">
        <f ca="1">MATCH(A266,OFFSET(梦灵属性!#REF!,50*(B266-3),0))</f>
        <v>#REF!</v>
      </c>
      <c r="D266" s="55"/>
      <c r="E266" s="55"/>
      <c r="F266" s="22" t="e">
        <f ca="1">_xlfn.XLOOKUP(B266,梦灵属性!$F$38:$F$41,梦灵属性!$E$38:$E$41)*C266</f>
        <v>#N/A</v>
      </c>
      <c r="G266" s="22" t="e">
        <f ca="1">_xlfn.XLOOKUP($B266,梦灵属性!$F$38:$F$41,梦灵属性!$E$38:$E$41)*$C266</f>
        <v>#N/A</v>
      </c>
      <c r="H266" s="22"/>
      <c r="I266" s="56">
        <f ca="1">OFFSET(梦灵图鉴!F$10,MATCH(A266,梦灵图鉴!$E$11:$E$61,1),0)*SUM(梦灵属性!$E$26:$J$26)+OFFSET(梦灵图鉴!H$10,MATCH(A266,梦灵图鉴!$G$11:$G$61,1),0)*SUM(梦灵属性!$E$27:$J$27)+OFFSET(梦灵图鉴!J$10,MATCH(A266,梦灵图鉴!$I$11:$I$61,1),0)*SUM(梦灵属性!$E$28:$J$28)+OFFSET(梦灵图鉴!L$10,MATCH(A266,梦灵图鉴!$K$11:$K$61,1),0)*SUM(梦灵属性!$E$29:$J$29)</f>
        <v>14.1</v>
      </c>
      <c r="J266" s="56"/>
      <c r="K266" s="56"/>
      <c r="L266" s="22"/>
      <c r="M266" s="22"/>
      <c r="N266" s="22"/>
    </row>
    <row r="267" ht="16.5" spans="1:14">
      <c r="A267" s="54">
        <v>261</v>
      </c>
      <c r="B267" s="35">
        <f ca="1">OFFSET(梦灵本体产出!$G$6,MATCH(A267,梦灵本体产出!$I$7:$I$30,1),0)</f>
        <v>0</v>
      </c>
      <c r="C267" s="35" t="e">
        <f ca="1">MATCH(A267,OFFSET(梦灵属性!#REF!,50*(B267-3),0))</f>
        <v>#REF!</v>
      </c>
      <c r="D267" s="55"/>
      <c r="E267" s="55"/>
      <c r="F267" s="22" t="e">
        <f ca="1">_xlfn.XLOOKUP(B267,梦灵属性!$F$38:$F$41,梦灵属性!$E$38:$E$41)*C267</f>
        <v>#N/A</v>
      </c>
      <c r="G267" s="22" t="e">
        <f ca="1">_xlfn.XLOOKUP($B267,梦灵属性!$F$38:$F$41,梦灵属性!$E$38:$E$41)*$C267</f>
        <v>#N/A</v>
      </c>
      <c r="H267" s="22"/>
      <c r="I267" s="56">
        <f ca="1">OFFSET(梦灵图鉴!F$10,MATCH(A267,梦灵图鉴!$E$11:$E$61,1),0)*SUM(梦灵属性!$E$26:$J$26)+OFFSET(梦灵图鉴!H$10,MATCH(A267,梦灵图鉴!$G$11:$G$61,1),0)*SUM(梦灵属性!$E$27:$J$27)+OFFSET(梦灵图鉴!J$10,MATCH(A267,梦灵图鉴!$I$11:$I$61,1),0)*SUM(梦灵属性!$E$28:$J$28)+OFFSET(梦灵图鉴!L$10,MATCH(A267,梦灵图鉴!$K$11:$K$61,1),0)*SUM(梦灵属性!$E$29:$J$29)</f>
        <v>14.1</v>
      </c>
      <c r="J267" s="56"/>
      <c r="K267" s="56"/>
      <c r="L267" s="22"/>
      <c r="M267" s="22"/>
      <c r="N267" s="22"/>
    </row>
    <row r="268" ht="16.5" spans="1:14">
      <c r="A268" s="54">
        <v>262</v>
      </c>
      <c r="B268" s="35">
        <f ca="1">OFFSET(梦灵本体产出!$G$6,MATCH(A268,梦灵本体产出!$I$7:$I$30,1),0)</f>
        <v>0</v>
      </c>
      <c r="C268" s="35" t="e">
        <f ca="1">MATCH(A268,OFFSET(梦灵属性!#REF!,50*(B268-3),0))</f>
        <v>#REF!</v>
      </c>
      <c r="D268" s="55"/>
      <c r="E268" s="55"/>
      <c r="F268" s="22" t="e">
        <f ca="1">_xlfn.XLOOKUP(B268,梦灵属性!$F$38:$F$41,梦灵属性!$E$38:$E$41)*C268</f>
        <v>#N/A</v>
      </c>
      <c r="G268" s="22" t="e">
        <f ca="1">_xlfn.XLOOKUP($B268,梦灵属性!$F$38:$F$41,梦灵属性!$E$38:$E$41)*$C268</f>
        <v>#N/A</v>
      </c>
      <c r="H268" s="22"/>
      <c r="I268" s="56">
        <f ca="1">OFFSET(梦灵图鉴!F$10,MATCH(A268,梦灵图鉴!$E$11:$E$61,1),0)*SUM(梦灵属性!$E$26:$J$26)+OFFSET(梦灵图鉴!H$10,MATCH(A268,梦灵图鉴!$G$11:$G$61,1),0)*SUM(梦灵属性!$E$27:$J$27)+OFFSET(梦灵图鉴!J$10,MATCH(A268,梦灵图鉴!$I$11:$I$61,1),0)*SUM(梦灵属性!$E$28:$J$28)+OFFSET(梦灵图鉴!L$10,MATCH(A268,梦灵图鉴!$K$11:$K$61,1),0)*SUM(梦灵属性!$E$29:$J$29)</f>
        <v>14.1</v>
      </c>
      <c r="J268" s="56"/>
      <c r="K268" s="56"/>
      <c r="L268" s="22"/>
      <c r="M268" s="22"/>
      <c r="N268" s="22"/>
    </row>
    <row r="269" ht="16.5" spans="1:14">
      <c r="A269" s="54">
        <v>263</v>
      </c>
      <c r="B269" s="35">
        <f ca="1">OFFSET(梦灵本体产出!$G$6,MATCH(A269,梦灵本体产出!$I$7:$I$30,1),0)</f>
        <v>0</v>
      </c>
      <c r="C269" s="35" t="e">
        <f ca="1">MATCH(A269,OFFSET(梦灵属性!#REF!,50*(B269-3),0))</f>
        <v>#REF!</v>
      </c>
      <c r="D269" s="55"/>
      <c r="E269" s="55"/>
      <c r="F269" s="22" t="e">
        <f ca="1">_xlfn.XLOOKUP(B269,梦灵属性!$F$38:$F$41,梦灵属性!$E$38:$E$41)*C269</f>
        <v>#N/A</v>
      </c>
      <c r="G269" s="22" t="e">
        <f ca="1">_xlfn.XLOOKUP($B269,梦灵属性!$F$38:$F$41,梦灵属性!$E$38:$E$41)*$C269</f>
        <v>#N/A</v>
      </c>
      <c r="H269" s="22"/>
      <c r="I269" s="56">
        <f ca="1">OFFSET(梦灵图鉴!F$10,MATCH(A269,梦灵图鉴!$E$11:$E$61,1),0)*SUM(梦灵属性!$E$26:$J$26)+OFFSET(梦灵图鉴!H$10,MATCH(A269,梦灵图鉴!$G$11:$G$61,1),0)*SUM(梦灵属性!$E$27:$J$27)+OFFSET(梦灵图鉴!J$10,MATCH(A269,梦灵图鉴!$I$11:$I$61,1),0)*SUM(梦灵属性!$E$28:$J$28)+OFFSET(梦灵图鉴!L$10,MATCH(A269,梦灵图鉴!$K$11:$K$61,1),0)*SUM(梦灵属性!$E$29:$J$29)</f>
        <v>14.1</v>
      </c>
      <c r="J269" s="56"/>
      <c r="K269" s="56"/>
      <c r="L269" s="22"/>
      <c r="M269" s="22"/>
      <c r="N269" s="22"/>
    </row>
    <row r="270" ht="16.5" spans="1:14">
      <c r="A270" s="54">
        <v>264</v>
      </c>
      <c r="B270" s="35">
        <f ca="1">OFFSET(梦灵本体产出!$G$6,MATCH(A270,梦灵本体产出!$I$7:$I$30,1),0)</f>
        <v>0</v>
      </c>
      <c r="C270" s="35" t="e">
        <f ca="1">MATCH(A270,OFFSET(梦灵属性!#REF!,50*(B270-3),0))</f>
        <v>#REF!</v>
      </c>
      <c r="D270" s="55"/>
      <c r="E270" s="55"/>
      <c r="F270" s="22" t="e">
        <f ca="1">_xlfn.XLOOKUP(B270,梦灵属性!$F$38:$F$41,梦灵属性!$E$38:$E$41)*C270</f>
        <v>#N/A</v>
      </c>
      <c r="G270" s="22" t="e">
        <f ca="1">_xlfn.XLOOKUP($B270,梦灵属性!$F$38:$F$41,梦灵属性!$E$38:$E$41)*$C270</f>
        <v>#N/A</v>
      </c>
      <c r="H270" s="22"/>
      <c r="I270" s="56">
        <f ca="1">OFFSET(梦灵图鉴!F$10,MATCH(A270,梦灵图鉴!$E$11:$E$61,1),0)*SUM(梦灵属性!$E$26:$J$26)+OFFSET(梦灵图鉴!H$10,MATCH(A270,梦灵图鉴!$G$11:$G$61,1),0)*SUM(梦灵属性!$E$27:$J$27)+OFFSET(梦灵图鉴!J$10,MATCH(A270,梦灵图鉴!$I$11:$I$61,1),0)*SUM(梦灵属性!$E$28:$J$28)+OFFSET(梦灵图鉴!L$10,MATCH(A270,梦灵图鉴!$K$11:$K$61,1),0)*SUM(梦灵属性!$E$29:$J$29)</f>
        <v>14.1</v>
      </c>
      <c r="J270" s="56"/>
      <c r="K270" s="56"/>
      <c r="L270" s="22"/>
      <c r="M270" s="22"/>
      <c r="N270" s="22"/>
    </row>
    <row r="271" ht="16.5" spans="1:14">
      <c r="A271" s="54">
        <v>265</v>
      </c>
      <c r="B271" s="35">
        <f ca="1">OFFSET(梦灵本体产出!$G$6,MATCH(A271,梦灵本体产出!$I$7:$I$30,1),0)</f>
        <v>0</v>
      </c>
      <c r="C271" s="35" t="e">
        <f ca="1">MATCH(A271,OFFSET(梦灵属性!#REF!,50*(B271-3),0))</f>
        <v>#REF!</v>
      </c>
      <c r="D271" s="55"/>
      <c r="E271" s="55"/>
      <c r="F271" s="22" t="e">
        <f ca="1">_xlfn.XLOOKUP(B271,梦灵属性!$F$38:$F$41,梦灵属性!$E$38:$E$41)*C271</f>
        <v>#N/A</v>
      </c>
      <c r="G271" s="22" t="e">
        <f ca="1">_xlfn.XLOOKUP($B271,梦灵属性!$F$38:$F$41,梦灵属性!$E$38:$E$41)*$C271</f>
        <v>#N/A</v>
      </c>
      <c r="H271" s="22"/>
      <c r="I271" s="56">
        <f ca="1">OFFSET(梦灵图鉴!F$10,MATCH(A271,梦灵图鉴!$E$11:$E$61,1),0)*SUM(梦灵属性!$E$26:$J$26)+OFFSET(梦灵图鉴!H$10,MATCH(A271,梦灵图鉴!$G$11:$G$61,1),0)*SUM(梦灵属性!$E$27:$J$27)+OFFSET(梦灵图鉴!J$10,MATCH(A271,梦灵图鉴!$I$11:$I$61,1),0)*SUM(梦灵属性!$E$28:$J$28)+OFFSET(梦灵图鉴!L$10,MATCH(A271,梦灵图鉴!$K$11:$K$61,1),0)*SUM(梦灵属性!$E$29:$J$29)</f>
        <v>14.1</v>
      </c>
      <c r="J271" s="56"/>
      <c r="K271" s="56"/>
      <c r="L271" s="22"/>
      <c r="M271" s="22"/>
      <c r="N271" s="22"/>
    </row>
    <row r="272" ht="16.5" spans="1:14">
      <c r="A272" s="54">
        <v>266</v>
      </c>
      <c r="B272" s="35">
        <f ca="1">OFFSET(梦灵本体产出!$G$6,MATCH(A272,梦灵本体产出!$I$7:$I$30,1),0)</f>
        <v>0</v>
      </c>
      <c r="C272" s="35" t="e">
        <f ca="1">MATCH(A272,OFFSET(梦灵属性!#REF!,50*(B272-3),0))</f>
        <v>#REF!</v>
      </c>
      <c r="D272" s="55"/>
      <c r="E272" s="55"/>
      <c r="F272" s="22" t="e">
        <f ca="1">_xlfn.XLOOKUP(B272,梦灵属性!$F$38:$F$41,梦灵属性!$E$38:$E$41)*C272</f>
        <v>#N/A</v>
      </c>
      <c r="G272" s="22" t="e">
        <f ca="1">_xlfn.XLOOKUP($B272,梦灵属性!$F$38:$F$41,梦灵属性!$E$38:$E$41)*$C272</f>
        <v>#N/A</v>
      </c>
      <c r="H272" s="22"/>
      <c r="I272" s="56">
        <f ca="1">OFFSET(梦灵图鉴!F$10,MATCH(A272,梦灵图鉴!$E$11:$E$61,1),0)*SUM(梦灵属性!$E$26:$J$26)+OFFSET(梦灵图鉴!H$10,MATCH(A272,梦灵图鉴!$G$11:$G$61,1),0)*SUM(梦灵属性!$E$27:$J$27)+OFFSET(梦灵图鉴!J$10,MATCH(A272,梦灵图鉴!$I$11:$I$61,1),0)*SUM(梦灵属性!$E$28:$J$28)+OFFSET(梦灵图鉴!L$10,MATCH(A272,梦灵图鉴!$K$11:$K$61,1),0)*SUM(梦灵属性!$E$29:$J$29)</f>
        <v>14.1</v>
      </c>
      <c r="J272" s="56"/>
      <c r="K272" s="56"/>
      <c r="L272" s="22"/>
      <c r="M272" s="22"/>
      <c r="N272" s="22"/>
    </row>
    <row r="273" ht="16.5" spans="1:14">
      <c r="A273" s="54">
        <v>267</v>
      </c>
      <c r="B273" s="35">
        <f ca="1">OFFSET(梦灵本体产出!$G$6,MATCH(A273,梦灵本体产出!$I$7:$I$30,1),0)</f>
        <v>0</v>
      </c>
      <c r="C273" s="35" t="e">
        <f ca="1">MATCH(A273,OFFSET(梦灵属性!#REF!,50*(B273-3),0))</f>
        <v>#REF!</v>
      </c>
      <c r="D273" s="55"/>
      <c r="E273" s="55"/>
      <c r="F273" s="22" t="e">
        <f ca="1">_xlfn.XLOOKUP(B273,梦灵属性!$F$38:$F$41,梦灵属性!$E$38:$E$41)*C273</f>
        <v>#N/A</v>
      </c>
      <c r="G273" s="22" t="e">
        <f ca="1">_xlfn.XLOOKUP($B273,梦灵属性!$F$38:$F$41,梦灵属性!$E$38:$E$41)*$C273</f>
        <v>#N/A</v>
      </c>
      <c r="H273" s="22"/>
      <c r="I273" s="56">
        <f ca="1">OFFSET(梦灵图鉴!F$10,MATCH(A273,梦灵图鉴!$E$11:$E$61,1),0)*SUM(梦灵属性!$E$26:$J$26)+OFFSET(梦灵图鉴!H$10,MATCH(A273,梦灵图鉴!$G$11:$G$61,1),0)*SUM(梦灵属性!$E$27:$J$27)+OFFSET(梦灵图鉴!J$10,MATCH(A273,梦灵图鉴!$I$11:$I$61,1),0)*SUM(梦灵属性!$E$28:$J$28)+OFFSET(梦灵图鉴!L$10,MATCH(A273,梦灵图鉴!$K$11:$K$61,1),0)*SUM(梦灵属性!$E$29:$J$29)</f>
        <v>14.1</v>
      </c>
      <c r="J273" s="56"/>
      <c r="K273" s="56"/>
      <c r="L273" s="22"/>
      <c r="M273" s="22"/>
      <c r="N273" s="22"/>
    </row>
    <row r="274" ht="16.5" spans="1:14">
      <c r="A274" s="54">
        <v>268</v>
      </c>
      <c r="B274" s="35">
        <f ca="1">OFFSET(梦灵本体产出!$G$6,MATCH(A274,梦灵本体产出!$I$7:$I$30,1),0)</f>
        <v>0</v>
      </c>
      <c r="C274" s="35" t="e">
        <f ca="1">MATCH(A274,OFFSET(梦灵属性!#REF!,50*(B274-3),0))</f>
        <v>#REF!</v>
      </c>
      <c r="D274" s="55"/>
      <c r="E274" s="55"/>
      <c r="F274" s="22" t="e">
        <f ca="1">_xlfn.XLOOKUP(B274,梦灵属性!$F$38:$F$41,梦灵属性!$E$38:$E$41)*C274</f>
        <v>#N/A</v>
      </c>
      <c r="G274" s="22" t="e">
        <f ca="1">_xlfn.XLOOKUP($B274,梦灵属性!$F$38:$F$41,梦灵属性!$E$38:$E$41)*$C274</f>
        <v>#N/A</v>
      </c>
      <c r="H274" s="22"/>
      <c r="I274" s="56">
        <f ca="1">OFFSET(梦灵图鉴!F$10,MATCH(A274,梦灵图鉴!$E$11:$E$61,1),0)*SUM(梦灵属性!$E$26:$J$26)+OFFSET(梦灵图鉴!H$10,MATCH(A274,梦灵图鉴!$G$11:$G$61,1),0)*SUM(梦灵属性!$E$27:$J$27)+OFFSET(梦灵图鉴!J$10,MATCH(A274,梦灵图鉴!$I$11:$I$61,1),0)*SUM(梦灵属性!$E$28:$J$28)+OFFSET(梦灵图鉴!L$10,MATCH(A274,梦灵图鉴!$K$11:$K$61,1),0)*SUM(梦灵属性!$E$29:$J$29)</f>
        <v>14.1</v>
      </c>
      <c r="J274" s="56"/>
      <c r="K274" s="56"/>
      <c r="L274" s="22"/>
      <c r="M274" s="22"/>
      <c r="N274" s="22"/>
    </row>
    <row r="275" ht="16.5" spans="1:14">
      <c r="A275" s="54">
        <v>269</v>
      </c>
      <c r="B275" s="35">
        <f ca="1">OFFSET(梦灵本体产出!$G$6,MATCH(A275,梦灵本体产出!$I$7:$I$30,1),0)</f>
        <v>0</v>
      </c>
      <c r="C275" s="35" t="e">
        <f ca="1">MATCH(A275,OFFSET(梦灵属性!#REF!,50*(B275-3),0))</f>
        <v>#REF!</v>
      </c>
      <c r="D275" s="55"/>
      <c r="E275" s="55"/>
      <c r="F275" s="22" t="e">
        <f ca="1">_xlfn.XLOOKUP(B275,梦灵属性!$F$38:$F$41,梦灵属性!$E$38:$E$41)*C275</f>
        <v>#N/A</v>
      </c>
      <c r="G275" s="22" t="e">
        <f ca="1">_xlfn.XLOOKUP($B275,梦灵属性!$F$38:$F$41,梦灵属性!$E$38:$E$41)*$C275</f>
        <v>#N/A</v>
      </c>
      <c r="H275" s="22"/>
      <c r="I275" s="56">
        <f ca="1">OFFSET(梦灵图鉴!F$10,MATCH(A275,梦灵图鉴!$E$11:$E$61,1),0)*SUM(梦灵属性!$E$26:$J$26)+OFFSET(梦灵图鉴!H$10,MATCH(A275,梦灵图鉴!$G$11:$G$61,1),0)*SUM(梦灵属性!$E$27:$J$27)+OFFSET(梦灵图鉴!J$10,MATCH(A275,梦灵图鉴!$I$11:$I$61,1),0)*SUM(梦灵属性!$E$28:$J$28)+OFFSET(梦灵图鉴!L$10,MATCH(A275,梦灵图鉴!$K$11:$K$61,1),0)*SUM(梦灵属性!$E$29:$J$29)</f>
        <v>14.1</v>
      </c>
      <c r="J275" s="56"/>
      <c r="K275" s="56"/>
      <c r="L275" s="22"/>
      <c r="M275" s="22"/>
      <c r="N275" s="22"/>
    </row>
    <row r="276" ht="16.5" spans="1:14">
      <c r="A276" s="54">
        <v>270</v>
      </c>
      <c r="B276" s="35">
        <f ca="1">OFFSET(梦灵本体产出!$G$6,MATCH(A276,梦灵本体产出!$I$7:$I$30,1),0)</f>
        <v>0</v>
      </c>
      <c r="C276" s="35" t="e">
        <f ca="1">MATCH(A276,OFFSET(梦灵属性!#REF!,50*(B276-3),0))</f>
        <v>#REF!</v>
      </c>
      <c r="D276" s="55"/>
      <c r="E276" s="55"/>
      <c r="F276" s="22" t="e">
        <f ca="1">_xlfn.XLOOKUP(B276,梦灵属性!$F$38:$F$41,梦灵属性!$E$38:$E$41)*C276</f>
        <v>#N/A</v>
      </c>
      <c r="G276" s="22" t="e">
        <f ca="1">_xlfn.XLOOKUP($B276,梦灵属性!$F$38:$F$41,梦灵属性!$E$38:$E$41)*$C276</f>
        <v>#N/A</v>
      </c>
      <c r="H276" s="22"/>
      <c r="I276" s="56">
        <f ca="1">OFFSET(梦灵图鉴!F$10,MATCH(A276,梦灵图鉴!$E$11:$E$61,1),0)*SUM(梦灵属性!$E$26:$J$26)+OFFSET(梦灵图鉴!H$10,MATCH(A276,梦灵图鉴!$G$11:$G$61,1),0)*SUM(梦灵属性!$E$27:$J$27)+OFFSET(梦灵图鉴!J$10,MATCH(A276,梦灵图鉴!$I$11:$I$61,1),0)*SUM(梦灵属性!$E$28:$J$28)+OFFSET(梦灵图鉴!L$10,MATCH(A276,梦灵图鉴!$K$11:$K$61,1),0)*SUM(梦灵属性!$E$29:$J$29)</f>
        <v>14.1</v>
      </c>
      <c r="J276" s="56"/>
      <c r="K276" s="56"/>
      <c r="L276" s="22"/>
      <c r="M276" s="22"/>
      <c r="N276" s="22"/>
    </row>
    <row r="277" ht="16.5" spans="1:14">
      <c r="A277" s="54">
        <v>271</v>
      </c>
      <c r="B277" s="35">
        <f ca="1">OFFSET(梦灵本体产出!$G$6,MATCH(A277,梦灵本体产出!$I$7:$I$30,1),0)</f>
        <v>0</v>
      </c>
      <c r="C277" s="35" t="e">
        <f ca="1">MATCH(A277,OFFSET(梦灵属性!#REF!,50*(B277-3),0))</f>
        <v>#REF!</v>
      </c>
      <c r="D277" s="55"/>
      <c r="E277" s="55"/>
      <c r="F277" s="22" t="e">
        <f ca="1">_xlfn.XLOOKUP(B277,梦灵属性!$F$38:$F$41,梦灵属性!$E$38:$E$41)*C277</f>
        <v>#N/A</v>
      </c>
      <c r="G277" s="22" t="e">
        <f ca="1">_xlfn.XLOOKUP($B277,梦灵属性!$F$38:$F$41,梦灵属性!$E$38:$E$41)*$C277</f>
        <v>#N/A</v>
      </c>
      <c r="H277" s="22"/>
      <c r="I277" s="56">
        <f ca="1">OFFSET(梦灵图鉴!F$10,MATCH(A277,梦灵图鉴!$E$11:$E$61,1),0)*SUM(梦灵属性!$E$26:$J$26)+OFFSET(梦灵图鉴!H$10,MATCH(A277,梦灵图鉴!$G$11:$G$61,1),0)*SUM(梦灵属性!$E$27:$J$27)+OFFSET(梦灵图鉴!J$10,MATCH(A277,梦灵图鉴!$I$11:$I$61,1),0)*SUM(梦灵属性!$E$28:$J$28)+OFFSET(梦灵图鉴!L$10,MATCH(A277,梦灵图鉴!$K$11:$K$61,1),0)*SUM(梦灵属性!$E$29:$J$29)</f>
        <v>14.1</v>
      </c>
      <c r="J277" s="56"/>
      <c r="K277" s="56"/>
      <c r="L277" s="22"/>
      <c r="M277" s="22"/>
      <c r="N277" s="22"/>
    </row>
    <row r="278" ht="16.5" spans="1:14">
      <c r="A278" s="54">
        <v>272</v>
      </c>
      <c r="B278" s="35">
        <f ca="1">OFFSET(梦灵本体产出!$G$6,MATCH(A278,梦灵本体产出!$I$7:$I$30,1),0)</f>
        <v>0</v>
      </c>
      <c r="C278" s="35" t="e">
        <f ca="1">MATCH(A278,OFFSET(梦灵属性!#REF!,50*(B278-3),0))</f>
        <v>#REF!</v>
      </c>
      <c r="D278" s="55"/>
      <c r="E278" s="55"/>
      <c r="F278" s="22" t="e">
        <f ca="1">_xlfn.XLOOKUP(B278,梦灵属性!$F$38:$F$41,梦灵属性!$E$38:$E$41)*C278</f>
        <v>#N/A</v>
      </c>
      <c r="G278" s="22" t="e">
        <f ca="1">_xlfn.XLOOKUP($B278,梦灵属性!$F$38:$F$41,梦灵属性!$E$38:$E$41)*$C278</f>
        <v>#N/A</v>
      </c>
      <c r="H278" s="22"/>
      <c r="I278" s="56">
        <f ca="1">OFFSET(梦灵图鉴!F$10,MATCH(A278,梦灵图鉴!$E$11:$E$61,1),0)*SUM(梦灵属性!$E$26:$J$26)+OFFSET(梦灵图鉴!H$10,MATCH(A278,梦灵图鉴!$G$11:$G$61,1),0)*SUM(梦灵属性!$E$27:$J$27)+OFFSET(梦灵图鉴!J$10,MATCH(A278,梦灵图鉴!$I$11:$I$61,1),0)*SUM(梦灵属性!$E$28:$J$28)+OFFSET(梦灵图鉴!L$10,MATCH(A278,梦灵图鉴!$K$11:$K$61,1),0)*SUM(梦灵属性!$E$29:$J$29)</f>
        <v>14.1</v>
      </c>
      <c r="J278" s="56"/>
      <c r="K278" s="56"/>
      <c r="L278" s="22"/>
      <c r="M278" s="22"/>
      <c r="N278" s="22"/>
    </row>
    <row r="279" ht="16.5" spans="1:14">
      <c r="A279" s="54">
        <v>273</v>
      </c>
      <c r="B279" s="35">
        <f ca="1">OFFSET(梦灵本体产出!$G$6,MATCH(A279,梦灵本体产出!$I$7:$I$30,1),0)</f>
        <v>0</v>
      </c>
      <c r="C279" s="35" t="e">
        <f ca="1">MATCH(A279,OFFSET(梦灵属性!#REF!,50*(B279-3),0))</f>
        <v>#REF!</v>
      </c>
      <c r="D279" s="55"/>
      <c r="E279" s="55"/>
      <c r="F279" s="22" t="e">
        <f ca="1">_xlfn.XLOOKUP(B279,梦灵属性!$F$38:$F$41,梦灵属性!$E$38:$E$41)*C279</f>
        <v>#N/A</v>
      </c>
      <c r="G279" s="22" t="e">
        <f ca="1">_xlfn.XLOOKUP($B279,梦灵属性!$F$38:$F$41,梦灵属性!$E$38:$E$41)*$C279</f>
        <v>#N/A</v>
      </c>
      <c r="H279" s="22"/>
      <c r="I279" s="56">
        <f ca="1">OFFSET(梦灵图鉴!F$10,MATCH(A279,梦灵图鉴!$E$11:$E$61,1),0)*SUM(梦灵属性!$E$26:$J$26)+OFFSET(梦灵图鉴!H$10,MATCH(A279,梦灵图鉴!$G$11:$G$61,1),0)*SUM(梦灵属性!$E$27:$J$27)+OFFSET(梦灵图鉴!J$10,MATCH(A279,梦灵图鉴!$I$11:$I$61,1),0)*SUM(梦灵属性!$E$28:$J$28)+OFFSET(梦灵图鉴!L$10,MATCH(A279,梦灵图鉴!$K$11:$K$61,1),0)*SUM(梦灵属性!$E$29:$J$29)</f>
        <v>14.1</v>
      </c>
      <c r="J279" s="56"/>
      <c r="K279" s="56"/>
      <c r="L279" s="22"/>
      <c r="M279" s="22"/>
      <c r="N279" s="22"/>
    </row>
    <row r="280" ht="16.5" spans="1:14">
      <c r="A280" s="54">
        <v>274</v>
      </c>
      <c r="B280" s="35">
        <f ca="1">OFFSET(梦灵本体产出!$G$6,MATCH(A280,梦灵本体产出!$I$7:$I$30,1),0)</f>
        <v>0</v>
      </c>
      <c r="C280" s="35" t="e">
        <f ca="1">MATCH(A280,OFFSET(梦灵属性!#REF!,50*(B280-3),0))</f>
        <v>#REF!</v>
      </c>
      <c r="D280" s="55"/>
      <c r="E280" s="55"/>
      <c r="F280" s="22" t="e">
        <f ca="1">_xlfn.XLOOKUP(B280,梦灵属性!$F$38:$F$41,梦灵属性!$E$38:$E$41)*C280</f>
        <v>#N/A</v>
      </c>
      <c r="G280" s="22" t="e">
        <f ca="1">_xlfn.XLOOKUP($B280,梦灵属性!$F$38:$F$41,梦灵属性!$E$38:$E$41)*$C280</f>
        <v>#N/A</v>
      </c>
      <c r="H280" s="22"/>
      <c r="I280" s="56">
        <f ca="1">OFFSET(梦灵图鉴!F$10,MATCH(A280,梦灵图鉴!$E$11:$E$61,1),0)*SUM(梦灵属性!$E$26:$J$26)+OFFSET(梦灵图鉴!H$10,MATCH(A280,梦灵图鉴!$G$11:$G$61,1),0)*SUM(梦灵属性!$E$27:$J$27)+OFFSET(梦灵图鉴!J$10,MATCH(A280,梦灵图鉴!$I$11:$I$61,1),0)*SUM(梦灵属性!$E$28:$J$28)+OFFSET(梦灵图鉴!L$10,MATCH(A280,梦灵图鉴!$K$11:$K$61,1),0)*SUM(梦灵属性!$E$29:$J$29)</f>
        <v>14.1</v>
      </c>
      <c r="J280" s="56"/>
      <c r="K280" s="56"/>
      <c r="L280" s="22"/>
      <c r="M280" s="22"/>
      <c r="N280" s="22"/>
    </row>
    <row r="281" ht="16.5" spans="1:14">
      <c r="A281" s="54">
        <v>275</v>
      </c>
      <c r="B281" s="35">
        <f ca="1">OFFSET(梦灵本体产出!$G$6,MATCH(A281,梦灵本体产出!$I$7:$I$30,1),0)</f>
        <v>0</v>
      </c>
      <c r="C281" s="35" t="e">
        <f ca="1">MATCH(A281,OFFSET(梦灵属性!#REF!,50*(B281-3),0))</f>
        <v>#REF!</v>
      </c>
      <c r="D281" s="55"/>
      <c r="E281" s="55"/>
      <c r="F281" s="22" t="e">
        <f ca="1">_xlfn.XLOOKUP(B281,梦灵属性!$F$38:$F$41,梦灵属性!$E$38:$E$41)*C281</f>
        <v>#N/A</v>
      </c>
      <c r="G281" s="22" t="e">
        <f ca="1">_xlfn.XLOOKUP($B281,梦灵属性!$F$38:$F$41,梦灵属性!$E$38:$E$41)*$C281</f>
        <v>#N/A</v>
      </c>
      <c r="H281" s="22"/>
      <c r="I281" s="56">
        <f ca="1">OFFSET(梦灵图鉴!F$10,MATCH(A281,梦灵图鉴!$E$11:$E$61,1),0)*SUM(梦灵属性!$E$26:$J$26)+OFFSET(梦灵图鉴!H$10,MATCH(A281,梦灵图鉴!$G$11:$G$61,1),0)*SUM(梦灵属性!$E$27:$J$27)+OFFSET(梦灵图鉴!J$10,MATCH(A281,梦灵图鉴!$I$11:$I$61,1),0)*SUM(梦灵属性!$E$28:$J$28)+OFFSET(梦灵图鉴!L$10,MATCH(A281,梦灵图鉴!$K$11:$K$61,1),0)*SUM(梦灵属性!$E$29:$J$29)</f>
        <v>14.1</v>
      </c>
      <c r="J281" s="56"/>
      <c r="K281" s="56"/>
      <c r="L281" s="22"/>
      <c r="M281" s="22"/>
      <c r="N281" s="22"/>
    </row>
    <row r="282" ht="16.5" spans="1:14">
      <c r="A282" s="54">
        <v>276</v>
      </c>
      <c r="B282" s="35">
        <f ca="1">OFFSET(梦灵本体产出!$G$6,MATCH(A282,梦灵本体产出!$I$7:$I$30,1),0)</f>
        <v>0</v>
      </c>
      <c r="C282" s="35" t="e">
        <f ca="1">MATCH(A282,OFFSET(梦灵属性!#REF!,50*(B282-3),0))</f>
        <v>#REF!</v>
      </c>
      <c r="D282" s="55"/>
      <c r="E282" s="55"/>
      <c r="F282" s="22" t="e">
        <f ca="1">_xlfn.XLOOKUP(B282,梦灵属性!$F$38:$F$41,梦灵属性!$E$38:$E$41)*C282</f>
        <v>#N/A</v>
      </c>
      <c r="G282" s="22" t="e">
        <f ca="1">_xlfn.XLOOKUP($B282,梦灵属性!$F$38:$F$41,梦灵属性!$E$38:$E$41)*$C282</f>
        <v>#N/A</v>
      </c>
      <c r="H282" s="22"/>
      <c r="I282" s="56">
        <f ca="1">OFFSET(梦灵图鉴!F$10,MATCH(A282,梦灵图鉴!$E$11:$E$61,1),0)*SUM(梦灵属性!$E$26:$J$26)+OFFSET(梦灵图鉴!H$10,MATCH(A282,梦灵图鉴!$G$11:$G$61,1),0)*SUM(梦灵属性!$E$27:$J$27)+OFFSET(梦灵图鉴!J$10,MATCH(A282,梦灵图鉴!$I$11:$I$61,1),0)*SUM(梦灵属性!$E$28:$J$28)+OFFSET(梦灵图鉴!L$10,MATCH(A282,梦灵图鉴!$K$11:$K$61,1),0)*SUM(梦灵属性!$E$29:$J$29)</f>
        <v>14.1</v>
      </c>
      <c r="J282" s="56"/>
      <c r="K282" s="56"/>
      <c r="L282" s="22"/>
      <c r="M282" s="22"/>
      <c r="N282" s="22"/>
    </row>
    <row r="283" ht="16.5" spans="1:14">
      <c r="A283" s="54">
        <v>277</v>
      </c>
      <c r="B283" s="35">
        <f ca="1">OFFSET(梦灵本体产出!$G$6,MATCH(A283,梦灵本体产出!$I$7:$I$30,1),0)</f>
        <v>0</v>
      </c>
      <c r="C283" s="35" t="e">
        <f ca="1">MATCH(A283,OFFSET(梦灵属性!#REF!,50*(B283-3),0))</f>
        <v>#REF!</v>
      </c>
      <c r="D283" s="55"/>
      <c r="E283" s="55"/>
      <c r="F283" s="22" t="e">
        <f ca="1">_xlfn.XLOOKUP(B283,梦灵属性!$F$38:$F$41,梦灵属性!$E$38:$E$41)*C283</f>
        <v>#N/A</v>
      </c>
      <c r="G283" s="22" t="e">
        <f ca="1">_xlfn.XLOOKUP($B283,梦灵属性!$F$38:$F$41,梦灵属性!$E$38:$E$41)*$C283</f>
        <v>#N/A</v>
      </c>
      <c r="H283" s="22"/>
      <c r="I283" s="56">
        <f ca="1">OFFSET(梦灵图鉴!F$10,MATCH(A283,梦灵图鉴!$E$11:$E$61,1),0)*SUM(梦灵属性!$E$26:$J$26)+OFFSET(梦灵图鉴!H$10,MATCH(A283,梦灵图鉴!$G$11:$G$61,1),0)*SUM(梦灵属性!$E$27:$J$27)+OFFSET(梦灵图鉴!J$10,MATCH(A283,梦灵图鉴!$I$11:$I$61,1),0)*SUM(梦灵属性!$E$28:$J$28)+OFFSET(梦灵图鉴!L$10,MATCH(A283,梦灵图鉴!$K$11:$K$61,1),0)*SUM(梦灵属性!$E$29:$J$29)</f>
        <v>14.1</v>
      </c>
      <c r="J283" s="56"/>
      <c r="K283" s="56"/>
      <c r="L283" s="22"/>
      <c r="M283" s="22"/>
      <c r="N283" s="22"/>
    </row>
    <row r="284" ht="16.5" spans="1:14">
      <c r="A284" s="54">
        <v>278</v>
      </c>
      <c r="B284" s="35">
        <f ca="1">OFFSET(梦灵本体产出!$G$6,MATCH(A284,梦灵本体产出!$I$7:$I$30,1),0)</f>
        <v>0</v>
      </c>
      <c r="C284" s="35" t="e">
        <f ca="1">MATCH(A284,OFFSET(梦灵属性!#REF!,50*(B284-3),0))</f>
        <v>#REF!</v>
      </c>
      <c r="D284" s="55"/>
      <c r="E284" s="55"/>
      <c r="F284" s="22" t="e">
        <f ca="1">_xlfn.XLOOKUP(B284,梦灵属性!$F$38:$F$41,梦灵属性!$E$38:$E$41)*C284</f>
        <v>#N/A</v>
      </c>
      <c r="G284" s="22" t="e">
        <f ca="1">_xlfn.XLOOKUP($B284,梦灵属性!$F$38:$F$41,梦灵属性!$E$38:$E$41)*$C284</f>
        <v>#N/A</v>
      </c>
      <c r="H284" s="22"/>
      <c r="I284" s="56">
        <f ca="1">OFFSET(梦灵图鉴!F$10,MATCH(A284,梦灵图鉴!$E$11:$E$61,1),0)*SUM(梦灵属性!$E$26:$J$26)+OFFSET(梦灵图鉴!H$10,MATCH(A284,梦灵图鉴!$G$11:$G$61,1),0)*SUM(梦灵属性!$E$27:$J$27)+OFFSET(梦灵图鉴!J$10,MATCH(A284,梦灵图鉴!$I$11:$I$61,1),0)*SUM(梦灵属性!$E$28:$J$28)+OFFSET(梦灵图鉴!L$10,MATCH(A284,梦灵图鉴!$K$11:$K$61,1),0)*SUM(梦灵属性!$E$29:$J$29)</f>
        <v>14.1</v>
      </c>
      <c r="J284" s="56"/>
      <c r="K284" s="56"/>
      <c r="L284" s="22"/>
      <c r="M284" s="22"/>
      <c r="N284" s="22"/>
    </row>
    <row r="285" ht="16.5" spans="1:14">
      <c r="A285" s="54">
        <v>279</v>
      </c>
      <c r="B285" s="35">
        <f ca="1">OFFSET(梦灵本体产出!$G$6,MATCH(A285,梦灵本体产出!$I$7:$I$30,1),0)</f>
        <v>0</v>
      </c>
      <c r="C285" s="35" t="e">
        <f ca="1">MATCH(A285,OFFSET(梦灵属性!#REF!,50*(B285-3),0))</f>
        <v>#REF!</v>
      </c>
      <c r="D285" s="55"/>
      <c r="E285" s="55"/>
      <c r="F285" s="22" t="e">
        <f ca="1">_xlfn.XLOOKUP(B285,梦灵属性!$F$38:$F$41,梦灵属性!$E$38:$E$41)*C285</f>
        <v>#N/A</v>
      </c>
      <c r="G285" s="22" t="e">
        <f ca="1">_xlfn.XLOOKUP($B285,梦灵属性!$F$38:$F$41,梦灵属性!$E$38:$E$41)*$C285</f>
        <v>#N/A</v>
      </c>
      <c r="H285" s="22"/>
      <c r="I285" s="56">
        <f ca="1">OFFSET(梦灵图鉴!F$10,MATCH(A285,梦灵图鉴!$E$11:$E$61,1),0)*SUM(梦灵属性!$E$26:$J$26)+OFFSET(梦灵图鉴!H$10,MATCH(A285,梦灵图鉴!$G$11:$G$61,1),0)*SUM(梦灵属性!$E$27:$J$27)+OFFSET(梦灵图鉴!J$10,MATCH(A285,梦灵图鉴!$I$11:$I$61,1),0)*SUM(梦灵属性!$E$28:$J$28)+OFFSET(梦灵图鉴!L$10,MATCH(A285,梦灵图鉴!$K$11:$K$61,1),0)*SUM(梦灵属性!$E$29:$J$29)</f>
        <v>14.1</v>
      </c>
      <c r="J285" s="56"/>
      <c r="K285" s="56"/>
      <c r="L285" s="22"/>
      <c r="M285" s="22"/>
      <c r="N285" s="22"/>
    </row>
    <row r="286" ht="16.5" spans="1:14">
      <c r="A286" s="54">
        <v>280</v>
      </c>
      <c r="B286" s="35">
        <f ca="1">OFFSET(梦灵本体产出!$G$6,MATCH(A286,梦灵本体产出!$I$7:$I$30,1),0)</f>
        <v>0</v>
      </c>
      <c r="C286" s="35" t="e">
        <f ca="1">MATCH(A286,OFFSET(梦灵属性!#REF!,50*(B286-3),0))</f>
        <v>#REF!</v>
      </c>
      <c r="D286" s="55"/>
      <c r="E286" s="55"/>
      <c r="F286" s="22" t="e">
        <f ca="1">_xlfn.XLOOKUP(B286,梦灵属性!$F$38:$F$41,梦灵属性!$E$38:$E$41)*C286</f>
        <v>#N/A</v>
      </c>
      <c r="G286" s="22" t="e">
        <f ca="1">_xlfn.XLOOKUP($B286,梦灵属性!$F$38:$F$41,梦灵属性!$E$38:$E$41)*$C286</f>
        <v>#N/A</v>
      </c>
      <c r="H286" s="22"/>
      <c r="I286" s="56">
        <f ca="1">OFFSET(梦灵图鉴!F$10,MATCH(A286,梦灵图鉴!$E$11:$E$61,1),0)*SUM(梦灵属性!$E$26:$J$26)+OFFSET(梦灵图鉴!H$10,MATCH(A286,梦灵图鉴!$G$11:$G$61,1),0)*SUM(梦灵属性!$E$27:$J$27)+OFFSET(梦灵图鉴!J$10,MATCH(A286,梦灵图鉴!$I$11:$I$61,1),0)*SUM(梦灵属性!$E$28:$J$28)+OFFSET(梦灵图鉴!L$10,MATCH(A286,梦灵图鉴!$K$11:$K$61,1),0)*SUM(梦灵属性!$E$29:$J$29)</f>
        <v>14.1</v>
      </c>
      <c r="J286" s="56"/>
      <c r="K286" s="56"/>
      <c r="L286" s="22"/>
      <c r="M286" s="22"/>
      <c r="N286" s="22"/>
    </row>
    <row r="287" ht="16.5" spans="1:14">
      <c r="A287" s="54">
        <v>281</v>
      </c>
      <c r="B287" s="35">
        <f ca="1">OFFSET(梦灵本体产出!$G$6,MATCH(A287,梦灵本体产出!$I$7:$I$30,1),0)</f>
        <v>0</v>
      </c>
      <c r="C287" s="35" t="e">
        <f ca="1">MATCH(A287,OFFSET(梦灵属性!#REF!,50*(B287-3),0))</f>
        <v>#REF!</v>
      </c>
      <c r="D287" s="55"/>
      <c r="E287" s="55"/>
      <c r="F287" s="22" t="e">
        <f ca="1">_xlfn.XLOOKUP(B287,梦灵属性!$F$38:$F$41,梦灵属性!$E$38:$E$41)*C287</f>
        <v>#N/A</v>
      </c>
      <c r="G287" s="22" t="e">
        <f ca="1">_xlfn.XLOOKUP($B287,梦灵属性!$F$38:$F$41,梦灵属性!$E$38:$E$41)*$C287</f>
        <v>#N/A</v>
      </c>
      <c r="H287" s="22"/>
      <c r="I287" s="56">
        <f ca="1">OFFSET(梦灵图鉴!F$10,MATCH(A287,梦灵图鉴!$E$11:$E$61,1),0)*SUM(梦灵属性!$E$26:$J$26)+OFFSET(梦灵图鉴!H$10,MATCH(A287,梦灵图鉴!$G$11:$G$61,1),0)*SUM(梦灵属性!$E$27:$J$27)+OFFSET(梦灵图鉴!J$10,MATCH(A287,梦灵图鉴!$I$11:$I$61,1),0)*SUM(梦灵属性!$E$28:$J$28)+OFFSET(梦灵图鉴!L$10,MATCH(A287,梦灵图鉴!$K$11:$K$61,1),0)*SUM(梦灵属性!$E$29:$J$29)</f>
        <v>14.1</v>
      </c>
      <c r="J287" s="56"/>
      <c r="K287" s="56"/>
      <c r="L287" s="22"/>
      <c r="M287" s="22"/>
      <c r="N287" s="22"/>
    </row>
    <row r="288" ht="16.5" spans="1:14">
      <c r="A288" s="54">
        <v>282</v>
      </c>
      <c r="B288" s="35">
        <f ca="1">OFFSET(梦灵本体产出!$G$6,MATCH(A288,梦灵本体产出!$I$7:$I$30,1),0)</f>
        <v>0</v>
      </c>
      <c r="C288" s="35" t="e">
        <f ca="1">MATCH(A288,OFFSET(梦灵属性!#REF!,50*(B288-3),0))</f>
        <v>#REF!</v>
      </c>
      <c r="D288" s="55"/>
      <c r="E288" s="55"/>
      <c r="F288" s="22" t="e">
        <f ca="1">_xlfn.XLOOKUP(B288,梦灵属性!$F$38:$F$41,梦灵属性!$E$38:$E$41)*C288</f>
        <v>#N/A</v>
      </c>
      <c r="G288" s="22" t="e">
        <f ca="1">_xlfn.XLOOKUP($B288,梦灵属性!$F$38:$F$41,梦灵属性!$E$38:$E$41)*$C288</f>
        <v>#N/A</v>
      </c>
      <c r="H288" s="22"/>
      <c r="I288" s="56">
        <f ca="1">OFFSET(梦灵图鉴!F$10,MATCH(A288,梦灵图鉴!$E$11:$E$61,1),0)*SUM(梦灵属性!$E$26:$J$26)+OFFSET(梦灵图鉴!H$10,MATCH(A288,梦灵图鉴!$G$11:$G$61,1),0)*SUM(梦灵属性!$E$27:$J$27)+OFFSET(梦灵图鉴!J$10,MATCH(A288,梦灵图鉴!$I$11:$I$61,1),0)*SUM(梦灵属性!$E$28:$J$28)+OFFSET(梦灵图鉴!L$10,MATCH(A288,梦灵图鉴!$K$11:$K$61,1),0)*SUM(梦灵属性!$E$29:$J$29)</f>
        <v>14.1</v>
      </c>
      <c r="J288" s="56"/>
      <c r="K288" s="56"/>
      <c r="L288" s="22"/>
      <c r="M288" s="22"/>
      <c r="N288" s="22"/>
    </row>
    <row r="289" ht="16.5" spans="1:14">
      <c r="A289" s="54">
        <v>283</v>
      </c>
      <c r="B289" s="35">
        <f ca="1">OFFSET(梦灵本体产出!$G$6,MATCH(A289,梦灵本体产出!$I$7:$I$30,1),0)</f>
        <v>0</v>
      </c>
      <c r="C289" s="35" t="e">
        <f ca="1">MATCH(A289,OFFSET(梦灵属性!#REF!,50*(B289-3),0))</f>
        <v>#REF!</v>
      </c>
      <c r="D289" s="55"/>
      <c r="E289" s="55"/>
      <c r="F289" s="22" t="e">
        <f ca="1">_xlfn.XLOOKUP(B289,梦灵属性!$F$38:$F$41,梦灵属性!$E$38:$E$41)*C289</f>
        <v>#N/A</v>
      </c>
      <c r="G289" s="22" t="e">
        <f ca="1">_xlfn.XLOOKUP($B289,梦灵属性!$F$38:$F$41,梦灵属性!$E$38:$E$41)*$C289</f>
        <v>#N/A</v>
      </c>
      <c r="H289" s="22"/>
      <c r="I289" s="56">
        <f ca="1">OFFSET(梦灵图鉴!F$10,MATCH(A289,梦灵图鉴!$E$11:$E$61,1),0)*SUM(梦灵属性!$E$26:$J$26)+OFFSET(梦灵图鉴!H$10,MATCH(A289,梦灵图鉴!$G$11:$G$61,1),0)*SUM(梦灵属性!$E$27:$J$27)+OFFSET(梦灵图鉴!J$10,MATCH(A289,梦灵图鉴!$I$11:$I$61,1),0)*SUM(梦灵属性!$E$28:$J$28)+OFFSET(梦灵图鉴!L$10,MATCH(A289,梦灵图鉴!$K$11:$K$61,1),0)*SUM(梦灵属性!$E$29:$J$29)</f>
        <v>14.1</v>
      </c>
      <c r="J289" s="56"/>
      <c r="K289" s="56"/>
      <c r="L289" s="22"/>
      <c r="M289" s="22"/>
      <c r="N289" s="22"/>
    </row>
    <row r="290" ht="16.5" spans="1:14">
      <c r="A290" s="54">
        <v>284</v>
      </c>
      <c r="B290" s="35">
        <f ca="1">OFFSET(梦灵本体产出!$G$6,MATCH(A290,梦灵本体产出!$I$7:$I$30,1),0)</f>
        <v>0</v>
      </c>
      <c r="C290" s="35" t="e">
        <f ca="1">MATCH(A290,OFFSET(梦灵属性!#REF!,50*(B290-3),0))</f>
        <v>#REF!</v>
      </c>
      <c r="D290" s="55"/>
      <c r="E290" s="55"/>
      <c r="F290" s="22" t="e">
        <f ca="1">_xlfn.XLOOKUP(B290,梦灵属性!$F$38:$F$41,梦灵属性!$E$38:$E$41)*C290</f>
        <v>#N/A</v>
      </c>
      <c r="G290" s="22" t="e">
        <f ca="1">_xlfn.XLOOKUP($B290,梦灵属性!$F$38:$F$41,梦灵属性!$E$38:$E$41)*$C290</f>
        <v>#N/A</v>
      </c>
      <c r="H290" s="22"/>
      <c r="I290" s="56">
        <f ca="1">OFFSET(梦灵图鉴!F$10,MATCH(A290,梦灵图鉴!$E$11:$E$61,1),0)*SUM(梦灵属性!$E$26:$J$26)+OFFSET(梦灵图鉴!H$10,MATCH(A290,梦灵图鉴!$G$11:$G$61,1),0)*SUM(梦灵属性!$E$27:$J$27)+OFFSET(梦灵图鉴!J$10,MATCH(A290,梦灵图鉴!$I$11:$I$61,1),0)*SUM(梦灵属性!$E$28:$J$28)+OFFSET(梦灵图鉴!L$10,MATCH(A290,梦灵图鉴!$K$11:$K$61,1),0)*SUM(梦灵属性!$E$29:$J$29)</f>
        <v>14.1</v>
      </c>
      <c r="J290" s="56"/>
      <c r="K290" s="56"/>
      <c r="L290" s="22"/>
      <c r="M290" s="22"/>
      <c r="N290" s="22"/>
    </row>
    <row r="291" ht="16.5" spans="1:14">
      <c r="A291" s="54">
        <v>285</v>
      </c>
      <c r="B291" s="35">
        <f ca="1">OFFSET(梦灵本体产出!$G$6,MATCH(A291,梦灵本体产出!$I$7:$I$30,1),0)</f>
        <v>0</v>
      </c>
      <c r="C291" s="35" t="e">
        <f ca="1">MATCH(A291,OFFSET(梦灵属性!#REF!,50*(B291-3),0))</f>
        <v>#REF!</v>
      </c>
      <c r="D291" s="55"/>
      <c r="E291" s="55"/>
      <c r="F291" s="22" t="e">
        <f ca="1">_xlfn.XLOOKUP(B291,梦灵属性!$F$38:$F$41,梦灵属性!$E$38:$E$41)*C291</f>
        <v>#N/A</v>
      </c>
      <c r="G291" s="22" t="e">
        <f ca="1">_xlfn.XLOOKUP($B291,梦灵属性!$F$38:$F$41,梦灵属性!$E$38:$E$41)*$C291</f>
        <v>#N/A</v>
      </c>
      <c r="H291" s="22"/>
      <c r="I291" s="56">
        <f ca="1">OFFSET(梦灵图鉴!F$10,MATCH(A291,梦灵图鉴!$E$11:$E$61,1),0)*SUM(梦灵属性!$E$26:$J$26)+OFFSET(梦灵图鉴!H$10,MATCH(A291,梦灵图鉴!$G$11:$G$61,1),0)*SUM(梦灵属性!$E$27:$J$27)+OFFSET(梦灵图鉴!J$10,MATCH(A291,梦灵图鉴!$I$11:$I$61,1),0)*SUM(梦灵属性!$E$28:$J$28)+OFFSET(梦灵图鉴!L$10,MATCH(A291,梦灵图鉴!$K$11:$K$61,1),0)*SUM(梦灵属性!$E$29:$J$29)</f>
        <v>14.1</v>
      </c>
      <c r="J291" s="56"/>
      <c r="K291" s="56"/>
      <c r="L291" s="22"/>
      <c r="M291" s="22"/>
      <c r="N291" s="22"/>
    </row>
    <row r="292" ht="16.5" spans="1:14">
      <c r="A292" s="54">
        <v>286</v>
      </c>
      <c r="B292" s="35">
        <f ca="1">OFFSET(梦灵本体产出!$G$6,MATCH(A292,梦灵本体产出!$I$7:$I$30,1),0)</f>
        <v>0</v>
      </c>
      <c r="C292" s="35" t="e">
        <f ca="1">MATCH(A292,OFFSET(梦灵属性!#REF!,50*(B292-3),0))</f>
        <v>#REF!</v>
      </c>
      <c r="D292" s="55"/>
      <c r="E292" s="55"/>
      <c r="F292" s="22" t="e">
        <f ca="1">_xlfn.XLOOKUP(B292,梦灵属性!$F$38:$F$41,梦灵属性!$E$38:$E$41)*C292</f>
        <v>#N/A</v>
      </c>
      <c r="G292" s="22" t="e">
        <f ca="1">_xlfn.XLOOKUP($B292,梦灵属性!$F$38:$F$41,梦灵属性!$E$38:$E$41)*$C292</f>
        <v>#N/A</v>
      </c>
      <c r="H292" s="22"/>
      <c r="I292" s="56">
        <f ca="1">OFFSET(梦灵图鉴!F$10,MATCH(A292,梦灵图鉴!$E$11:$E$61,1),0)*SUM(梦灵属性!$E$26:$J$26)+OFFSET(梦灵图鉴!H$10,MATCH(A292,梦灵图鉴!$G$11:$G$61,1),0)*SUM(梦灵属性!$E$27:$J$27)+OFFSET(梦灵图鉴!J$10,MATCH(A292,梦灵图鉴!$I$11:$I$61,1),0)*SUM(梦灵属性!$E$28:$J$28)+OFFSET(梦灵图鉴!L$10,MATCH(A292,梦灵图鉴!$K$11:$K$61,1),0)*SUM(梦灵属性!$E$29:$J$29)</f>
        <v>14.1</v>
      </c>
      <c r="J292" s="56"/>
      <c r="K292" s="56"/>
      <c r="L292" s="22"/>
      <c r="M292" s="22"/>
      <c r="N292" s="22"/>
    </row>
    <row r="293" ht="16.5" spans="1:14">
      <c r="A293" s="54">
        <v>287</v>
      </c>
      <c r="B293" s="35">
        <f ca="1">OFFSET(梦灵本体产出!$G$6,MATCH(A293,梦灵本体产出!$I$7:$I$30,1),0)</f>
        <v>0</v>
      </c>
      <c r="C293" s="35" t="e">
        <f ca="1">MATCH(A293,OFFSET(梦灵属性!#REF!,50*(B293-3),0))</f>
        <v>#REF!</v>
      </c>
      <c r="D293" s="55"/>
      <c r="E293" s="55"/>
      <c r="F293" s="22" t="e">
        <f ca="1">_xlfn.XLOOKUP(B293,梦灵属性!$F$38:$F$41,梦灵属性!$E$38:$E$41)*C293</f>
        <v>#N/A</v>
      </c>
      <c r="G293" s="22" t="e">
        <f ca="1">_xlfn.XLOOKUP($B293,梦灵属性!$F$38:$F$41,梦灵属性!$E$38:$E$41)*$C293</f>
        <v>#N/A</v>
      </c>
      <c r="H293" s="22"/>
      <c r="I293" s="56">
        <f ca="1">OFFSET(梦灵图鉴!F$10,MATCH(A293,梦灵图鉴!$E$11:$E$61,1),0)*SUM(梦灵属性!$E$26:$J$26)+OFFSET(梦灵图鉴!H$10,MATCH(A293,梦灵图鉴!$G$11:$G$61,1),0)*SUM(梦灵属性!$E$27:$J$27)+OFFSET(梦灵图鉴!J$10,MATCH(A293,梦灵图鉴!$I$11:$I$61,1),0)*SUM(梦灵属性!$E$28:$J$28)+OFFSET(梦灵图鉴!L$10,MATCH(A293,梦灵图鉴!$K$11:$K$61,1),0)*SUM(梦灵属性!$E$29:$J$29)</f>
        <v>14.1</v>
      </c>
      <c r="J293" s="56"/>
      <c r="K293" s="56"/>
      <c r="L293" s="22"/>
      <c r="M293" s="22"/>
      <c r="N293" s="22"/>
    </row>
    <row r="294" ht="16.5" spans="1:14">
      <c r="A294" s="54">
        <v>288</v>
      </c>
      <c r="B294" s="35">
        <f ca="1">OFFSET(梦灵本体产出!$G$6,MATCH(A294,梦灵本体产出!$I$7:$I$30,1),0)</f>
        <v>0</v>
      </c>
      <c r="C294" s="35" t="e">
        <f ca="1">MATCH(A294,OFFSET(梦灵属性!#REF!,50*(B294-3),0))</f>
        <v>#REF!</v>
      </c>
      <c r="D294" s="55"/>
      <c r="E294" s="55"/>
      <c r="F294" s="22" t="e">
        <f ca="1">_xlfn.XLOOKUP(B294,梦灵属性!$F$38:$F$41,梦灵属性!$E$38:$E$41)*C294</f>
        <v>#N/A</v>
      </c>
      <c r="G294" s="22" t="e">
        <f ca="1">_xlfn.XLOOKUP($B294,梦灵属性!$F$38:$F$41,梦灵属性!$E$38:$E$41)*$C294</f>
        <v>#N/A</v>
      </c>
      <c r="H294" s="22"/>
      <c r="I294" s="56">
        <f ca="1">OFFSET(梦灵图鉴!F$10,MATCH(A294,梦灵图鉴!$E$11:$E$61,1),0)*SUM(梦灵属性!$E$26:$J$26)+OFFSET(梦灵图鉴!H$10,MATCH(A294,梦灵图鉴!$G$11:$G$61,1),0)*SUM(梦灵属性!$E$27:$J$27)+OFFSET(梦灵图鉴!J$10,MATCH(A294,梦灵图鉴!$I$11:$I$61,1),0)*SUM(梦灵属性!$E$28:$J$28)+OFFSET(梦灵图鉴!L$10,MATCH(A294,梦灵图鉴!$K$11:$K$61,1),0)*SUM(梦灵属性!$E$29:$J$29)</f>
        <v>14.1</v>
      </c>
      <c r="J294" s="56"/>
      <c r="K294" s="56"/>
      <c r="L294" s="22"/>
      <c r="M294" s="22"/>
      <c r="N294" s="22"/>
    </row>
    <row r="295" ht="16.5" spans="1:14">
      <c r="A295" s="54">
        <v>289</v>
      </c>
      <c r="B295" s="35">
        <f ca="1">OFFSET(梦灵本体产出!$G$6,MATCH(A295,梦灵本体产出!$I$7:$I$30,1),0)</f>
        <v>0</v>
      </c>
      <c r="C295" s="35" t="e">
        <f ca="1">MATCH(A295,OFFSET(梦灵属性!#REF!,50*(B295-3),0))</f>
        <v>#REF!</v>
      </c>
      <c r="D295" s="55"/>
      <c r="E295" s="55"/>
      <c r="F295" s="22" t="e">
        <f ca="1">_xlfn.XLOOKUP(B295,梦灵属性!$F$38:$F$41,梦灵属性!$E$38:$E$41)*C295</f>
        <v>#N/A</v>
      </c>
      <c r="G295" s="22" t="e">
        <f ca="1">_xlfn.XLOOKUP($B295,梦灵属性!$F$38:$F$41,梦灵属性!$E$38:$E$41)*$C295</f>
        <v>#N/A</v>
      </c>
      <c r="H295" s="22"/>
      <c r="I295" s="56">
        <f ca="1">OFFSET(梦灵图鉴!F$10,MATCH(A295,梦灵图鉴!$E$11:$E$61,1),0)*SUM(梦灵属性!$E$26:$J$26)+OFFSET(梦灵图鉴!H$10,MATCH(A295,梦灵图鉴!$G$11:$G$61,1),0)*SUM(梦灵属性!$E$27:$J$27)+OFFSET(梦灵图鉴!J$10,MATCH(A295,梦灵图鉴!$I$11:$I$61,1),0)*SUM(梦灵属性!$E$28:$J$28)+OFFSET(梦灵图鉴!L$10,MATCH(A295,梦灵图鉴!$K$11:$K$61,1),0)*SUM(梦灵属性!$E$29:$J$29)</f>
        <v>14.1</v>
      </c>
      <c r="J295" s="56"/>
      <c r="K295" s="56"/>
      <c r="L295" s="22"/>
      <c r="M295" s="22"/>
      <c r="N295" s="22"/>
    </row>
    <row r="296" ht="16.5" spans="1:14">
      <c r="A296" s="54">
        <v>290</v>
      </c>
      <c r="B296" s="35">
        <f ca="1">OFFSET(梦灵本体产出!$G$6,MATCH(A296,梦灵本体产出!$I$7:$I$30,1),0)</f>
        <v>0</v>
      </c>
      <c r="C296" s="35" t="e">
        <f ca="1">MATCH(A296,OFFSET(梦灵属性!#REF!,50*(B296-3),0))</f>
        <v>#REF!</v>
      </c>
      <c r="D296" s="55"/>
      <c r="E296" s="55"/>
      <c r="F296" s="22" t="e">
        <f ca="1">_xlfn.XLOOKUP(B296,梦灵属性!$F$38:$F$41,梦灵属性!$E$38:$E$41)*C296</f>
        <v>#N/A</v>
      </c>
      <c r="G296" s="22" t="e">
        <f ca="1">_xlfn.XLOOKUP($B296,梦灵属性!$F$38:$F$41,梦灵属性!$E$38:$E$41)*$C296</f>
        <v>#N/A</v>
      </c>
      <c r="H296" s="22"/>
      <c r="I296" s="56">
        <f ca="1">OFFSET(梦灵图鉴!F$10,MATCH(A296,梦灵图鉴!$E$11:$E$61,1),0)*SUM(梦灵属性!$E$26:$J$26)+OFFSET(梦灵图鉴!H$10,MATCH(A296,梦灵图鉴!$G$11:$G$61,1),0)*SUM(梦灵属性!$E$27:$J$27)+OFFSET(梦灵图鉴!J$10,MATCH(A296,梦灵图鉴!$I$11:$I$61,1),0)*SUM(梦灵属性!$E$28:$J$28)+OFFSET(梦灵图鉴!L$10,MATCH(A296,梦灵图鉴!$K$11:$K$61,1),0)*SUM(梦灵属性!$E$29:$J$29)</f>
        <v>14.1</v>
      </c>
      <c r="J296" s="56"/>
      <c r="K296" s="56"/>
      <c r="L296" s="22"/>
      <c r="M296" s="22"/>
      <c r="N296" s="22"/>
    </row>
    <row r="297" ht="16.5" spans="1:14">
      <c r="A297" s="54">
        <v>291</v>
      </c>
      <c r="B297" s="35">
        <f ca="1">OFFSET(梦灵本体产出!$G$6,MATCH(A297,梦灵本体产出!$I$7:$I$30,1),0)</f>
        <v>0</v>
      </c>
      <c r="C297" s="35" t="e">
        <f ca="1">MATCH(A297,OFFSET(梦灵属性!#REF!,50*(B297-3),0))</f>
        <v>#REF!</v>
      </c>
      <c r="D297" s="55"/>
      <c r="E297" s="55"/>
      <c r="F297" s="22" t="e">
        <f ca="1">_xlfn.XLOOKUP(B297,梦灵属性!$F$38:$F$41,梦灵属性!$E$38:$E$41)*C297</f>
        <v>#N/A</v>
      </c>
      <c r="G297" s="22" t="e">
        <f ca="1">_xlfn.XLOOKUP($B297,梦灵属性!$F$38:$F$41,梦灵属性!$E$38:$E$41)*$C297</f>
        <v>#N/A</v>
      </c>
      <c r="H297" s="22"/>
      <c r="I297" s="56">
        <f ca="1">OFFSET(梦灵图鉴!F$10,MATCH(A297,梦灵图鉴!$E$11:$E$61,1),0)*SUM(梦灵属性!$E$26:$J$26)+OFFSET(梦灵图鉴!H$10,MATCH(A297,梦灵图鉴!$G$11:$G$61,1),0)*SUM(梦灵属性!$E$27:$J$27)+OFFSET(梦灵图鉴!J$10,MATCH(A297,梦灵图鉴!$I$11:$I$61,1),0)*SUM(梦灵属性!$E$28:$J$28)+OFFSET(梦灵图鉴!L$10,MATCH(A297,梦灵图鉴!$K$11:$K$61,1),0)*SUM(梦灵属性!$E$29:$J$29)</f>
        <v>14.1</v>
      </c>
      <c r="J297" s="56"/>
      <c r="K297" s="56"/>
      <c r="L297" s="22"/>
      <c r="M297" s="22"/>
      <c r="N297" s="22"/>
    </row>
    <row r="298" ht="16.5" spans="1:14">
      <c r="A298" s="54">
        <v>292</v>
      </c>
      <c r="B298" s="35">
        <f ca="1">OFFSET(梦灵本体产出!$G$6,MATCH(A298,梦灵本体产出!$I$7:$I$30,1),0)</f>
        <v>0</v>
      </c>
      <c r="C298" s="35" t="e">
        <f ca="1">MATCH(A298,OFFSET(梦灵属性!#REF!,50*(B298-3),0))</f>
        <v>#REF!</v>
      </c>
      <c r="D298" s="55"/>
      <c r="E298" s="55"/>
      <c r="F298" s="22" t="e">
        <f ca="1">_xlfn.XLOOKUP(B298,梦灵属性!$F$38:$F$41,梦灵属性!$E$38:$E$41)*C298</f>
        <v>#N/A</v>
      </c>
      <c r="G298" s="22" t="e">
        <f ca="1">_xlfn.XLOOKUP($B298,梦灵属性!$F$38:$F$41,梦灵属性!$E$38:$E$41)*$C298</f>
        <v>#N/A</v>
      </c>
      <c r="H298" s="22"/>
      <c r="I298" s="56">
        <f ca="1">OFFSET(梦灵图鉴!F$10,MATCH(A298,梦灵图鉴!$E$11:$E$61,1),0)*SUM(梦灵属性!$E$26:$J$26)+OFFSET(梦灵图鉴!H$10,MATCH(A298,梦灵图鉴!$G$11:$G$61,1),0)*SUM(梦灵属性!$E$27:$J$27)+OFFSET(梦灵图鉴!J$10,MATCH(A298,梦灵图鉴!$I$11:$I$61,1),0)*SUM(梦灵属性!$E$28:$J$28)+OFFSET(梦灵图鉴!L$10,MATCH(A298,梦灵图鉴!$K$11:$K$61,1),0)*SUM(梦灵属性!$E$29:$J$29)</f>
        <v>14.1</v>
      </c>
      <c r="J298" s="56"/>
      <c r="K298" s="56"/>
      <c r="L298" s="22"/>
      <c r="M298" s="22"/>
      <c r="N298" s="22"/>
    </row>
    <row r="299" ht="16.5" spans="1:14">
      <c r="A299" s="54">
        <v>293</v>
      </c>
      <c r="B299" s="35">
        <f ca="1">OFFSET(梦灵本体产出!$G$6,MATCH(A299,梦灵本体产出!$I$7:$I$30,1),0)</f>
        <v>0</v>
      </c>
      <c r="C299" s="35" t="e">
        <f ca="1">MATCH(A299,OFFSET(梦灵属性!#REF!,50*(B299-3),0))</f>
        <v>#REF!</v>
      </c>
      <c r="D299" s="55"/>
      <c r="E299" s="55"/>
      <c r="F299" s="22" t="e">
        <f ca="1">_xlfn.XLOOKUP(B299,梦灵属性!$F$38:$F$41,梦灵属性!$E$38:$E$41)*C299</f>
        <v>#N/A</v>
      </c>
      <c r="G299" s="22" t="e">
        <f ca="1">_xlfn.XLOOKUP($B299,梦灵属性!$F$38:$F$41,梦灵属性!$E$38:$E$41)*$C299</f>
        <v>#N/A</v>
      </c>
      <c r="H299" s="22"/>
      <c r="I299" s="56">
        <f ca="1">OFFSET(梦灵图鉴!F$10,MATCH(A299,梦灵图鉴!$E$11:$E$61,1),0)*SUM(梦灵属性!$E$26:$J$26)+OFFSET(梦灵图鉴!H$10,MATCH(A299,梦灵图鉴!$G$11:$G$61,1),0)*SUM(梦灵属性!$E$27:$J$27)+OFFSET(梦灵图鉴!J$10,MATCH(A299,梦灵图鉴!$I$11:$I$61,1),0)*SUM(梦灵属性!$E$28:$J$28)+OFFSET(梦灵图鉴!L$10,MATCH(A299,梦灵图鉴!$K$11:$K$61,1),0)*SUM(梦灵属性!$E$29:$J$29)</f>
        <v>14.1</v>
      </c>
      <c r="J299" s="56"/>
      <c r="K299" s="56"/>
      <c r="L299" s="22"/>
      <c r="M299" s="22"/>
      <c r="N299" s="22"/>
    </row>
    <row r="300" ht="16.5" spans="1:14">
      <c r="A300" s="54">
        <v>294</v>
      </c>
      <c r="B300" s="35">
        <f ca="1">OFFSET(梦灵本体产出!$G$6,MATCH(A300,梦灵本体产出!$I$7:$I$30,1),0)</f>
        <v>0</v>
      </c>
      <c r="C300" s="35" t="e">
        <f ca="1">MATCH(A300,OFFSET(梦灵属性!#REF!,50*(B300-3),0))</f>
        <v>#REF!</v>
      </c>
      <c r="D300" s="55"/>
      <c r="E300" s="55"/>
      <c r="F300" s="22" t="e">
        <f ca="1">_xlfn.XLOOKUP(B300,梦灵属性!$F$38:$F$41,梦灵属性!$E$38:$E$41)*C300</f>
        <v>#N/A</v>
      </c>
      <c r="G300" s="22" t="e">
        <f ca="1">_xlfn.XLOOKUP($B300,梦灵属性!$F$38:$F$41,梦灵属性!$E$38:$E$41)*$C300</f>
        <v>#N/A</v>
      </c>
      <c r="H300" s="22"/>
      <c r="I300" s="56">
        <f ca="1">OFFSET(梦灵图鉴!F$10,MATCH(A300,梦灵图鉴!$E$11:$E$61,1),0)*SUM(梦灵属性!$E$26:$J$26)+OFFSET(梦灵图鉴!H$10,MATCH(A300,梦灵图鉴!$G$11:$G$61,1),0)*SUM(梦灵属性!$E$27:$J$27)+OFFSET(梦灵图鉴!J$10,MATCH(A300,梦灵图鉴!$I$11:$I$61,1),0)*SUM(梦灵属性!$E$28:$J$28)+OFFSET(梦灵图鉴!L$10,MATCH(A300,梦灵图鉴!$K$11:$K$61,1),0)*SUM(梦灵属性!$E$29:$J$29)</f>
        <v>14.1</v>
      </c>
      <c r="J300" s="56"/>
      <c r="K300" s="56"/>
      <c r="L300" s="22"/>
      <c r="M300" s="22"/>
      <c r="N300" s="22"/>
    </row>
    <row r="301" ht="16.5" spans="1:14">
      <c r="A301" s="54">
        <v>295</v>
      </c>
      <c r="B301" s="35">
        <f ca="1">OFFSET(梦灵本体产出!$G$6,MATCH(A301,梦灵本体产出!$I$7:$I$30,1),0)</f>
        <v>0</v>
      </c>
      <c r="C301" s="35" t="e">
        <f ca="1">MATCH(A301,OFFSET(梦灵属性!#REF!,50*(B301-3),0))</f>
        <v>#REF!</v>
      </c>
      <c r="D301" s="55"/>
      <c r="E301" s="55"/>
      <c r="F301" s="22" t="e">
        <f ca="1">_xlfn.XLOOKUP(B301,梦灵属性!$F$38:$F$41,梦灵属性!$E$38:$E$41)*C301</f>
        <v>#N/A</v>
      </c>
      <c r="G301" s="22" t="e">
        <f ca="1">_xlfn.XLOOKUP($B301,梦灵属性!$F$38:$F$41,梦灵属性!$E$38:$E$41)*$C301</f>
        <v>#N/A</v>
      </c>
      <c r="H301" s="22"/>
      <c r="I301" s="56">
        <f ca="1">OFFSET(梦灵图鉴!F$10,MATCH(A301,梦灵图鉴!$E$11:$E$61,1),0)*SUM(梦灵属性!$E$26:$J$26)+OFFSET(梦灵图鉴!H$10,MATCH(A301,梦灵图鉴!$G$11:$G$61,1),0)*SUM(梦灵属性!$E$27:$J$27)+OFFSET(梦灵图鉴!J$10,MATCH(A301,梦灵图鉴!$I$11:$I$61,1),0)*SUM(梦灵属性!$E$28:$J$28)+OFFSET(梦灵图鉴!L$10,MATCH(A301,梦灵图鉴!$K$11:$K$61,1),0)*SUM(梦灵属性!$E$29:$J$29)</f>
        <v>14.1</v>
      </c>
      <c r="J301" s="56"/>
      <c r="K301" s="56"/>
      <c r="L301" s="22"/>
      <c r="M301" s="22"/>
      <c r="N301" s="22"/>
    </row>
    <row r="302" ht="16.5" spans="1:14">
      <c r="A302" s="54">
        <v>296</v>
      </c>
      <c r="B302" s="35">
        <f ca="1">OFFSET(梦灵本体产出!$G$6,MATCH(A302,梦灵本体产出!$I$7:$I$30,1),0)</f>
        <v>0</v>
      </c>
      <c r="C302" s="35" t="e">
        <f ca="1">MATCH(A302,OFFSET(梦灵属性!#REF!,50*(B302-3),0))</f>
        <v>#REF!</v>
      </c>
      <c r="D302" s="55"/>
      <c r="E302" s="55"/>
      <c r="F302" s="22" t="e">
        <f ca="1">_xlfn.XLOOKUP(B302,梦灵属性!$F$38:$F$41,梦灵属性!$E$38:$E$41)*C302</f>
        <v>#N/A</v>
      </c>
      <c r="G302" s="22" t="e">
        <f ca="1">_xlfn.XLOOKUP($B302,梦灵属性!$F$38:$F$41,梦灵属性!$E$38:$E$41)*$C302</f>
        <v>#N/A</v>
      </c>
      <c r="H302" s="22"/>
      <c r="I302" s="56">
        <f ca="1">OFFSET(梦灵图鉴!F$10,MATCH(A302,梦灵图鉴!$E$11:$E$61,1),0)*SUM(梦灵属性!$E$26:$J$26)+OFFSET(梦灵图鉴!H$10,MATCH(A302,梦灵图鉴!$G$11:$G$61,1),0)*SUM(梦灵属性!$E$27:$J$27)+OFFSET(梦灵图鉴!J$10,MATCH(A302,梦灵图鉴!$I$11:$I$61,1),0)*SUM(梦灵属性!$E$28:$J$28)+OFFSET(梦灵图鉴!L$10,MATCH(A302,梦灵图鉴!$K$11:$K$61,1),0)*SUM(梦灵属性!$E$29:$J$29)</f>
        <v>14.1</v>
      </c>
      <c r="J302" s="56"/>
      <c r="K302" s="56"/>
      <c r="L302" s="22"/>
      <c r="M302" s="22"/>
      <c r="N302" s="22"/>
    </row>
    <row r="303" ht="16.5" spans="1:14">
      <c r="A303" s="54">
        <v>297</v>
      </c>
      <c r="B303" s="35">
        <f ca="1">OFFSET(梦灵本体产出!$G$6,MATCH(A303,梦灵本体产出!$I$7:$I$30,1),0)</f>
        <v>0</v>
      </c>
      <c r="C303" s="35" t="e">
        <f ca="1">MATCH(A303,OFFSET(梦灵属性!#REF!,50*(B303-3),0))</f>
        <v>#REF!</v>
      </c>
      <c r="D303" s="55"/>
      <c r="E303" s="55"/>
      <c r="F303" s="22" t="e">
        <f ca="1">_xlfn.XLOOKUP(B303,梦灵属性!$F$38:$F$41,梦灵属性!$E$38:$E$41)*C303</f>
        <v>#N/A</v>
      </c>
      <c r="G303" s="22" t="e">
        <f ca="1">_xlfn.XLOOKUP($B303,梦灵属性!$F$38:$F$41,梦灵属性!$E$38:$E$41)*$C303</f>
        <v>#N/A</v>
      </c>
      <c r="H303" s="22"/>
      <c r="I303" s="56">
        <f ca="1">OFFSET(梦灵图鉴!F$10,MATCH(A303,梦灵图鉴!$E$11:$E$61,1),0)*SUM(梦灵属性!$E$26:$J$26)+OFFSET(梦灵图鉴!H$10,MATCH(A303,梦灵图鉴!$G$11:$G$61,1),0)*SUM(梦灵属性!$E$27:$J$27)+OFFSET(梦灵图鉴!J$10,MATCH(A303,梦灵图鉴!$I$11:$I$61,1),0)*SUM(梦灵属性!$E$28:$J$28)+OFFSET(梦灵图鉴!L$10,MATCH(A303,梦灵图鉴!$K$11:$K$61,1),0)*SUM(梦灵属性!$E$29:$J$29)</f>
        <v>14.1</v>
      </c>
      <c r="J303" s="56"/>
      <c r="K303" s="56"/>
      <c r="L303" s="22"/>
      <c r="M303" s="22"/>
      <c r="N303" s="22"/>
    </row>
    <row r="304" ht="16.5" spans="1:14">
      <c r="A304" s="54">
        <v>298</v>
      </c>
      <c r="B304" s="35">
        <f ca="1">OFFSET(梦灵本体产出!$G$6,MATCH(A304,梦灵本体产出!$I$7:$I$30,1),0)</f>
        <v>0</v>
      </c>
      <c r="C304" s="35" t="e">
        <f ca="1">MATCH(A304,OFFSET(梦灵属性!#REF!,50*(B304-3),0))</f>
        <v>#REF!</v>
      </c>
      <c r="D304" s="55"/>
      <c r="E304" s="55"/>
      <c r="F304" s="22" t="e">
        <f ca="1">_xlfn.XLOOKUP(B304,梦灵属性!$F$38:$F$41,梦灵属性!$E$38:$E$41)*C304</f>
        <v>#N/A</v>
      </c>
      <c r="G304" s="22" t="e">
        <f ca="1">_xlfn.XLOOKUP($B304,梦灵属性!$F$38:$F$41,梦灵属性!$E$38:$E$41)*$C304</f>
        <v>#N/A</v>
      </c>
      <c r="H304" s="22"/>
      <c r="I304" s="56">
        <f ca="1">OFFSET(梦灵图鉴!F$10,MATCH(A304,梦灵图鉴!$E$11:$E$61,1),0)*SUM(梦灵属性!$E$26:$J$26)+OFFSET(梦灵图鉴!H$10,MATCH(A304,梦灵图鉴!$G$11:$G$61,1),0)*SUM(梦灵属性!$E$27:$J$27)+OFFSET(梦灵图鉴!J$10,MATCH(A304,梦灵图鉴!$I$11:$I$61,1),0)*SUM(梦灵属性!$E$28:$J$28)+OFFSET(梦灵图鉴!L$10,MATCH(A304,梦灵图鉴!$K$11:$K$61,1),0)*SUM(梦灵属性!$E$29:$J$29)</f>
        <v>14.1</v>
      </c>
      <c r="J304" s="56"/>
      <c r="K304" s="56"/>
      <c r="L304" s="22"/>
      <c r="M304" s="22"/>
      <c r="N304" s="22"/>
    </row>
    <row r="305" ht="16.5" spans="1:14">
      <c r="A305" s="54">
        <v>299</v>
      </c>
      <c r="B305" s="35">
        <f ca="1">OFFSET(梦灵本体产出!$G$6,MATCH(A305,梦灵本体产出!$I$7:$I$30,1),0)</f>
        <v>0</v>
      </c>
      <c r="C305" s="35" t="e">
        <f ca="1">MATCH(A305,OFFSET(梦灵属性!#REF!,50*(B305-3),0))</f>
        <v>#REF!</v>
      </c>
      <c r="D305" s="55"/>
      <c r="E305" s="55"/>
      <c r="F305" s="22" t="e">
        <f ca="1">_xlfn.XLOOKUP(B305,梦灵属性!$F$38:$F$41,梦灵属性!$E$38:$E$41)*C305</f>
        <v>#N/A</v>
      </c>
      <c r="G305" s="22" t="e">
        <f ca="1">_xlfn.XLOOKUP($B305,梦灵属性!$F$38:$F$41,梦灵属性!$E$38:$E$41)*$C305</f>
        <v>#N/A</v>
      </c>
      <c r="H305" s="22"/>
      <c r="I305" s="56">
        <f ca="1">OFFSET(梦灵图鉴!F$10,MATCH(A305,梦灵图鉴!$E$11:$E$61,1),0)*SUM(梦灵属性!$E$26:$J$26)+OFFSET(梦灵图鉴!H$10,MATCH(A305,梦灵图鉴!$G$11:$G$61,1),0)*SUM(梦灵属性!$E$27:$J$27)+OFFSET(梦灵图鉴!J$10,MATCH(A305,梦灵图鉴!$I$11:$I$61,1),0)*SUM(梦灵属性!$E$28:$J$28)+OFFSET(梦灵图鉴!L$10,MATCH(A305,梦灵图鉴!$K$11:$K$61,1),0)*SUM(梦灵属性!$E$29:$J$29)</f>
        <v>14.1</v>
      </c>
      <c r="J305" s="56"/>
      <c r="K305" s="56"/>
      <c r="L305" s="22"/>
      <c r="M305" s="22"/>
      <c r="N305" s="22"/>
    </row>
    <row r="306" ht="16.5" spans="1:14">
      <c r="A306" s="54">
        <v>300</v>
      </c>
      <c r="B306" s="35">
        <f ca="1">OFFSET(梦灵本体产出!$G$6,MATCH(A306,梦灵本体产出!$I$7:$I$30,1),0)</f>
        <v>0</v>
      </c>
      <c r="C306" s="35" t="e">
        <f ca="1">MATCH(A306,OFFSET(梦灵属性!#REF!,50*(B306-3),0))</f>
        <v>#REF!</v>
      </c>
      <c r="D306" s="55"/>
      <c r="E306" s="55"/>
      <c r="F306" s="22" t="e">
        <f ca="1">_xlfn.XLOOKUP(B306,梦灵属性!$F$38:$F$41,梦灵属性!$E$38:$E$41)*C306</f>
        <v>#N/A</v>
      </c>
      <c r="G306" s="22" t="e">
        <f ca="1">_xlfn.XLOOKUP($B306,梦灵属性!$F$38:$F$41,梦灵属性!$E$38:$E$41)*$C306</f>
        <v>#N/A</v>
      </c>
      <c r="H306" s="22"/>
      <c r="I306" s="56">
        <f ca="1">OFFSET(梦灵图鉴!F$10,MATCH(A306,梦灵图鉴!$E$11:$E$61,1),0)*SUM(梦灵属性!$E$26:$J$26)+OFFSET(梦灵图鉴!H$10,MATCH(A306,梦灵图鉴!$G$11:$G$61,1),0)*SUM(梦灵属性!$E$27:$J$27)+OFFSET(梦灵图鉴!J$10,MATCH(A306,梦灵图鉴!$I$11:$I$61,1),0)*SUM(梦灵属性!$E$28:$J$28)+OFFSET(梦灵图鉴!L$10,MATCH(A306,梦灵图鉴!$K$11:$K$61,1),0)*SUM(梦灵属性!$E$29:$J$29)</f>
        <v>14.1</v>
      </c>
      <c r="J306" s="56"/>
      <c r="K306" s="56"/>
      <c r="L306" s="22"/>
      <c r="M306" s="22"/>
      <c r="N306" s="22"/>
    </row>
    <row r="307" ht="16.5" spans="1:14">
      <c r="A307" s="54">
        <v>301</v>
      </c>
      <c r="B307" s="35">
        <f ca="1">OFFSET(梦灵本体产出!$G$6,MATCH(A307,梦灵本体产出!$I$7:$I$30,1),0)</f>
        <v>0</v>
      </c>
      <c r="C307" s="35" t="e">
        <f ca="1">MATCH(A307,OFFSET(梦灵属性!#REF!,50*(B307-3),0))</f>
        <v>#REF!</v>
      </c>
      <c r="D307" s="55"/>
      <c r="E307" s="55"/>
      <c r="F307" s="22" t="e">
        <f ca="1">_xlfn.XLOOKUP(B307,梦灵属性!$F$38:$F$41,梦灵属性!$E$38:$E$41)*C307</f>
        <v>#N/A</v>
      </c>
      <c r="G307" s="22" t="e">
        <f ca="1">_xlfn.XLOOKUP($B307,梦灵属性!$F$38:$F$41,梦灵属性!$E$38:$E$41)*$C307</f>
        <v>#N/A</v>
      </c>
      <c r="H307" s="22"/>
      <c r="I307" s="56">
        <f ca="1">OFFSET(梦灵图鉴!F$10,MATCH(A307,梦灵图鉴!$E$11:$E$61,1),0)*SUM(梦灵属性!$E$26:$J$26)+OFFSET(梦灵图鉴!H$10,MATCH(A307,梦灵图鉴!$G$11:$G$61,1),0)*SUM(梦灵属性!$E$27:$J$27)+OFFSET(梦灵图鉴!J$10,MATCH(A307,梦灵图鉴!$I$11:$I$61,1),0)*SUM(梦灵属性!$E$28:$J$28)+OFFSET(梦灵图鉴!L$10,MATCH(A307,梦灵图鉴!$K$11:$K$61,1),0)*SUM(梦灵属性!$E$29:$J$29)</f>
        <v>14.1</v>
      </c>
      <c r="J307" s="56"/>
      <c r="K307" s="56"/>
      <c r="L307" s="22"/>
      <c r="M307" s="22"/>
      <c r="N307" s="22"/>
    </row>
    <row r="308" ht="16.5" spans="1:14">
      <c r="A308" s="54">
        <v>302</v>
      </c>
      <c r="B308" s="35">
        <f ca="1">OFFSET(梦灵本体产出!$G$6,MATCH(A308,梦灵本体产出!$I$7:$I$30,1),0)</f>
        <v>0</v>
      </c>
      <c r="C308" s="35" t="e">
        <f ca="1">MATCH(A308,OFFSET(梦灵属性!#REF!,50*(B308-3),0))</f>
        <v>#REF!</v>
      </c>
      <c r="D308" s="55"/>
      <c r="E308" s="55"/>
      <c r="F308" s="22" t="e">
        <f ca="1">_xlfn.XLOOKUP(B308,梦灵属性!$F$38:$F$41,梦灵属性!$E$38:$E$41)*C308</f>
        <v>#N/A</v>
      </c>
      <c r="G308" s="22" t="e">
        <f ca="1">_xlfn.XLOOKUP($B308,梦灵属性!$F$38:$F$41,梦灵属性!$E$38:$E$41)*$C308</f>
        <v>#N/A</v>
      </c>
      <c r="H308" s="22"/>
      <c r="I308" s="56">
        <f ca="1">OFFSET(梦灵图鉴!F$10,MATCH(A308,梦灵图鉴!$E$11:$E$61,1),0)*SUM(梦灵属性!$E$26:$J$26)+OFFSET(梦灵图鉴!H$10,MATCH(A308,梦灵图鉴!$G$11:$G$61,1),0)*SUM(梦灵属性!$E$27:$J$27)+OFFSET(梦灵图鉴!J$10,MATCH(A308,梦灵图鉴!$I$11:$I$61,1),0)*SUM(梦灵属性!$E$28:$J$28)+OFFSET(梦灵图鉴!L$10,MATCH(A308,梦灵图鉴!$K$11:$K$61,1),0)*SUM(梦灵属性!$E$29:$J$29)</f>
        <v>14.1</v>
      </c>
      <c r="J308" s="56"/>
      <c r="K308" s="56"/>
      <c r="L308" s="22"/>
      <c r="M308" s="22"/>
      <c r="N308" s="22"/>
    </row>
    <row r="309" ht="16.5" spans="1:14">
      <c r="A309" s="54">
        <v>303</v>
      </c>
      <c r="B309" s="35">
        <f ca="1">OFFSET(梦灵本体产出!$G$6,MATCH(A309,梦灵本体产出!$I$7:$I$30,1),0)</f>
        <v>0</v>
      </c>
      <c r="C309" s="35" t="e">
        <f ca="1">MATCH(A309,OFFSET(梦灵属性!#REF!,50*(B309-3),0))</f>
        <v>#REF!</v>
      </c>
      <c r="D309" s="55"/>
      <c r="E309" s="55"/>
      <c r="F309" s="22" t="e">
        <f ca="1">_xlfn.XLOOKUP(B309,梦灵属性!$F$38:$F$41,梦灵属性!$E$38:$E$41)*C309</f>
        <v>#N/A</v>
      </c>
      <c r="G309" s="22" t="e">
        <f ca="1">_xlfn.XLOOKUP($B309,梦灵属性!$F$38:$F$41,梦灵属性!$E$38:$E$41)*$C309</f>
        <v>#N/A</v>
      </c>
      <c r="H309" s="22"/>
      <c r="I309" s="56">
        <f ca="1">OFFSET(梦灵图鉴!F$10,MATCH(A309,梦灵图鉴!$E$11:$E$61,1),0)*SUM(梦灵属性!$E$26:$J$26)+OFFSET(梦灵图鉴!H$10,MATCH(A309,梦灵图鉴!$G$11:$G$61,1),0)*SUM(梦灵属性!$E$27:$J$27)+OFFSET(梦灵图鉴!J$10,MATCH(A309,梦灵图鉴!$I$11:$I$61,1),0)*SUM(梦灵属性!$E$28:$J$28)+OFFSET(梦灵图鉴!L$10,MATCH(A309,梦灵图鉴!$K$11:$K$61,1),0)*SUM(梦灵属性!$E$29:$J$29)</f>
        <v>14.1</v>
      </c>
      <c r="J309" s="56"/>
      <c r="K309" s="56"/>
      <c r="L309" s="22"/>
      <c r="M309" s="22"/>
      <c r="N309" s="22"/>
    </row>
    <row r="310" ht="16.5" spans="1:14">
      <c r="A310" s="54">
        <v>304</v>
      </c>
      <c r="B310" s="35">
        <f ca="1">OFFSET(梦灵本体产出!$G$6,MATCH(A310,梦灵本体产出!$I$7:$I$30,1),0)</f>
        <v>0</v>
      </c>
      <c r="C310" s="35" t="e">
        <f ca="1">MATCH(A310,OFFSET(梦灵属性!#REF!,50*(B310-3),0))</f>
        <v>#REF!</v>
      </c>
      <c r="D310" s="55"/>
      <c r="E310" s="55"/>
      <c r="F310" s="22" t="e">
        <f ca="1">_xlfn.XLOOKUP(B310,梦灵属性!$F$38:$F$41,梦灵属性!$E$38:$E$41)*C310</f>
        <v>#N/A</v>
      </c>
      <c r="G310" s="22" t="e">
        <f ca="1">_xlfn.XLOOKUP($B310,梦灵属性!$F$38:$F$41,梦灵属性!$E$38:$E$41)*$C310</f>
        <v>#N/A</v>
      </c>
      <c r="H310" s="22"/>
      <c r="I310" s="56">
        <f ca="1">OFFSET(梦灵图鉴!F$10,MATCH(A310,梦灵图鉴!$E$11:$E$61,1),0)*SUM(梦灵属性!$E$26:$J$26)+OFFSET(梦灵图鉴!H$10,MATCH(A310,梦灵图鉴!$G$11:$G$61,1),0)*SUM(梦灵属性!$E$27:$J$27)+OFFSET(梦灵图鉴!J$10,MATCH(A310,梦灵图鉴!$I$11:$I$61,1),0)*SUM(梦灵属性!$E$28:$J$28)+OFFSET(梦灵图鉴!L$10,MATCH(A310,梦灵图鉴!$K$11:$K$61,1),0)*SUM(梦灵属性!$E$29:$J$29)</f>
        <v>14.1</v>
      </c>
      <c r="J310" s="56"/>
      <c r="K310" s="56"/>
      <c r="L310" s="22"/>
      <c r="M310" s="22"/>
      <c r="N310" s="22"/>
    </row>
    <row r="311" ht="16.5" spans="1:14">
      <c r="A311" s="54">
        <v>305</v>
      </c>
      <c r="B311" s="35">
        <f ca="1">OFFSET(梦灵本体产出!$G$6,MATCH(A311,梦灵本体产出!$I$7:$I$30,1),0)</f>
        <v>0</v>
      </c>
      <c r="C311" s="35" t="e">
        <f ca="1">MATCH(A311,OFFSET(梦灵属性!#REF!,50*(B311-3),0))</f>
        <v>#REF!</v>
      </c>
      <c r="D311" s="55"/>
      <c r="E311" s="55"/>
      <c r="F311" s="22" t="e">
        <f ca="1">_xlfn.XLOOKUP(B311,梦灵属性!$F$38:$F$41,梦灵属性!$E$38:$E$41)*C311</f>
        <v>#N/A</v>
      </c>
      <c r="G311" s="22" t="e">
        <f ca="1">_xlfn.XLOOKUP($B311,梦灵属性!$F$38:$F$41,梦灵属性!$E$38:$E$41)*$C311</f>
        <v>#N/A</v>
      </c>
      <c r="H311" s="22"/>
      <c r="I311" s="56">
        <f ca="1">OFFSET(梦灵图鉴!F$10,MATCH(A311,梦灵图鉴!$E$11:$E$61,1),0)*SUM(梦灵属性!$E$26:$J$26)+OFFSET(梦灵图鉴!H$10,MATCH(A311,梦灵图鉴!$G$11:$G$61,1),0)*SUM(梦灵属性!$E$27:$J$27)+OFFSET(梦灵图鉴!J$10,MATCH(A311,梦灵图鉴!$I$11:$I$61,1),0)*SUM(梦灵属性!$E$28:$J$28)+OFFSET(梦灵图鉴!L$10,MATCH(A311,梦灵图鉴!$K$11:$K$61,1),0)*SUM(梦灵属性!$E$29:$J$29)</f>
        <v>14.1</v>
      </c>
      <c r="J311" s="56"/>
      <c r="K311" s="56"/>
      <c r="L311" s="22"/>
      <c r="M311" s="22"/>
      <c r="N311" s="22"/>
    </row>
    <row r="312" ht="16.5" spans="1:14">
      <c r="A312" s="54">
        <v>306</v>
      </c>
      <c r="B312" s="35">
        <f ca="1">OFFSET(梦灵本体产出!$G$6,MATCH(A312,梦灵本体产出!$I$7:$I$30,1),0)</f>
        <v>0</v>
      </c>
      <c r="C312" s="35" t="e">
        <f ca="1">MATCH(A312,OFFSET(梦灵属性!#REF!,50*(B312-3),0))</f>
        <v>#REF!</v>
      </c>
      <c r="D312" s="55"/>
      <c r="E312" s="55"/>
      <c r="F312" s="22" t="e">
        <f ca="1">_xlfn.XLOOKUP(B312,梦灵属性!$F$38:$F$41,梦灵属性!$E$38:$E$41)*C312</f>
        <v>#N/A</v>
      </c>
      <c r="G312" s="22" t="e">
        <f ca="1">_xlfn.XLOOKUP($B312,梦灵属性!$F$38:$F$41,梦灵属性!$E$38:$E$41)*$C312</f>
        <v>#N/A</v>
      </c>
      <c r="H312" s="22"/>
      <c r="I312" s="56">
        <f ca="1">OFFSET(梦灵图鉴!F$10,MATCH(A312,梦灵图鉴!$E$11:$E$61,1),0)*SUM(梦灵属性!$E$26:$J$26)+OFFSET(梦灵图鉴!H$10,MATCH(A312,梦灵图鉴!$G$11:$G$61,1),0)*SUM(梦灵属性!$E$27:$J$27)+OFFSET(梦灵图鉴!J$10,MATCH(A312,梦灵图鉴!$I$11:$I$61,1),0)*SUM(梦灵属性!$E$28:$J$28)+OFFSET(梦灵图鉴!L$10,MATCH(A312,梦灵图鉴!$K$11:$K$61,1),0)*SUM(梦灵属性!$E$29:$J$29)</f>
        <v>14.1</v>
      </c>
      <c r="J312" s="56"/>
      <c r="K312" s="56"/>
      <c r="L312" s="22"/>
      <c r="M312" s="22"/>
      <c r="N312" s="22"/>
    </row>
    <row r="313" ht="16.5" spans="1:14">
      <c r="A313" s="54">
        <v>307</v>
      </c>
      <c r="B313" s="35">
        <f ca="1">OFFSET(梦灵本体产出!$G$6,MATCH(A313,梦灵本体产出!$I$7:$I$30,1),0)</f>
        <v>0</v>
      </c>
      <c r="C313" s="35" t="e">
        <f ca="1">MATCH(A313,OFFSET(梦灵属性!#REF!,50*(B313-3),0))</f>
        <v>#REF!</v>
      </c>
      <c r="D313" s="55"/>
      <c r="E313" s="55"/>
      <c r="F313" s="22" t="e">
        <f ca="1">_xlfn.XLOOKUP(B313,梦灵属性!$F$38:$F$41,梦灵属性!$E$38:$E$41)*C313</f>
        <v>#N/A</v>
      </c>
      <c r="G313" s="22" t="e">
        <f ca="1">_xlfn.XLOOKUP($B313,梦灵属性!$F$38:$F$41,梦灵属性!$E$38:$E$41)*$C313</f>
        <v>#N/A</v>
      </c>
      <c r="H313" s="22"/>
      <c r="I313" s="56">
        <f ca="1">OFFSET(梦灵图鉴!F$10,MATCH(A313,梦灵图鉴!$E$11:$E$61,1),0)*SUM(梦灵属性!$E$26:$J$26)+OFFSET(梦灵图鉴!H$10,MATCH(A313,梦灵图鉴!$G$11:$G$61,1),0)*SUM(梦灵属性!$E$27:$J$27)+OFFSET(梦灵图鉴!J$10,MATCH(A313,梦灵图鉴!$I$11:$I$61,1),0)*SUM(梦灵属性!$E$28:$J$28)+OFFSET(梦灵图鉴!L$10,MATCH(A313,梦灵图鉴!$K$11:$K$61,1),0)*SUM(梦灵属性!$E$29:$J$29)</f>
        <v>14.1</v>
      </c>
      <c r="J313" s="56"/>
      <c r="K313" s="56"/>
      <c r="L313" s="22"/>
      <c r="M313" s="22"/>
      <c r="N313" s="22"/>
    </row>
    <row r="314" ht="16.5" spans="1:14">
      <c r="A314" s="54">
        <v>308</v>
      </c>
      <c r="B314" s="35">
        <f ca="1">OFFSET(梦灵本体产出!$G$6,MATCH(A314,梦灵本体产出!$I$7:$I$30,1),0)</f>
        <v>0</v>
      </c>
      <c r="C314" s="35" t="e">
        <f ca="1">MATCH(A314,OFFSET(梦灵属性!#REF!,50*(B314-3),0))</f>
        <v>#REF!</v>
      </c>
      <c r="D314" s="55"/>
      <c r="E314" s="55"/>
      <c r="F314" s="22" t="e">
        <f ca="1">_xlfn.XLOOKUP(B314,梦灵属性!$F$38:$F$41,梦灵属性!$E$38:$E$41)*C314</f>
        <v>#N/A</v>
      </c>
      <c r="G314" s="22" t="e">
        <f ca="1">_xlfn.XLOOKUP($B314,梦灵属性!$F$38:$F$41,梦灵属性!$E$38:$E$41)*$C314</f>
        <v>#N/A</v>
      </c>
      <c r="H314" s="22"/>
      <c r="I314" s="56">
        <f ca="1">OFFSET(梦灵图鉴!F$10,MATCH(A314,梦灵图鉴!$E$11:$E$61,1),0)*SUM(梦灵属性!$E$26:$J$26)+OFFSET(梦灵图鉴!H$10,MATCH(A314,梦灵图鉴!$G$11:$G$61,1),0)*SUM(梦灵属性!$E$27:$J$27)+OFFSET(梦灵图鉴!J$10,MATCH(A314,梦灵图鉴!$I$11:$I$61,1),0)*SUM(梦灵属性!$E$28:$J$28)+OFFSET(梦灵图鉴!L$10,MATCH(A314,梦灵图鉴!$K$11:$K$61,1),0)*SUM(梦灵属性!$E$29:$J$29)</f>
        <v>14.1</v>
      </c>
      <c r="J314" s="56"/>
      <c r="K314" s="56"/>
      <c r="L314" s="22"/>
      <c r="M314" s="22"/>
      <c r="N314" s="22"/>
    </row>
    <row r="315" ht="16.5" spans="1:14">
      <c r="A315" s="54">
        <v>309</v>
      </c>
      <c r="B315" s="35">
        <f ca="1">OFFSET(梦灵本体产出!$G$6,MATCH(A315,梦灵本体产出!$I$7:$I$30,1),0)</f>
        <v>0</v>
      </c>
      <c r="C315" s="35" t="e">
        <f ca="1">MATCH(A315,OFFSET(梦灵属性!#REF!,50*(B315-3),0))</f>
        <v>#REF!</v>
      </c>
      <c r="D315" s="55"/>
      <c r="E315" s="55"/>
      <c r="F315" s="22" t="e">
        <f ca="1">_xlfn.XLOOKUP(B315,梦灵属性!$F$38:$F$41,梦灵属性!$E$38:$E$41)*C315</f>
        <v>#N/A</v>
      </c>
      <c r="G315" s="22" t="e">
        <f ca="1">_xlfn.XLOOKUP($B315,梦灵属性!$F$38:$F$41,梦灵属性!$E$38:$E$41)*$C315</f>
        <v>#N/A</v>
      </c>
      <c r="H315" s="22"/>
      <c r="I315" s="56">
        <f ca="1">OFFSET(梦灵图鉴!F$10,MATCH(A315,梦灵图鉴!$E$11:$E$61,1),0)*SUM(梦灵属性!$E$26:$J$26)+OFFSET(梦灵图鉴!H$10,MATCH(A315,梦灵图鉴!$G$11:$G$61,1),0)*SUM(梦灵属性!$E$27:$J$27)+OFFSET(梦灵图鉴!J$10,MATCH(A315,梦灵图鉴!$I$11:$I$61,1),0)*SUM(梦灵属性!$E$28:$J$28)+OFFSET(梦灵图鉴!L$10,MATCH(A315,梦灵图鉴!$K$11:$K$61,1),0)*SUM(梦灵属性!$E$29:$J$29)</f>
        <v>14.1</v>
      </c>
      <c r="J315" s="56"/>
      <c r="K315" s="56"/>
      <c r="L315" s="22"/>
      <c r="M315" s="22"/>
      <c r="N315" s="22"/>
    </row>
    <row r="316" ht="16.5" spans="1:14">
      <c r="A316" s="54">
        <v>310</v>
      </c>
      <c r="B316" s="35">
        <f ca="1">OFFSET(梦灵本体产出!$G$6,MATCH(A316,梦灵本体产出!$I$7:$I$30,1),0)</f>
        <v>0</v>
      </c>
      <c r="C316" s="35" t="e">
        <f ca="1">MATCH(A316,OFFSET(梦灵属性!#REF!,50*(B316-3),0))</f>
        <v>#REF!</v>
      </c>
      <c r="D316" s="55"/>
      <c r="E316" s="55"/>
      <c r="F316" s="22" t="e">
        <f ca="1">_xlfn.XLOOKUP(B316,梦灵属性!$F$38:$F$41,梦灵属性!$E$38:$E$41)*C316</f>
        <v>#N/A</v>
      </c>
      <c r="G316" s="22" t="e">
        <f ca="1">_xlfn.XLOOKUP($B316,梦灵属性!$F$38:$F$41,梦灵属性!$E$38:$E$41)*$C316</f>
        <v>#N/A</v>
      </c>
      <c r="H316" s="22"/>
      <c r="I316" s="56">
        <f ca="1">OFFSET(梦灵图鉴!F$10,MATCH(A316,梦灵图鉴!$E$11:$E$61,1),0)*SUM(梦灵属性!$E$26:$J$26)+OFFSET(梦灵图鉴!H$10,MATCH(A316,梦灵图鉴!$G$11:$G$61,1),0)*SUM(梦灵属性!$E$27:$J$27)+OFFSET(梦灵图鉴!J$10,MATCH(A316,梦灵图鉴!$I$11:$I$61,1),0)*SUM(梦灵属性!$E$28:$J$28)+OFFSET(梦灵图鉴!L$10,MATCH(A316,梦灵图鉴!$K$11:$K$61,1),0)*SUM(梦灵属性!$E$29:$J$29)</f>
        <v>14.1</v>
      </c>
      <c r="J316" s="56"/>
      <c r="K316" s="56"/>
      <c r="L316" s="22"/>
      <c r="M316" s="22"/>
      <c r="N316" s="22"/>
    </row>
    <row r="317" ht="16.5" spans="1:14">
      <c r="A317" s="54">
        <v>311</v>
      </c>
      <c r="B317" s="35">
        <f ca="1">OFFSET(梦灵本体产出!$G$6,MATCH(A317,梦灵本体产出!$I$7:$I$30,1),0)</f>
        <v>0</v>
      </c>
      <c r="C317" s="35" t="e">
        <f ca="1">MATCH(A317,OFFSET(梦灵属性!#REF!,50*(B317-3),0))</f>
        <v>#REF!</v>
      </c>
      <c r="D317" s="55"/>
      <c r="E317" s="55"/>
      <c r="F317" s="22" t="e">
        <f ca="1">_xlfn.XLOOKUP(B317,梦灵属性!$F$38:$F$41,梦灵属性!$E$38:$E$41)*C317</f>
        <v>#N/A</v>
      </c>
      <c r="G317" s="22" t="e">
        <f ca="1">_xlfn.XLOOKUP($B317,梦灵属性!$F$38:$F$41,梦灵属性!$E$38:$E$41)*$C317</f>
        <v>#N/A</v>
      </c>
      <c r="H317" s="22"/>
      <c r="I317" s="56">
        <f ca="1">OFFSET(梦灵图鉴!F$10,MATCH(A317,梦灵图鉴!$E$11:$E$61,1),0)*SUM(梦灵属性!$E$26:$J$26)+OFFSET(梦灵图鉴!H$10,MATCH(A317,梦灵图鉴!$G$11:$G$61,1),0)*SUM(梦灵属性!$E$27:$J$27)+OFFSET(梦灵图鉴!J$10,MATCH(A317,梦灵图鉴!$I$11:$I$61,1),0)*SUM(梦灵属性!$E$28:$J$28)+OFFSET(梦灵图鉴!L$10,MATCH(A317,梦灵图鉴!$K$11:$K$61,1),0)*SUM(梦灵属性!$E$29:$J$29)</f>
        <v>14.1</v>
      </c>
      <c r="J317" s="56"/>
      <c r="K317" s="56"/>
      <c r="L317" s="22"/>
      <c r="M317" s="22"/>
      <c r="N317" s="22"/>
    </row>
    <row r="318" ht="16.5" spans="1:14">
      <c r="A318" s="54">
        <v>312</v>
      </c>
      <c r="B318" s="35">
        <f ca="1">OFFSET(梦灵本体产出!$G$6,MATCH(A318,梦灵本体产出!$I$7:$I$30,1),0)</f>
        <v>0</v>
      </c>
      <c r="C318" s="35" t="e">
        <f ca="1">MATCH(A318,OFFSET(梦灵属性!#REF!,50*(B318-3),0))</f>
        <v>#REF!</v>
      </c>
      <c r="D318" s="55"/>
      <c r="E318" s="55"/>
      <c r="F318" s="22" t="e">
        <f ca="1">_xlfn.XLOOKUP(B318,梦灵属性!$F$38:$F$41,梦灵属性!$E$38:$E$41)*C318</f>
        <v>#N/A</v>
      </c>
      <c r="G318" s="22" t="e">
        <f ca="1">_xlfn.XLOOKUP($B318,梦灵属性!$F$38:$F$41,梦灵属性!$E$38:$E$41)*$C318</f>
        <v>#N/A</v>
      </c>
      <c r="H318" s="22"/>
      <c r="I318" s="56">
        <f ca="1">OFFSET(梦灵图鉴!F$10,MATCH(A318,梦灵图鉴!$E$11:$E$61,1),0)*SUM(梦灵属性!$E$26:$J$26)+OFFSET(梦灵图鉴!H$10,MATCH(A318,梦灵图鉴!$G$11:$G$61,1),0)*SUM(梦灵属性!$E$27:$J$27)+OFFSET(梦灵图鉴!J$10,MATCH(A318,梦灵图鉴!$I$11:$I$61,1),0)*SUM(梦灵属性!$E$28:$J$28)+OFFSET(梦灵图鉴!L$10,MATCH(A318,梦灵图鉴!$K$11:$K$61,1),0)*SUM(梦灵属性!$E$29:$J$29)</f>
        <v>14.1</v>
      </c>
      <c r="J318" s="56"/>
      <c r="K318" s="56"/>
      <c r="L318" s="22"/>
      <c r="M318" s="22"/>
      <c r="N318" s="22"/>
    </row>
    <row r="319" ht="16.5" spans="1:14">
      <c r="A319" s="54">
        <v>313</v>
      </c>
      <c r="B319" s="35">
        <f ca="1">OFFSET(梦灵本体产出!$G$6,MATCH(A319,梦灵本体产出!$I$7:$I$30,1),0)</f>
        <v>0</v>
      </c>
      <c r="C319" s="35" t="e">
        <f ca="1">MATCH(A319,OFFSET(梦灵属性!#REF!,50*(B319-3),0))</f>
        <v>#REF!</v>
      </c>
      <c r="D319" s="55"/>
      <c r="E319" s="55"/>
      <c r="F319" s="22" t="e">
        <f ca="1">_xlfn.XLOOKUP(B319,梦灵属性!$F$38:$F$41,梦灵属性!$E$38:$E$41)*C319</f>
        <v>#N/A</v>
      </c>
      <c r="G319" s="22" t="e">
        <f ca="1">_xlfn.XLOOKUP($B319,梦灵属性!$F$38:$F$41,梦灵属性!$E$38:$E$41)*$C319</f>
        <v>#N/A</v>
      </c>
      <c r="H319" s="22"/>
      <c r="I319" s="56">
        <f ca="1">OFFSET(梦灵图鉴!F$10,MATCH(A319,梦灵图鉴!$E$11:$E$61,1),0)*SUM(梦灵属性!$E$26:$J$26)+OFFSET(梦灵图鉴!H$10,MATCH(A319,梦灵图鉴!$G$11:$G$61,1),0)*SUM(梦灵属性!$E$27:$J$27)+OFFSET(梦灵图鉴!J$10,MATCH(A319,梦灵图鉴!$I$11:$I$61,1),0)*SUM(梦灵属性!$E$28:$J$28)+OFFSET(梦灵图鉴!L$10,MATCH(A319,梦灵图鉴!$K$11:$K$61,1),0)*SUM(梦灵属性!$E$29:$J$29)</f>
        <v>14.1</v>
      </c>
      <c r="J319" s="56"/>
      <c r="K319" s="56"/>
      <c r="L319" s="22"/>
      <c r="M319" s="22"/>
      <c r="N319" s="22"/>
    </row>
    <row r="320" ht="16.5" spans="1:14">
      <c r="A320" s="54">
        <v>314</v>
      </c>
      <c r="B320" s="35">
        <f ca="1">OFFSET(梦灵本体产出!$G$6,MATCH(A320,梦灵本体产出!$I$7:$I$30,1),0)</f>
        <v>0</v>
      </c>
      <c r="C320" s="35" t="e">
        <f ca="1">MATCH(A320,OFFSET(梦灵属性!#REF!,50*(B320-3),0))</f>
        <v>#REF!</v>
      </c>
      <c r="D320" s="55"/>
      <c r="E320" s="55"/>
      <c r="F320" s="22" t="e">
        <f ca="1">_xlfn.XLOOKUP(B320,梦灵属性!$F$38:$F$41,梦灵属性!$E$38:$E$41)*C320</f>
        <v>#N/A</v>
      </c>
      <c r="G320" s="22" t="e">
        <f ca="1">_xlfn.XLOOKUP($B320,梦灵属性!$F$38:$F$41,梦灵属性!$E$38:$E$41)*$C320</f>
        <v>#N/A</v>
      </c>
      <c r="H320" s="22"/>
      <c r="I320" s="56">
        <f ca="1">OFFSET(梦灵图鉴!F$10,MATCH(A320,梦灵图鉴!$E$11:$E$61,1),0)*SUM(梦灵属性!$E$26:$J$26)+OFFSET(梦灵图鉴!H$10,MATCH(A320,梦灵图鉴!$G$11:$G$61,1),0)*SUM(梦灵属性!$E$27:$J$27)+OFFSET(梦灵图鉴!J$10,MATCH(A320,梦灵图鉴!$I$11:$I$61,1),0)*SUM(梦灵属性!$E$28:$J$28)+OFFSET(梦灵图鉴!L$10,MATCH(A320,梦灵图鉴!$K$11:$K$61,1),0)*SUM(梦灵属性!$E$29:$J$29)</f>
        <v>14.1</v>
      </c>
      <c r="J320" s="56"/>
      <c r="K320" s="56"/>
      <c r="L320" s="22"/>
      <c r="M320" s="22"/>
      <c r="N320" s="22"/>
    </row>
    <row r="321" ht="16.5" spans="1:14">
      <c r="A321" s="54">
        <v>315</v>
      </c>
      <c r="B321" s="35">
        <f ca="1">OFFSET(梦灵本体产出!$G$6,MATCH(A321,梦灵本体产出!$I$7:$I$30,1),0)</f>
        <v>0</v>
      </c>
      <c r="C321" s="35" t="e">
        <f ca="1">MATCH(A321,OFFSET(梦灵属性!#REF!,50*(B321-3),0))</f>
        <v>#REF!</v>
      </c>
      <c r="D321" s="55"/>
      <c r="E321" s="55"/>
      <c r="F321" s="22" t="e">
        <f ca="1">_xlfn.XLOOKUP(B321,梦灵属性!$F$38:$F$41,梦灵属性!$E$38:$E$41)*C321</f>
        <v>#N/A</v>
      </c>
      <c r="G321" s="22" t="e">
        <f ca="1">_xlfn.XLOOKUP($B321,梦灵属性!$F$38:$F$41,梦灵属性!$E$38:$E$41)*$C321</f>
        <v>#N/A</v>
      </c>
      <c r="H321" s="22"/>
      <c r="I321" s="56">
        <f ca="1">OFFSET(梦灵图鉴!F$10,MATCH(A321,梦灵图鉴!$E$11:$E$61,1),0)*SUM(梦灵属性!$E$26:$J$26)+OFFSET(梦灵图鉴!H$10,MATCH(A321,梦灵图鉴!$G$11:$G$61,1),0)*SUM(梦灵属性!$E$27:$J$27)+OFFSET(梦灵图鉴!J$10,MATCH(A321,梦灵图鉴!$I$11:$I$61,1),0)*SUM(梦灵属性!$E$28:$J$28)+OFFSET(梦灵图鉴!L$10,MATCH(A321,梦灵图鉴!$K$11:$K$61,1),0)*SUM(梦灵属性!$E$29:$J$29)</f>
        <v>14.1</v>
      </c>
      <c r="J321" s="56"/>
      <c r="K321" s="56"/>
      <c r="L321" s="22"/>
      <c r="M321" s="22"/>
      <c r="N321" s="22"/>
    </row>
    <row r="322" ht="16.5" spans="1:14">
      <c r="A322" s="54">
        <v>316</v>
      </c>
      <c r="B322" s="35">
        <f ca="1">OFFSET(梦灵本体产出!$G$6,MATCH(A322,梦灵本体产出!$I$7:$I$30,1),0)</f>
        <v>0</v>
      </c>
      <c r="C322" s="35" t="e">
        <f ca="1">MATCH(A322,OFFSET(梦灵属性!#REF!,50*(B322-3),0))</f>
        <v>#REF!</v>
      </c>
      <c r="D322" s="55"/>
      <c r="E322" s="55"/>
      <c r="F322" s="22" t="e">
        <f ca="1">_xlfn.XLOOKUP(B322,梦灵属性!$F$38:$F$41,梦灵属性!$E$38:$E$41)*C322</f>
        <v>#N/A</v>
      </c>
      <c r="G322" s="22" t="e">
        <f ca="1">_xlfn.XLOOKUP($B322,梦灵属性!$F$38:$F$41,梦灵属性!$E$38:$E$41)*$C322</f>
        <v>#N/A</v>
      </c>
      <c r="H322" s="22"/>
      <c r="I322" s="56">
        <f ca="1">OFFSET(梦灵图鉴!F$10,MATCH(A322,梦灵图鉴!$E$11:$E$61,1),0)*SUM(梦灵属性!$E$26:$J$26)+OFFSET(梦灵图鉴!H$10,MATCH(A322,梦灵图鉴!$G$11:$G$61,1),0)*SUM(梦灵属性!$E$27:$J$27)+OFFSET(梦灵图鉴!J$10,MATCH(A322,梦灵图鉴!$I$11:$I$61,1),0)*SUM(梦灵属性!$E$28:$J$28)+OFFSET(梦灵图鉴!L$10,MATCH(A322,梦灵图鉴!$K$11:$K$61,1),0)*SUM(梦灵属性!$E$29:$J$29)</f>
        <v>14.1</v>
      </c>
      <c r="J322" s="56"/>
      <c r="K322" s="56"/>
      <c r="L322" s="22"/>
      <c r="M322" s="22"/>
      <c r="N322" s="22"/>
    </row>
    <row r="323" ht="16.5" spans="1:14">
      <c r="A323" s="54">
        <v>317</v>
      </c>
      <c r="B323" s="35">
        <f ca="1">OFFSET(梦灵本体产出!$G$6,MATCH(A323,梦灵本体产出!$I$7:$I$30,1),0)</f>
        <v>0</v>
      </c>
      <c r="C323" s="35" t="e">
        <f ca="1">MATCH(A323,OFFSET(梦灵属性!#REF!,50*(B323-3),0))</f>
        <v>#REF!</v>
      </c>
      <c r="D323" s="55"/>
      <c r="E323" s="55"/>
      <c r="F323" s="22" t="e">
        <f ca="1">_xlfn.XLOOKUP(B323,梦灵属性!$F$38:$F$41,梦灵属性!$E$38:$E$41)*C323</f>
        <v>#N/A</v>
      </c>
      <c r="G323" s="22" t="e">
        <f ca="1">_xlfn.XLOOKUP($B323,梦灵属性!$F$38:$F$41,梦灵属性!$E$38:$E$41)*$C323</f>
        <v>#N/A</v>
      </c>
      <c r="H323" s="22"/>
      <c r="I323" s="56">
        <f ca="1">OFFSET(梦灵图鉴!F$10,MATCH(A323,梦灵图鉴!$E$11:$E$61,1),0)*SUM(梦灵属性!$E$26:$J$26)+OFFSET(梦灵图鉴!H$10,MATCH(A323,梦灵图鉴!$G$11:$G$61,1),0)*SUM(梦灵属性!$E$27:$J$27)+OFFSET(梦灵图鉴!J$10,MATCH(A323,梦灵图鉴!$I$11:$I$61,1),0)*SUM(梦灵属性!$E$28:$J$28)+OFFSET(梦灵图鉴!L$10,MATCH(A323,梦灵图鉴!$K$11:$K$61,1),0)*SUM(梦灵属性!$E$29:$J$29)</f>
        <v>14.1</v>
      </c>
      <c r="J323" s="56"/>
      <c r="K323" s="56"/>
      <c r="L323" s="22"/>
      <c r="M323" s="22"/>
      <c r="N323" s="22"/>
    </row>
    <row r="324" ht="16.5" spans="1:14">
      <c r="A324" s="54">
        <v>318</v>
      </c>
      <c r="B324" s="35">
        <f ca="1">OFFSET(梦灵本体产出!$G$6,MATCH(A324,梦灵本体产出!$I$7:$I$30,1),0)</f>
        <v>0</v>
      </c>
      <c r="C324" s="35" t="e">
        <f ca="1">MATCH(A324,OFFSET(梦灵属性!#REF!,50*(B324-3),0))</f>
        <v>#REF!</v>
      </c>
      <c r="D324" s="55"/>
      <c r="E324" s="55"/>
      <c r="F324" s="22" t="e">
        <f ca="1">_xlfn.XLOOKUP(B324,梦灵属性!$F$38:$F$41,梦灵属性!$E$38:$E$41)*C324</f>
        <v>#N/A</v>
      </c>
      <c r="G324" s="22" t="e">
        <f ca="1">_xlfn.XLOOKUP($B324,梦灵属性!$F$38:$F$41,梦灵属性!$E$38:$E$41)*$C324</f>
        <v>#N/A</v>
      </c>
      <c r="H324" s="22"/>
      <c r="I324" s="56">
        <f ca="1">OFFSET(梦灵图鉴!F$10,MATCH(A324,梦灵图鉴!$E$11:$E$61,1),0)*SUM(梦灵属性!$E$26:$J$26)+OFFSET(梦灵图鉴!H$10,MATCH(A324,梦灵图鉴!$G$11:$G$61,1),0)*SUM(梦灵属性!$E$27:$J$27)+OFFSET(梦灵图鉴!J$10,MATCH(A324,梦灵图鉴!$I$11:$I$61,1),0)*SUM(梦灵属性!$E$28:$J$28)+OFFSET(梦灵图鉴!L$10,MATCH(A324,梦灵图鉴!$K$11:$K$61,1),0)*SUM(梦灵属性!$E$29:$J$29)</f>
        <v>14.1</v>
      </c>
      <c r="J324" s="56"/>
      <c r="K324" s="56"/>
      <c r="L324" s="22"/>
      <c r="M324" s="22"/>
      <c r="N324" s="22"/>
    </row>
    <row r="325" ht="16.5" spans="1:14">
      <c r="A325" s="54">
        <v>319</v>
      </c>
      <c r="B325" s="35">
        <f ca="1">OFFSET(梦灵本体产出!$G$6,MATCH(A325,梦灵本体产出!$I$7:$I$30,1),0)</f>
        <v>0</v>
      </c>
      <c r="C325" s="35" t="e">
        <f ca="1">MATCH(A325,OFFSET(梦灵属性!#REF!,50*(B325-3),0))</f>
        <v>#REF!</v>
      </c>
      <c r="D325" s="55"/>
      <c r="E325" s="55"/>
      <c r="F325" s="22" t="e">
        <f ca="1">_xlfn.XLOOKUP(B325,梦灵属性!$F$38:$F$41,梦灵属性!$E$38:$E$41)*C325</f>
        <v>#N/A</v>
      </c>
      <c r="G325" s="22" t="e">
        <f ca="1">_xlfn.XLOOKUP($B325,梦灵属性!$F$38:$F$41,梦灵属性!$E$38:$E$41)*$C325</f>
        <v>#N/A</v>
      </c>
      <c r="H325" s="22"/>
      <c r="I325" s="56">
        <f ca="1">OFFSET(梦灵图鉴!F$10,MATCH(A325,梦灵图鉴!$E$11:$E$61,1),0)*SUM(梦灵属性!$E$26:$J$26)+OFFSET(梦灵图鉴!H$10,MATCH(A325,梦灵图鉴!$G$11:$G$61,1),0)*SUM(梦灵属性!$E$27:$J$27)+OFFSET(梦灵图鉴!J$10,MATCH(A325,梦灵图鉴!$I$11:$I$61,1),0)*SUM(梦灵属性!$E$28:$J$28)+OFFSET(梦灵图鉴!L$10,MATCH(A325,梦灵图鉴!$K$11:$K$61,1),0)*SUM(梦灵属性!$E$29:$J$29)</f>
        <v>14.1</v>
      </c>
      <c r="J325" s="56"/>
      <c r="K325" s="56"/>
      <c r="L325" s="22"/>
      <c r="M325" s="22"/>
      <c r="N325" s="22"/>
    </row>
    <row r="326" ht="16.5" spans="1:14">
      <c r="A326" s="54">
        <v>320</v>
      </c>
      <c r="B326" s="35">
        <f ca="1">OFFSET(梦灵本体产出!$G$6,MATCH(A326,梦灵本体产出!$I$7:$I$30,1),0)</f>
        <v>0</v>
      </c>
      <c r="C326" s="35" t="e">
        <f ca="1">MATCH(A326,OFFSET(梦灵属性!#REF!,50*(B326-3),0))</f>
        <v>#REF!</v>
      </c>
      <c r="D326" s="55"/>
      <c r="E326" s="55"/>
      <c r="F326" s="22" t="e">
        <f ca="1">_xlfn.XLOOKUP(B326,梦灵属性!$F$38:$F$41,梦灵属性!$E$38:$E$41)*C326</f>
        <v>#N/A</v>
      </c>
      <c r="G326" s="22" t="e">
        <f ca="1">_xlfn.XLOOKUP($B326,梦灵属性!$F$38:$F$41,梦灵属性!$E$38:$E$41)*$C326</f>
        <v>#N/A</v>
      </c>
      <c r="H326" s="22"/>
      <c r="I326" s="56">
        <f ca="1">OFFSET(梦灵图鉴!F$10,MATCH(A326,梦灵图鉴!$E$11:$E$61,1),0)*SUM(梦灵属性!$E$26:$J$26)+OFFSET(梦灵图鉴!H$10,MATCH(A326,梦灵图鉴!$G$11:$G$61,1),0)*SUM(梦灵属性!$E$27:$J$27)+OFFSET(梦灵图鉴!J$10,MATCH(A326,梦灵图鉴!$I$11:$I$61,1),0)*SUM(梦灵属性!$E$28:$J$28)+OFFSET(梦灵图鉴!L$10,MATCH(A326,梦灵图鉴!$K$11:$K$61,1),0)*SUM(梦灵属性!$E$29:$J$29)</f>
        <v>14.1</v>
      </c>
      <c r="J326" s="56"/>
      <c r="K326" s="56"/>
      <c r="L326" s="22"/>
      <c r="M326" s="22"/>
      <c r="N326" s="22"/>
    </row>
    <row r="327" ht="16.5" spans="1:14">
      <c r="A327" s="54">
        <v>321</v>
      </c>
      <c r="B327" s="35">
        <f ca="1">OFFSET(梦灵本体产出!$G$6,MATCH(A327,梦灵本体产出!$I$7:$I$30,1),0)</f>
        <v>0</v>
      </c>
      <c r="C327" s="35" t="e">
        <f ca="1">MATCH(A327,OFFSET(梦灵属性!#REF!,50*(B327-3),0))</f>
        <v>#REF!</v>
      </c>
      <c r="D327" s="55"/>
      <c r="E327" s="55"/>
      <c r="F327" s="22" t="e">
        <f ca="1">_xlfn.XLOOKUP(B327,梦灵属性!$F$38:$F$41,梦灵属性!$E$38:$E$41)*C327</f>
        <v>#N/A</v>
      </c>
      <c r="G327" s="22" t="e">
        <f ca="1">_xlfn.XLOOKUP($B327,梦灵属性!$F$38:$F$41,梦灵属性!$E$38:$E$41)*$C327</f>
        <v>#N/A</v>
      </c>
      <c r="H327" s="22"/>
      <c r="I327" s="56">
        <f ca="1">OFFSET(梦灵图鉴!F$10,MATCH(A327,梦灵图鉴!$E$11:$E$61,1),0)*SUM(梦灵属性!$E$26:$J$26)+OFFSET(梦灵图鉴!H$10,MATCH(A327,梦灵图鉴!$G$11:$G$61,1),0)*SUM(梦灵属性!$E$27:$J$27)+OFFSET(梦灵图鉴!J$10,MATCH(A327,梦灵图鉴!$I$11:$I$61,1),0)*SUM(梦灵属性!$E$28:$J$28)+OFFSET(梦灵图鉴!L$10,MATCH(A327,梦灵图鉴!$K$11:$K$61,1),0)*SUM(梦灵属性!$E$29:$J$29)</f>
        <v>14.1</v>
      </c>
      <c r="J327" s="56"/>
      <c r="K327" s="56"/>
      <c r="L327" s="22"/>
      <c r="M327" s="22"/>
      <c r="N327" s="22"/>
    </row>
    <row r="328" ht="16.5" spans="1:14">
      <c r="A328" s="54">
        <v>322</v>
      </c>
      <c r="B328" s="35">
        <f ca="1">OFFSET(梦灵本体产出!$G$6,MATCH(A328,梦灵本体产出!$I$7:$I$30,1),0)</f>
        <v>0</v>
      </c>
      <c r="C328" s="35" t="e">
        <f ca="1">MATCH(A328,OFFSET(梦灵属性!#REF!,50*(B328-3),0))</f>
        <v>#REF!</v>
      </c>
      <c r="D328" s="55"/>
      <c r="E328" s="55"/>
      <c r="F328" s="22" t="e">
        <f ca="1">_xlfn.XLOOKUP(B328,梦灵属性!$F$38:$F$41,梦灵属性!$E$38:$E$41)*C328</f>
        <v>#N/A</v>
      </c>
      <c r="G328" s="22" t="e">
        <f ca="1">_xlfn.XLOOKUP($B328,梦灵属性!$F$38:$F$41,梦灵属性!$E$38:$E$41)*$C328</f>
        <v>#N/A</v>
      </c>
      <c r="H328" s="22"/>
      <c r="I328" s="56">
        <f ca="1">OFFSET(梦灵图鉴!F$10,MATCH(A328,梦灵图鉴!$E$11:$E$61,1),0)*SUM(梦灵属性!$E$26:$J$26)+OFFSET(梦灵图鉴!H$10,MATCH(A328,梦灵图鉴!$G$11:$G$61,1),0)*SUM(梦灵属性!$E$27:$J$27)+OFFSET(梦灵图鉴!J$10,MATCH(A328,梦灵图鉴!$I$11:$I$61,1),0)*SUM(梦灵属性!$E$28:$J$28)+OFFSET(梦灵图鉴!L$10,MATCH(A328,梦灵图鉴!$K$11:$K$61,1),0)*SUM(梦灵属性!$E$29:$J$29)</f>
        <v>14.1</v>
      </c>
      <c r="J328" s="56"/>
      <c r="K328" s="56"/>
      <c r="L328" s="22"/>
      <c r="M328" s="22"/>
      <c r="N328" s="22"/>
    </row>
    <row r="329" ht="16.5" spans="1:14">
      <c r="A329" s="54">
        <v>323</v>
      </c>
      <c r="B329" s="35">
        <f ca="1">OFFSET(梦灵本体产出!$G$6,MATCH(A329,梦灵本体产出!$I$7:$I$30,1),0)</f>
        <v>0</v>
      </c>
      <c r="C329" s="35" t="e">
        <f ca="1">MATCH(A329,OFFSET(梦灵属性!#REF!,50*(B329-3),0))</f>
        <v>#REF!</v>
      </c>
      <c r="D329" s="55"/>
      <c r="E329" s="55"/>
      <c r="F329" s="22" t="e">
        <f ca="1">_xlfn.XLOOKUP(B329,梦灵属性!$F$38:$F$41,梦灵属性!$E$38:$E$41)*C329</f>
        <v>#N/A</v>
      </c>
      <c r="G329" s="22" t="e">
        <f ca="1">_xlfn.XLOOKUP($B329,梦灵属性!$F$38:$F$41,梦灵属性!$E$38:$E$41)*$C329</f>
        <v>#N/A</v>
      </c>
      <c r="H329" s="22"/>
      <c r="I329" s="56">
        <f ca="1">OFFSET(梦灵图鉴!F$10,MATCH(A329,梦灵图鉴!$E$11:$E$61,1),0)*SUM(梦灵属性!$E$26:$J$26)+OFFSET(梦灵图鉴!H$10,MATCH(A329,梦灵图鉴!$G$11:$G$61,1),0)*SUM(梦灵属性!$E$27:$J$27)+OFFSET(梦灵图鉴!J$10,MATCH(A329,梦灵图鉴!$I$11:$I$61,1),0)*SUM(梦灵属性!$E$28:$J$28)+OFFSET(梦灵图鉴!L$10,MATCH(A329,梦灵图鉴!$K$11:$K$61,1),0)*SUM(梦灵属性!$E$29:$J$29)</f>
        <v>14.1</v>
      </c>
      <c r="J329" s="56"/>
      <c r="K329" s="56"/>
      <c r="L329" s="22"/>
      <c r="M329" s="22"/>
      <c r="N329" s="22"/>
    </row>
    <row r="330" ht="16.5" spans="1:14">
      <c r="A330" s="54">
        <v>324</v>
      </c>
      <c r="B330" s="35">
        <f ca="1">OFFSET(梦灵本体产出!$G$6,MATCH(A330,梦灵本体产出!$I$7:$I$30,1),0)</f>
        <v>0</v>
      </c>
      <c r="C330" s="35" t="e">
        <f ca="1">MATCH(A330,OFFSET(梦灵属性!#REF!,50*(B330-3),0))</f>
        <v>#REF!</v>
      </c>
      <c r="D330" s="55"/>
      <c r="E330" s="55"/>
      <c r="F330" s="22" t="e">
        <f ca="1">_xlfn.XLOOKUP(B330,梦灵属性!$F$38:$F$41,梦灵属性!$E$38:$E$41)*C330</f>
        <v>#N/A</v>
      </c>
      <c r="G330" s="22" t="e">
        <f ca="1">_xlfn.XLOOKUP($B330,梦灵属性!$F$38:$F$41,梦灵属性!$E$38:$E$41)*$C330</f>
        <v>#N/A</v>
      </c>
      <c r="H330" s="22"/>
      <c r="I330" s="56">
        <f ca="1">OFFSET(梦灵图鉴!F$10,MATCH(A330,梦灵图鉴!$E$11:$E$61,1),0)*SUM(梦灵属性!$E$26:$J$26)+OFFSET(梦灵图鉴!H$10,MATCH(A330,梦灵图鉴!$G$11:$G$61,1),0)*SUM(梦灵属性!$E$27:$J$27)+OFFSET(梦灵图鉴!J$10,MATCH(A330,梦灵图鉴!$I$11:$I$61,1),0)*SUM(梦灵属性!$E$28:$J$28)+OFFSET(梦灵图鉴!L$10,MATCH(A330,梦灵图鉴!$K$11:$K$61,1),0)*SUM(梦灵属性!$E$29:$J$29)</f>
        <v>14.1</v>
      </c>
      <c r="J330" s="56"/>
      <c r="K330" s="56"/>
      <c r="L330" s="22"/>
      <c r="M330" s="22"/>
      <c r="N330" s="22"/>
    </row>
    <row r="331" ht="16.5" spans="1:14">
      <c r="A331" s="54">
        <v>325</v>
      </c>
      <c r="B331" s="35">
        <f ca="1">OFFSET(梦灵本体产出!$G$6,MATCH(A331,梦灵本体产出!$I$7:$I$30,1),0)</f>
        <v>0</v>
      </c>
      <c r="C331" s="35" t="e">
        <f ca="1">MATCH(A331,OFFSET(梦灵属性!#REF!,50*(B331-3),0))</f>
        <v>#REF!</v>
      </c>
      <c r="D331" s="55"/>
      <c r="E331" s="55"/>
      <c r="F331" s="22" t="e">
        <f ca="1">_xlfn.XLOOKUP(B331,梦灵属性!$F$38:$F$41,梦灵属性!$E$38:$E$41)*C331</f>
        <v>#N/A</v>
      </c>
      <c r="G331" s="22" t="e">
        <f ca="1">_xlfn.XLOOKUP($B331,梦灵属性!$F$38:$F$41,梦灵属性!$E$38:$E$41)*$C331</f>
        <v>#N/A</v>
      </c>
      <c r="H331" s="22"/>
      <c r="I331" s="56">
        <f ca="1">OFFSET(梦灵图鉴!F$10,MATCH(A331,梦灵图鉴!$E$11:$E$61,1),0)*SUM(梦灵属性!$E$26:$J$26)+OFFSET(梦灵图鉴!H$10,MATCH(A331,梦灵图鉴!$G$11:$G$61,1),0)*SUM(梦灵属性!$E$27:$J$27)+OFFSET(梦灵图鉴!J$10,MATCH(A331,梦灵图鉴!$I$11:$I$61,1),0)*SUM(梦灵属性!$E$28:$J$28)+OFFSET(梦灵图鉴!L$10,MATCH(A331,梦灵图鉴!$K$11:$K$61,1),0)*SUM(梦灵属性!$E$29:$J$29)</f>
        <v>14.1</v>
      </c>
      <c r="J331" s="56"/>
      <c r="K331" s="56"/>
      <c r="L331" s="22"/>
      <c r="M331" s="22"/>
      <c r="N331" s="22"/>
    </row>
    <row r="332" ht="16.5" spans="1:14">
      <c r="A332" s="54">
        <v>326</v>
      </c>
      <c r="B332" s="35">
        <f ca="1">OFFSET(梦灵本体产出!$G$6,MATCH(A332,梦灵本体产出!$I$7:$I$30,1),0)</f>
        <v>0</v>
      </c>
      <c r="C332" s="35" t="e">
        <f ca="1">MATCH(A332,OFFSET(梦灵属性!#REF!,50*(B332-3),0))</f>
        <v>#REF!</v>
      </c>
      <c r="D332" s="55"/>
      <c r="E332" s="55"/>
      <c r="F332" s="22" t="e">
        <f ca="1">_xlfn.XLOOKUP(B332,梦灵属性!$F$38:$F$41,梦灵属性!$E$38:$E$41)*C332</f>
        <v>#N/A</v>
      </c>
      <c r="G332" s="22" t="e">
        <f ca="1">_xlfn.XLOOKUP($B332,梦灵属性!$F$38:$F$41,梦灵属性!$E$38:$E$41)*$C332</f>
        <v>#N/A</v>
      </c>
      <c r="H332" s="22"/>
      <c r="I332" s="56">
        <f ca="1">OFFSET(梦灵图鉴!F$10,MATCH(A332,梦灵图鉴!$E$11:$E$61,1),0)*SUM(梦灵属性!$E$26:$J$26)+OFFSET(梦灵图鉴!H$10,MATCH(A332,梦灵图鉴!$G$11:$G$61,1),0)*SUM(梦灵属性!$E$27:$J$27)+OFFSET(梦灵图鉴!J$10,MATCH(A332,梦灵图鉴!$I$11:$I$61,1),0)*SUM(梦灵属性!$E$28:$J$28)+OFFSET(梦灵图鉴!L$10,MATCH(A332,梦灵图鉴!$K$11:$K$61,1),0)*SUM(梦灵属性!$E$29:$J$29)</f>
        <v>14.1</v>
      </c>
      <c r="J332" s="56"/>
      <c r="K332" s="56"/>
      <c r="L332" s="22"/>
      <c r="M332" s="22"/>
      <c r="N332" s="22"/>
    </row>
    <row r="333" ht="16.5" spans="1:14">
      <c r="A333" s="54">
        <v>327</v>
      </c>
      <c r="B333" s="35">
        <f ca="1">OFFSET(梦灵本体产出!$G$6,MATCH(A333,梦灵本体产出!$I$7:$I$30,1),0)</f>
        <v>0</v>
      </c>
      <c r="C333" s="35" t="e">
        <f ca="1">MATCH(A333,OFFSET(梦灵属性!#REF!,50*(B333-3),0))</f>
        <v>#REF!</v>
      </c>
      <c r="D333" s="55"/>
      <c r="E333" s="55"/>
      <c r="F333" s="22" t="e">
        <f ca="1">_xlfn.XLOOKUP(B333,梦灵属性!$F$38:$F$41,梦灵属性!$E$38:$E$41)*C333</f>
        <v>#N/A</v>
      </c>
      <c r="G333" s="22" t="e">
        <f ca="1">_xlfn.XLOOKUP($B333,梦灵属性!$F$38:$F$41,梦灵属性!$E$38:$E$41)*$C333</f>
        <v>#N/A</v>
      </c>
      <c r="H333" s="22"/>
      <c r="I333" s="56">
        <f ca="1">OFFSET(梦灵图鉴!F$10,MATCH(A333,梦灵图鉴!$E$11:$E$61,1),0)*SUM(梦灵属性!$E$26:$J$26)+OFFSET(梦灵图鉴!H$10,MATCH(A333,梦灵图鉴!$G$11:$G$61,1),0)*SUM(梦灵属性!$E$27:$J$27)+OFFSET(梦灵图鉴!J$10,MATCH(A333,梦灵图鉴!$I$11:$I$61,1),0)*SUM(梦灵属性!$E$28:$J$28)+OFFSET(梦灵图鉴!L$10,MATCH(A333,梦灵图鉴!$K$11:$K$61,1),0)*SUM(梦灵属性!$E$29:$J$29)</f>
        <v>14.1</v>
      </c>
      <c r="J333" s="56"/>
      <c r="K333" s="56"/>
      <c r="L333" s="22"/>
      <c r="M333" s="22"/>
      <c r="N333" s="22"/>
    </row>
    <row r="334" ht="16.5" spans="1:14">
      <c r="A334" s="54">
        <v>328</v>
      </c>
      <c r="B334" s="35">
        <f ca="1">OFFSET(梦灵本体产出!$G$6,MATCH(A334,梦灵本体产出!$I$7:$I$30,1),0)</f>
        <v>0</v>
      </c>
      <c r="C334" s="35" t="e">
        <f ca="1">MATCH(A334,OFFSET(梦灵属性!#REF!,50*(B334-3),0))</f>
        <v>#REF!</v>
      </c>
      <c r="D334" s="55"/>
      <c r="E334" s="55"/>
      <c r="F334" s="22" t="e">
        <f ca="1">_xlfn.XLOOKUP(B334,梦灵属性!$F$38:$F$41,梦灵属性!$E$38:$E$41)*C334</f>
        <v>#N/A</v>
      </c>
      <c r="G334" s="22" t="e">
        <f ca="1">_xlfn.XLOOKUP($B334,梦灵属性!$F$38:$F$41,梦灵属性!$E$38:$E$41)*$C334</f>
        <v>#N/A</v>
      </c>
      <c r="H334" s="22"/>
      <c r="I334" s="56">
        <f ca="1">OFFSET(梦灵图鉴!F$10,MATCH(A334,梦灵图鉴!$E$11:$E$61,1),0)*SUM(梦灵属性!$E$26:$J$26)+OFFSET(梦灵图鉴!H$10,MATCH(A334,梦灵图鉴!$G$11:$G$61,1),0)*SUM(梦灵属性!$E$27:$J$27)+OFFSET(梦灵图鉴!J$10,MATCH(A334,梦灵图鉴!$I$11:$I$61,1),0)*SUM(梦灵属性!$E$28:$J$28)+OFFSET(梦灵图鉴!L$10,MATCH(A334,梦灵图鉴!$K$11:$K$61,1),0)*SUM(梦灵属性!$E$29:$J$29)</f>
        <v>14.1</v>
      </c>
      <c r="J334" s="56"/>
      <c r="K334" s="56"/>
      <c r="L334" s="22"/>
      <c r="M334" s="22"/>
      <c r="N334" s="22"/>
    </row>
    <row r="335" ht="16.5" spans="1:14">
      <c r="A335" s="54">
        <v>329</v>
      </c>
      <c r="B335" s="35">
        <f ca="1">OFFSET(梦灵本体产出!$G$6,MATCH(A335,梦灵本体产出!$I$7:$I$30,1),0)</f>
        <v>0</v>
      </c>
      <c r="C335" s="35" t="e">
        <f ca="1">MATCH(A335,OFFSET(梦灵属性!#REF!,50*(B335-3),0))</f>
        <v>#REF!</v>
      </c>
      <c r="D335" s="55"/>
      <c r="E335" s="55"/>
      <c r="F335" s="22" t="e">
        <f ca="1">_xlfn.XLOOKUP(B335,梦灵属性!$F$38:$F$41,梦灵属性!$E$38:$E$41)*C335</f>
        <v>#N/A</v>
      </c>
      <c r="G335" s="22" t="e">
        <f ca="1">_xlfn.XLOOKUP($B335,梦灵属性!$F$38:$F$41,梦灵属性!$E$38:$E$41)*$C335</f>
        <v>#N/A</v>
      </c>
      <c r="H335" s="22"/>
      <c r="I335" s="56">
        <f ca="1">OFFSET(梦灵图鉴!F$10,MATCH(A335,梦灵图鉴!$E$11:$E$61,1),0)*SUM(梦灵属性!$E$26:$J$26)+OFFSET(梦灵图鉴!H$10,MATCH(A335,梦灵图鉴!$G$11:$G$61,1),0)*SUM(梦灵属性!$E$27:$J$27)+OFFSET(梦灵图鉴!J$10,MATCH(A335,梦灵图鉴!$I$11:$I$61,1),0)*SUM(梦灵属性!$E$28:$J$28)+OFFSET(梦灵图鉴!L$10,MATCH(A335,梦灵图鉴!$K$11:$K$61,1),0)*SUM(梦灵属性!$E$29:$J$29)</f>
        <v>14.1</v>
      </c>
      <c r="J335" s="56"/>
      <c r="K335" s="56"/>
      <c r="L335" s="22"/>
      <c r="M335" s="22"/>
      <c r="N335" s="22"/>
    </row>
    <row r="336" ht="16.5" spans="1:14">
      <c r="A336" s="54">
        <v>330</v>
      </c>
      <c r="B336" s="35">
        <f ca="1">OFFSET(梦灵本体产出!$G$6,MATCH(A336,梦灵本体产出!$I$7:$I$30,1),0)</f>
        <v>0</v>
      </c>
      <c r="C336" s="35" t="e">
        <f ca="1">MATCH(A336,OFFSET(梦灵属性!#REF!,50*(B336-3),0))</f>
        <v>#REF!</v>
      </c>
      <c r="D336" s="55"/>
      <c r="E336" s="55"/>
      <c r="F336" s="22" t="e">
        <f ca="1">_xlfn.XLOOKUP(B336,梦灵属性!$F$38:$F$41,梦灵属性!$E$38:$E$41)*C336</f>
        <v>#N/A</v>
      </c>
      <c r="G336" s="22" t="e">
        <f ca="1">_xlfn.XLOOKUP($B336,梦灵属性!$F$38:$F$41,梦灵属性!$E$38:$E$41)*$C336</f>
        <v>#N/A</v>
      </c>
      <c r="H336" s="22"/>
      <c r="I336" s="56">
        <f ca="1">OFFSET(梦灵图鉴!F$10,MATCH(A336,梦灵图鉴!$E$11:$E$61,1),0)*SUM(梦灵属性!$E$26:$J$26)+OFFSET(梦灵图鉴!H$10,MATCH(A336,梦灵图鉴!$G$11:$G$61,1),0)*SUM(梦灵属性!$E$27:$J$27)+OFFSET(梦灵图鉴!J$10,MATCH(A336,梦灵图鉴!$I$11:$I$61,1),0)*SUM(梦灵属性!$E$28:$J$28)+OFFSET(梦灵图鉴!L$10,MATCH(A336,梦灵图鉴!$K$11:$K$61,1),0)*SUM(梦灵属性!$E$29:$J$29)</f>
        <v>14.1</v>
      </c>
      <c r="J336" s="56"/>
      <c r="K336" s="56"/>
      <c r="L336" s="22"/>
      <c r="M336" s="22"/>
      <c r="N336" s="22"/>
    </row>
    <row r="337" ht="16.5" spans="1:14">
      <c r="A337" s="54">
        <v>331</v>
      </c>
      <c r="B337" s="35">
        <f ca="1">OFFSET(梦灵本体产出!$G$6,MATCH(A337,梦灵本体产出!$I$7:$I$30,1),0)</f>
        <v>0</v>
      </c>
      <c r="C337" s="35" t="e">
        <f ca="1">MATCH(A337,OFFSET(梦灵属性!#REF!,50*(B337-3),0))</f>
        <v>#REF!</v>
      </c>
      <c r="D337" s="55"/>
      <c r="E337" s="55"/>
      <c r="F337" s="22" t="e">
        <f ca="1">_xlfn.XLOOKUP(B337,梦灵属性!$F$38:$F$41,梦灵属性!$E$38:$E$41)*C337</f>
        <v>#N/A</v>
      </c>
      <c r="G337" s="22" t="e">
        <f ca="1">_xlfn.XLOOKUP($B337,梦灵属性!$F$38:$F$41,梦灵属性!$E$38:$E$41)*$C337</f>
        <v>#N/A</v>
      </c>
      <c r="H337" s="22"/>
      <c r="I337" s="56">
        <f ca="1">OFFSET(梦灵图鉴!F$10,MATCH(A337,梦灵图鉴!$E$11:$E$61,1),0)*SUM(梦灵属性!$E$26:$J$26)+OFFSET(梦灵图鉴!H$10,MATCH(A337,梦灵图鉴!$G$11:$G$61,1),0)*SUM(梦灵属性!$E$27:$J$27)+OFFSET(梦灵图鉴!J$10,MATCH(A337,梦灵图鉴!$I$11:$I$61,1),0)*SUM(梦灵属性!$E$28:$J$28)+OFFSET(梦灵图鉴!L$10,MATCH(A337,梦灵图鉴!$K$11:$K$61,1),0)*SUM(梦灵属性!$E$29:$J$29)</f>
        <v>14.1</v>
      </c>
      <c r="J337" s="56"/>
      <c r="K337" s="56"/>
      <c r="L337" s="22"/>
      <c r="M337" s="22"/>
      <c r="N337" s="22"/>
    </row>
    <row r="338" ht="16.5" spans="1:14">
      <c r="A338" s="54">
        <v>332</v>
      </c>
      <c r="B338" s="35">
        <f ca="1">OFFSET(梦灵本体产出!$G$6,MATCH(A338,梦灵本体产出!$I$7:$I$30,1),0)</f>
        <v>0</v>
      </c>
      <c r="C338" s="35" t="e">
        <f ca="1">MATCH(A338,OFFSET(梦灵属性!#REF!,50*(B338-3),0))</f>
        <v>#REF!</v>
      </c>
      <c r="D338" s="55"/>
      <c r="E338" s="55"/>
      <c r="F338" s="22" t="e">
        <f ca="1">_xlfn.XLOOKUP(B338,梦灵属性!$F$38:$F$41,梦灵属性!$E$38:$E$41)*C338</f>
        <v>#N/A</v>
      </c>
      <c r="G338" s="22" t="e">
        <f ca="1">_xlfn.XLOOKUP($B338,梦灵属性!$F$38:$F$41,梦灵属性!$E$38:$E$41)*$C338</f>
        <v>#N/A</v>
      </c>
      <c r="H338" s="22"/>
      <c r="I338" s="56">
        <f ca="1">OFFSET(梦灵图鉴!F$10,MATCH(A338,梦灵图鉴!$E$11:$E$61,1),0)*SUM(梦灵属性!$E$26:$J$26)+OFFSET(梦灵图鉴!H$10,MATCH(A338,梦灵图鉴!$G$11:$G$61,1),0)*SUM(梦灵属性!$E$27:$J$27)+OFFSET(梦灵图鉴!J$10,MATCH(A338,梦灵图鉴!$I$11:$I$61,1),0)*SUM(梦灵属性!$E$28:$J$28)+OFFSET(梦灵图鉴!L$10,MATCH(A338,梦灵图鉴!$K$11:$K$61,1),0)*SUM(梦灵属性!$E$29:$J$29)</f>
        <v>14.1</v>
      </c>
      <c r="J338" s="56"/>
      <c r="K338" s="56"/>
      <c r="L338" s="22"/>
      <c r="M338" s="22"/>
      <c r="N338" s="22"/>
    </row>
    <row r="339" ht="16.5" spans="1:14">
      <c r="A339" s="54">
        <v>333</v>
      </c>
      <c r="B339" s="35">
        <f ca="1">OFFSET(梦灵本体产出!$G$6,MATCH(A339,梦灵本体产出!$I$7:$I$30,1),0)</f>
        <v>0</v>
      </c>
      <c r="C339" s="35" t="e">
        <f ca="1">MATCH(A339,OFFSET(梦灵属性!#REF!,50*(B339-3),0))</f>
        <v>#REF!</v>
      </c>
      <c r="D339" s="55"/>
      <c r="E339" s="55"/>
      <c r="F339" s="22" t="e">
        <f ca="1">_xlfn.XLOOKUP(B339,梦灵属性!$F$38:$F$41,梦灵属性!$E$38:$E$41)*C339</f>
        <v>#N/A</v>
      </c>
      <c r="G339" s="22" t="e">
        <f ca="1">_xlfn.XLOOKUP($B339,梦灵属性!$F$38:$F$41,梦灵属性!$E$38:$E$41)*$C339</f>
        <v>#N/A</v>
      </c>
      <c r="H339" s="22"/>
      <c r="I339" s="56">
        <f ca="1">OFFSET(梦灵图鉴!F$10,MATCH(A339,梦灵图鉴!$E$11:$E$61,1),0)*SUM(梦灵属性!$E$26:$J$26)+OFFSET(梦灵图鉴!H$10,MATCH(A339,梦灵图鉴!$G$11:$G$61,1),0)*SUM(梦灵属性!$E$27:$J$27)+OFFSET(梦灵图鉴!J$10,MATCH(A339,梦灵图鉴!$I$11:$I$61,1),0)*SUM(梦灵属性!$E$28:$J$28)+OFFSET(梦灵图鉴!L$10,MATCH(A339,梦灵图鉴!$K$11:$K$61,1),0)*SUM(梦灵属性!$E$29:$J$29)</f>
        <v>14.1</v>
      </c>
      <c r="J339" s="56"/>
      <c r="K339" s="56"/>
      <c r="L339" s="22"/>
      <c r="M339" s="22"/>
      <c r="N339" s="22"/>
    </row>
    <row r="340" ht="16.5" spans="1:14">
      <c r="A340" s="54">
        <v>334</v>
      </c>
      <c r="B340" s="35">
        <f ca="1">OFFSET(梦灵本体产出!$G$6,MATCH(A340,梦灵本体产出!$I$7:$I$30,1),0)</f>
        <v>0</v>
      </c>
      <c r="C340" s="35" t="e">
        <f ca="1">MATCH(A340,OFFSET(梦灵属性!#REF!,50*(B340-3),0))</f>
        <v>#REF!</v>
      </c>
      <c r="D340" s="55"/>
      <c r="E340" s="55"/>
      <c r="F340" s="22" t="e">
        <f ca="1">_xlfn.XLOOKUP(B340,梦灵属性!$F$38:$F$41,梦灵属性!$E$38:$E$41)*C340</f>
        <v>#N/A</v>
      </c>
      <c r="G340" s="22" t="e">
        <f ca="1">_xlfn.XLOOKUP($B340,梦灵属性!$F$38:$F$41,梦灵属性!$E$38:$E$41)*$C340</f>
        <v>#N/A</v>
      </c>
      <c r="H340" s="22"/>
      <c r="I340" s="56">
        <f ca="1">OFFSET(梦灵图鉴!F$10,MATCH(A340,梦灵图鉴!$E$11:$E$61,1),0)*SUM(梦灵属性!$E$26:$J$26)+OFFSET(梦灵图鉴!H$10,MATCH(A340,梦灵图鉴!$G$11:$G$61,1),0)*SUM(梦灵属性!$E$27:$J$27)+OFFSET(梦灵图鉴!J$10,MATCH(A340,梦灵图鉴!$I$11:$I$61,1),0)*SUM(梦灵属性!$E$28:$J$28)+OFFSET(梦灵图鉴!L$10,MATCH(A340,梦灵图鉴!$K$11:$K$61,1),0)*SUM(梦灵属性!$E$29:$J$29)</f>
        <v>14.1</v>
      </c>
      <c r="J340" s="56"/>
      <c r="K340" s="56"/>
      <c r="L340" s="22"/>
      <c r="M340" s="22"/>
      <c r="N340" s="22"/>
    </row>
    <row r="341" ht="16.5" spans="1:14">
      <c r="A341" s="54">
        <v>335</v>
      </c>
      <c r="B341" s="35">
        <f ca="1">OFFSET(梦灵本体产出!$G$6,MATCH(A341,梦灵本体产出!$I$7:$I$30,1),0)</f>
        <v>0</v>
      </c>
      <c r="C341" s="35" t="e">
        <f ca="1">MATCH(A341,OFFSET(梦灵属性!#REF!,50*(B341-3),0))</f>
        <v>#REF!</v>
      </c>
      <c r="D341" s="55"/>
      <c r="E341" s="55"/>
      <c r="F341" s="22" t="e">
        <f ca="1">_xlfn.XLOOKUP(B341,梦灵属性!$F$38:$F$41,梦灵属性!$E$38:$E$41)*C341</f>
        <v>#N/A</v>
      </c>
      <c r="G341" s="22" t="e">
        <f ca="1">_xlfn.XLOOKUP($B341,梦灵属性!$F$38:$F$41,梦灵属性!$E$38:$E$41)*$C341</f>
        <v>#N/A</v>
      </c>
      <c r="H341" s="22"/>
      <c r="I341" s="56">
        <f ca="1">OFFSET(梦灵图鉴!F$10,MATCH(A341,梦灵图鉴!$E$11:$E$61,1),0)*SUM(梦灵属性!$E$26:$J$26)+OFFSET(梦灵图鉴!H$10,MATCH(A341,梦灵图鉴!$G$11:$G$61,1),0)*SUM(梦灵属性!$E$27:$J$27)+OFFSET(梦灵图鉴!J$10,MATCH(A341,梦灵图鉴!$I$11:$I$61,1),0)*SUM(梦灵属性!$E$28:$J$28)+OFFSET(梦灵图鉴!L$10,MATCH(A341,梦灵图鉴!$K$11:$K$61,1),0)*SUM(梦灵属性!$E$29:$J$29)</f>
        <v>14.1</v>
      </c>
      <c r="J341" s="56"/>
      <c r="K341" s="56"/>
      <c r="L341" s="22"/>
      <c r="M341" s="22"/>
      <c r="N341" s="22"/>
    </row>
    <row r="342" ht="16.5" spans="1:14">
      <c r="A342" s="54">
        <v>336</v>
      </c>
      <c r="B342" s="35">
        <f ca="1">OFFSET(梦灵本体产出!$G$6,MATCH(A342,梦灵本体产出!$I$7:$I$30,1),0)</f>
        <v>0</v>
      </c>
      <c r="C342" s="35" t="e">
        <f ca="1">MATCH(A342,OFFSET(梦灵属性!#REF!,50*(B342-3),0))</f>
        <v>#REF!</v>
      </c>
      <c r="D342" s="55"/>
      <c r="E342" s="55"/>
      <c r="F342" s="22" t="e">
        <f ca="1">_xlfn.XLOOKUP(B342,梦灵属性!$F$38:$F$41,梦灵属性!$E$38:$E$41)*C342</f>
        <v>#N/A</v>
      </c>
      <c r="G342" s="22" t="e">
        <f ca="1">_xlfn.XLOOKUP($B342,梦灵属性!$F$38:$F$41,梦灵属性!$E$38:$E$41)*$C342</f>
        <v>#N/A</v>
      </c>
      <c r="H342" s="22"/>
      <c r="I342" s="56">
        <f ca="1">OFFSET(梦灵图鉴!F$10,MATCH(A342,梦灵图鉴!$E$11:$E$61,1),0)*SUM(梦灵属性!$E$26:$J$26)+OFFSET(梦灵图鉴!H$10,MATCH(A342,梦灵图鉴!$G$11:$G$61,1),0)*SUM(梦灵属性!$E$27:$J$27)+OFFSET(梦灵图鉴!J$10,MATCH(A342,梦灵图鉴!$I$11:$I$61,1),0)*SUM(梦灵属性!$E$28:$J$28)+OFFSET(梦灵图鉴!L$10,MATCH(A342,梦灵图鉴!$K$11:$K$61,1),0)*SUM(梦灵属性!$E$29:$J$29)</f>
        <v>14.1</v>
      </c>
      <c r="J342" s="56"/>
      <c r="K342" s="56"/>
      <c r="L342" s="22"/>
      <c r="M342" s="22"/>
      <c r="N342" s="22"/>
    </row>
    <row r="343" ht="16.5" spans="1:14">
      <c r="A343" s="54">
        <v>337</v>
      </c>
      <c r="B343" s="35">
        <f ca="1">OFFSET(梦灵本体产出!$G$6,MATCH(A343,梦灵本体产出!$I$7:$I$30,1),0)</f>
        <v>0</v>
      </c>
      <c r="C343" s="35" t="e">
        <f ca="1">MATCH(A343,OFFSET(梦灵属性!#REF!,50*(B343-3),0))</f>
        <v>#REF!</v>
      </c>
      <c r="D343" s="55"/>
      <c r="E343" s="55"/>
      <c r="F343" s="22" t="e">
        <f ca="1">_xlfn.XLOOKUP(B343,梦灵属性!$F$38:$F$41,梦灵属性!$E$38:$E$41)*C343</f>
        <v>#N/A</v>
      </c>
      <c r="G343" s="22" t="e">
        <f ca="1">_xlfn.XLOOKUP($B343,梦灵属性!$F$38:$F$41,梦灵属性!$E$38:$E$41)*$C343</f>
        <v>#N/A</v>
      </c>
      <c r="H343" s="22"/>
      <c r="I343" s="56">
        <f ca="1">OFFSET(梦灵图鉴!F$10,MATCH(A343,梦灵图鉴!$E$11:$E$61,1),0)*SUM(梦灵属性!$E$26:$J$26)+OFFSET(梦灵图鉴!H$10,MATCH(A343,梦灵图鉴!$G$11:$G$61,1),0)*SUM(梦灵属性!$E$27:$J$27)+OFFSET(梦灵图鉴!J$10,MATCH(A343,梦灵图鉴!$I$11:$I$61,1),0)*SUM(梦灵属性!$E$28:$J$28)+OFFSET(梦灵图鉴!L$10,MATCH(A343,梦灵图鉴!$K$11:$K$61,1),0)*SUM(梦灵属性!$E$29:$J$29)</f>
        <v>14.1</v>
      </c>
      <c r="J343" s="56"/>
      <c r="K343" s="56"/>
      <c r="L343" s="22"/>
      <c r="M343" s="22"/>
      <c r="N343" s="22"/>
    </row>
    <row r="344" ht="16.5" spans="1:14">
      <c r="A344" s="54">
        <v>338</v>
      </c>
      <c r="B344" s="35">
        <f ca="1">OFFSET(梦灵本体产出!$G$6,MATCH(A344,梦灵本体产出!$I$7:$I$30,1),0)</f>
        <v>0</v>
      </c>
      <c r="C344" s="35" t="e">
        <f ca="1">MATCH(A344,OFFSET(梦灵属性!#REF!,50*(B344-3),0))</f>
        <v>#REF!</v>
      </c>
      <c r="D344" s="55"/>
      <c r="E344" s="55"/>
      <c r="F344" s="22" t="e">
        <f ca="1">_xlfn.XLOOKUP(B344,梦灵属性!$F$38:$F$41,梦灵属性!$E$38:$E$41)*C344</f>
        <v>#N/A</v>
      </c>
      <c r="G344" s="22" t="e">
        <f ca="1">_xlfn.XLOOKUP($B344,梦灵属性!$F$38:$F$41,梦灵属性!$E$38:$E$41)*$C344</f>
        <v>#N/A</v>
      </c>
      <c r="H344" s="22"/>
      <c r="I344" s="56">
        <f ca="1">OFFSET(梦灵图鉴!F$10,MATCH(A344,梦灵图鉴!$E$11:$E$61,1),0)*SUM(梦灵属性!$E$26:$J$26)+OFFSET(梦灵图鉴!H$10,MATCH(A344,梦灵图鉴!$G$11:$G$61,1),0)*SUM(梦灵属性!$E$27:$J$27)+OFFSET(梦灵图鉴!J$10,MATCH(A344,梦灵图鉴!$I$11:$I$61,1),0)*SUM(梦灵属性!$E$28:$J$28)+OFFSET(梦灵图鉴!L$10,MATCH(A344,梦灵图鉴!$K$11:$K$61,1),0)*SUM(梦灵属性!$E$29:$J$29)</f>
        <v>14.1</v>
      </c>
      <c r="J344" s="56"/>
      <c r="K344" s="56"/>
      <c r="L344" s="22"/>
      <c r="M344" s="22"/>
      <c r="N344" s="22"/>
    </row>
    <row r="345" ht="16.5" spans="1:14">
      <c r="A345" s="54">
        <v>339</v>
      </c>
      <c r="B345" s="35">
        <f ca="1">OFFSET(梦灵本体产出!$G$6,MATCH(A345,梦灵本体产出!$I$7:$I$30,1),0)</f>
        <v>0</v>
      </c>
      <c r="C345" s="35" t="e">
        <f ca="1">MATCH(A345,OFFSET(梦灵属性!#REF!,50*(B345-3),0))</f>
        <v>#REF!</v>
      </c>
      <c r="D345" s="55"/>
      <c r="E345" s="55"/>
      <c r="F345" s="22" t="e">
        <f ca="1">_xlfn.XLOOKUP(B345,梦灵属性!$F$38:$F$41,梦灵属性!$E$38:$E$41)*C345</f>
        <v>#N/A</v>
      </c>
      <c r="G345" s="22" t="e">
        <f ca="1">_xlfn.XLOOKUP($B345,梦灵属性!$F$38:$F$41,梦灵属性!$E$38:$E$41)*$C345</f>
        <v>#N/A</v>
      </c>
      <c r="H345" s="22"/>
      <c r="I345" s="56">
        <f ca="1">OFFSET(梦灵图鉴!F$10,MATCH(A345,梦灵图鉴!$E$11:$E$61,1),0)*SUM(梦灵属性!$E$26:$J$26)+OFFSET(梦灵图鉴!H$10,MATCH(A345,梦灵图鉴!$G$11:$G$61,1),0)*SUM(梦灵属性!$E$27:$J$27)+OFFSET(梦灵图鉴!J$10,MATCH(A345,梦灵图鉴!$I$11:$I$61,1),0)*SUM(梦灵属性!$E$28:$J$28)+OFFSET(梦灵图鉴!L$10,MATCH(A345,梦灵图鉴!$K$11:$K$61,1),0)*SUM(梦灵属性!$E$29:$J$29)</f>
        <v>14.1</v>
      </c>
      <c r="J345" s="56"/>
      <c r="K345" s="56"/>
      <c r="L345" s="22"/>
      <c r="M345" s="22"/>
      <c r="N345" s="22"/>
    </row>
    <row r="346" ht="16.5" spans="1:14">
      <c r="A346" s="54">
        <v>340</v>
      </c>
      <c r="B346" s="35">
        <f ca="1">OFFSET(梦灵本体产出!$G$6,MATCH(A346,梦灵本体产出!$I$7:$I$30,1),0)</f>
        <v>0</v>
      </c>
      <c r="C346" s="35" t="e">
        <f ca="1">MATCH(A346,OFFSET(梦灵属性!#REF!,50*(B346-3),0))</f>
        <v>#REF!</v>
      </c>
      <c r="D346" s="55"/>
      <c r="E346" s="55"/>
      <c r="F346" s="22" t="e">
        <f ca="1">_xlfn.XLOOKUP(B346,梦灵属性!$F$38:$F$41,梦灵属性!$E$38:$E$41)*C346</f>
        <v>#N/A</v>
      </c>
      <c r="G346" s="22" t="e">
        <f ca="1">_xlfn.XLOOKUP($B346,梦灵属性!$F$38:$F$41,梦灵属性!$E$38:$E$41)*$C346</f>
        <v>#N/A</v>
      </c>
      <c r="H346" s="22"/>
      <c r="I346" s="56">
        <f ca="1">OFFSET(梦灵图鉴!F$10,MATCH(A346,梦灵图鉴!$E$11:$E$61,1),0)*SUM(梦灵属性!$E$26:$J$26)+OFFSET(梦灵图鉴!H$10,MATCH(A346,梦灵图鉴!$G$11:$G$61,1),0)*SUM(梦灵属性!$E$27:$J$27)+OFFSET(梦灵图鉴!J$10,MATCH(A346,梦灵图鉴!$I$11:$I$61,1),0)*SUM(梦灵属性!$E$28:$J$28)+OFFSET(梦灵图鉴!L$10,MATCH(A346,梦灵图鉴!$K$11:$K$61,1),0)*SUM(梦灵属性!$E$29:$J$29)</f>
        <v>14.1</v>
      </c>
      <c r="J346" s="56"/>
      <c r="K346" s="56"/>
      <c r="L346" s="22"/>
      <c r="M346" s="22"/>
      <c r="N346" s="22"/>
    </row>
    <row r="347" ht="16.5" spans="1:14">
      <c r="A347" s="54">
        <v>341</v>
      </c>
      <c r="B347" s="35">
        <f ca="1">OFFSET(梦灵本体产出!$G$6,MATCH(A347,梦灵本体产出!$I$7:$I$30,1),0)</f>
        <v>0</v>
      </c>
      <c r="C347" s="35" t="e">
        <f ca="1">MATCH(A347,OFFSET(梦灵属性!#REF!,50*(B347-3),0))</f>
        <v>#REF!</v>
      </c>
      <c r="D347" s="55"/>
      <c r="E347" s="55"/>
      <c r="F347" s="22" t="e">
        <f ca="1">_xlfn.XLOOKUP(B347,梦灵属性!$F$38:$F$41,梦灵属性!$E$38:$E$41)*C347</f>
        <v>#N/A</v>
      </c>
      <c r="G347" s="22" t="e">
        <f ca="1">_xlfn.XLOOKUP($B347,梦灵属性!$F$38:$F$41,梦灵属性!$E$38:$E$41)*$C347</f>
        <v>#N/A</v>
      </c>
      <c r="H347" s="22"/>
      <c r="I347" s="56">
        <f ca="1">OFFSET(梦灵图鉴!F$10,MATCH(A347,梦灵图鉴!$E$11:$E$61,1),0)*SUM(梦灵属性!$E$26:$J$26)+OFFSET(梦灵图鉴!H$10,MATCH(A347,梦灵图鉴!$G$11:$G$61,1),0)*SUM(梦灵属性!$E$27:$J$27)+OFFSET(梦灵图鉴!J$10,MATCH(A347,梦灵图鉴!$I$11:$I$61,1),0)*SUM(梦灵属性!$E$28:$J$28)+OFFSET(梦灵图鉴!L$10,MATCH(A347,梦灵图鉴!$K$11:$K$61,1),0)*SUM(梦灵属性!$E$29:$J$29)</f>
        <v>14.1</v>
      </c>
      <c r="J347" s="56"/>
      <c r="K347" s="56"/>
      <c r="L347" s="22"/>
      <c r="M347" s="22"/>
      <c r="N347" s="22"/>
    </row>
    <row r="348" ht="16.5" spans="1:14">
      <c r="A348" s="54">
        <v>342</v>
      </c>
      <c r="B348" s="35">
        <f ca="1">OFFSET(梦灵本体产出!$G$6,MATCH(A348,梦灵本体产出!$I$7:$I$30,1),0)</f>
        <v>0</v>
      </c>
      <c r="C348" s="35" t="e">
        <f ca="1">MATCH(A348,OFFSET(梦灵属性!#REF!,50*(B348-3),0))</f>
        <v>#REF!</v>
      </c>
      <c r="D348" s="55"/>
      <c r="E348" s="55"/>
      <c r="F348" s="22" t="e">
        <f ca="1">_xlfn.XLOOKUP(B348,梦灵属性!$F$38:$F$41,梦灵属性!$E$38:$E$41)*C348</f>
        <v>#N/A</v>
      </c>
      <c r="G348" s="22" t="e">
        <f ca="1">_xlfn.XLOOKUP($B348,梦灵属性!$F$38:$F$41,梦灵属性!$E$38:$E$41)*$C348</f>
        <v>#N/A</v>
      </c>
      <c r="H348" s="22"/>
      <c r="I348" s="56">
        <f ca="1">OFFSET(梦灵图鉴!F$10,MATCH(A348,梦灵图鉴!$E$11:$E$61,1),0)*SUM(梦灵属性!$E$26:$J$26)+OFFSET(梦灵图鉴!H$10,MATCH(A348,梦灵图鉴!$G$11:$G$61,1),0)*SUM(梦灵属性!$E$27:$J$27)+OFFSET(梦灵图鉴!J$10,MATCH(A348,梦灵图鉴!$I$11:$I$61,1),0)*SUM(梦灵属性!$E$28:$J$28)+OFFSET(梦灵图鉴!L$10,MATCH(A348,梦灵图鉴!$K$11:$K$61,1),0)*SUM(梦灵属性!$E$29:$J$29)</f>
        <v>14.1</v>
      </c>
      <c r="J348" s="56"/>
      <c r="K348" s="56"/>
      <c r="L348" s="22"/>
      <c r="M348" s="22"/>
      <c r="N348" s="22"/>
    </row>
    <row r="349" ht="16.5" spans="1:14">
      <c r="A349" s="54">
        <v>343</v>
      </c>
      <c r="B349" s="35">
        <f ca="1">OFFSET(梦灵本体产出!$G$6,MATCH(A349,梦灵本体产出!$I$7:$I$30,1),0)</f>
        <v>0</v>
      </c>
      <c r="C349" s="35" t="e">
        <f ca="1">MATCH(A349,OFFSET(梦灵属性!#REF!,50*(B349-3),0))</f>
        <v>#REF!</v>
      </c>
      <c r="D349" s="55"/>
      <c r="E349" s="55"/>
      <c r="F349" s="22" t="e">
        <f ca="1">_xlfn.XLOOKUP(B349,梦灵属性!$F$38:$F$41,梦灵属性!$E$38:$E$41)*C349</f>
        <v>#N/A</v>
      </c>
      <c r="G349" s="22" t="e">
        <f ca="1">_xlfn.XLOOKUP($B349,梦灵属性!$F$38:$F$41,梦灵属性!$E$38:$E$41)*$C349</f>
        <v>#N/A</v>
      </c>
      <c r="H349" s="22"/>
      <c r="I349" s="56">
        <f ca="1">OFFSET(梦灵图鉴!F$10,MATCH(A349,梦灵图鉴!$E$11:$E$61,1),0)*SUM(梦灵属性!$E$26:$J$26)+OFFSET(梦灵图鉴!H$10,MATCH(A349,梦灵图鉴!$G$11:$G$61,1),0)*SUM(梦灵属性!$E$27:$J$27)+OFFSET(梦灵图鉴!J$10,MATCH(A349,梦灵图鉴!$I$11:$I$61,1),0)*SUM(梦灵属性!$E$28:$J$28)+OFFSET(梦灵图鉴!L$10,MATCH(A349,梦灵图鉴!$K$11:$K$61,1),0)*SUM(梦灵属性!$E$29:$J$29)</f>
        <v>14.1</v>
      </c>
      <c r="J349" s="56"/>
      <c r="K349" s="56"/>
      <c r="L349" s="22"/>
      <c r="M349" s="22"/>
      <c r="N349" s="22"/>
    </row>
    <row r="350" ht="16.5" spans="1:14">
      <c r="A350" s="54">
        <v>344</v>
      </c>
      <c r="B350" s="35">
        <f ca="1">OFFSET(梦灵本体产出!$G$6,MATCH(A350,梦灵本体产出!$I$7:$I$30,1),0)</f>
        <v>0</v>
      </c>
      <c r="C350" s="35" t="e">
        <f ca="1">MATCH(A350,OFFSET(梦灵属性!#REF!,50*(B350-3),0))</f>
        <v>#REF!</v>
      </c>
      <c r="D350" s="55"/>
      <c r="E350" s="55"/>
      <c r="F350" s="22" t="e">
        <f ca="1">_xlfn.XLOOKUP(B350,梦灵属性!$F$38:$F$41,梦灵属性!$E$38:$E$41)*C350</f>
        <v>#N/A</v>
      </c>
      <c r="G350" s="22" t="e">
        <f ca="1">_xlfn.XLOOKUP($B350,梦灵属性!$F$38:$F$41,梦灵属性!$E$38:$E$41)*$C350</f>
        <v>#N/A</v>
      </c>
      <c r="H350" s="22"/>
      <c r="I350" s="56">
        <f ca="1">OFFSET(梦灵图鉴!F$10,MATCH(A350,梦灵图鉴!$E$11:$E$61,1),0)*SUM(梦灵属性!$E$26:$J$26)+OFFSET(梦灵图鉴!H$10,MATCH(A350,梦灵图鉴!$G$11:$G$61,1),0)*SUM(梦灵属性!$E$27:$J$27)+OFFSET(梦灵图鉴!J$10,MATCH(A350,梦灵图鉴!$I$11:$I$61,1),0)*SUM(梦灵属性!$E$28:$J$28)+OFFSET(梦灵图鉴!L$10,MATCH(A350,梦灵图鉴!$K$11:$K$61,1),0)*SUM(梦灵属性!$E$29:$J$29)</f>
        <v>14.1</v>
      </c>
      <c r="J350" s="56"/>
      <c r="K350" s="56"/>
      <c r="L350" s="22"/>
      <c r="M350" s="22"/>
      <c r="N350" s="22"/>
    </row>
    <row r="351" ht="16.5" spans="1:14">
      <c r="A351" s="54">
        <v>345</v>
      </c>
      <c r="B351" s="35">
        <f ca="1">OFFSET(梦灵本体产出!$G$6,MATCH(A351,梦灵本体产出!$I$7:$I$30,1),0)</f>
        <v>0</v>
      </c>
      <c r="C351" s="35" t="e">
        <f ca="1">MATCH(A351,OFFSET(梦灵属性!#REF!,50*(B351-3),0))</f>
        <v>#REF!</v>
      </c>
      <c r="D351" s="55"/>
      <c r="E351" s="55"/>
      <c r="F351" s="22" t="e">
        <f ca="1">_xlfn.XLOOKUP(B351,梦灵属性!$F$38:$F$41,梦灵属性!$E$38:$E$41)*C351</f>
        <v>#N/A</v>
      </c>
      <c r="G351" s="22" t="e">
        <f ca="1">_xlfn.XLOOKUP($B351,梦灵属性!$F$38:$F$41,梦灵属性!$E$38:$E$41)*$C351</f>
        <v>#N/A</v>
      </c>
      <c r="H351" s="22"/>
      <c r="I351" s="56">
        <f ca="1">OFFSET(梦灵图鉴!F$10,MATCH(A351,梦灵图鉴!$E$11:$E$61,1),0)*SUM(梦灵属性!$E$26:$J$26)+OFFSET(梦灵图鉴!H$10,MATCH(A351,梦灵图鉴!$G$11:$G$61,1),0)*SUM(梦灵属性!$E$27:$J$27)+OFFSET(梦灵图鉴!J$10,MATCH(A351,梦灵图鉴!$I$11:$I$61,1),0)*SUM(梦灵属性!$E$28:$J$28)+OFFSET(梦灵图鉴!L$10,MATCH(A351,梦灵图鉴!$K$11:$K$61,1),0)*SUM(梦灵属性!$E$29:$J$29)</f>
        <v>14.1</v>
      </c>
      <c r="J351" s="56"/>
      <c r="K351" s="56"/>
      <c r="L351" s="22"/>
      <c r="M351" s="22"/>
      <c r="N351" s="22"/>
    </row>
    <row r="352" ht="16.5" spans="1:14">
      <c r="A352" s="54">
        <v>346</v>
      </c>
      <c r="B352" s="35">
        <f ca="1">OFFSET(梦灵本体产出!$G$6,MATCH(A352,梦灵本体产出!$I$7:$I$30,1),0)</f>
        <v>0</v>
      </c>
      <c r="C352" s="35" t="e">
        <f ca="1">MATCH(A352,OFFSET(梦灵属性!#REF!,50*(B352-3),0))</f>
        <v>#REF!</v>
      </c>
      <c r="D352" s="55"/>
      <c r="E352" s="55"/>
      <c r="F352" s="22" t="e">
        <f ca="1">_xlfn.XLOOKUP(B352,梦灵属性!$F$38:$F$41,梦灵属性!$E$38:$E$41)*C352</f>
        <v>#N/A</v>
      </c>
      <c r="G352" s="22" t="e">
        <f ca="1">_xlfn.XLOOKUP($B352,梦灵属性!$F$38:$F$41,梦灵属性!$E$38:$E$41)*$C352</f>
        <v>#N/A</v>
      </c>
      <c r="H352" s="22"/>
      <c r="I352" s="56">
        <f ca="1">OFFSET(梦灵图鉴!F$10,MATCH(A352,梦灵图鉴!$E$11:$E$61,1),0)*SUM(梦灵属性!$E$26:$J$26)+OFFSET(梦灵图鉴!H$10,MATCH(A352,梦灵图鉴!$G$11:$G$61,1),0)*SUM(梦灵属性!$E$27:$J$27)+OFFSET(梦灵图鉴!J$10,MATCH(A352,梦灵图鉴!$I$11:$I$61,1),0)*SUM(梦灵属性!$E$28:$J$28)+OFFSET(梦灵图鉴!L$10,MATCH(A352,梦灵图鉴!$K$11:$K$61,1),0)*SUM(梦灵属性!$E$29:$J$29)</f>
        <v>14.1</v>
      </c>
      <c r="J352" s="56"/>
      <c r="K352" s="56"/>
      <c r="L352" s="22"/>
      <c r="M352" s="22"/>
      <c r="N352" s="22"/>
    </row>
    <row r="353" ht="16.5" spans="1:14">
      <c r="A353" s="54">
        <v>347</v>
      </c>
      <c r="B353" s="35">
        <f ca="1">OFFSET(梦灵本体产出!$G$6,MATCH(A353,梦灵本体产出!$I$7:$I$30,1),0)</f>
        <v>0</v>
      </c>
      <c r="C353" s="35" t="e">
        <f ca="1">MATCH(A353,OFFSET(梦灵属性!#REF!,50*(B353-3),0))</f>
        <v>#REF!</v>
      </c>
      <c r="D353" s="55"/>
      <c r="E353" s="55"/>
      <c r="F353" s="22" t="e">
        <f ca="1">_xlfn.XLOOKUP(B353,梦灵属性!$F$38:$F$41,梦灵属性!$E$38:$E$41)*C353</f>
        <v>#N/A</v>
      </c>
      <c r="G353" s="22" t="e">
        <f ca="1">_xlfn.XLOOKUP($B353,梦灵属性!$F$38:$F$41,梦灵属性!$E$38:$E$41)*$C353</f>
        <v>#N/A</v>
      </c>
      <c r="H353" s="22"/>
      <c r="I353" s="56">
        <f ca="1">OFFSET(梦灵图鉴!F$10,MATCH(A353,梦灵图鉴!$E$11:$E$61,1),0)*SUM(梦灵属性!$E$26:$J$26)+OFFSET(梦灵图鉴!H$10,MATCH(A353,梦灵图鉴!$G$11:$G$61,1),0)*SUM(梦灵属性!$E$27:$J$27)+OFFSET(梦灵图鉴!J$10,MATCH(A353,梦灵图鉴!$I$11:$I$61,1),0)*SUM(梦灵属性!$E$28:$J$28)+OFFSET(梦灵图鉴!L$10,MATCH(A353,梦灵图鉴!$K$11:$K$61,1),0)*SUM(梦灵属性!$E$29:$J$29)</f>
        <v>14.1</v>
      </c>
      <c r="J353" s="56"/>
      <c r="K353" s="56"/>
      <c r="L353" s="22"/>
      <c r="M353" s="22"/>
      <c r="N353" s="22"/>
    </row>
    <row r="354" ht="16.5" spans="1:14">
      <c r="A354" s="54">
        <v>348</v>
      </c>
      <c r="B354" s="35">
        <f ca="1">OFFSET(梦灵本体产出!$G$6,MATCH(A354,梦灵本体产出!$I$7:$I$30,1),0)</f>
        <v>0</v>
      </c>
      <c r="C354" s="35" t="e">
        <f ca="1">MATCH(A354,OFFSET(梦灵属性!#REF!,50*(B354-3),0))</f>
        <v>#REF!</v>
      </c>
      <c r="D354" s="55"/>
      <c r="E354" s="55"/>
      <c r="F354" s="22" t="e">
        <f ca="1">_xlfn.XLOOKUP(B354,梦灵属性!$F$38:$F$41,梦灵属性!$E$38:$E$41)*C354</f>
        <v>#N/A</v>
      </c>
      <c r="G354" s="22" t="e">
        <f ca="1">_xlfn.XLOOKUP($B354,梦灵属性!$F$38:$F$41,梦灵属性!$E$38:$E$41)*$C354</f>
        <v>#N/A</v>
      </c>
      <c r="H354" s="22"/>
      <c r="I354" s="56">
        <f ca="1">OFFSET(梦灵图鉴!F$10,MATCH(A354,梦灵图鉴!$E$11:$E$61,1),0)*SUM(梦灵属性!$E$26:$J$26)+OFFSET(梦灵图鉴!H$10,MATCH(A354,梦灵图鉴!$G$11:$G$61,1),0)*SUM(梦灵属性!$E$27:$J$27)+OFFSET(梦灵图鉴!J$10,MATCH(A354,梦灵图鉴!$I$11:$I$61,1),0)*SUM(梦灵属性!$E$28:$J$28)+OFFSET(梦灵图鉴!L$10,MATCH(A354,梦灵图鉴!$K$11:$K$61,1),0)*SUM(梦灵属性!$E$29:$J$29)</f>
        <v>14.1</v>
      </c>
      <c r="J354" s="56"/>
      <c r="K354" s="56"/>
      <c r="L354" s="22"/>
      <c r="M354" s="22"/>
      <c r="N354" s="22"/>
    </row>
    <row r="355" ht="16.5" spans="1:14">
      <c r="A355" s="54">
        <v>349</v>
      </c>
      <c r="B355" s="35">
        <f ca="1">OFFSET(梦灵本体产出!$G$6,MATCH(A355,梦灵本体产出!$I$7:$I$30,1),0)</f>
        <v>0</v>
      </c>
      <c r="C355" s="35" t="e">
        <f ca="1">MATCH(A355,OFFSET(梦灵属性!#REF!,50*(B355-3),0))</f>
        <v>#REF!</v>
      </c>
      <c r="D355" s="55"/>
      <c r="E355" s="55"/>
      <c r="F355" s="22" t="e">
        <f ca="1">_xlfn.XLOOKUP(B355,梦灵属性!$F$38:$F$41,梦灵属性!$E$38:$E$41)*C355</f>
        <v>#N/A</v>
      </c>
      <c r="G355" s="22" t="e">
        <f ca="1">_xlfn.XLOOKUP($B355,梦灵属性!$F$38:$F$41,梦灵属性!$E$38:$E$41)*$C355</f>
        <v>#N/A</v>
      </c>
      <c r="H355" s="22"/>
      <c r="I355" s="56">
        <f ca="1">OFFSET(梦灵图鉴!F$10,MATCH(A355,梦灵图鉴!$E$11:$E$61,1),0)*SUM(梦灵属性!$E$26:$J$26)+OFFSET(梦灵图鉴!H$10,MATCH(A355,梦灵图鉴!$G$11:$G$61,1),0)*SUM(梦灵属性!$E$27:$J$27)+OFFSET(梦灵图鉴!J$10,MATCH(A355,梦灵图鉴!$I$11:$I$61,1),0)*SUM(梦灵属性!$E$28:$J$28)+OFFSET(梦灵图鉴!L$10,MATCH(A355,梦灵图鉴!$K$11:$K$61,1),0)*SUM(梦灵属性!$E$29:$J$29)</f>
        <v>14.1</v>
      </c>
      <c r="J355" s="56"/>
      <c r="K355" s="56"/>
      <c r="L355" s="22"/>
      <c r="M355" s="22"/>
      <c r="N355" s="22"/>
    </row>
    <row r="356" ht="16.5" spans="1:14">
      <c r="A356" s="54">
        <v>350</v>
      </c>
      <c r="B356" s="35">
        <f ca="1">OFFSET(梦灵本体产出!$G$6,MATCH(A356,梦灵本体产出!$I$7:$I$30,1),0)</f>
        <v>0</v>
      </c>
      <c r="C356" s="35" t="e">
        <f ca="1">MATCH(A356,OFFSET(梦灵属性!#REF!,50*(B356-3),0))</f>
        <v>#REF!</v>
      </c>
      <c r="D356" s="55"/>
      <c r="E356" s="55"/>
      <c r="F356" s="22" t="e">
        <f ca="1">_xlfn.XLOOKUP(B356,梦灵属性!$F$38:$F$41,梦灵属性!$E$38:$E$41)*C356</f>
        <v>#N/A</v>
      </c>
      <c r="G356" s="22" t="e">
        <f ca="1">_xlfn.XLOOKUP($B356,梦灵属性!$F$38:$F$41,梦灵属性!$E$38:$E$41)*$C356</f>
        <v>#N/A</v>
      </c>
      <c r="H356" s="22"/>
      <c r="I356" s="56">
        <f ca="1">OFFSET(梦灵图鉴!F$10,MATCH(A356,梦灵图鉴!$E$11:$E$61,1),0)*SUM(梦灵属性!$E$26:$J$26)+OFFSET(梦灵图鉴!H$10,MATCH(A356,梦灵图鉴!$G$11:$G$61,1),0)*SUM(梦灵属性!$E$27:$J$27)+OFFSET(梦灵图鉴!J$10,MATCH(A356,梦灵图鉴!$I$11:$I$61,1),0)*SUM(梦灵属性!$E$28:$J$28)+OFFSET(梦灵图鉴!L$10,MATCH(A356,梦灵图鉴!$K$11:$K$61,1),0)*SUM(梦灵属性!$E$29:$J$29)</f>
        <v>14.1</v>
      </c>
      <c r="J356" s="56"/>
      <c r="K356" s="56"/>
      <c r="L356" s="22"/>
      <c r="M356" s="22"/>
      <c r="N356" s="22"/>
    </row>
    <row r="357" ht="16.5" spans="1:14">
      <c r="A357" s="54">
        <v>351</v>
      </c>
      <c r="B357" s="35">
        <f ca="1">OFFSET(梦灵本体产出!$G$6,MATCH(A357,梦灵本体产出!$I$7:$I$30,1),0)</f>
        <v>0</v>
      </c>
      <c r="C357" s="35" t="e">
        <f ca="1">MATCH(A357,OFFSET(梦灵属性!#REF!,50*(B357-3),0))</f>
        <v>#REF!</v>
      </c>
      <c r="D357" s="55"/>
      <c r="E357" s="55"/>
      <c r="F357" s="22" t="e">
        <f ca="1">_xlfn.XLOOKUP(B357,梦灵属性!$F$38:$F$41,梦灵属性!$E$38:$E$41)*C357</f>
        <v>#N/A</v>
      </c>
      <c r="G357" s="22" t="e">
        <f ca="1">_xlfn.XLOOKUP($B357,梦灵属性!$F$38:$F$41,梦灵属性!$E$38:$E$41)*$C357</f>
        <v>#N/A</v>
      </c>
      <c r="H357" s="22"/>
      <c r="I357" s="56">
        <f ca="1">OFFSET(梦灵图鉴!F$10,MATCH(A357,梦灵图鉴!$E$11:$E$61,1),0)*SUM(梦灵属性!$E$26:$J$26)+OFFSET(梦灵图鉴!H$10,MATCH(A357,梦灵图鉴!$G$11:$G$61,1),0)*SUM(梦灵属性!$E$27:$J$27)+OFFSET(梦灵图鉴!J$10,MATCH(A357,梦灵图鉴!$I$11:$I$61,1),0)*SUM(梦灵属性!$E$28:$J$28)+OFFSET(梦灵图鉴!L$10,MATCH(A357,梦灵图鉴!$K$11:$K$61,1),0)*SUM(梦灵属性!$E$29:$J$29)</f>
        <v>14.1</v>
      </c>
      <c r="J357" s="56"/>
      <c r="K357" s="56"/>
      <c r="L357" s="22"/>
      <c r="M357" s="22"/>
      <c r="N357" s="22"/>
    </row>
    <row r="358" ht="16.5" spans="1:14">
      <c r="A358" s="54">
        <v>352</v>
      </c>
      <c r="B358" s="35">
        <f ca="1">OFFSET(梦灵本体产出!$G$6,MATCH(A358,梦灵本体产出!$I$7:$I$30,1),0)</f>
        <v>0</v>
      </c>
      <c r="C358" s="35" t="e">
        <f ca="1">MATCH(A358,OFFSET(梦灵属性!#REF!,50*(B358-3),0))</f>
        <v>#REF!</v>
      </c>
      <c r="D358" s="55"/>
      <c r="E358" s="55"/>
      <c r="F358" s="22" t="e">
        <f ca="1">_xlfn.XLOOKUP(B358,梦灵属性!$F$38:$F$41,梦灵属性!$E$38:$E$41)*C358</f>
        <v>#N/A</v>
      </c>
      <c r="G358" s="22" t="e">
        <f ca="1">_xlfn.XLOOKUP($B358,梦灵属性!$F$38:$F$41,梦灵属性!$E$38:$E$41)*$C358</f>
        <v>#N/A</v>
      </c>
      <c r="H358" s="22"/>
      <c r="I358" s="56">
        <f ca="1">OFFSET(梦灵图鉴!F$10,MATCH(A358,梦灵图鉴!$E$11:$E$61,1),0)*SUM(梦灵属性!$E$26:$J$26)+OFFSET(梦灵图鉴!H$10,MATCH(A358,梦灵图鉴!$G$11:$G$61,1),0)*SUM(梦灵属性!$E$27:$J$27)+OFFSET(梦灵图鉴!J$10,MATCH(A358,梦灵图鉴!$I$11:$I$61,1),0)*SUM(梦灵属性!$E$28:$J$28)+OFFSET(梦灵图鉴!L$10,MATCH(A358,梦灵图鉴!$K$11:$K$61,1),0)*SUM(梦灵属性!$E$29:$J$29)</f>
        <v>14.1</v>
      </c>
      <c r="J358" s="56"/>
      <c r="K358" s="56"/>
      <c r="L358" s="22"/>
      <c r="M358" s="22"/>
      <c r="N358" s="22"/>
    </row>
    <row r="359" ht="16.5" spans="1:14">
      <c r="A359" s="54">
        <v>353</v>
      </c>
      <c r="B359" s="35">
        <f ca="1">OFFSET(梦灵本体产出!$G$6,MATCH(A359,梦灵本体产出!$I$7:$I$30,1),0)</f>
        <v>0</v>
      </c>
      <c r="C359" s="35" t="e">
        <f ca="1">MATCH(A359,OFFSET(梦灵属性!#REF!,50*(B359-3),0))</f>
        <v>#REF!</v>
      </c>
      <c r="D359" s="55"/>
      <c r="E359" s="55"/>
      <c r="F359" s="22" t="e">
        <f ca="1">_xlfn.XLOOKUP(B359,梦灵属性!$F$38:$F$41,梦灵属性!$E$38:$E$41)*C359</f>
        <v>#N/A</v>
      </c>
      <c r="G359" s="22" t="e">
        <f ca="1">_xlfn.XLOOKUP($B359,梦灵属性!$F$38:$F$41,梦灵属性!$E$38:$E$41)*$C359</f>
        <v>#N/A</v>
      </c>
      <c r="H359" s="22"/>
      <c r="I359" s="56">
        <f ca="1">OFFSET(梦灵图鉴!F$10,MATCH(A359,梦灵图鉴!$E$11:$E$61,1),0)*SUM(梦灵属性!$E$26:$J$26)+OFFSET(梦灵图鉴!H$10,MATCH(A359,梦灵图鉴!$G$11:$G$61,1),0)*SUM(梦灵属性!$E$27:$J$27)+OFFSET(梦灵图鉴!J$10,MATCH(A359,梦灵图鉴!$I$11:$I$61,1),0)*SUM(梦灵属性!$E$28:$J$28)+OFFSET(梦灵图鉴!L$10,MATCH(A359,梦灵图鉴!$K$11:$K$61,1),0)*SUM(梦灵属性!$E$29:$J$29)</f>
        <v>14.1</v>
      </c>
      <c r="J359" s="56"/>
      <c r="K359" s="56"/>
      <c r="L359" s="22"/>
      <c r="M359" s="22"/>
      <c r="N359" s="22"/>
    </row>
    <row r="360" ht="16.5" spans="1:14">
      <c r="A360" s="54">
        <v>354</v>
      </c>
      <c r="B360" s="35">
        <f ca="1">OFFSET(梦灵本体产出!$G$6,MATCH(A360,梦灵本体产出!$I$7:$I$30,1),0)</f>
        <v>0</v>
      </c>
      <c r="C360" s="35" t="e">
        <f ca="1">MATCH(A360,OFFSET(梦灵属性!#REF!,50*(B360-3),0))</f>
        <v>#REF!</v>
      </c>
      <c r="D360" s="55"/>
      <c r="E360" s="55"/>
      <c r="F360" s="22" t="e">
        <f ca="1">_xlfn.XLOOKUP(B360,梦灵属性!$F$38:$F$41,梦灵属性!$E$38:$E$41)*C360</f>
        <v>#N/A</v>
      </c>
      <c r="G360" s="22" t="e">
        <f ca="1">_xlfn.XLOOKUP($B360,梦灵属性!$F$38:$F$41,梦灵属性!$E$38:$E$41)*$C360</f>
        <v>#N/A</v>
      </c>
      <c r="H360" s="22"/>
      <c r="I360" s="56">
        <f ca="1">OFFSET(梦灵图鉴!F$10,MATCH(A360,梦灵图鉴!$E$11:$E$61,1),0)*SUM(梦灵属性!$E$26:$J$26)+OFFSET(梦灵图鉴!H$10,MATCH(A360,梦灵图鉴!$G$11:$G$61,1),0)*SUM(梦灵属性!$E$27:$J$27)+OFFSET(梦灵图鉴!J$10,MATCH(A360,梦灵图鉴!$I$11:$I$61,1),0)*SUM(梦灵属性!$E$28:$J$28)+OFFSET(梦灵图鉴!L$10,MATCH(A360,梦灵图鉴!$K$11:$K$61,1),0)*SUM(梦灵属性!$E$29:$J$29)</f>
        <v>14.1</v>
      </c>
      <c r="J360" s="56"/>
      <c r="K360" s="56"/>
      <c r="L360" s="22"/>
      <c r="M360" s="22"/>
      <c r="N360" s="22"/>
    </row>
    <row r="361" ht="16.5" spans="1:14">
      <c r="A361" s="54">
        <v>355</v>
      </c>
      <c r="B361" s="35">
        <f ca="1">OFFSET(梦灵本体产出!$G$6,MATCH(A361,梦灵本体产出!$I$7:$I$30,1),0)</f>
        <v>0</v>
      </c>
      <c r="C361" s="35" t="e">
        <f ca="1">MATCH(A361,OFFSET(梦灵属性!#REF!,50*(B361-3),0))</f>
        <v>#REF!</v>
      </c>
      <c r="D361" s="55"/>
      <c r="E361" s="55"/>
      <c r="F361" s="22" t="e">
        <f ca="1">_xlfn.XLOOKUP(B361,梦灵属性!$F$38:$F$41,梦灵属性!$E$38:$E$41)*C361</f>
        <v>#N/A</v>
      </c>
      <c r="G361" s="22" t="e">
        <f ca="1">_xlfn.XLOOKUP($B361,梦灵属性!$F$38:$F$41,梦灵属性!$E$38:$E$41)*$C361</f>
        <v>#N/A</v>
      </c>
      <c r="H361" s="22"/>
      <c r="I361" s="56">
        <f ca="1">OFFSET(梦灵图鉴!F$10,MATCH(A361,梦灵图鉴!$E$11:$E$61,1),0)*SUM(梦灵属性!$E$26:$J$26)+OFFSET(梦灵图鉴!H$10,MATCH(A361,梦灵图鉴!$G$11:$G$61,1),0)*SUM(梦灵属性!$E$27:$J$27)+OFFSET(梦灵图鉴!J$10,MATCH(A361,梦灵图鉴!$I$11:$I$61,1),0)*SUM(梦灵属性!$E$28:$J$28)+OFFSET(梦灵图鉴!L$10,MATCH(A361,梦灵图鉴!$K$11:$K$61,1),0)*SUM(梦灵属性!$E$29:$J$29)</f>
        <v>14.1</v>
      </c>
      <c r="J361" s="56"/>
      <c r="K361" s="56"/>
      <c r="L361" s="22"/>
      <c r="M361" s="22"/>
      <c r="N361" s="22"/>
    </row>
    <row r="362" ht="16.5" spans="1:14">
      <c r="A362" s="54">
        <v>356</v>
      </c>
      <c r="B362" s="35">
        <f ca="1">OFFSET(梦灵本体产出!$G$6,MATCH(A362,梦灵本体产出!$I$7:$I$30,1),0)</f>
        <v>0</v>
      </c>
      <c r="C362" s="35" t="e">
        <f ca="1">MATCH(A362,OFFSET(梦灵属性!#REF!,50*(B362-3),0))</f>
        <v>#REF!</v>
      </c>
      <c r="D362" s="55"/>
      <c r="E362" s="55"/>
      <c r="F362" s="22" t="e">
        <f ca="1">_xlfn.XLOOKUP(B362,梦灵属性!$F$38:$F$41,梦灵属性!$E$38:$E$41)*C362</f>
        <v>#N/A</v>
      </c>
      <c r="G362" s="22" t="e">
        <f ca="1">_xlfn.XLOOKUP($B362,梦灵属性!$F$38:$F$41,梦灵属性!$E$38:$E$41)*$C362</f>
        <v>#N/A</v>
      </c>
      <c r="H362" s="22"/>
      <c r="I362" s="56">
        <f ca="1">OFFSET(梦灵图鉴!F$10,MATCH(A362,梦灵图鉴!$E$11:$E$61,1),0)*SUM(梦灵属性!$E$26:$J$26)+OFFSET(梦灵图鉴!H$10,MATCH(A362,梦灵图鉴!$G$11:$G$61,1),0)*SUM(梦灵属性!$E$27:$J$27)+OFFSET(梦灵图鉴!J$10,MATCH(A362,梦灵图鉴!$I$11:$I$61,1),0)*SUM(梦灵属性!$E$28:$J$28)+OFFSET(梦灵图鉴!L$10,MATCH(A362,梦灵图鉴!$K$11:$K$61,1),0)*SUM(梦灵属性!$E$29:$J$29)</f>
        <v>14.1</v>
      </c>
      <c r="J362" s="56"/>
      <c r="K362" s="56"/>
      <c r="L362" s="22"/>
      <c r="M362" s="22"/>
      <c r="N362" s="22"/>
    </row>
    <row r="363" ht="16.5" spans="1:14">
      <c r="A363" s="54">
        <v>357</v>
      </c>
      <c r="B363" s="35">
        <f ca="1">OFFSET(梦灵本体产出!$G$6,MATCH(A363,梦灵本体产出!$I$7:$I$30,1),0)</f>
        <v>0</v>
      </c>
      <c r="C363" s="35" t="e">
        <f ca="1">MATCH(A363,OFFSET(梦灵属性!#REF!,50*(B363-3),0))</f>
        <v>#REF!</v>
      </c>
      <c r="D363" s="55"/>
      <c r="E363" s="55"/>
      <c r="F363" s="22" t="e">
        <f ca="1">_xlfn.XLOOKUP(B363,梦灵属性!$F$38:$F$41,梦灵属性!$E$38:$E$41)*C363</f>
        <v>#N/A</v>
      </c>
      <c r="G363" s="22" t="e">
        <f ca="1">_xlfn.XLOOKUP($B363,梦灵属性!$F$38:$F$41,梦灵属性!$E$38:$E$41)*$C363</f>
        <v>#N/A</v>
      </c>
      <c r="H363" s="22"/>
      <c r="I363" s="56">
        <f ca="1">OFFSET(梦灵图鉴!F$10,MATCH(A363,梦灵图鉴!$E$11:$E$61,1),0)*SUM(梦灵属性!$E$26:$J$26)+OFFSET(梦灵图鉴!H$10,MATCH(A363,梦灵图鉴!$G$11:$G$61,1),0)*SUM(梦灵属性!$E$27:$J$27)+OFFSET(梦灵图鉴!J$10,MATCH(A363,梦灵图鉴!$I$11:$I$61,1),0)*SUM(梦灵属性!$E$28:$J$28)+OFFSET(梦灵图鉴!L$10,MATCH(A363,梦灵图鉴!$K$11:$K$61,1),0)*SUM(梦灵属性!$E$29:$J$29)</f>
        <v>14.1</v>
      </c>
      <c r="J363" s="56"/>
      <c r="K363" s="56"/>
      <c r="L363" s="22"/>
      <c r="M363" s="22"/>
      <c r="N363" s="22"/>
    </row>
    <row r="364" ht="16.5" spans="1:14">
      <c r="A364" s="54">
        <v>358</v>
      </c>
      <c r="B364" s="35">
        <f ca="1">OFFSET(梦灵本体产出!$G$6,MATCH(A364,梦灵本体产出!$I$7:$I$30,1),0)</f>
        <v>0</v>
      </c>
      <c r="C364" s="35" t="e">
        <f ca="1">MATCH(A364,OFFSET(梦灵属性!#REF!,50*(B364-3),0))</f>
        <v>#REF!</v>
      </c>
      <c r="D364" s="55"/>
      <c r="E364" s="55"/>
      <c r="F364" s="22" t="e">
        <f ca="1">_xlfn.XLOOKUP(B364,梦灵属性!$F$38:$F$41,梦灵属性!$E$38:$E$41)*C364</f>
        <v>#N/A</v>
      </c>
      <c r="G364" s="22" t="e">
        <f ca="1">_xlfn.XLOOKUP($B364,梦灵属性!$F$38:$F$41,梦灵属性!$E$38:$E$41)*$C364</f>
        <v>#N/A</v>
      </c>
      <c r="H364" s="22"/>
      <c r="I364" s="56">
        <f ca="1">OFFSET(梦灵图鉴!F$10,MATCH(A364,梦灵图鉴!$E$11:$E$61,1),0)*SUM(梦灵属性!$E$26:$J$26)+OFFSET(梦灵图鉴!H$10,MATCH(A364,梦灵图鉴!$G$11:$G$61,1),0)*SUM(梦灵属性!$E$27:$J$27)+OFFSET(梦灵图鉴!J$10,MATCH(A364,梦灵图鉴!$I$11:$I$61,1),0)*SUM(梦灵属性!$E$28:$J$28)+OFFSET(梦灵图鉴!L$10,MATCH(A364,梦灵图鉴!$K$11:$K$61,1),0)*SUM(梦灵属性!$E$29:$J$29)</f>
        <v>14.1</v>
      </c>
      <c r="J364" s="56"/>
      <c r="K364" s="56"/>
      <c r="L364" s="22"/>
      <c r="M364" s="22"/>
      <c r="N364" s="22"/>
    </row>
    <row r="365" ht="16.5" spans="1:14">
      <c r="A365" s="54">
        <v>359</v>
      </c>
      <c r="B365" s="35">
        <f ca="1">OFFSET(梦灵本体产出!$G$6,MATCH(A365,梦灵本体产出!$I$7:$I$30,1),0)</f>
        <v>0</v>
      </c>
      <c r="C365" s="35" t="e">
        <f ca="1">MATCH(A365,OFFSET(梦灵属性!#REF!,50*(B365-3),0))</f>
        <v>#REF!</v>
      </c>
      <c r="D365" s="55"/>
      <c r="E365" s="55"/>
      <c r="F365" s="22" t="e">
        <f ca="1">_xlfn.XLOOKUP(B365,梦灵属性!$F$38:$F$41,梦灵属性!$E$38:$E$41)*C365</f>
        <v>#N/A</v>
      </c>
      <c r="G365" s="22" t="e">
        <f ca="1">_xlfn.XLOOKUP($B365,梦灵属性!$F$38:$F$41,梦灵属性!$E$38:$E$41)*$C365</f>
        <v>#N/A</v>
      </c>
      <c r="H365" s="22"/>
      <c r="I365" s="56">
        <f ca="1">OFFSET(梦灵图鉴!F$10,MATCH(A365,梦灵图鉴!$E$11:$E$61,1),0)*SUM(梦灵属性!$E$26:$J$26)+OFFSET(梦灵图鉴!H$10,MATCH(A365,梦灵图鉴!$G$11:$G$61,1),0)*SUM(梦灵属性!$E$27:$J$27)+OFFSET(梦灵图鉴!J$10,MATCH(A365,梦灵图鉴!$I$11:$I$61,1),0)*SUM(梦灵属性!$E$28:$J$28)+OFFSET(梦灵图鉴!L$10,MATCH(A365,梦灵图鉴!$K$11:$K$61,1),0)*SUM(梦灵属性!$E$29:$J$29)</f>
        <v>14.1</v>
      </c>
      <c r="J365" s="56"/>
      <c r="K365" s="56"/>
      <c r="L365" s="22"/>
      <c r="M365" s="22"/>
      <c r="N365" s="22"/>
    </row>
    <row r="366" ht="16.5" spans="1:14">
      <c r="A366" s="54">
        <v>360</v>
      </c>
      <c r="B366" s="35">
        <f ca="1">OFFSET(梦灵本体产出!$G$6,MATCH(A366,梦灵本体产出!$I$7:$I$30,1),0)</f>
        <v>0</v>
      </c>
      <c r="C366" s="35" t="e">
        <f ca="1">MATCH(A366,OFFSET(梦灵属性!#REF!,50*(B366-3),0))</f>
        <v>#REF!</v>
      </c>
      <c r="D366" s="55"/>
      <c r="E366" s="55"/>
      <c r="F366" s="22" t="e">
        <f ca="1">_xlfn.XLOOKUP(B366,梦灵属性!$F$38:$F$41,梦灵属性!$E$38:$E$41)*C366</f>
        <v>#N/A</v>
      </c>
      <c r="G366" s="22" t="e">
        <f ca="1">_xlfn.XLOOKUP($B366,梦灵属性!$F$38:$F$41,梦灵属性!$E$38:$E$41)*$C366</f>
        <v>#N/A</v>
      </c>
      <c r="H366" s="22"/>
      <c r="I366" s="56">
        <f ca="1">OFFSET(梦灵图鉴!F$10,MATCH(A366,梦灵图鉴!$E$11:$E$61,1),0)*SUM(梦灵属性!$E$26:$J$26)+OFFSET(梦灵图鉴!H$10,MATCH(A366,梦灵图鉴!$G$11:$G$61,1),0)*SUM(梦灵属性!$E$27:$J$27)+OFFSET(梦灵图鉴!J$10,MATCH(A366,梦灵图鉴!$I$11:$I$61,1),0)*SUM(梦灵属性!$E$28:$J$28)+OFFSET(梦灵图鉴!L$10,MATCH(A366,梦灵图鉴!$K$11:$K$61,1),0)*SUM(梦灵属性!$E$29:$J$29)</f>
        <v>14.1</v>
      </c>
      <c r="J366" s="56"/>
      <c r="K366" s="56"/>
      <c r="L366" s="22"/>
      <c r="M366" s="22"/>
      <c r="N366" s="22"/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AK196"/>
  <sheetViews>
    <sheetView workbookViewId="0">
      <selection activeCell="E50" sqref="E50"/>
    </sheetView>
  </sheetViews>
  <sheetFormatPr defaultColWidth="9.14285714285714" defaultRowHeight="12.75"/>
  <cols>
    <col min="1" max="1" width="14.7142857142857" customWidth="1"/>
    <col min="3" max="3" width="9.57142857142857"/>
    <col min="4" max="4" width="12.8571428571429"/>
    <col min="5" max="7" width="9.57142857142857"/>
    <col min="8" max="8" width="12.8571428571429"/>
    <col min="9" max="9" width="9.57142857142857"/>
    <col min="10" max="10" width="12.8571428571429"/>
    <col min="11" max="17" width="9.57142857142857"/>
    <col min="18" max="19" width="12.8571428571429"/>
    <col min="20" max="20" width="9.57142857142857"/>
    <col min="21" max="21" width="11.7142857142857"/>
    <col min="22" max="22" width="10.5714285714286"/>
    <col min="23" max="31" width="9.57142857142857"/>
  </cols>
  <sheetData>
    <row r="2" spans="1:27">
      <c r="A2">
        <v>10</v>
      </c>
      <c r="B2">
        <v>12</v>
      </c>
      <c r="C2">
        <v>13</v>
      </c>
      <c r="D2">
        <v>16</v>
      </c>
      <c r="G2">
        <f>G53</f>
        <v>3</v>
      </c>
      <c r="H2">
        <f>H53</f>
        <v>0</v>
      </c>
      <c r="I2">
        <f>I53</f>
        <v>2</v>
      </c>
      <c r="P2" t="s">
        <v>104</v>
      </c>
    </row>
    <row r="3" spans="1:27">
      <c r="A3">
        <f>COUNTIF($D$5:$D$46,A2)</f>
        <v>26</v>
      </c>
      <c r="B3">
        <f>COUNTIF($D$5:$D$46,B2)</f>
        <v>9</v>
      </c>
      <c r="C3">
        <f>COUNTIF($D$5:$D$46,C2)</f>
        <v>4</v>
      </c>
      <c r="D3">
        <f>COUNTIF($D$5:$D$46,D2)</f>
        <v>3</v>
      </c>
      <c r="G3">
        <v>51010001</v>
      </c>
      <c r="H3">
        <v>51010002</v>
      </c>
      <c r="I3">
        <v>51010003</v>
      </c>
      <c r="J3">
        <v>51010004</v>
      </c>
      <c r="K3">
        <v>51010005</v>
      </c>
      <c r="L3">
        <v>51010006</v>
      </c>
      <c r="M3">
        <v>51010007</v>
      </c>
      <c r="N3">
        <v>51010008</v>
      </c>
      <c r="O3">
        <v>51010009</v>
      </c>
      <c r="Q3">
        <v>1</v>
      </c>
      <c r="R3">
        <v>1</v>
      </c>
      <c r="S3">
        <v>1</v>
      </c>
    </row>
    <row r="4" spans="1:27">
      <c r="C4" t="s">
        <v>124</v>
      </c>
      <c r="G4" t="s">
        <v>125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Q4" t="s">
        <v>125</v>
      </c>
      <c r="R4" t="s">
        <v>126</v>
      </c>
      <c r="S4" t="s">
        <v>127</v>
      </c>
      <c r="T4" t="s">
        <v>128</v>
      </c>
      <c r="U4" t="s">
        <v>129</v>
      </c>
      <c r="V4" t="s">
        <v>130</v>
      </c>
      <c r="W4" t="s">
        <v>131</v>
      </c>
      <c r="X4" t="s">
        <v>132</v>
      </c>
      <c r="Y4" t="s">
        <v>133</v>
      </c>
    </row>
    <row r="5" spans="1:27">
      <c r="A5">
        <f>SUM($D$5:D5)</f>
        <v>12</v>
      </c>
      <c r="B5">
        <f>C5*1.2</f>
        <v>12</v>
      </c>
      <c r="C5">
        <v>10</v>
      </c>
      <c r="D5" s="45">
        <v>12</v>
      </c>
      <c r="E5" t="str">
        <f>"{{1,"&amp;C5&amp;"},"&amp;D5-10&amp;"}"</f>
        <v>{{1,10},2}</v>
      </c>
      <c r="F5" cm="1">
        <f t="array" ref="F5">SUM(G5:O5)-SUMPRODUCT(--(AB5:AH5&gt;0))</f>
        <v>4</v>
      </c>
      <c r="G5">
        <v>2</v>
      </c>
      <c r="I5">
        <v>1</v>
      </c>
      <c r="J5">
        <v>1</v>
      </c>
      <c r="P5">
        <f>SUM(J5:O5)</f>
        <v>1</v>
      </c>
      <c r="Q5">
        <f>IF(AC104=AC103,"",AC104)</f>
        <v>3</v>
      </c>
      <c r="R5" t="str">
        <f t="shared" ref="R5:Y5" si="0">IF(AD104=AD103,"",AD104)</f>
        <v/>
      </c>
      <c r="S5">
        <f t="shared" si="0"/>
        <v>2</v>
      </c>
      <c r="T5">
        <f t="shared" si="0"/>
        <v>1</v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>
        <v>1</v>
      </c>
      <c r="AA5">
        <v>1</v>
      </c>
    </row>
    <row r="6" spans="1:27">
      <c r="A6">
        <f>SUM($D$5:D6)</f>
        <v>22</v>
      </c>
      <c r="B6">
        <f t="shared" ref="B6:B49" si="1">C6*1.2</f>
        <v>24</v>
      </c>
      <c r="C6">
        <v>20</v>
      </c>
      <c r="D6" s="45">
        <v>10</v>
      </c>
      <c r="E6" t="str">
        <f t="shared" ref="E6:E49" si="2">"{{1,"&amp;C6&amp;"},"&amp;D6-10&amp;"}"</f>
        <v>{{1,20},0}</v>
      </c>
      <c r="F6" cm="1">
        <f t="array" ref="F6">SUM(G6:O6)-SUMPRODUCT(--(AB6:AH6&gt;0))</f>
        <v>3</v>
      </c>
      <c r="G6">
        <v>1</v>
      </c>
      <c r="I6">
        <v>1</v>
      </c>
      <c r="J6">
        <v>1</v>
      </c>
      <c r="P6">
        <f t="shared" ref="P6:P49" si="3">SUM(J6:O6)</f>
        <v>1</v>
      </c>
      <c r="Q6">
        <f t="shared" ref="Q6:Y6" si="4">IF(AC105=AC104,"",AC105)</f>
        <v>4</v>
      </c>
      <c r="R6" t="str">
        <f t="shared" si="4"/>
        <v/>
      </c>
      <c r="S6">
        <f t="shared" si="4"/>
        <v>3</v>
      </c>
      <c r="T6">
        <f t="shared" si="4"/>
        <v>2</v>
      </c>
      <c r="U6" t="str">
        <f t="shared" si="4"/>
        <v/>
      </c>
      <c r="V6" t="str">
        <f t="shared" si="4"/>
        <v/>
      </c>
      <c r="W6" t="str">
        <f t="shared" si="4"/>
        <v/>
      </c>
      <c r="X6" t="str">
        <f t="shared" si="4"/>
        <v/>
      </c>
      <c r="Y6" t="str">
        <f t="shared" si="4"/>
        <v/>
      </c>
      <c r="Z6">
        <v>2</v>
      </c>
      <c r="AA6">
        <v>2</v>
      </c>
    </row>
    <row r="7" spans="1:27">
      <c r="A7">
        <f>SUM($D$5:D7)</f>
        <v>32</v>
      </c>
      <c r="B7">
        <f t="shared" si="1"/>
        <v>36</v>
      </c>
      <c r="C7">
        <v>30</v>
      </c>
      <c r="D7" s="45">
        <v>10</v>
      </c>
      <c r="E7" t="str">
        <f t="shared" si="2"/>
        <v>{{1,30},0}</v>
      </c>
      <c r="F7" cm="1">
        <f t="array" ref="F7">SUM(G7:O7)-SUMPRODUCT(--(AB7:AH7&gt;0))</f>
        <v>0</v>
      </c>
      <c r="P7">
        <f t="shared" si="3"/>
        <v>0</v>
      </c>
      <c r="Q7" t="str">
        <f t="shared" ref="Q7:Q46" si="5">IF(AC106=AC105,"",AC106)</f>
        <v/>
      </c>
      <c r="R7" t="str">
        <f t="shared" ref="R7:R46" si="6">IF(AD106=AD105,"",AD106)</f>
        <v/>
      </c>
      <c r="S7" t="str">
        <f t="shared" ref="S7:S46" si="7">IF(AE106=AE105,"",AE106)</f>
        <v/>
      </c>
      <c r="T7" t="str">
        <f t="shared" ref="T7:T46" si="8">IF(AF106=AF105,"",AF106)</f>
        <v/>
      </c>
      <c r="U7" t="str">
        <f t="shared" ref="U7:U46" si="9">IF(AG106=AG105,"",AG106)</f>
        <v/>
      </c>
      <c r="V7" t="str">
        <f t="shared" ref="V7:V46" si="10">IF(AH106=AH105,"",AH106)</f>
        <v/>
      </c>
      <c r="W7" t="str">
        <f t="shared" ref="W7:W46" si="11">IF(AI106=AI105,"",AI106)</f>
        <v/>
      </c>
      <c r="X7" t="str">
        <f t="shared" ref="X7:X46" si="12">IF(AJ106=AJ105,"",AJ106)</f>
        <v/>
      </c>
      <c r="Y7" t="str">
        <f t="shared" ref="Y7:Y46" si="13">IF(AK106=AK105,"",AK106)</f>
        <v/>
      </c>
      <c r="Z7">
        <v>3</v>
      </c>
      <c r="AA7">
        <v>3</v>
      </c>
    </row>
    <row r="8" spans="1:27">
      <c r="A8">
        <f>SUM($D$5:D8)</f>
        <v>48</v>
      </c>
      <c r="B8">
        <f t="shared" si="1"/>
        <v>48</v>
      </c>
      <c r="C8" s="46">
        <v>40</v>
      </c>
      <c r="D8" s="45">
        <v>16</v>
      </c>
      <c r="E8" t="str">
        <f t="shared" si="2"/>
        <v>{{1,40},6}</v>
      </c>
      <c r="F8" cm="1">
        <f t="array" ref="F8">SUM(G8:O8)-SUMPRODUCT(--(AB8:AH8&gt;0))</f>
        <v>0</v>
      </c>
      <c r="K8" s="46"/>
      <c r="P8">
        <f t="shared" si="3"/>
        <v>0</v>
      </c>
      <c r="Q8" t="str">
        <f t="shared" si="5"/>
        <v/>
      </c>
      <c r="R8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  <c r="V8" t="str">
        <f t="shared" si="10"/>
        <v/>
      </c>
      <c r="W8" t="str">
        <f t="shared" si="11"/>
        <v/>
      </c>
      <c r="X8" t="str">
        <f t="shared" si="12"/>
        <v/>
      </c>
      <c r="Y8" t="str">
        <f t="shared" si="13"/>
        <v/>
      </c>
      <c r="Z8">
        <v>4</v>
      </c>
      <c r="AA8">
        <v>4</v>
      </c>
    </row>
    <row r="9" spans="1:27">
      <c r="A9">
        <f>SUM($D$5:D9)</f>
        <v>58</v>
      </c>
      <c r="B9">
        <f t="shared" si="1"/>
        <v>60</v>
      </c>
      <c r="C9">
        <v>50</v>
      </c>
      <c r="D9" s="45">
        <v>10</v>
      </c>
      <c r="E9" t="str">
        <f t="shared" si="2"/>
        <v>{{1,50},0}</v>
      </c>
      <c r="F9" cm="1">
        <f t="array" ref="F9">SUM(G9:O9)-SUMPRODUCT(--(AB9:AH9&gt;0))</f>
        <v>1</v>
      </c>
      <c r="K9">
        <v>1</v>
      </c>
      <c r="P9">
        <f t="shared" si="3"/>
        <v>1</v>
      </c>
      <c r="Q9" t="str">
        <f t="shared" si="5"/>
        <v/>
      </c>
      <c r="R9" t="str">
        <f t="shared" si="6"/>
        <v/>
      </c>
      <c r="S9" t="str">
        <f t="shared" si="7"/>
        <v/>
      </c>
      <c r="T9" t="str">
        <f t="shared" si="8"/>
        <v/>
      </c>
      <c r="U9">
        <f t="shared" si="9"/>
        <v>1</v>
      </c>
      <c r="V9" t="str">
        <f t="shared" si="10"/>
        <v/>
      </c>
      <c r="W9" t="str">
        <f t="shared" si="11"/>
        <v/>
      </c>
      <c r="X9" t="str">
        <f t="shared" si="12"/>
        <v/>
      </c>
      <c r="Y9" t="str">
        <f t="shared" si="13"/>
        <v/>
      </c>
      <c r="Z9">
        <v>5</v>
      </c>
      <c r="AA9">
        <v>5</v>
      </c>
    </row>
    <row r="10" spans="1:27">
      <c r="A10">
        <f>SUM($D$5:D10)</f>
        <v>68</v>
      </c>
      <c r="B10">
        <f t="shared" si="1"/>
        <v>72</v>
      </c>
      <c r="C10">
        <v>60</v>
      </c>
      <c r="D10" s="45">
        <v>10</v>
      </c>
      <c r="E10" t="str">
        <f t="shared" si="2"/>
        <v>{{1,60},0}</v>
      </c>
      <c r="F10" cm="1">
        <f t="array" ref="F10">SUM(G10:O10)-SUMPRODUCT(--(AB10:AH10&gt;0))</f>
        <v>0</v>
      </c>
      <c r="P10">
        <f t="shared" si="3"/>
        <v>0</v>
      </c>
      <c r="Q10" t="str">
        <f t="shared" si="5"/>
        <v/>
      </c>
      <c r="R10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  <c r="V10" t="str">
        <f t="shared" si="10"/>
        <v/>
      </c>
      <c r="W10" t="str">
        <f t="shared" si="11"/>
        <v/>
      </c>
      <c r="X10" t="str">
        <f t="shared" si="12"/>
        <v/>
      </c>
      <c r="Y10" t="str">
        <f t="shared" si="13"/>
        <v/>
      </c>
      <c r="Z10">
        <v>6</v>
      </c>
      <c r="AA10">
        <v>8</v>
      </c>
    </row>
    <row r="11" spans="1:27">
      <c r="A11">
        <f>SUM($D$5:D11)</f>
        <v>81</v>
      </c>
      <c r="B11">
        <f t="shared" si="1"/>
        <v>84</v>
      </c>
      <c r="C11">
        <v>70</v>
      </c>
      <c r="D11" s="45">
        <v>13</v>
      </c>
      <c r="E11" t="str">
        <f t="shared" si="2"/>
        <v>{{1,70},3}</v>
      </c>
      <c r="F11" cm="1">
        <f t="array" ref="F11">SUM(G11:O11)-SUMPRODUCT(--(AB11:AH11&gt;0))</f>
        <v>0</v>
      </c>
      <c r="P11">
        <f t="shared" si="3"/>
        <v>0</v>
      </c>
      <c r="Q11" t="str">
        <f t="shared" si="5"/>
        <v/>
      </c>
      <c r="R11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  <c r="V11" t="str">
        <f t="shared" si="10"/>
        <v/>
      </c>
      <c r="W11" t="str">
        <f t="shared" si="11"/>
        <v/>
      </c>
      <c r="X11" t="str">
        <f t="shared" si="12"/>
        <v/>
      </c>
      <c r="Y11" t="str">
        <f t="shared" si="13"/>
        <v/>
      </c>
      <c r="Z11">
        <v>7</v>
      </c>
      <c r="AA11">
        <v>11</v>
      </c>
    </row>
    <row r="12" spans="1:27">
      <c r="A12">
        <f>SUM($D$5:D12)</f>
        <v>91</v>
      </c>
      <c r="B12">
        <f t="shared" si="1"/>
        <v>96</v>
      </c>
      <c r="C12">
        <v>80</v>
      </c>
      <c r="D12" s="45">
        <v>10</v>
      </c>
      <c r="E12" t="str">
        <f t="shared" si="2"/>
        <v>{{1,80},0}</v>
      </c>
      <c r="F12" cm="1">
        <f t="array" ref="F12">SUM(G12:O12)-SUMPRODUCT(--(AB12:AH12&gt;0))</f>
        <v>0</v>
      </c>
      <c r="L12" s="46"/>
      <c r="P12">
        <f t="shared" si="3"/>
        <v>0</v>
      </c>
      <c r="Q12" t="str">
        <f t="shared" si="5"/>
        <v/>
      </c>
      <c r="R12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  <c r="V12" t="str">
        <f t="shared" si="10"/>
        <v/>
      </c>
      <c r="W12" t="str">
        <f t="shared" si="11"/>
        <v/>
      </c>
      <c r="X12" t="str">
        <f t="shared" si="12"/>
        <v/>
      </c>
      <c r="Y12" t="str">
        <f t="shared" si="13"/>
        <v/>
      </c>
      <c r="Z12">
        <v>8</v>
      </c>
      <c r="AA12">
        <v>14</v>
      </c>
    </row>
    <row r="13" spans="1:27">
      <c r="A13">
        <f>SUM($D$5:D13)</f>
        <v>103</v>
      </c>
      <c r="B13">
        <f t="shared" si="1"/>
        <v>108</v>
      </c>
      <c r="C13" s="46">
        <v>90</v>
      </c>
      <c r="D13" s="45">
        <v>12</v>
      </c>
      <c r="E13" t="str">
        <f t="shared" si="2"/>
        <v>{{1,90},2}</v>
      </c>
      <c r="F13" cm="1">
        <f t="array" ref="F13">SUM(G13:O13)-SUMPRODUCT(--(AB13:AH13&gt;0))</f>
        <v>1</v>
      </c>
      <c r="L13">
        <v>1</v>
      </c>
      <c r="P13">
        <f t="shared" si="3"/>
        <v>1</v>
      </c>
      <c r="Q13" t="str">
        <f t="shared" si="5"/>
        <v/>
      </c>
      <c r="R13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  <c r="V13">
        <f t="shared" si="10"/>
        <v>1</v>
      </c>
      <c r="W13" t="str">
        <f t="shared" si="11"/>
        <v/>
      </c>
      <c r="X13" t="str">
        <f t="shared" si="12"/>
        <v/>
      </c>
      <c r="Y13" t="str">
        <f t="shared" si="13"/>
        <v/>
      </c>
      <c r="Z13">
        <v>9</v>
      </c>
      <c r="AA13">
        <v>17</v>
      </c>
    </row>
    <row r="14" spans="1:27">
      <c r="A14">
        <f>SUM($D$5:D14)</f>
        <v>113</v>
      </c>
      <c r="B14">
        <f t="shared" si="1"/>
        <v>120</v>
      </c>
      <c r="C14">
        <v>100</v>
      </c>
      <c r="D14" s="45">
        <v>10</v>
      </c>
      <c r="E14" t="str">
        <f t="shared" si="2"/>
        <v>{{1,100},0}</v>
      </c>
      <c r="F14" cm="1">
        <f t="array" ref="F14">SUM(G14:O14)-SUMPRODUCT(--(AB14:AH14&gt;0))</f>
        <v>0</v>
      </c>
      <c r="J14" s="47"/>
      <c r="P14">
        <f t="shared" si="3"/>
        <v>0</v>
      </c>
      <c r="Q14" t="str">
        <f t="shared" si="5"/>
        <v/>
      </c>
      <c r="R14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  <c r="V14" t="str">
        <f t="shared" si="10"/>
        <v/>
      </c>
      <c r="W14" t="str">
        <f t="shared" si="11"/>
        <v/>
      </c>
      <c r="X14" t="str">
        <f t="shared" si="12"/>
        <v/>
      </c>
      <c r="Y14" t="str">
        <f t="shared" si="13"/>
        <v/>
      </c>
      <c r="Z14">
        <v>10</v>
      </c>
      <c r="AA14">
        <v>20</v>
      </c>
    </row>
    <row r="15" spans="1:27">
      <c r="A15">
        <f>SUM($D$5:D15)</f>
        <v>123</v>
      </c>
      <c r="B15">
        <f t="shared" si="1"/>
        <v>132</v>
      </c>
      <c r="C15">
        <v>110</v>
      </c>
      <c r="D15" s="45">
        <v>10</v>
      </c>
      <c r="E15" t="str">
        <f t="shared" si="2"/>
        <v>{{1,110},0}</v>
      </c>
      <c r="F15" cm="1">
        <f t="array" ref="F15">SUM(G15:O15)-SUMPRODUCT(--(AB15:AH15&gt;0))</f>
        <v>0</v>
      </c>
      <c r="P15">
        <f t="shared" si="3"/>
        <v>0</v>
      </c>
      <c r="Q15" t="str">
        <f t="shared" si="5"/>
        <v/>
      </c>
      <c r="R15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  <c r="V15" t="str">
        <f t="shared" si="10"/>
        <v/>
      </c>
      <c r="W15" t="str">
        <f t="shared" si="11"/>
        <v/>
      </c>
      <c r="X15" t="str">
        <f t="shared" si="12"/>
        <v/>
      </c>
      <c r="Y15" t="str">
        <f t="shared" si="13"/>
        <v/>
      </c>
      <c r="Z15">
        <v>11</v>
      </c>
      <c r="AA15">
        <f>AA14+6</f>
        <v>26</v>
      </c>
    </row>
    <row r="16" spans="1:27">
      <c r="A16">
        <f>SUM($D$5:D16)</f>
        <v>136</v>
      </c>
      <c r="B16">
        <f t="shared" si="1"/>
        <v>144</v>
      </c>
      <c r="C16">
        <v>120</v>
      </c>
      <c r="D16" s="45">
        <v>13</v>
      </c>
      <c r="E16" t="str">
        <f t="shared" si="2"/>
        <v>{{1,120},3}</v>
      </c>
      <c r="F16" cm="1">
        <f t="array" ref="F16">SUM(G16:O16)-SUMPRODUCT(--(AB16:AH16&gt;0))</f>
        <v>0</v>
      </c>
      <c r="P16">
        <f t="shared" si="3"/>
        <v>0</v>
      </c>
      <c r="Q16" t="str">
        <f t="shared" si="5"/>
        <v/>
      </c>
      <c r="R16" t="str">
        <f t="shared" si="6"/>
        <v/>
      </c>
      <c r="S16" t="str">
        <f t="shared" si="7"/>
        <v/>
      </c>
      <c r="T16" t="str">
        <f t="shared" si="8"/>
        <v/>
      </c>
      <c r="U16" t="str">
        <f t="shared" si="9"/>
        <v/>
      </c>
      <c r="V16" t="str">
        <f t="shared" si="10"/>
        <v/>
      </c>
      <c r="W16" t="str">
        <f t="shared" si="11"/>
        <v/>
      </c>
      <c r="X16" t="str">
        <f t="shared" si="12"/>
        <v/>
      </c>
      <c r="Y16" t="str">
        <f t="shared" si="13"/>
        <v/>
      </c>
      <c r="Z16">
        <v>12</v>
      </c>
      <c r="AA16">
        <f>AA15+6</f>
        <v>32</v>
      </c>
    </row>
    <row r="17" spans="1:27">
      <c r="A17">
        <f>SUM($D$5:D17)</f>
        <v>146</v>
      </c>
      <c r="B17">
        <f t="shared" si="1"/>
        <v>156</v>
      </c>
      <c r="C17">
        <v>130</v>
      </c>
      <c r="D17" s="45">
        <v>10</v>
      </c>
      <c r="E17" t="str">
        <f t="shared" si="2"/>
        <v>{{1,130},0}</v>
      </c>
      <c r="F17" cm="1">
        <f t="array" ref="F17">SUM(G17:O17)-SUMPRODUCT(--(AB17:AH17&gt;0))</f>
        <v>0</v>
      </c>
      <c r="P17">
        <f t="shared" si="3"/>
        <v>0</v>
      </c>
      <c r="Q17" t="str">
        <f t="shared" si="5"/>
        <v/>
      </c>
      <c r="R17" t="str">
        <f t="shared" si="6"/>
        <v/>
      </c>
      <c r="S17" t="str">
        <f t="shared" si="7"/>
        <v/>
      </c>
      <c r="T17" t="str">
        <f t="shared" si="8"/>
        <v/>
      </c>
      <c r="U17" t="str">
        <f t="shared" si="9"/>
        <v/>
      </c>
      <c r="V17" t="str">
        <f t="shared" si="10"/>
        <v/>
      </c>
      <c r="W17" t="str">
        <f t="shared" si="11"/>
        <v/>
      </c>
      <c r="X17" t="str">
        <f t="shared" si="12"/>
        <v/>
      </c>
      <c r="Y17" t="str">
        <f t="shared" si="13"/>
        <v/>
      </c>
      <c r="Z17">
        <v>13</v>
      </c>
      <c r="AA17">
        <f>AA16+6</f>
        <v>38</v>
      </c>
    </row>
    <row r="18" spans="1:27">
      <c r="A18">
        <f>SUM($D$5:D18)</f>
        <v>156</v>
      </c>
      <c r="B18">
        <f t="shared" si="1"/>
        <v>168</v>
      </c>
      <c r="C18">
        <v>140</v>
      </c>
      <c r="D18" s="45">
        <v>10</v>
      </c>
      <c r="E18" t="str">
        <f t="shared" si="2"/>
        <v>{{1,140},0}</v>
      </c>
      <c r="F18" cm="1">
        <f t="array" ref="F18">SUM(G18:O18)-SUMPRODUCT(--(AB18:AH18&gt;0))</f>
        <v>0</v>
      </c>
      <c r="P18">
        <f t="shared" si="3"/>
        <v>0</v>
      </c>
      <c r="Q18" t="str">
        <f t="shared" si="5"/>
        <v/>
      </c>
      <c r="R18" t="str">
        <f t="shared" si="6"/>
        <v/>
      </c>
      <c r="S18" t="str">
        <f t="shared" si="7"/>
        <v/>
      </c>
      <c r="T18" t="str">
        <f t="shared" si="8"/>
        <v/>
      </c>
      <c r="U18" t="str">
        <f t="shared" si="9"/>
        <v/>
      </c>
      <c r="V18" t="str">
        <f t="shared" si="10"/>
        <v/>
      </c>
      <c r="W18" t="str">
        <f t="shared" si="11"/>
        <v/>
      </c>
      <c r="X18" t="str">
        <f t="shared" si="12"/>
        <v/>
      </c>
      <c r="Y18" t="str">
        <f t="shared" si="13"/>
        <v/>
      </c>
      <c r="Z18">
        <v>14</v>
      </c>
      <c r="AA18">
        <f>AA17+6</f>
        <v>44</v>
      </c>
    </row>
    <row r="19" spans="1:27">
      <c r="A19">
        <f>SUM($D$5:D19)</f>
        <v>172</v>
      </c>
      <c r="B19">
        <f t="shared" si="1"/>
        <v>180</v>
      </c>
      <c r="C19" s="46">
        <v>150</v>
      </c>
      <c r="D19" s="45">
        <v>16</v>
      </c>
      <c r="E19" t="str">
        <f t="shared" si="2"/>
        <v>{{1,150},6}</v>
      </c>
      <c r="F19" cm="1">
        <f t="array" ref="F19">SUM(G19:O19)-SUMPRODUCT(--(AB19:AH19&gt;0))</f>
        <v>0</v>
      </c>
      <c r="M19" s="46"/>
      <c r="P19">
        <f t="shared" si="3"/>
        <v>0</v>
      </c>
      <c r="Q19" t="str">
        <f t="shared" si="5"/>
        <v/>
      </c>
      <c r="R19" t="str">
        <f t="shared" si="6"/>
        <v/>
      </c>
      <c r="S19" t="str">
        <f t="shared" si="7"/>
        <v/>
      </c>
      <c r="T19" t="str">
        <f t="shared" si="8"/>
        <v/>
      </c>
      <c r="V19" t="str">
        <f t="shared" si="10"/>
        <v/>
      </c>
      <c r="W19" t="str">
        <f t="shared" si="11"/>
        <v/>
      </c>
      <c r="X19" t="str">
        <f t="shared" si="12"/>
        <v/>
      </c>
      <c r="Y19" t="str">
        <f t="shared" si="13"/>
        <v/>
      </c>
      <c r="Z19">
        <v>15</v>
      </c>
      <c r="AA19">
        <f>AA18+6</f>
        <v>50</v>
      </c>
    </row>
    <row r="20" spans="1:27">
      <c r="A20">
        <f>SUM($D$5:D20)</f>
        <v>185</v>
      </c>
      <c r="B20">
        <f t="shared" si="1"/>
        <v>192</v>
      </c>
      <c r="C20">
        <v>160</v>
      </c>
      <c r="D20" s="45">
        <v>13</v>
      </c>
      <c r="E20" t="str">
        <f t="shared" si="2"/>
        <v>{{1,160},3}</v>
      </c>
      <c r="F20" cm="1">
        <f t="array" ref="F20">SUM(G20:O20)-SUMPRODUCT(--(AB20:AH20&gt;0))</f>
        <v>0</v>
      </c>
      <c r="P20">
        <f t="shared" si="3"/>
        <v>0</v>
      </c>
      <c r="Q20" t="str">
        <f t="shared" si="5"/>
        <v/>
      </c>
      <c r="R20" t="str">
        <f t="shared" si="6"/>
        <v/>
      </c>
      <c r="S20" t="str">
        <f t="shared" si="7"/>
        <v/>
      </c>
      <c r="T20" t="str">
        <f t="shared" si="8"/>
        <v/>
      </c>
      <c r="U20" t="str">
        <f t="shared" si="9"/>
        <v/>
      </c>
      <c r="V20" t="str">
        <f t="shared" si="10"/>
        <v/>
      </c>
      <c r="W20" t="str">
        <f t="shared" si="11"/>
        <v/>
      </c>
      <c r="X20" t="str">
        <f t="shared" si="12"/>
        <v/>
      </c>
      <c r="Y20" t="str">
        <f t="shared" si="13"/>
        <v/>
      </c>
      <c r="Z20">
        <v>16</v>
      </c>
      <c r="AA20">
        <f>AA19+9</f>
        <v>59</v>
      </c>
    </row>
    <row r="21" spans="1:27">
      <c r="A21">
        <f>SUM($D$5:D21)</f>
        <v>195</v>
      </c>
      <c r="B21">
        <f t="shared" si="1"/>
        <v>204</v>
      </c>
      <c r="C21">
        <v>170</v>
      </c>
      <c r="D21" s="45">
        <v>10</v>
      </c>
      <c r="E21" t="str">
        <f t="shared" si="2"/>
        <v>{{1,170},0}</v>
      </c>
      <c r="F21" cm="1">
        <f t="array" ref="F21">SUM(G21:O21)-SUMPRODUCT(--(AB21:AH21&gt;0))</f>
        <v>1</v>
      </c>
      <c r="M21">
        <v>1</v>
      </c>
      <c r="P21">
        <f t="shared" si="3"/>
        <v>1</v>
      </c>
      <c r="Q21" t="str">
        <f t="shared" si="5"/>
        <v/>
      </c>
      <c r="R21" t="str">
        <f t="shared" si="6"/>
        <v/>
      </c>
      <c r="S21" t="str">
        <f t="shared" si="7"/>
        <v/>
      </c>
      <c r="T21" t="str">
        <f t="shared" si="8"/>
        <v/>
      </c>
      <c r="U21" t="str">
        <f t="shared" si="9"/>
        <v/>
      </c>
      <c r="V21" t="str">
        <f t="shared" si="10"/>
        <v/>
      </c>
      <c r="W21">
        <f t="shared" si="11"/>
        <v>1</v>
      </c>
      <c r="X21" t="str">
        <f t="shared" si="12"/>
        <v/>
      </c>
      <c r="Y21" t="str">
        <f t="shared" si="13"/>
        <v/>
      </c>
      <c r="Z21">
        <v>17</v>
      </c>
      <c r="AA21">
        <f>AA20+9</f>
        <v>68</v>
      </c>
    </row>
    <row r="22" spans="1:27">
      <c r="A22">
        <f>SUM($D$5:D22)</f>
        <v>205</v>
      </c>
      <c r="B22">
        <f t="shared" si="1"/>
        <v>216</v>
      </c>
      <c r="C22">
        <v>180</v>
      </c>
      <c r="D22" s="45">
        <v>10</v>
      </c>
      <c r="E22" t="str">
        <f t="shared" si="2"/>
        <v>{{1,180},0}</v>
      </c>
      <c r="F22" cm="1">
        <f t="array" ref="F22">SUM(G22:O22)-SUMPRODUCT(--(AB22:AH22&gt;0))</f>
        <v>0</v>
      </c>
      <c r="P22">
        <f t="shared" si="3"/>
        <v>0</v>
      </c>
      <c r="Q22" t="str">
        <f t="shared" si="5"/>
        <v/>
      </c>
      <c r="R22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  <c r="V22" t="str">
        <f t="shared" si="10"/>
        <v/>
      </c>
      <c r="W22" t="str">
        <f t="shared" si="11"/>
        <v/>
      </c>
      <c r="X22" t="str">
        <f t="shared" si="12"/>
        <v/>
      </c>
      <c r="Y22" t="str">
        <f t="shared" si="13"/>
        <v/>
      </c>
      <c r="Z22">
        <v>18</v>
      </c>
      <c r="AA22">
        <f>AA21+9</f>
        <v>77</v>
      </c>
    </row>
    <row r="23" spans="1:27">
      <c r="A23">
        <f>SUM($D$5:D23)</f>
        <v>217</v>
      </c>
      <c r="B23">
        <f t="shared" si="1"/>
        <v>228</v>
      </c>
      <c r="C23">
        <v>190</v>
      </c>
      <c r="D23" s="45">
        <v>12</v>
      </c>
      <c r="E23" t="str">
        <f t="shared" si="2"/>
        <v>{{1,190},2}</v>
      </c>
      <c r="F23" cm="1">
        <f t="array" ref="F23">SUM(G23:O23)-SUMPRODUCT(--(AB23:AH23&gt;0))</f>
        <v>0</v>
      </c>
      <c r="P23">
        <f t="shared" si="3"/>
        <v>0</v>
      </c>
      <c r="Q23" t="str">
        <f t="shared" si="5"/>
        <v/>
      </c>
      <c r="R23" t="str">
        <f t="shared" si="6"/>
        <v/>
      </c>
      <c r="S23" t="str">
        <f t="shared" si="7"/>
        <v/>
      </c>
      <c r="T23" t="str">
        <f t="shared" si="8"/>
        <v/>
      </c>
      <c r="U23" t="str">
        <f t="shared" si="9"/>
        <v/>
      </c>
      <c r="V23" t="str">
        <f t="shared" si="10"/>
        <v/>
      </c>
      <c r="W23" t="str">
        <f t="shared" si="11"/>
        <v/>
      </c>
      <c r="X23" t="str">
        <f t="shared" si="12"/>
        <v/>
      </c>
      <c r="Y23" t="str">
        <f t="shared" si="13"/>
        <v/>
      </c>
      <c r="Z23">
        <v>19</v>
      </c>
      <c r="AA23">
        <f>AA22+9</f>
        <v>86</v>
      </c>
    </row>
    <row r="24" spans="1:27">
      <c r="A24">
        <f>SUM($D$5:D24)</f>
        <v>227</v>
      </c>
      <c r="B24">
        <f t="shared" si="1"/>
        <v>240</v>
      </c>
      <c r="C24">
        <v>200</v>
      </c>
      <c r="D24" s="45">
        <v>10</v>
      </c>
      <c r="E24" t="str">
        <f t="shared" si="2"/>
        <v>{{1,200},0}</v>
      </c>
      <c r="F24" cm="1">
        <f t="array" ref="F24">SUM(G24:O24)-SUMPRODUCT(--(AB24:AH24&gt;0))</f>
        <v>0</v>
      </c>
      <c r="P24">
        <f t="shared" si="3"/>
        <v>0</v>
      </c>
      <c r="Q24" t="str">
        <f t="shared" si="5"/>
        <v/>
      </c>
      <c r="R24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  <c r="V24" t="str">
        <f t="shared" si="10"/>
        <v/>
      </c>
      <c r="W24" t="str">
        <f t="shared" si="11"/>
        <v/>
      </c>
      <c r="X24" t="str">
        <f t="shared" si="12"/>
        <v/>
      </c>
      <c r="Y24" t="str">
        <f t="shared" si="13"/>
        <v/>
      </c>
      <c r="Z24">
        <v>20</v>
      </c>
      <c r="AA24">
        <f>AA23+9</f>
        <v>95</v>
      </c>
    </row>
    <row r="25" spans="1:27">
      <c r="A25">
        <f>SUM($D$5:D25)</f>
        <v>237</v>
      </c>
      <c r="B25">
        <f t="shared" si="1"/>
        <v>252</v>
      </c>
      <c r="C25">
        <v>210</v>
      </c>
      <c r="D25" s="45">
        <v>10</v>
      </c>
      <c r="E25" t="str">
        <f t="shared" si="2"/>
        <v>{{1,210},0}</v>
      </c>
      <c r="F25" cm="1">
        <f t="array" ref="F25">SUM(G25:O25)-SUMPRODUCT(--(AB25:AH25&gt;0))</f>
        <v>0</v>
      </c>
      <c r="P25">
        <f t="shared" si="3"/>
        <v>0</v>
      </c>
      <c r="Q25" t="str">
        <f t="shared" si="5"/>
        <v/>
      </c>
      <c r="R25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  <c r="V25" t="str">
        <f t="shared" si="10"/>
        <v/>
      </c>
      <c r="W25" t="str">
        <f t="shared" si="11"/>
        <v/>
      </c>
      <c r="X25" t="str">
        <f t="shared" si="12"/>
        <v/>
      </c>
      <c r="Y25" t="str">
        <f t="shared" si="13"/>
        <v/>
      </c>
      <c r="Z25">
        <v>21</v>
      </c>
      <c r="AA25">
        <f t="shared" ref="AA25:AA29" si="14">AA24+12</f>
        <v>107</v>
      </c>
    </row>
    <row r="26" spans="1:27">
      <c r="A26">
        <f>SUM($D$5:D26)</f>
        <v>253</v>
      </c>
      <c r="B26">
        <f t="shared" si="1"/>
        <v>264</v>
      </c>
      <c r="C26" s="46">
        <v>220</v>
      </c>
      <c r="D26" s="45">
        <v>16</v>
      </c>
      <c r="E26" t="str">
        <f t="shared" si="2"/>
        <v>{{1,220},6}</v>
      </c>
      <c r="F26" cm="1">
        <f t="array" ref="F26">SUM(G26:O26)-SUMPRODUCT(--(AB26:AH26&gt;0))</f>
        <v>0</v>
      </c>
      <c r="N26" s="46"/>
      <c r="P26">
        <f t="shared" si="3"/>
        <v>0</v>
      </c>
      <c r="Q26" t="str">
        <f t="shared" si="5"/>
        <v/>
      </c>
      <c r="R26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  <c r="V26" t="str">
        <f t="shared" si="10"/>
        <v/>
      </c>
      <c r="W26" t="str">
        <f t="shared" si="11"/>
        <v/>
      </c>
      <c r="X26" t="str">
        <f t="shared" si="12"/>
        <v/>
      </c>
      <c r="Y26" t="str">
        <f t="shared" si="13"/>
        <v/>
      </c>
      <c r="Z26">
        <v>22</v>
      </c>
      <c r="AA26">
        <f t="shared" si="14"/>
        <v>119</v>
      </c>
    </row>
    <row r="27" spans="1:27">
      <c r="A27">
        <f>SUM($D$5:D27)</f>
        <v>265</v>
      </c>
      <c r="B27">
        <f t="shared" si="1"/>
        <v>276</v>
      </c>
      <c r="C27">
        <v>230</v>
      </c>
      <c r="D27" s="45">
        <v>12</v>
      </c>
      <c r="E27" t="str">
        <f t="shared" si="2"/>
        <v>{{1,230},2}</v>
      </c>
      <c r="F27" cm="1">
        <f t="array" ref="F27">SUM(G27:O27)-SUMPRODUCT(--(AB27:AH27&gt;0))</f>
        <v>1</v>
      </c>
      <c r="N27">
        <v>1</v>
      </c>
      <c r="P27">
        <f t="shared" si="3"/>
        <v>1</v>
      </c>
      <c r="Q27" t="str">
        <f t="shared" si="5"/>
        <v/>
      </c>
      <c r="R27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  <c r="V27" t="str">
        <f t="shared" si="10"/>
        <v/>
      </c>
      <c r="W27" t="str">
        <f t="shared" si="11"/>
        <v/>
      </c>
      <c r="X27">
        <f t="shared" si="12"/>
        <v>1</v>
      </c>
      <c r="Y27" t="str">
        <f t="shared" si="13"/>
        <v/>
      </c>
      <c r="Z27">
        <v>23</v>
      </c>
      <c r="AA27">
        <f t="shared" si="14"/>
        <v>131</v>
      </c>
    </row>
    <row r="28" spans="1:27">
      <c r="A28">
        <f>SUM($D$5:D28)</f>
        <v>275</v>
      </c>
      <c r="B28">
        <f t="shared" si="1"/>
        <v>288</v>
      </c>
      <c r="C28">
        <v>240</v>
      </c>
      <c r="D28" s="45">
        <v>10</v>
      </c>
      <c r="E28" t="str">
        <f t="shared" si="2"/>
        <v>{{1,240},0}</v>
      </c>
      <c r="F28" cm="1">
        <f t="array" ref="F28">SUM(G28:O28)-SUMPRODUCT(--(AB28:AH28&gt;0))</f>
        <v>0</v>
      </c>
      <c r="N28" s="46"/>
      <c r="P28">
        <f t="shared" si="3"/>
        <v>0</v>
      </c>
      <c r="Q28" t="str">
        <f t="shared" si="5"/>
        <v/>
      </c>
      <c r="R28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  <c r="V28" t="str">
        <f t="shared" si="10"/>
        <v/>
      </c>
      <c r="W28" t="str">
        <f t="shared" si="11"/>
        <v/>
      </c>
      <c r="X28" t="str">
        <f t="shared" si="12"/>
        <v/>
      </c>
      <c r="Y28" t="str">
        <f t="shared" si="13"/>
        <v/>
      </c>
      <c r="Z28">
        <v>24</v>
      </c>
      <c r="AA28">
        <f t="shared" si="14"/>
        <v>143</v>
      </c>
    </row>
    <row r="29" spans="1:27">
      <c r="A29">
        <f>SUM($D$5:D29)</f>
        <v>285</v>
      </c>
      <c r="B29">
        <f t="shared" si="1"/>
        <v>300</v>
      </c>
      <c r="C29">
        <v>250</v>
      </c>
      <c r="D29" s="45">
        <v>10</v>
      </c>
      <c r="E29" t="str">
        <f t="shared" si="2"/>
        <v>{{1,250},0}</v>
      </c>
      <c r="F29" cm="1">
        <f t="array" ref="F29">SUM(G29:O29)-SUMPRODUCT(--(AB29:AH29&gt;0))</f>
        <v>0</v>
      </c>
      <c r="P29">
        <f t="shared" si="3"/>
        <v>0</v>
      </c>
      <c r="Q29" t="str">
        <f t="shared" si="5"/>
        <v/>
      </c>
      <c r="R2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  <c r="V29" t="str">
        <f t="shared" si="10"/>
        <v/>
      </c>
      <c r="W29" t="str">
        <f t="shared" si="11"/>
        <v/>
      </c>
      <c r="X29" t="str">
        <f t="shared" si="12"/>
        <v/>
      </c>
      <c r="Y29" t="str">
        <f t="shared" si="13"/>
        <v/>
      </c>
      <c r="Z29">
        <v>25</v>
      </c>
      <c r="AA29">
        <f t="shared" si="14"/>
        <v>155</v>
      </c>
    </row>
    <row r="30" spans="1:27">
      <c r="A30">
        <f>SUM($D$5:D30)</f>
        <v>298</v>
      </c>
      <c r="B30">
        <f t="shared" si="1"/>
        <v>312</v>
      </c>
      <c r="C30">
        <v>260</v>
      </c>
      <c r="D30" s="45">
        <v>13</v>
      </c>
      <c r="E30" t="str">
        <f t="shared" si="2"/>
        <v>{{1,260},3}</v>
      </c>
      <c r="F30" cm="1">
        <f t="array" ref="F30">SUM(G30:O30)-SUMPRODUCT(--(AB30:AH30&gt;0))</f>
        <v>0</v>
      </c>
      <c r="P30">
        <f t="shared" si="3"/>
        <v>0</v>
      </c>
      <c r="Q30" t="str">
        <f t="shared" si="5"/>
        <v/>
      </c>
      <c r="R30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  <c r="V30" t="str">
        <f t="shared" si="10"/>
        <v/>
      </c>
      <c r="W30" t="str">
        <f t="shared" si="11"/>
        <v/>
      </c>
      <c r="X30" t="str">
        <f t="shared" si="12"/>
        <v/>
      </c>
      <c r="Y30" t="str">
        <f t="shared" si="13"/>
        <v/>
      </c>
      <c r="Z30">
        <v>26</v>
      </c>
      <c r="AA30">
        <f>AA29+24</f>
        <v>179</v>
      </c>
    </row>
    <row r="31" spans="1:27">
      <c r="A31">
        <f>SUM($D$5:D31)</f>
        <v>308</v>
      </c>
      <c r="B31">
        <f t="shared" si="1"/>
        <v>324</v>
      </c>
      <c r="C31">
        <v>270</v>
      </c>
      <c r="D31" s="45">
        <v>10</v>
      </c>
      <c r="E31" t="str">
        <f t="shared" si="2"/>
        <v>{{1,270},0}</v>
      </c>
      <c r="F31" cm="1">
        <f t="array" ref="F31">SUM(G31:O31)-SUMPRODUCT(--(AB31:AH31&gt;0))</f>
        <v>0</v>
      </c>
      <c r="P31">
        <f t="shared" si="3"/>
        <v>0</v>
      </c>
      <c r="Q31" t="str">
        <f t="shared" si="5"/>
        <v/>
      </c>
      <c r="R31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  <c r="V31" t="str">
        <f t="shared" si="10"/>
        <v/>
      </c>
      <c r="W31" t="str">
        <f t="shared" si="11"/>
        <v/>
      </c>
      <c r="X31" t="str">
        <f t="shared" si="12"/>
        <v/>
      </c>
      <c r="Y31" t="str">
        <f t="shared" si="13"/>
        <v/>
      </c>
      <c r="Z31">
        <v>27</v>
      </c>
      <c r="AA31">
        <f>AA30+24</f>
        <v>203</v>
      </c>
    </row>
    <row r="32" spans="1:27">
      <c r="A32">
        <f>SUM($D$5:D32)</f>
        <v>318</v>
      </c>
      <c r="B32">
        <f t="shared" si="1"/>
        <v>336</v>
      </c>
      <c r="C32">
        <v>280</v>
      </c>
      <c r="D32" s="45">
        <v>10</v>
      </c>
      <c r="E32" t="str">
        <f t="shared" si="2"/>
        <v>{{1,280},0}</v>
      </c>
      <c r="F32" cm="1">
        <f t="array" ref="F32">SUM(G32:O32)-SUMPRODUCT(--(AB32:AH32&gt;0))</f>
        <v>0</v>
      </c>
      <c r="P32">
        <f t="shared" si="3"/>
        <v>0</v>
      </c>
      <c r="Q32" t="str">
        <f t="shared" si="5"/>
        <v/>
      </c>
      <c r="R32" t="str">
        <f t="shared" si="6"/>
        <v/>
      </c>
      <c r="S32" t="str">
        <f t="shared" si="7"/>
        <v/>
      </c>
      <c r="T32" t="str">
        <f t="shared" si="8"/>
        <v/>
      </c>
      <c r="U32" t="str">
        <f t="shared" si="9"/>
        <v/>
      </c>
      <c r="V32" t="str">
        <f t="shared" si="10"/>
        <v/>
      </c>
      <c r="W32" t="str">
        <f t="shared" si="11"/>
        <v/>
      </c>
      <c r="X32" t="str">
        <f t="shared" si="12"/>
        <v/>
      </c>
      <c r="Y32" t="str">
        <f t="shared" si="13"/>
        <v/>
      </c>
      <c r="Z32">
        <v>28</v>
      </c>
      <c r="AA32">
        <f>AA31+24</f>
        <v>227</v>
      </c>
    </row>
    <row r="33" spans="1:27">
      <c r="A33">
        <f>SUM($D$5:D33)</f>
        <v>330</v>
      </c>
      <c r="B33">
        <f t="shared" si="1"/>
        <v>348</v>
      </c>
      <c r="C33">
        <v>290</v>
      </c>
      <c r="D33" s="45">
        <v>12</v>
      </c>
      <c r="E33" t="str">
        <f t="shared" si="2"/>
        <v>{{1,290},2}</v>
      </c>
      <c r="F33" cm="1">
        <f t="array" ref="F33">SUM(G33:O33)-SUMPRODUCT(--(AB33:AH33&gt;0))</f>
        <v>0</v>
      </c>
      <c r="P33">
        <f t="shared" si="3"/>
        <v>0</v>
      </c>
      <c r="Q33" t="str">
        <f t="shared" si="5"/>
        <v/>
      </c>
      <c r="R33" t="str">
        <f t="shared" si="6"/>
        <v/>
      </c>
      <c r="S33" t="str">
        <f t="shared" si="7"/>
        <v/>
      </c>
      <c r="T33" t="str">
        <f t="shared" si="8"/>
        <v/>
      </c>
      <c r="U33" t="str">
        <f t="shared" si="9"/>
        <v/>
      </c>
      <c r="V33" t="str">
        <f t="shared" si="10"/>
        <v/>
      </c>
      <c r="W33" t="str">
        <f t="shared" si="11"/>
        <v/>
      </c>
      <c r="X33" t="str">
        <f t="shared" si="12"/>
        <v/>
      </c>
      <c r="Y33" t="str">
        <f t="shared" si="13"/>
        <v/>
      </c>
      <c r="Z33">
        <v>29</v>
      </c>
      <c r="AA33">
        <f>AA32+24</f>
        <v>251</v>
      </c>
    </row>
    <row r="34" spans="1:27">
      <c r="A34">
        <f>SUM($D$5:D34)</f>
        <v>340</v>
      </c>
      <c r="B34">
        <f t="shared" si="1"/>
        <v>360</v>
      </c>
      <c r="C34" s="46">
        <v>300</v>
      </c>
      <c r="D34" s="45">
        <v>10</v>
      </c>
      <c r="E34" t="str">
        <f t="shared" si="2"/>
        <v>{{1,300},0}</v>
      </c>
      <c r="F34" cm="1">
        <f t="array" ref="F34">SUM(G34:O34)-SUMPRODUCT(--(AB34:AH34&gt;0))</f>
        <v>0</v>
      </c>
      <c r="P34">
        <f t="shared" si="3"/>
        <v>0</v>
      </c>
      <c r="Q34" t="str">
        <f t="shared" si="5"/>
        <v/>
      </c>
      <c r="R34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  <c r="V34" t="str">
        <f t="shared" si="10"/>
        <v/>
      </c>
      <c r="W34" t="str">
        <f t="shared" si="11"/>
        <v/>
      </c>
      <c r="X34" t="str">
        <f t="shared" si="12"/>
        <v/>
      </c>
      <c r="Y34" t="str">
        <f t="shared" si="13"/>
        <v/>
      </c>
      <c r="Z34">
        <v>30</v>
      </c>
      <c r="AA34">
        <f>AA33+24</f>
        <v>275</v>
      </c>
    </row>
    <row r="35" spans="1:27">
      <c r="A35">
        <f>SUM($D$5:D35)</f>
        <v>350</v>
      </c>
      <c r="B35">
        <f t="shared" si="1"/>
        <v>372</v>
      </c>
      <c r="C35">
        <v>310</v>
      </c>
      <c r="D35" s="45">
        <v>10</v>
      </c>
      <c r="E35" t="str">
        <f t="shared" si="2"/>
        <v>{{1,310},0}</v>
      </c>
      <c r="F35" cm="1">
        <f t="array" ref="F35">SUM(G35:O35)-SUMPRODUCT(--(AB35:AH35&gt;0))</f>
        <v>0</v>
      </c>
      <c r="P35">
        <f t="shared" si="3"/>
        <v>0</v>
      </c>
      <c r="Q35" t="str">
        <f t="shared" si="5"/>
        <v/>
      </c>
      <c r="R35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/>
      </c>
      <c r="V35" t="str">
        <f t="shared" si="10"/>
        <v/>
      </c>
      <c r="W35" t="str">
        <f t="shared" si="11"/>
        <v/>
      </c>
      <c r="X35" t="str">
        <f t="shared" si="12"/>
        <v/>
      </c>
      <c r="Y35" t="str">
        <f t="shared" si="13"/>
        <v/>
      </c>
      <c r="Z35">
        <v>31</v>
      </c>
      <c r="AA35">
        <f t="shared" ref="AA35:AA46" si="15">AA34+24</f>
        <v>299</v>
      </c>
    </row>
    <row r="36" spans="1:27">
      <c r="A36">
        <f>SUM($D$5:D36)</f>
        <v>362</v>
      </c>
      <c r="B36">
        <f t="shared" si="1"/>
        <v>384</v>
      </c>
      <c r="C36">
        <v>320</v>
      </c>
      <c r="D36" s="45">
        <v>12</v>
      </c>
      <c r="E36" t="str">
        <f t="shared" si="2"/>
        <v>{{1,320},2}</v>
      </c>
      <c r="F36" cm="1">
        <f t="array" ref="F36">SUM(G36:O36)-SUMPRODUCT(--(AB36:AH36&gt;0))</f>
        <v>2</v>
      </c>
      <c r="O36" s="46">
        <v>2</v>
      </c>
      <c r="P36">
        <f t="shared" si="3"/>
        <v>2</v>
      </c>
      <c r="Q36" t="str">
        <f t="shared" si="5"/>
        <v/>
      </c>
      <c r="R36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  <c r="V36" t="str">
        <f t="shared" si="10"/>
        <v/>
      </c>
      <c r="W36" t="str">
        <f t="shared" si="11"/>
        <v/>
      </c>
      <c r="X36" t="str">
        <f t="shared" si="12"/>
        <v/>
      </c>
      <c r="Y36">
        <f t="shared" si="13"/>
        <v>2</v>
      </c>
      <c r="Z36">
        <v>32</v>
      </c>
      <c r="AA36">
        <f t="shared" si="15"/>
        <v>323</v>
      </c>
    </row>
    <row r="37" spans="1:27">
      <c r="A37">
        <f>SUM($D$5:D37)</f>
        <v>372</v>
      </c>
      <c r="B37">
        <f t="shared" si="1"/>
        <v>396</v>
      </c>
      <c r="C37">
        <v>330</v>
      </c>
      <c r="D37" s="45">
        <v>10</v>
      </c>
      <c r="E37" t="str">
        <f t="shared" si="2"/>
        <v>{{1,330},0}</v>
      </c>
      <c r="F37" cm="1">
        <f t="array" ref="F37">SUM(G37:O37)-SUMPRODUCT(--(AB37:AH37&gt;0))</f>
        <v>0</v>
      </c>
      <c r="P37">
        <f t="shared" si="3"/>
        <v>0</v>
      </c>
      <c r="Q37" t="str">
        <f t="shared" si="5"/>
        <v/>
      </c>
      <c r="R37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  <c r="V37" t="str">
        <f t="shared" si="10"/>
        <v/>
      </c>
      <c r="W37" t="str">
        <f t="shared" si="11"/>
        <v/>
      </c>
      <c r="X37" t="str">
        <f t="shared" si="12"/>
        <v/>
      </c>
      <c r="Y37" t="str">
        <f t="shared" si="13"/>
        <v/>
      </c>
      <c r="Z37">
        <v>33</v>
      </c>
      <c r="AA37">
        <f t="shared" si="15"/>
        <v>347</v>
      </c>
    </row>
    <row r="38" spans="1:27">
      <c r="A38">
        <f>SUM($D$5:D38)</f>
        <v>384</v>
      </c>
      <c r="B38">
        <f t="shared" si="1"/>
        <v>408</v>
      </c>
      <c r="C38">
        <v>340</v>
      </c>
      <c r="D38" s="45">
        <v>12</v>
      </c>
      <c r="E38" t="str">
        <f t="shared" si="2"/>
        <v>{{1,340},2}</v>
      </c>
      <c r="F38" cm="1">
        <f t="array" ref="F38">SUM(G38:O38)-SUMPRODUCT(--(AB38:AH38&gt;0))</f>
        <v>0</v>
      </c>
      <c r="P38">
        <f t="shared" si="3"/>
        <v>0</v>
      </c>
      <c r="Q38" t="str">
        <f t="shared" si="5"/>
        <v/>
      </c>
      <c r="R38" t="str">
        <f t="shared" si="6"/>
        <v/>
      </c>
      <c r="S38" t="str">
        <f t="shared" si="7"/>
        <v/>
      </c>
      <c r="T38" t="str">
        <f t="shared" si="8"/>
        <v/>
      </c>
      <c r="U38" t="str">
        <f t="shared" si="9"/>
        <v/>
      </c>
      <c r="V38" t="str">
        <f t="shared" si="10"/>
        <v/>
      </c>
      <c r="W38" t="str">
        <f t="shared" si="11"/>
        <v/>
      </c>
      <c r="X38" t="str">
        <f t="shared" si="12"/>
        <v/>
      </c>
      <c r="Y38" t="str">
        <f t="shared" si="13"/>
        <v/>
      </c>
      <c r="Z38">
        <v>34</v>
      </c>
      <c r="AA38">
        <f t="shared" si="15"/>
        <v>371</v>
      </c>
    </row>
    <row r="39" spans="1:27">
      <c r="A39">
        <f>SUM($D$5:D39)</f>
        <v>394</v>
      </c>
      <c r="B39">
        <f t="shared" si="1"/>
        <v>420</v>
      </c>
      <c r="C39">
        <v>350</v>
      </c>
      <c r="D39" s="45">
        <v>10</v>
      </c>
      <c r="E39" t="str">
        <f t="shared" si="2"/>
        <v>{{1,350},0}</v>
      </c>
      <c r="F39" cm="1">
        <f t="array" ref="F39">SUM(G39:O39)-SUMPRODUCT(--(AB39:AH39&gt;0))</f>
        <v>0</v>
      </c>
      <c r="O39" s="46"/>
      <c r="P39">
        <f t="shared" si="3"/>
        <v>0</v>
      </c>
      <c r="Q39" t="str">
        <f t="shared" si="5"/>
        <v/>
      </c>
      <c r="R3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  <c r="V39" t="str">
        <f t="shared" si="10"/>
        <v/>
      </c>
      <c r="W39" t="str">
        <f t="shared" si="11"/>
        <v/>
      </c>
      <c r="X39" t="str">
        <f t="shared" si="12"/>
        <v/>
      </c>
      <c r="Y39" t="str">
        <f t="shared" si="13"/>
        <v/>
      </c>
      <c r="Z39">
        <v>35</v>
      </c>
      <c r="AA39">
        <f t="shared" si="15"/>
        <v>395</v>
      </c>
    </row>
    <row r="40" spans="1:27">
      <c r="A40">
        <f>SUM($D$5:D40)</f>
        <v>406</v>
      </c>
      <c r="B40">
        <f t="shared" si="1"/>
        <v>432</v>
      </c>
      <c r="C40">
        <v>360</v>
      </c>
      <c r="D40" s="45">
        <v>12</v>
      </c>
      <c r="E40" t="str">
        <f t="shared" si="2"/>
        <v>{{1,360},2}</v>
      </c>
      <c r="F40" cm="1">
        <f t="array" ref="F40">SUM(G40:O40)-SUMPRODUCT(--(AB40:AH40&gt;0))</f>
        <v>0</v>
      </c>
      <c r="P40">
        <f t="shared" si="3"/>
        <v>0</v>
      </c>
      <c r="Q40" t="str">
        <f t="shared" si="5"/>
        <v/>
      </c>
      <c r="R40" t="str">
        <f t="shared" si="6"/>
        <v/>
      </c>
      <c r="S40" t="str">
        <f t="shared" si="7"/>
        <v/>
      </c>
      <c r="T40" t="str">
        <f t="shared" si="8"/>
        <v/>
      </c>
      <c r="U40" t="str">
        <f t="shared" si="9"/>
        <v/>
      </c>
      <c r="V40" t="str">
        <f t="shared" si="10"/>
        <v/>
      </c>
      <c r="W40" t="str">
        <f t="shared" si="11"/>
        <v/>
      </c>
      <c r="X40" t="str">
        <f t="shared" si="12"/>
        <v/>
      </c>
      <c r="Y40" t="str">
        <f t="shared" si="13"/>
        <v/>
      </c>
      <c r="Z40">
        <v>36</v>
      </c>
      <c r="AA40">
        <f t="shared" si="15"/>
        <v>419</v>
      </c>
    </row>
    <row r="41" spans="1:27">
      <c r="A41">
        <f>SUM($D$5:D41)</f>
        <v>416</v>
      </c>
      <c r="B41">
        <f t="shared" si="1"/>
        <v>444</v>
      </c>
      <c r="C41">
        <v>370</v>
      </c>
      <c r="D41" s="45">
        <v>10</v>
      </c>
      <c r="E41" t="str">
        <f t="shared" si="2"/>
        <v>{{1,370},0}</v>
      </c>
      <c r="F41" cm="1">
        <f t="array" ref="F41">SUM(G41:O41)-SUMPRODUCT(--(AB41:AH41&gt;0))</f>
        <v>0</v>
      </c>
      <c r="P41">
        <f t="shared" si="3"/>
        <v>0</v>
      </c>
      <c r="Q41" t="str">
        <f t="shared" si="5"/>
        <v/>
      </c>
      <c r="R41" t="str">
        <f t="shared" si="6"/>
        <v/>
      </c>
      <c r="S41" t="str">
        <f t="shared" si="7"/>
        <v/>
      </c>
      <c r="T41" t="str">
        <f t="shared" si="8"/>
        <v/>
      </c>
      <c r="U41" t="str">
        <f t="shared" si="9"/>
        <v/>
      </c>
      <c r="V41" t="str">
        <f t="shared" si="10"/>
        <v/>
      </c>
      <c r="W41" t="str">
        <f t="shared" si="11"/>
        <v/>
      </c>
      <c r="X41" t="str">
        <f t="shared" si="12"/>
        <v/>
      </c>
      <c r="Y41" t="str">
        <f t="shared" si="13"/>
        <v/>
      </c>
      <c r="Z41">
        <v>37</v>
      </c>
      <c r="AA41">
        <f t="shared" si="15"/>
        <v>443</v>
      </c>
    </row>
    <row r="42" spans="1:27">
      <c r="A42">
        <f>SUM($D$5:D42)</f>
        <v>426</v>
      </c>
      <c r="B42">
        <f t="shared" si="1"/>
        <v>456</v>
      </c>
      <c r="C42">
        <v>380</v>
      </c>
      <c r="D42" s="45">
        <v>10</v>
      </c>
      <c r="E42" t="str">
        <f t="shared" si="2"/>
        <v>{{1,380},0}</v>
      </c>
      <c r="F42" cm="1">
        <f t="array" ref="F42">SUM(G42:O42)-SUMPRODUCT(--(AB42:AH42&gt;0))</f>
        <v>0</v>
      </c>
      <c r="P42">
        <f t="shared" si="3"/>
        <v>0</v>
      </c>
      <c r="Q42" t="str">
        <f t="shared" si="5"/>
        <v/>
      </c>
      <c r="R42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  <c r="V42" t="str">
        <f t="shared" si="10"/>
        <v/>
      </c>
      <c r="W42" t="str">
        <f t="shared" si="11"/>
        <v/>
      </c>
      <c r="X42" t="str">
        <f t="shared" si="12"/>
        <v/>
      </c>
      <c r="Y42" t="str">
        <f t="shared" si="13"/>
        <v/>
      </c>
      <c r="Z42">
        <v>38</v>
      </c>
      <c r="AA42">
        <f t="shared" si="15"/>
        <v>467</v>
      </c>
    </row>
    <row r="43" spans="1:27">
      <c r="A43">
        <f>SUM($D$5:D43)</f>
        <v>436</v>
      </c>
      <c r="B43">
        <f t="shared" si="1"/>
        <v>468</v>
      </c>
      <c r="C43">
        <v>390</v>
      </c>
      <c r="D43" s="45">
        <v>10</v>
      </c>
      <c r="E43" t="str">
        <f t="shared" si="2"/>
        <v>{{1,390},0}</v>
      </c>
      <c r="F43" cm="1">
        <f t="array" ref="F43">SUM(G43:O43)-SUMPRODUCT(--(AB43:AH43&gt;0))</f>
        <v>0</v>
      </c>
      <c r="P43">
        <f t="shared" si="3"/>
        <v>0</v>
      </c>
      <c r="Q43" t="str">
        <f t="shared" si="5"/>
        <v/>
      </c>
      <c r="R43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  <c r="V43" t="str">
        <f t="shared" si="10"/>
        <v/>
      </c>
      <c r="W43" t="str">
        <f t="shared" si="11"/>
        <v/>
      </c>
      <c r="X43" t="str">
        <f t="shared" si="12"/>
        <v/>
      </c>
      <c r="Y43" t="str">
        <f t="shared" si="13"/>
        <v/>
      </c>
      <c r="Z43">
        <v>39</v>
      </c>
      <c r="AA43">
        <f t="shared" si="15"/>
        <v>491</v>
      </c>
    </row>
    <row r="44" spans="1:27">
      <c r="A44">
        <f>SUM($D$5:D44)</f>
        <v>448</v>
      </c>
      <c r="B44">
        <f t="shared" si="1"/>
        <v>480</v>
      </c>
      <c r="C44">
        <v>400</v>
      </c>
      <c r="D44" s="45">
        <v>12</v>
      </c>
      <c r="E44" t="str">
        <f t="shared" si="2"/>
        <v>{{1,400},2}</v>
      </c>
      <c r="F44" cm="1">
        <f t="array" ref="F44">SUM(G44:O44)-SUMPRODUCT(--(AB44:AH44&gt;0))</f>
        <v>0</v>
      </c>
      <c r="P44">
        <f t="shared" si="3"/>
        <v>0</v>
      </c>
      <c r="Q44" t="str">
        <f t="shared" si="5"/>
        <v/>
      </c>
      <c r="R44" t="str">
        <f t="shared" si="6"/>
        <v/>
      </c>
      <c r="S44" t="str">
        <f t="shared" si="7"/>
        <v/>
      </c>
      <c r="T44" t="str">
        <f t="shared" si="8"/>
        <v/>
      </c>
      <c r="U44" t="str">
        <f t="shared" si="9"/>
        <v/>
      </c>
      <c r="V44" t="str">
        <f t="shared" si="10"/>
        <v/>
      </c>
      <c r="W44" t="str">
        <f t="shared" si="11"/>
        <v/>
      </c>
      <c r="X44" t="str">
        <f t="shared" si="12"/>
        <v/>
      </c>
      <c r="Y44" t="str">
        <f t="shared" si="13"/>
        <v/>
      </c>
      <c r="Z44">
        <v>40</v>
      </c>
      <c r="AA44">
        <f t="shared" si="15"/>
        <v>515</v>
      </c>
    </row>
    <row r="45" spans="1:27">
      <c r="A45">
        <f>SUM($D$5:D45)</f>
        <v>458</v>
      </c>
      <c r="B45">
        <f t="shared" si="1"/>
        <v>492</v>
      </c>
      <c r="C45">
        <v>410</v>
      </c>
      <c r="D45" s="45">
        <v>10</v>
      </c>
      <c r="E45" t="str">
        <f t="shared" si="2"/>
        <v>{{1,410},0}</v>
      </c>
      <c r="F45" cm="1">
        <f t="array" ref="F45">SUM(G45:O45)-SUMPRODUCT(--(AB45:AH45&gt;0))</f>
        <v>0</v>
      </c>
      <c r="P45">
        <f t="shared" si="3"/>
        <v>0</v>
      </c>
      <c r="Q45" t="str">
        <f t="shared" si="5"/>
        <v/>
      </c>
      <c r="R45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  <c r="V45" t="str">
        <f t="shared" si="10"/>
        <v/>
      </c>
      <c r="W45" t="str">
        <f t="shared" si="11"/>
        <v/>
      </c>
      <c r="X45" t="str">
        <f t="shared" si="12"/>
        <v/>
      </c>
      <c r="Y45" t="str">
        <f t="shared" si="13"/>
        <v/>
      </c>
      <c r="Z45">
        <v>41</v>
      </c>
      <c r="AA45">
        <f t="shared" si="15"/>
        <v>539</v>
      </c>
    </row>
    <row r="46" spans="1:27">
      <c r="A46">
        <f>SUM($D$5:D46)</f>
        <v>468</v>
      </c>
      <c r="B46">
        <f t="shared" si="1"/>
        <v>504</v>
      </c>
      <c r="C46">
        <v>420</v>
      </c>
      <c r="D46" s="45">
        <v>10</v>
      </c>
      <c r="E46" t="str">
        <f t="shared" si="2"/>
        <v>{{1,420},0}</v>
      </c>
      <c r="F46" cm="1">
        <f t="array" ref="F46">SUM(G46:O46)-SUMPRODUCT(--(AB46:AH46&gt;0))</f>
        <v>0</v>
      </c>
      <c r="P46">
        <f t="shared" si="3"/>
        <v>0</v>
      </c>
      <c r="Q46" t="str">
        <f t="shared" si="5"/>
        <v/>
      </c>
      <c r="R46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  <c r="V46" t="str">
        <f t="shared" si="10"/>
        <v/>
      </c>
      <c r="W46" t="str">
        <f t="shared" si="11"/>
        <v/>
      </c>
      <c r="X46" t="str">
        <f t="shared" si="12"/>
        <v/>
      </c>
      <c r="Y46" t="str">
        <f t="shared" si="13"/>
        <v/>
      </c>
      <c r="Z46">
        <v>42</v>
      </c>
      <c r="AA46">
        <f t="shared" si="15"/>
        <v>563</v>
      </c>
    </row>
    <row r="47" spans="1:27">
      <c r="A47">
        <f>SUM($D$5:D47)</f>
        <v>480</v>
      </c>
      <c r="B47">
        <f t="shared" si="1"/>
        <v>516</v>
      </c>
      <c r="C47">
        <v>430</v>
      </c>
      <c r="D47">
        <v>12</v>
      </c>
      <c r="E47" t="str">
        <f t="shared" si="2"/>
        <v>{{1,430},2}</v>
      </c>
      <c r="F47" cm="1">
        <f t="array" ref="F47">SUM(G47:O47)-SUMPRODUCT(--(AB47:AH47&gt;0))</f>
        <v>0</v>
      </c>
      <c r="P47">
        <f t="shared" si="3"/>
        <v>0</v>
      </c>
    </row>
    <row r="48" spans="1:27">
      <c r="A48">
        <f>SUM($D$5:D48)</f>
        <v>490</v>
      </c>
      <c r="B48">
        <f t="shared" si="1"/>
        <v>528</v>
      </c>
      <c r="C48">
        <v>440</v>
      </c>
      <c r="D48">
        <v>10</v>
      </c>
      <c r="E48" t="str">
        <f t="shared" si="2"/>
        <v>{{1,440},0}</v>
      </c>
      <c r="F48" cm="1">
        <f t="array" ref="F48">SUM(G48:O48)-SUMPRODUCT(--(AB48:AH48&gt;0))</f>
        <v>0</v>
      </c>
      <c r="P48">
        <f t="shared" si="3"/>
        <v>0</v>
      </c>
    </row>
    <row r="49" spans="1:21">
      <c r="A49">
        <f>SUM($D$5:D49)</f>
        <v>500</v>
      </c>
      <c r="B49">
        <f t="shared" si="1"/>
        <v>540</v>
      </c>
      <c r="C49">
        <v>450</v>
      </c>
      <c r="D49">
        <v>10</v>
      </c>
      <c r="E49" t="str">
        <f t="shared" si="2"/>
        <v>{{1,450},0}</v>
      </c>
      <c r="F49" cm="1">
        <f t="array" ref="F49">SUM(G49:O49)-SUMPRODUCT(--(AB49:AH49&gt;0))</f>
        <v>0</v>
      </c>
      <c r="P49">
        <f t="shared" si="3"/>
        <v>0</v>
      </c>
    </row>
    <row r="50" spans="1:21">
      <c r="E50" t="str">
        <f>"["&amp;_xlfn.TEXTJOIN(",",1,E5:E49)&amp;"]"</f>
        <v>[{{1,10},2},{{1,20},0},{{1,30},0},{{1,40},6},{{1,50},0},{{1,60},0},{{1,70},3},{{1,80},0},{{1,90},2},{{1,100},0},{{1,110},0},{{1,120},3},{{1,130},0},{{1,140},0},{{1,150},6},{{1,160},3},{{1,170},0},{{1,180},0},{{1,190},2},{{1,200},0},{{1,210},0},{{1,220},6},{{1,230},2},{{1,240},0},{{1,250},0},{{1,260},3},{{1,270},0},{{1,280},0},{{1,290},2},{{1,300},0},{{1,310},0},{{1,320},2},{{1,330},0},{{1,340},2},{{1,350},0},{{1,360},2},{{1,370},0},{{1,380},0},{{1,390},0},{{1,400},2},{{1,410},0},{{1,420},0},{{1,430},2},{{1,440},0},{{1,450},0}]</v>
      </c>
    </row>
    <row r="52" spans="1:21">
      <c r="G52" t="s">
        <v>125</v>
      </c>
      <c r="H52" t="s">
        <v>126</v>
      </c>
      <c r="I52" t="s">
        <v>127</v>
      </c>
      <c r="J52" t="s">
        <v>128</v>
      </c>
      <c r="K52" t="s">
        <v>129</v>
      </c>
      <c r="L52" t="s">
        <v>130</v>
      </c>
      <c r="M52" t="s">
        <v>131</v>
      </c>
      <c r="N52" t="s">
        <v>132</v>
      </c>
      <c r="O52" t="s">
        <v>133</v>
      </c>
    </row>
    <row r="53" spans="1:21">
      <c r="F53" t="s">
        <v>91</v>
      </c>
      <c r="G53">
        <f>SUM(G5:G49)</f>
        <v>3</v>
      </c>
      <c r="H53">
        <f>SUM(H5:H49)</f>
        <v>0</v>
      </c>
      <c r="I53">
        <f>SUM(I5:I49)</f>
        <v>2</v>
      </c>
      <c r="J53">
        <f t="shared" ref="J53:O53" si="16">SUM(J5:J46)</f>
        <v>2</v>
      </c>
      <c r="K53">
        <f t="shared" si="16"/>
        <v>1</v>
      </c>
      <c r="L53">
        <f t="shared" si="16"/>
        <v>1</v>
      </c>
      <c r="M53">
        <f t="shared" si="16"/>
        <v>1</v>
      </c>
      <c r="N53">
        <f t="shared" si="16"/>
        <v>1</v>
      </c>
      <c r="O53">
        <f t="shared" si="16"/>
        <v>2</v>
      </c>
    </row>
    <row r="54" spans="1:21">
      <c r="F54" t="s">
        <v>78</v>
      </c>
      <c r="G54">
        <f>MATCH(G53*10,梦灵属性!$K$56:$K$67,1)+1</f>
        <v>4</v>
      </c>
      <c r="H54" t="e">
        <f>MATCH(H53*10,梦灵属性!$K$56:$K$67,1)+1</f>
        <v>#N/A</v>
      </c>
      <c r="I54">
        <f>MATCH(I53*10,梦灵属性!$K$56:$K$67,1)+1</f>
        <v>3</v>
      </c>
      <c r="J54">
        <f>MATCH(J53*10,梦灵属性!$K$56:$K$67,1)+1</f>
        <v>3</v>
      </c>
      <c r="K54">
        <f>MATCH(K53*10,梦灵属性!$K$56:$K$67,1)+1</f>
        <v>2</v>
      </c>
      <c r="L54">
        <f>MATCH(L53*10,梦灵属性!$K$56:$K$67,1)+1</f>
        <v>2</v>
      </c>
      <c r="M54">
        <f>MATCH(M53*10,梦灵属性!$K$56:$K$67,1)+1</f>
        <v>2</v>
      </c>
      <c r="N54">
        <f>MATCH(N53*10,梦灵属性!$K$56:$K$67,1)+1</f>
        <v>2</v>
      </c>
      <c r="O54">
        <f>MATCH(O53*10,梦灵属性!$K$56:$K$67,1)+1</f>
        <v>3</v>
      </c>
    </row>
    <row r="56" spans="1:21"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  <c r="J56">
        <v>8</v>
      </c>
      <c r="K56">
        <v>9</v>
      </c>
    </row>
    <row r="57" spans="1:21">
      <c r="C57">
        <f>IF(G5&gt;0,G$3,"")</f>
        <v>51010001</v>
      </c>
      <c r="D57" t="str">
        <f>IF(H5&gt;0,H$3,"")</f>
        <v/>
      </c>
      <c r="E57">
        <f>IF(I5&gt;0,I$3,"")</f>
        <v>51010003</v>
      </c>
      <c r="F57">
        <f>IF(J5&gt;0,J$3,"")</f>
        <v>51010004</v>
      </c>
      <c r="G57" t="str">
        <f t="shared" ref="G57:K57" si="17">IF(K5&gt;0,K$3,"")</f>
        <v/>
      </c>
      <c r="H57" t="str">
        <f t="shared" si="17"/>
        <v/>
      </c>
      <c r="I57" t="str">
        <f t="shared" si="17"/>
        <v/>
      </c>
      <c r="J57" t="str">
        <f t="shared" si="17"/>
        <v/>
      </c>
      <c r="K57" t="str">
        <f t="shared" si="17"/>
        <v/>
      </c>
      <c r="L57" cm="1">
        <f t="array" ref="L57">SUMPRODUCT($G$3:$O$3,--($G5:$O5&gt;1))</f>
        <v>51010001</v>
      </c>
    </row>
    <row r="58" spans="1:21">
      <c r="C58">
        <f t="shared" ref="C58:K58" si="18">IF(G6&gt;0,G$3,"")</f>
        <v>51010001</v>
      </c>
      <c r="D58" t="str">
        <f t="shared" si="18"/>
        <v/>
      </c>
      <c r="E58">
        <f t="shared" si="18"/>
        <v>51010003</v>
      </c>
      <c r="F58">
        <f t="shared" si="18"/>
        <v>51010004</v>
      </c>
      <c r="G58" t="str">
        <f t="shared" si="18"/>
        <v/>
      </c>
      <c r="H58" t="str">
        <f t="shared" si="18"/>
        <v/>
      </c>
      <c r="I58" t="str">
        <f t="shared" si="18"/>
        <v/>
      </c>
      <c r="J58" t="str">
        <f t="shared" si="18"/>
        <v/>
      </c>
      <c r="K58" t="str">
        <f t="shared" si="18"/>
        <v/>
      </c>
      <c r="L58" cm="1">
        <f t="array" ref="L58">SUMPRODUCT($G$3:$O$3,--($G6:$O6&gt;1))</f>
        <v>0</v>
      </c>
    </row>
    <row r="59" spans="1:21">
      <c r="C59" t="str">
        <f t="shared" ref="C59:K59" si="19">IF(G7&gt;0,G$3,"")</f>
        <v/>
      </c>
      <c r="D59" t="str">
        <f t="shared" si="19"/>
        <v/>
      </c>
      <c r="E59" t="str">
        <f t="shared" si="19"/>
        <v/>
      </c>
      <c r="F59" t="str">
        <f t="shared" si="19"/>
        <v/>
      </c>
      <c r="G59" t="str">
        <f t="shared" si="19"/>
        <v/>
      </c>
      <c r="H59" t="str">
        <f t="shared" si="19"/>
        <v/>
      </c>
      <c r="I59" t="str">
        <f t="shared" si="19"/>
        <v/>
      </c>
      <c r="J59" t="str">
        <f t="shared" si="19"/>
        <v/>
      </c>
      <c r="K59" t="str">
        <f t="shared" si="19"/>
        <v/>
      </c>
      <c r="L59" cm="1">
        <f t="array" ref="L59">SUMPRODUCT($G$3:$O$3,--($G7:$O7&gt;1))</f>
        <v>0</v>
      </c>
      <c r="U59">
        <f>25080/16591</f>
        <v>1.51166294979206</v>
      </c>
    </row>
    <row r="60" spans="1:21">
      <c r="C60" t="str">
        <f t="shared" ref="C60:K60" si="20">IF(G8&gt;0,G$3,"")</f>
        <v/>
      </c>
      <c r="D60" t="str">
        <f t="shared" si="20"/>
        <v/>
      </c>
      <c r="E60" t="str">
        <f t="shared" si="20"/>
        <v/>
      </c>
      <c r="F60" t="str">
        <f t="shared" si="20"/>
        <v/>
      </c>
      <c r="G60" t="str">
        <f t="shared" si="20"/>
        <v/>
      </c>
      <c r="H60" t="str">
        <f t="shared" si="20"/>
        <v/>
      </c>
      <c r="I60" t="str">
        <f t="shared" si="20"/>
        <v/>
      </c>
      <c r="J60" t="str">
        <f t="shared" si="20"/>
        <v/>
      </c>
      <c r="K60" t="str">
        <f t="shared" si="20"/>
        <v/>
      </c>
      <c r="L60" cm="1">
        <f t="array" ref="L60">SUMPRODUCT($G$3:$O$3,--($G8:$O8&gt;1))</f>
        <v>0</v>
      </c>
    </row>
    <row r="61" spans="1:21">
      <c r="C61" t="str">
        <f t="shared" ref="C61:K61" si="21">IF(G9&gt;0,G$3,"")</f>
        <v/>
      </c>
      <c r="D61" t="str">
        <f t="shared" si="21"/>
        <v/>
      </c>
      <c r="E61" t="str">
        <f t="shared" si="21"/>
        <v/>
      </c>
      <c r="F61" t="str">
        <f t="shared" si="21"/>
        <v/>
      </c>
      <c r="G61">
        <f t="shared" si="21"/>
        <v>51010005</v>
      </c>
      <c r="H61" t="str">
        <f t="shared" si="21"/>
        <v/>
      </c>
      <c r="I61" t="str">
        <f t="shared" si="21"/>
        <v/>
      </c>
      <c r="J61" t="str">
        <f t="shared" si="21"/>
        <v/>
      </c>
      <c r="K61" t="str">
        <f t="shared" si="21"/>
        <v/>
      </c>
      <c r="L61" cm="1">
        <f t="array" ref="L61">SUMPRODUCT($G$3:$O$3,--($G9:$O9&gt;1))</f>
        <v>0</v>
      </c>
    </row>
    <row r="62" spans="1:21">
      <c r="C62" t="str">
        <f t="shared" ref="C62:K62" si="22">IF(G10&gt;0,G$3,"")</f>
        <v/>
      </c>
      <c r="D62" t="str">
        <f t="shared" si="22"/>
        <v/>
      </c>
      <c r="E62" t="str">
        <f t="shared" si="22"/>
        <v/>
      </c>
      <c r="F62" t="str">
        <f t="shared" si="22"/>
        <v/>
      </c>
      <c r="G62" t="str">
        <f t="shared" si="22"/>
        <v/>
      </c>
      <c r="H62" t="str">
        <f t="shared" si="22"/>
        <v/>
      </c>
      <c r="I62" t="str">
        <f t="shared" si="22"/>
        <v/>
      </c>
      <c r="J62" t="str">
        <f t="shared" si="22"/>
        <v/>
      </c>
      <c r="K62" t="str">
        <f t="shared" si="22"/>
        <v/>
      </c>
      <c r="L62" cm="1">
        <f t="array" ref="L62">SUMPRODUCT($G$3:$O$3,--($G10:$O10&gt;1))</f>
        <v>0</v>
      </c>
    </row>
    <row r="63" spans="1:21">
      <c r="C63" t="str">
        <f t="shared" ref="C63:C83" si="23">IF(G11&gt;0,G$3,"")</f>
        <v/>
      </c>
      <c r="D63" t="str">
        <f t="shared" ref="D63:D83" si="24">IF(H11&gt;0,H$3,"")</f>
        <v/>
      </c>
      <c r="E63" t="str">
        <f t="shared" ref="E63:E83" si="25">IF(I11&gt;0,I$3,"")</f>
        <v/>
      </c>
      <c r="F63" t="str">
        <f t="shared" ref="F63:F83" si="26">IF(J11&gt;0,J$3,"")</f>
        <v/>
      </c>
      <c r="G63" t="str">
        <f t="shared" ref="G63:G83" si="27">IF(K11&gt;0,K$3,"")</f>
        <v/>
      </c>
      <c r="H63" t="str">
        <f t="shared" ref="H63:H83" si="28">IF(L11&gt;0,L$3,"")</f>
        <v/>
      </c>
      <c r="I63" t="str">
        <f t="shared" ref="I63:I83" si="29">IF(M11&gt;0,M$3,"")</f>
        <v/>
      </c>
      <c r="J63" t="str">
        <f t="shared" ref="J63:J83" si="30">IF(N11&gt;0,N$3,"")</f>
        <v/>
      </c>
      <c r="K63" t="str">
        <f t="shared" ref="K63:K83" si="31">IF(O11&gt;0,O$3,"")</f>
        <v/>
      </c>
      <c r="L63" cm="1">
        <f t="array" ref="L63">SUMPRODUCT($G$3:$O$3,--($G11:$O11&gt;1))</f>
        <v>0</v>
      </c>
    </row>
    <row r="64" spans="1:21">
      <c r="C64" t="str">
        <f t="shared" si="23"/>
        <v/>
      </c>
      <c r="D64" t="str">
        <f t="shared" si="24"/>
        <v/>
      </c>
      <c r="E64" t="str">
        <f t="shared" si="25"/>
        <v/>
      </c>
      <c r="F64" t="str">
        <f t="shared" si="26"/>
        <v/>
      </c>
      <c r="G64" t="str">
        <f t="shared" si="27"/>
        <v/>
      </c>
      <c r="H64" t="str">
        <f t="shared" si="28"/>
        <v/>
      </c>
      <c r="I64" t="str">
        <f t="shared" si="29"/>
        <v/>
      </c>
      <c r="J64" t="str">
        <f t="shared" si="30"/>
        <v/>
      </c>
      <c r="K64" t="str">
        <f t="shared" si="31"/>
        <v/>
      </c>
      <c r="L64" cm="1">
        <f t="array" ref="L64">SUMPRODUCT($G$3:$O$3,--($G12:$O12&gt;1))</f>
        <v>0</v>
      </c>
    </row>
    <row r="65" spans="3:12">
      <c r="C65" t="str">
        <f t="shared" si="23"/>
        <v/>
      </c>
      <c r="D65" t="str">
        <f t="shared" si="24"/>
        <v/>
      </c>
      <c r="E65" t="str">
        <f t="shared" si="25"/>
        <v/>
      </c>
      <c r="F65" t="str">
        <f t="shared" si="26"/>
        <v/>
      </c>
      <c r="G65" t="str">
        <f t="shared" si="27"/>
        <v/>
      </c>
      <c r="H65">
        <f t="shared" si="28"/>
        <v>51010006</v>
      </c>
      <c r="I65" t="str">
        <f t="shared" si="29"/>
        <v/>
      </c>
      <c r="J65" t="str">
        <f t="shared" si="30"/>
        <v/>
      </c>
      <c r="K65" t="str">
        <f t="shared" si="31"/>
        <v/>
      </c>
      <c r="L65" cm="1">
        <f t="array" ref="L65">SUMPRODUCT($G$3:$O$3,--($G13:$O13&gt;1))</f>
        <v>0</v>
      </c>
    </row>
    <row r="66" spans="3:12">
      <c r="C66" t="str">
        <f t="shared" si="23"/>
        <v/>
      </c>
      <c r="D66" t="str">
        <f t="shared" si="24"/>
        <v/>
      </c>
      <c r="E66" t="str">
        <f t="shared" si="25"/>
        <v/>
      </c>
      <c r="F66" t="str">
        <f t="shared" si="26"/>
        <v/>
      </c>
      <c r="G66" t="str">
        <f t="shared" si="27"/>
        <v/>
      </c>
      <c r="H66" t="str">
        <f t="shared" si="28"/>
        <v/>
      </c>
      <c r="I66" t="str">
        <f t="shared" si="29"/>
        <v/>
      </c>
      <c r="J66" t="str">
        <f t="shared" si="30"/>
        <v/>
      </c>
      <c r="K66" t="str">
        <f t="shared" si="31"/>
        <v/>
      </c>
      <c r="L66" cm="1">
        <f t="array" ref="L66">SUMPRODUCT($G$3:$O$3,--($G14:$O14&gt;1))</f>
        <v>0</v>
      </c>
    </row>
    <row r="67" spans="3:12">
      <c r="C67" t="str">
        <f t="shared" si="23"/>
        <v/>
      </c>
      <c r="D67" t="str">
        <f t="shared" si="24"/>
        <v/>
      </c>
      <c r="E67" t="str">
        <f t="shared" si="25"/>
        <v/>
      </c>
      <c r="F67" t="str">
        <f t="shared" si="26"/>
        <v/>
      </c>
      <c r="G67" t="str">
        <f t="shared" si="27"/>
        <v/>
      </c>
      <c r="H67" t="str">
        <f t="shared" si="28"/>
        <v/>
      </c>
      <c r="I67" t="str">
        <f t="shared" si="29"/>
        <v/>
      </c>
      <c r="J67" t="str">
        <f t="shared" si="30"/>
        <v/>
      </c>
      <c r="K67" t="str">
        <f t="shared" si="31"/>
        <v/>
      </c>
      <c r="L67" cm="1">
        <f t="array" ref="L67">SUMPRODUCT($G$3:$O$3,--($G15:$O15&gt;1))</f>
        <v>0</v>
      </c>
    </row>
    <row r="68" spans="3:12">
      <c r="C68" t="str">
        <f t="shared" si="23"/>
        <v/>
      </c>
      <c r="D68" t="str">
        <f t="shared" si="24"/>
        <v/>
      </c>
      <c r="E68" t="str">
        <f t="shared" si="25"/>
        <v/>
      </c>
      <c r="F68" t="str">
        <f t="shared" si="26"/>
        <v/>
      </c>
      <c r="G68" t="str">
        <f t="shared" si="27"/>
        <v/>
      </c>
      <c r="H68" t="str">
        <f t="shared" si="28"/>
        <v/>
      </c>
      <c r="I68" t="str">
        <f t="shared" si="29"/>
        <v/>
      </c>
      <c r="J68" t="str">
        <f t="shared" si="30"/>
        <v/>
      </c>
      <c r="K68" t="str">
        <f t="shared" si="31"/>
        <v/>
      </c>
      <c r="L68" cm="1">
        <f t="array" ref="L68">SUMPRODUCT($G$3:$O$3,--($G16:$O16&gt;1))</f>
        <v>0</v>
      </c>
    </row>
    <row r="69" spans="3:12">
      <c r="C69" t="str">
        <f t="shared" si="23"/>
        <v/>
      </c>
      <c r="D69" t="str">
        <f t="shared" si="24"/>
        <v/>
      </c>
      <c r="E69" t="str">
        <f t="shared" si="25"/>
        <v/>
      </c>
      <c r="F69" t="str">
        <f t="shared" si="26"/>
        <v/>
      </c>
      <c r="G69" t="str">
        <f t="shared" si="27"/>
        <v/>
      </c>
      <c r="H69" t="str">
        <f t="shared" si="28"/>
        <v/>
      </c>
      <c r="I69" t="str">
        <f t="shared" si="29"/>
        <v/>
      </c>
      <c r="J69" t="str">
        <f t="shared" si="30"/>
        <v/>
      </c>
      <c r="K69" t="str">
        <f t="shared" si="31"/>
        <v/>
      </c>
      <c r="L69" cm="1">
        <f t="array" ref="L69">SUMPRODUCT($G$3:$O$3,--($G17:$O17&gt;1))</f>
        <v>0</v>
      </c>
    </row>
    <row r="70" spans="3:12">
      <c r="C70" t="str">
        <f t="shared" si="23"/>
        <v/>
      </c>
      <c r="D70" t="str">
        <f t="shared" si="24"/>
        <v/>
      </c>
      <c r="E70" t="str">
        <f t="shared" si="25"/>
        <v/>
      </c>
      <c r="F70" t="str">
        <f t="shared" si="26"/>
        <v/>
      </c>
      <c r="G70" t="str">
        <f t="shared" si="27"/>
        <v/>
      </c>
      <c r="H70" t="str">
        <f t="shared" si="28"/>
        <v/>
      </c>
      <c r="I70" t="str">
        <f t="shared" si="29"/>
        <v/>
      </c>
      <c r="J70" t="str">
        <f t="shared" si="30"/>
        <v/>
      </c>
      <c r="K70" t="str">
        <f t="shared" si="31"/>
        <v/>
      </c>
      <c r="L70" cm="1">
        <f t="array" ref="L70">SUMPRODUCT($G$3:$O$3,--($G18:$O18&gt;1))</f>
        <v>0</v>
      </c>
    </row>
    <row r="71" spans="3:12">
      <c r="C71" t="str">
        <f t="shared" si="23"/>
        <v/>
      </c>
      <c r="D71" t="str">
        <f t="shared" si="24"/>
        <v/>
      </c>
      <c r="E71" t="str">
        <f t="shared" si="25"/>
        <v/>
      </c>
      <c r="F71" t="str">
        <f t="shared" si="26"/>
        <v/>
      </c>
      <c r="G71" t="str">
        <f t="shared" si="27"/>
        <v/>
      </c>
      <c r="H71" t="str">
        <f t="shared" si="28"/>
        <v/>
      </c>
      <c r="I71" t="str">
        <f t="shared" si="29"/>
        <v/>
      </c>
      <c r="J71" t="str">
        <f t="shared" si="30"/>
        <v/>
      </c>
      <c r="K71" t="str">
        <f t="shared" si="31"/>
        <v/>
      </c>
      <c r="L71" cm="1">
        <f t="array" ref="L71">SUMPRODUCT($G$3:$O$3,--($G19:$O19&gt;1))</f>
        <v>0</v>
      </c>
    </row>
    <row r="72" spans="3:12">
      <c r="C72" t="str">
        <f t="shared" si="23"/>
        <v/>
      </c>
      <c r="D72" t="str">
        <f t="shared" si="24"/>
        <v/>
      </c>
      <c r="E72" t="str">
        <f t="shared" si="25"/>
        <v/>
      </c>
      <c r="F72" t="str">
        <f t="shared" si="26"/>
        <v/>
      </c>
      <c r="G72" t="str">
        <f t="shared" si="27"/>
        <v/>
      </c>
      <c r="H72" t="str">
        <f t="shared" si="28"/>
        <v/>
      </c>
      <c r="I72" t="str">
        <f t="shared" si="29"/>
        <v/>
      </c>
      <c r="J72" t="str">
        <f t="shared" si="30"/>
        <v/>
      </c>
      <c r="K72" t="str">
        <f t="shared" si="31"/>
        <v/>
      </c>
      <c r="L72" cm="1">
        <f t="array" ref="L72">SUMPRODUCT($G$3:$O$3,--($G20:$O20&gt;1))</f>
        <v>0</v>
      </c>
    </row>
    <row r="73" spans="3:12">
      <c r="C73" t="str">
        <f t="shared" si="23"/>
        <v/>
      </c>
      <c r="D73" t="str">
        <f t="shared" si="24"/>
        <v/>
      </c>
      <c r="E73" t="str">
        <f t="shared" si="25"/>
        <v/>
      </c>
      <c r="F73" t="str">
        <f t="shared" si="26"/>
        <v/>
      </c>
      <c r="G73" t="str">
        <f t="shared" si="27"/>
        <v/>
      </c>
      <c r="H73" t="str">
        <f t="shared" si="28"/>
        <v/>
      </c>
      <c r="I73">
        <f t="shared" si="29"/>
        <v>51010007</v>
      </c>
      <c r="J73" t="str">
        <f t="shared" si="30"/>
        <v/>
      </c>
      <c r="K73" t="str">
        <f t="shared" si="31"/>
        <v/>
      </c>
      <c r="L73" cm="1">
        <f t="array" ref="L73">SUMPRODUCT($G$3:$O$3,--($G21:$O21&gt;1))</f>
        <v>0</v>
      </c>
    </row>
    <row r="74" spans="3:12">
      <c r="C74" t="str">
        <f t="shared" si="23"/>
        <v/>
      </c>
      <c r="D74" t="str">
        <f t="shared" si="24"/>
        <v/>
      </c>
      <c r="E74" t="str">
        <f t="shared" si="25"/>
        <v/>
      </c>
      <c r="F74" t="str">
        <f t="shared" si="26"/>
        <v/>
      </c>
      <c r="G74" t="str">
        <f t="shared" si="27"/>
        <v/>
      </c>
      <c r="H74" t="str">
        <f t="shared" si="28"/>
        <v/>
      </c>
      <c r="I74" t="str">
        <f t="shared" si="29"/>
        <v/>
      </c>
      <c r="J74" t="str">
        <f t="shared" si="30"/>
        <v/>
      </c>
      <c r="K74" t="str">
        <f t="shared" si="31"/>
        <v/>
      </c>
      <c r="L74" cm="1">
        <f t="array" ref="L74">SUMPRODUCT($G$3:$O$3,--($G22:$O22&gt;1))</f>
        <v>0</v>
      </c>
    </row>
    <row r="75" spans="3:12">
      <c r="C75" t="str">
        <f t="shared" si="23"/>
        <v/>
      </c>
      <c r="D75" t="str">
        <f t="shared" si="24"/>
        <v/>
      </c>
      <c r="E75" t="str">
        <f t="shared" si="25"/>
        <v/>
      </c>
      <c r="F75" t="str">
        <f t="shared" si="26"/>
        <v/>
      </c>
      <c r="G75" t="str">
        <f t="shared" si="27"/>
        <v/>
      </c>
      <c r="H75" t="str">
        <f t="shared" si="28"/>
        <v/>
      </c>
      <c r="I75" t="str">
        <f t="shared" si="29"/>
        <v/>
      </c>
      <c r="J75" t="str">
        <f t="shared" si="30"/>
        <v/>
      </c>
      <c r="K75" t="str">
        <f t="shared" si="31"/>
        <v/>
      </c>
      <c r="L75" cm="1">
        <f t="array" ref="L75">SUMPRODUCT($G$3:$O$3,--($G23:$O23&gt;1))</f>
        <v>0</v>
      </c>
    </row>
    <row r="76" spans="3:12">
      <c r="C76" t="str">
        <f t="shared" si="23"/>
        <v/>
      </c>
      <c r="D76" t="str">
        <f t="shared" si="24"/>
        <v/>
      </c>
      <c r="E76" t="str">
        <f t="shared" si="25"/>
        <v/>
      </c>
      <c r="F76" t="str">
        <f t="shared" si="26"/>
        <v/>
      </c>
      <c r="G76" t="str">
        <f t="shared" si="27"/>
        <v/>
      </c>
      <c r="H76" t="str">
        <f t="shared" si="28"/>
        <v/>
      </c>
      <c r="I76" t="str">
        <f t="shared" si="29"/>
        <v/>
      </c>
      <c r="J76" t="str">
        <f t="shared" si="30"/>
        <v/>
      </c>
      <c r="K76" t="str">
        <f t="shared" si="31"/>
        <v/>
      </c>
      <c r="L76" cm="1">
        <f t="array" ref="L76">SUMPRODUCT($G$3:$O$3,--($G24:$O24&gt;1))</f>
        <v>0</v>
      </c>
    </row>
    <row r="77" spans="3:12">
      <c r="C77" t="str">
        <f t="shared" si="23"/>
        <v/>
      </c>
      <c r="D77" t="str">
        <f t="shared" si="24"/>
        <v/>
      </c>
      <c r="E77" t="str">
        <f t="shared" si="25"/>
        <v/>
      </c>
      <c r="F77" t="str">
        <f t="shared" si="26"/>
        <v/>
      </c>
      <c r="G77" t="str">
        <f t="shared" si="27"/>
        <v/>
      </c>
      <c r="H77" t="str">
        <f t="shared" si="28"/>
        <v/>
      </c>
      <c r="I77" t="str">
        <f t="shared" si="29"/>
        <v/>
      </c>
      <c r="J77" t="str">
        <f t="shared" si="30"/>
        <v/>
      </c>
      <c r="K77" t="str">
        <f t="shared" si="31"/>
        <v/>
      </c>
      <c r="L77" cm="1">
        <f t="array" ref="L77">SUMPRODUCT($G$3:$O$3,--($G25:$O25&gt;1))</f>
        <v>0</v>
      </c>
    </row>
    <row r="78" spans="3:12">
      <c r="C78" t="str">
        <f t="shared" si="23"/>
        <v/>
      </c>
      <c r="D78" t="str">
        <f t="shared" si="24"/>
        <v/>
      </c>
      <c r="E78" t="str">
        <f t="shared" si="25"/>
        <v/>
      </c>
      <c r="F78" t="str">
        <f t="shared" si="26"/>
        <v/>
      </c>
      <c r="G78" t="str">
        <f t="shared" si="27"/>
        <v/>
      </c>
      <c r="H78" t="str">
        <f t="shared" si="28"/>
        <v/>
      </c>
      <c r="I78" t="str">
        <f t="shared" si="29"/>
        <v/>
      </c>
      <c r="J78" t="str">
        <f t="shared" si="30"/>
        <v/>
      </c>
      <c r="K78" t="str">
        <f t="shared" si="31"/>
        <v/>
      </c>
      <c r="L78" cm="1">
        <f t="array" ref="L78">SUMPRODUCT($G$3:$O$3,--($G26:$O26&gt;1))</f>
        <v>0</v>
      </c>
    </row>
    <row r="79" spans="3:12">
      <c r="C79" t="str">
        <f t="shared" si="23"/>
        <v/>
      </c>
      <c r="D79" t="str">
        <f t="shared" si="24"/>
        <v/>
      </c>
      <c r="E79" t="str">
        <f t="shared" si="25"/>
        <v/>
      </c>
      <c r="F79" t="str">
        <f t="shared" si="26"/>
        <v/>
      </c>
      <c r="G79" t="str">
        <f t="shared" si="27"/>
        <v/>
      </c>
      <c r="H79" t="str">
        <f t="shared" si="28"/>
        <v/>
      </c>
      <c r="I79" t="str">
        <f t="shared" si="29"/>
        <v/>
      </c>
      <c r="J79">
        <f t="shared" si="30"/>
        <v>51010008</v>
      </c>
      <c r="K79" t="str">
        <f t="shared" si="31"/>
        <v/>
      </c>
      <c r="L79" cm="1">
        <f t="array" ref="L79">SUMPRODUCT($G$3:$O$3,--($G27:$O27&gt;1))</f>
        <v>0</v>
      </c>
    </row>
    <row r="80" spans="3:12">
      <c r="C80" t="str">
        <f t="shared" si="23"/>
        <v/>
      </c>
      <c r="D80" t="str">
        <f t="shared" si="24"/>
        <v/>
      </c>
      <c r="E80" t="str">
        <f t="shared" si="25"/>
        <v/>
      </c>
      <c r="F80" t="str">
        <f t="shared" si="26"/>
        <v/>
      </c>
      <c r="G80" t="str">
        <f t="shared" si="27"/>
        <v/>
      </c>
      <c r="H80" t="str">
        <f t="shared" si="28"/>
        <v/>
      </c>
      <c r="I80" t="str">
        <f t="shared" si="29"/>
        <v/>
      </c>
      <c r="J80" t="str">
        <f t="shared" si="30"/>
        <v/>
      </c>
      <c r="K80" t="str">
        <f t="shared" si="31"/>
        <v/>
      </c>
      <c r="L80" cm="1">
        <f t="array" ref="L80">SUMPRODUCT($G$3:$O$3,--($G28:$O28&gt;1))</f>
        <v>0</v>
      </c>
    </row>
    <row r="81" spans="3:23">
      <c r="C81" t="str">
        <f t="shared" si="23"/>
        <v/>
      </c>
      <c r="D81" t="str">
        <f t="shared" si="24"/>
        <v/>
      </c>
      <c r="E81" t="str">
        <f t="shared" si="25"/>
        <v/>
      </c>
      <c r="F81" t="str">
        <f t="shared" si="26"/>
        <v/>
      </c>
      <c r="G81" t="str">
        <f t="shared" si="27"/>
        <v/>
      </c>
      <c r="H81" t="str">
        <f t="shared" si="28"/>
        <v/>
      </c>
      <c r="I81" t="str">
        <f t="shared" si="29"/>
        <v/>
      </c>
      <c r="J81" t="str">
        <f t="shared" si="30"/>
        <v/>
      </c>
      <c r="K81" t="str">
        <f t="shared" si="31"/>
        <v/>
      </c>
      <c r="L81" cm="1">
        <f t="array" ref="L81">SUMPRODUCT($G$3:$O$3,--($G29:$O29&gt;1))</f>
        <v>0</v>
      </c>
    </row>
    <row r="82" spans="3:23">
      <c r="C82" t="str">
        <f t="shared" si="23"/>
        <v/>
      </c>
      <c r="D82" t="str">
        <f t="shared" si="24"/>
        <v/>
      </c>
      <c r="E82" t="str">
        <f t="shared" si="25"/>
        <v/>
      </c>
      <c r="F82" t="str">
        <f t="shared" si="26"/>
        <v/>
      </c>
      <c r="G82" t="str">
        <f t="shared" si="27"/>
        <v/>
      </c>
      <c r="H82" t="str">
        <f t="shared" si="28"/>
        <v/>
      </c>
      <c r="I82" t="str">
        <f t="shared" si="29"/>
        <v/>
      </c>
      <c r="J82" t="str">
        <f t="shared" si="30"/>
        <v/>
      </c>
      <c r="K82" t="str">
        <f t="shared" si="31"/>
        <v/>
      </c>
      <c r="L82" cm="1">
        <f t="array" ref="L82">SUMPRODUCT($G$3:$O$3,--($G30:$O30&gt;1))</f>
        <v>0</v>
      </c>
      <c r="W82" t="s">
        <v>364</v>
      </c>
    </row>
    <row r="83" spans="3:23">
      <c r="C83" t="str">
        <f t="shared" si="23"/>
        <v/>
      </c>
      <c r="D83" t="str">
        <f t="shared" si="24"/>
        <v/>
      </c>
      <c r="E83" t="str">
        <f t="shared" si="25"/>
        <v/>
      </c>
      <c r="F83" t="str">
        <f t="shared" si="26"/>
        <v/>
      </c>
      <c r="G83" t="str">
        <f t="shared" si="27"/>
        <v/>
      </c>
      <c r="H83" t="str">
        <f t="shared" si="28"/>
        <v/>
      </c>
      <c r="I83" t="str">
        <f t="shared" si="29"/>
        <v/>
      </c>
      <c r="J83" t="str">
        <f t="shared" si="30"/>
        <v/>
      </c>
      <c r="K83" t="str">
        <f t="shared" si="31"/>
        <v/>
      </c>
      <c r="L83" cm="1">
        <f t="array" ref="L83">SUMPRODUCT($G$3:$O$3,--($G31:$O31&gt;1))</f>
        <v>0</v>
      </c>
    </row>
    <row r="84" spans="3:23">
      <c r="C84" t="str">
        <f t="shared" ref="C84:C101" si="32">IF(G32&gt;0,G$3,"")</f>
        <v/>
      </c>
      <c r="D84" t="str">
        <f t="shared" ref="D84:D101" si="33">IF(H32&gt;0,H$3,"")</f>
        <v/>
      </c>
      <c r="E84" t="str">
        <f t="shared" ref="E84:E101" si="34">IF(I32&gt;0,I$3,"")</f>
        <v/>
      </c>
      <c r="F84" t="str">
        <f t="shared" ref="F84:F101" si="35">IF(J32&gt;0,J$3,"")</f>
        <v/>
      </c>
      <c r="G84" t="str">
        <f t="shared" ref="G84:G101" si="36">IF(K32&gt;0,K$3,"")</f>
        <v/>
      </c>
      <c r="H84" t="str">
        <f t="shared" ref="H84:H101" si="37">IF(L32&gt;0,L$3,"")</f>
        <v/>
      </c>
      <c r="I84" t="str">
        <f t="shared" ref="I84:I101" si="38">IF(M32&gt;0,M$3,"")</f>
        <v/>
      </c>
      <c r="J84" t="str">
        <f t="shared" ref="J84:J101" si="39">IF(N32&gt;0,N$3,"")</f>
        <v/>
      </c>
      <c r="K84" t="str">
        <f t="shared" ref="K84:K101" si="40">IF(O32&gt;0,O$3,"")</f>
        <v/>
      </c>
      <c r="L84" cm="1">
        <f t="array" ref="L84">SUMPRODUCT($G$3:$O$3,--($G32:$O32&gt;1))</f>
        <v>0</v>
      </c>
    </row>
    <row r="85" spans="3:23">
      <c r="C85" t="str">
        <f t="shared" si="32"/>
        <v/>
      </c>
      <c r="D85" t="str">
        <f t="shared" si="33"/>
        <v/>
      </c>
      <c r="E85" t="str">
        <f t="shared" si="34"/>
        <v/>
      </c>
      <c r="F85" t="str">
        <f t="shared" si="35"/>
        <v/>
      </c>
      <c r="G85" t="str">
        <f t="shared" si="36"/>
        <v/>
      </c>
      <c r="H85" t="str">
        <f t="shared" si="37"/>
        <v/>
      </c>
      <c r="I85" t="str">
        <f t="shared" si="38"/>
        <v/>
      </c>
      <c r="J85" t="str">
        <f t="shared" si="39"/>
        <v/>
      </c>
      <c r="K85" t="str">
        <f t="shared" si="40"/>
        <v/>
      </c>
      <c r="L85" cm="1">
        <f t="array" ref="L85">SUMPRODUCT($G$3:$O$3,--($G33:$O33&gt;1))</f>
        <v>0</v>
      </c>
    </row>
    <row r="86" spans="3:23">
      <c r="C86" t="str">
        <f t="shared" si="32"/>
        <v/>
      </c>
      <c r="D86" t="str">
        <f t="shared" si="33"/>
        <v/>
      </c>
      <c r="E86" t="str">
        <f t="shared" si="34"/>
        <v/>
      </c>
      <c r="F86" t="str">
        <f t="shared" si="35"/>
        <v/>
      </c>
      <c r="G86" t="str">
        <f t="shared" si="36"/>
        <v/>
      </c>
      <c r="H86" t="str">
        <f t="shared" si="37"/>
        <v/>
      </c>
      <c r="I86" t="str">
        <f t="shared" si="38"/>
        <v/>
      </c>
      <c r="J86" t="str">
        <f t="shared" si="39"/>
        <v/>
      </c>
      <c r="K86" t="str">
        <f t="shared" si="40"/>
        <v/>
      </c>
      <c r="L86" cm="1">
        <f t="array" ref="L86">SUMPRODUCT($G$3:$O$3,--($G34:$O34&gt;1))</f>
        <v>0</v>
      </c>
    </row>
    <row r="87" spans="3:23">
      <c r="C87" t="str">
        <f t="shared" si="32"/>
        <v/>
      </c>
      <c r="D87" t="str">
        <f t="shared" si="33"/>
        <v/>
      </c>
      <c r="E87" t="str">
        <f t="shared" si="34"/>
        <v/>
      </c>
      <c r="F87" t="str">
        <f t="shared" si="35"/>
        <v/>
      </c>
      <c r="G87" t="str">
        <f t="shared" si="36"/>
        <v/>
      </c>
      <c r="H87" t="str">
        <f t="shared" si="37"/>
        <v/>
      </c>
      <c r="I87" t="str">
        <f t="shared" si="38"/>
        <v/>
      </c>
      <c r="J87" t="str">
        <f t="shared" si="39"/>
        <v/>
      </c>
      <c r="K87" t="str">
        <f t="shared" si="40"/>
        <v/>
      </c>
      <c r="L87" cm="1">
        <f t="array" ref="L87">SUMPRODUCT($G$3:$O$3,--($G35:$O35&gt;1))</f>
        <v>0</v>
      </c>
    </row>
    <row r="88" spans="3:23">
      <c r="C88" t="str">
        <f t="shared" si="32"/>
        <v/>
      </c>
      <c r="D88" t="str">
        <f t="shared" si="33"/>
        <v/>
      </c>
      <c r="E88" t="str">
        <f t="shared" si="34"/>
        <v/>
      </c>
      <c r="F88" t="str">
        <f t="shared" si="35"/>
        <v/>
      </c>
      <c r="G88" t="str">
        <f t="shared" si="36"/>
        <v/>
      </c>
      <c r="H88" t="str">
        <f t="shared" si="37"/>
        <v/>
      </c>
      <c r="I88" t="str">
        <f t="shared" si="38"/>
        <v/>
      </c>
      <c r="J88" t="str">
        <f t="shared" si="39"/>
        <v/>
      </c>
      <c r="K88">
        <f t="shared" si="40"/>
        <v>51010009</v>
      </c>
      <c r="L88" cm="1">
        <f t="array" ref="L88">SUMPRODUCT($G$3:$O$3,--($G36:$O36&gt;1))</f>
        <v>51010009</v>
      </c>
    </row>
    <row r="89" spans="3:23">
      <c r="C89" t="str">
        <f t="shared" si="32"/>
        <v/>
      </c>
      <c r="D89" t="str">
        <f t="shared" si="33"/>
        <v/>
      </c>
      <c r="E89" t="str">
        <f t="shared" si="34"/>
        <v/>
      </c>
      <c r="F89" t="str">
        <f t="shared" si="35"/>
        <v/>
      </c>
      <c r="G89" t="str">
        <f t="shared" si="36"/>
        <v/>
      </c>
      <c r="H89" t="str">
        <f t="shared" si="37"/>
        <v/>
      </c>
      <c r="I89" t="str">
        <f t="shared" si="38"/>
        <v/>
      </c>
      <c r="J89" t="str">
        <f t="shared" si="39"/>
        <v/>
      </c>
      <c r="K89" t="str">
        <f t="shared" si="40"/>
        <v/>
      </c>
      <c r="L89" cm="1">
        <f t="array" ref="L89">SUMPRODUCT($G$3:$O$3,--($G37:$O37&gt;1))</f>
        <v>0</v>
      </c>
    </row>
    <row r="90" spans="3:23">
      <c r="C90" t="str">
        <f t="shared" si="32"/>
        <v/>
      </c>
      <c r="D90" t="str">
        <f t="shared" si="33"/>
        <v/>
      </c>
      <c r="E90" t="str">
        <f t="shared" si="34"/>
        <v/>
      </c>
      <c r="F90" t="str">
        <f t="shared" si="35"/>
        <v/>
      </c>
      <c r="G90" t="str">
        <f t="shared" si="36"/>
        <v/>
      </c>
      <c r="H90" t="str">
        <f t="shared" si="37"/>
        <v/>
      </c>
      <c r="I90" t="str">
        <f t="shared" si="38"/>
        <v/>
      </c>
      <c r="J90" t="str">
        <f t="shared" si="39"/>
        <v/>
      </c>
      <c r="K90" t="str">
        <f t="shared" si="40"/>
        <v/>
      </c>
      <c r="L90" cm="1">
        <f t="array" ref="L90">SUMPRODUCT($G$3:$O$3,--($G38:$O38&gt;1))</f>
        <v>0</v>
      </c>
    </row>
    <row r="91" spans="3:23">
      <c r="C91" t="str">
        <f t="shared" si="32"/>
        <v/>
      </c>
      <c r="D91" t="str">
        <f t="shared" si="33"/>
        <v/>
      </c>
      <c r="E91" t="str">
        <f t="shared" si="34"/>
        <v/>
      </c>
      <c r="F91" t="str">
        <f t="shared" si="35"/>
        <v/>
      </c>
      <c r="G91" t="str">
        <f t="shared" si="36"/>
        <v/>
      </c>
      <c r="H91" t="str">
        <f t="shared" si="37"/>
        <v/>
      </c>
      <c r="I91" t="str">
        <f t="shared" si="38"/>
        <v/>
      </c>
      <c r="J91" t="str">
        <f t="shared" si="39"/>
        <v/>
      </c>
      <c r="K91" t="str">
        <f t="shared" si="40"/>
        <v/>
      </c>
      <c r="L91" cm="1">
        <f t="array" ref="L91">SUMPRODUCT($G$3:$O$3,--($G39:$O39&gt;1))</f>
        <v>0</v>
      </c>
    </row>
    <row r="92" spans="3:23">
      <c r="C92" t="str">
        <f t="shared" si="32"/>
        <v/>
      </c>
      <c r="D92" t="str">
        <f t="shared" si="33"/>
        <v/>
      </c>
      <c r="E92" t="str">
        <f t="shared" si="34"/>
        <v/>
      </c>
      <c r="F92" t="str">
        <f t="shared" si="35"/>
        <v/>
      </c>
      <c r="G92" t="str">
        <f t="shared" si="36"/>
        <v/>
      </c>
      <c r="H92" t="str">
        <f t="shared" si="37"/>
        <v/>
      </c>
      <c r="I92" t="str">
        <f t="shared" si="38"/>
        <v/>
      </c>
      <c r="J92" t="str">
        <f t="shared" si="39"/>
        <v/>
      </c>
      <c r="K92" t="str">
        <f t="shared" si="40"/>
        <v/>
      </c>
      <c r="L92" cm="1">
        <f t="array" ref="L92">SUMPRODUCT($G$3:$O$3,--($G40:$O40&gt;1))</f>
        <v>0</v>
      </c>
    </row>
    <row r="93" spans="3:23">
      <c r="C93" t="str">
        <f t="shared" si="32"/>
        <v/>
      </c>
      <c r="D93" t="str">
        <f t="shared" si="33"/>
        <v/>
      </c>
      <c r="E93" t="str">
        <f t="shared" si="34"/>
        <v/>
      </c>
      <c r="F93" t="str">
        <f t="shared" si="35"/>
        <v/>
      </c>
      <c r="G93" t="str">
        <f t="shared" si="36"/>
        <v/>
      </c>
      <c r="H93" t="str">
        <f t="shared" si="37"/>
        <v/>
      </c>
      <c r="I93" t="str">
        <f t="shared" si="38"/>
        <v/>
      </c>
      <c r="J93" t="str">
        <f t="shared" si="39"/>
        <v/>
      </c>
      <c r="K93" t="str">
        <f t="shared" si="40"/>
        <v/>
      </c>
      <c r="L93" cm="1">
        <f t="array" ref="L93">SUMPRODUCT($G$3:$O$3,--($G41:$O41&gt;1))</f>
        <v>0</v>
      </c>
    </row>
    <row r="94" spans="3:23">
      <c r="C94" t="str">
        <f t="shared" si="32"/>
        <v/>
      </c>
      <c r="D94" t="str">
        <f t="shared" si="33"/>
        <v/>
      </c>
      <c r="E94" t="str">
        <f t="shared" si="34"/>
        <v/>
      </c>
      <c r="F94" t="str">
        <f t="shared" si="35"/>
        <v/>
      </c>
      <c r="G94" t="str">
        <f t="shared" si="36"/>
        <v/>
      </c>
      <c r="H94" t="str">
        <f t="shared" si="37"/>
        <v/>
      </c>
      <c r="I94" t="str">
        <f t="shared" si="38"/>
        <v/>
      </c>
      <c r="J94" t="str">
        <f t="shared" si="39"/>
        <v/>
      </c>
      <c r="K94" t="str">
        <f t="shared" si="40"/>
        <v/>
      </c>
      <c r="L94" cm="1">
        <f t="array" ref="L94">SUMPRODUCT($G$3:$O$3,--($G42:$O42&gt;1))</f>
        <v>0</v>
      </c>
    </row>
    <row r="95" spans="3:23">
      <c r="C95" t="str">
        <f t="shared" si="32"/>
        <v/>
      </c>
      <c r="D95" t="str">
        <f t="shared" si="33"/>
        <v/>
      </c>
      <c r="E95" t="str">
        <f t="shared" si="34"/>
        <v/>
      </c>
      <c r="F95" t="str">
        <f t="shared" si="35"/>
        <v/>
      </c>
      <c r="G95" t="str">
        <f t="shared" si="36"/>
        <v/>
      </c>
      <c r="H95" t="str">
        <f t="shared" si="37"/>
        <v/>
      </c>
      <c r="I95" t="str">
        <f t="shared" si="38"/>
        <v/>
      </c>
      <c r="J95" t="str">
        <f t="shared" si="39"/>
        <v/>
      </c>
      <c r="K95" t="str">
        <f t="shared" si="40"/>
        <v/>
      </c>
      <c r="L95" cm="1">
        <f t="array" ref="L95">SUMPRODUCT($G$3:$O$3,--($G43:$O43&gt;1))</f>
        <v>0</v>
      </c>
    </row>
    <row r="96" spans="3:23">
      <c r="C96" t="str">
        <f t="shared" si="32"/>
        <v/>
      </c>
      <c r="D96" t="str">
        <f t="shared" si="33"/>
        <v/>
      </c>
      <c r="E96" t="str">
        <f t="shared" si="34"/>
        <v/>
      </c>
      <c r="F96" t="str">
        <f t="shared" si="35"/>
        <v/>
      </c>
      <c r="G96" t="str">
        <f t="shared" si="36"/>
        <v/>
      </c>
      <c r="H96" t="str">
        <f t="shared" si="37"/>
        <v/>
      </c>
      <c r="I96" t="str">
        <f t="shared" si="38"/>
        <v/>
      </c>
      <c r="J96" t="str">
        <f t="shared" si="39"/>
        <v/>
      </c>
      <c r="K96" t="str">
        <f t="shared" si="40"/>
        <v/>
      </c>
      <c r="L96" cm="1">
        <f t="array" ref="L96">SUMPRODUCT($G$3:$O$3,--($G44:$O44&gt;1))</f>
        <v>0</v>
      </c>
    </row>
    <row r="97" spans="1:37">
      <c r="C97" t="str">
        <f t="shared" si="32"/>
        <v/>
      </c>
      <c r="D97" t="str">
        <f t="shared" si="33"/>
        <v/>
      </c>
      <c r="E97" t="str">
        <f t="shared" si="34"/>
        <v/>
      </c>
      <c r="F97" t="str">
        <f t="shared" si="35"/>
        <v/>
      </c>
      <c r="G97" t="str">
        <f t="shared" si="36"/>
        <v/>
      </c>
      <c r="H97" t="str">
        <f t="shared" si="37"/>
        <v/>
      </c>
      <c r="I97" t="str">
        <f t="shared" si="38"/>
        <v/>
      </c>
      <c r="J97" t="str">
        <f t="shared" si="39"/>
        <v/>
      </c>
      <c r="K97" t="str">
        <f t="shared" si="40"/>
        <v/>
      </c>
      <c r="L97" cm="1">
        <f t="array" ref="L97">SUMPRODUCT($G$3:$O$3,--($G45:$O45&gt;1))</f>
        <v>0</v>
      </c>
    </row>
    <row r="98" spans="1:37">
      <c r="C98" t="str">
        <f t="shared" si="32"/>
        <v/>
      </c>
      <c r="D98" t="str">
        <f t="shared" si="33"/>
        <v/>
      </c>
      <c r="E98" t="str">
        <f t="shared" si="34"/>
        <v/>
      </c>
      <c r="F98" t="str">
        <f t="shared" si="35"/>
        <v/>
      </c>
      <c r="G98" t="str">
        <f t="shared" si="36"/>
        <v/>
      </c>
      <c r="H98" t="str">
        <f t="shared" si="37"/>
        <v/>
      </c>
      <c r="I98" t="str">
        <f t="shared" si="38"/>
        <v/>
      </c>
      <c r="J98" t="str">
        <f t="shared" si="39"/>
        <v/>
      </c>
      <c r="K98" t="str">
        <f t="shared" si="40"/>
        <v/>
      </c>
      <c r="L98" cm="1">
        <f t="array" ref="L98">SUMPRODUCT($G$3:$O$3,--($G46:$O46&gt;1))</f>
        <v>0</v>
      </c>
    </row>
    <row r="99" spans="1:37">
      <c r="C99" t="str">
        <f t="shared" si="32"/>
        <v/>
      </c>
      <c r="D99" t="str">
        <f t="shared" si="33"/>
        <v/>
      </c>
      <c r="E99" t="str">
        <f t="shared" si="34"/>
        <v/>
      </c>
      <c r="F99" t="str">
        <f t="shared" si="35"/>
        <v/>
      </c>
      <c r="G99" t="str">
        <f t="shared" si="36"/>
        <v/>
      </c>
      <c r="H99" t="str">
        <f t="shared" si="37"/>
        <v/>
      </c>
      <c r="I99" t="str">
        <f t="shared" si="38"/>
        <v/>
      </c>
      <c r="J99" t="str">
        <f t="shared" si="39"/>
        <v/>
      </c>
      <c r="K99" t="str">
        <f t="shared" si="40"/>
        <v/>
      </c>
      <c r="L99" cm="1">
        <f t="array" ref="L99">SUMPRODUCT($G$3:$O$3,--($G47:$O47&gt;1))</f>
        <v>0</v>
      </c>
    </row>
    <row r="100" spans="1:37">
      <c r="C100" t="str">
        <f t="shared" si="32"/>
        <v/>
      </c>
      <c r="D100" t="str">
        <f t="shared" si="33"/>
        <v/>
      </c>
      <c r="E100" t="str">
        <f t="shared" si="34"/>
        <v/>
      </c>
      <c r="F100" t="str">
        <f t="shared" si="35"/>
        <v/>
      </c>
      <c r="G100" t="str">
        <f t="shared" si="36"/>
        <v/>
      </c>
      <c r="H100" t="str">
        <f t="shared" si="37"/>
        <v/>
      </c>
      <c r="I100" t="str">
        <f t="shared" si="38"/>
        <v/>
      </c>
      <c r="J100" t="str">
        <f t="shared" si="39"/>
        <v/>
      </c>
      <c r="K100" t="str">
        <f t="shared" si="40"/>
        <v/>
      </c>
      <c r="L100" cm="1">
        <f t="array" ref="L100">SUMPRODUCT($G$3:$O$3,--($G48:$O48&gt;1))</f>
        <v>0</v>
      </c>
    </row>
    <row r="101" spans="1:37">
      <c r="C101" t="str">
        <f t="shared" si="32"/>
        <v/>
      </c>
      <c r="D101" t="str">
        <f t="shared" si="33"/>
        <v/>
      </c>
      <c r="E101" t="str">
        <f t="shared" si="34"/>
        <v/>
      </c>
      <c r="F101" t="str">
        <f t="shared" si="35"/>
        <v/>
      </c>
      <c r="G101" t="str">
        <f t="shared" si="36"/>
        <v/>
      </c>
      <c r="H101" t="str">
        <f t="shared" si="37"/>
        <v/>
      </c>
      <c r="I101" t="str">
        <f t="shared" si="38"/>
        <v/>
      </c>
      <c r="J101" t="str">
        <f t="shared" si="39"/>
        <v/>
      </c>
      <c r="K101" t="str">
        <f t="shared" si="40"/>
        <v/>
      </c>
      <c r="L101" cm="1">
        <f t="array" ref="L101">SUMPRODUCT($G$3:$O$3,--($G49:$O49&gt;1))</f>
        <v>0</v>
      </c>
    </row>
    <row r="103" spans="1:37">
      <c r="N103">
        <v>1</v>
      </c>
      <c r="O103">
        <v>2</v>
      </c>
      <c r="P103">
        <v>3</v>
      </c>
      <c r="Q103">
        <v>4</v>
      </c>
      <c r="R103">
        <v>5</v>
      </c>
      <c r="S103">
        <v>6</v>
      </c>
      <c r="T103">
        <v>7</v>
      </c>
      <c r="U103">
        <v>8</v>
      </c>
      <c r="V103">
        <v>9</v>
      </c>
      <c r="W103">
        <v>10</v>
      </c>
      <c r="AC103">
        <v>1</v>
      </c>
      <c r="AD103">
        <v>1</v>
      </c>
      <c r="AE103">
        <v>1</v>
      </c>
    </row>
    <row r="104" spans="1:37">
      <c r="A104" t="str">
        <f ca="1">"["&amp;_xlfn.TEXTJOIN(",",1,C104:L148)&amp;"]"</f>
        <v>[{1,1,[51010003]},{2,2,[50010003]},{3,3,[50010003]},{4,4,[50010004]},{5,5,[51010001]},{6,6,[50010000]},{7,7,[50010003]},{8,8,[51010001]},{9,9,[50010001]},{10,10,[51010004]},{11,11,[51010002]},{12,12,[50010003]},{13,13,[51010003]},{14,14,[50010003]},{15,15,[50010001]},{16,16,[51010001]},{17,17,[50010004]},{18,18,[50010003]},{19,19,[50010001]},{20,20,[51010002]},{21,21,[51010001]},{22,22,[50010004]},{23,23,[50010003]},{24,24,[50010001]},{25,25,[51010003]},{26,26,[50010003]},{27,27,[51010001]},{28,28,[50010003]},{29,29,[50010001]},{30,30,[51010004]},{41,41,[51010005]},{81,81,[51010006]},{161,161,[51010007]},{223,223,[51010008]},{311,311,[51010009]},{312,312,[51010009]}]</v>
      </c>
      <c r="B104">
        <v>0</v>
      </c>
      <c r="C104" t="str">
        <f t="shared" ref="C104:L104" si="41">IF(N104="","","{"&amp;N104+$B104&amp;","&amp;N104+$B104&amp;",["&amp;I152&amp;"]}")</f>
        <v>{1,1,[51010003]}</v>
      </c>
      <c r="D104" t="str">
        <f t="shared" si="41"/>
        <v>{2,2,[50010003]}</v>
      </c>
      <c r="E104" t="str">
        <f t="shared" si="41"/>
        <v>{3,3,[50010003]}</v>
      </c>
      <c r="F104" t="str">
        <f t="shared" si="41"/>
        <v>{4,4,[50010004]}</v>
      </c>
      <c r="G104" t="str">
        <f t="shared" si="41"/>
        <v>{5,5,[51010001]}</v>
      </c>
      <c r="H104" t="str">
        <f t="shared" si="41"/>
        <v>{6,6,[50010000]}</v>
      </c>
      <c r="I104" t="str">
        <f t="shared" si="41"/>
        <v>{7,7,[50010003]}</v>
      </c>
      <c r="J104" t="str">
        <f t="shared" si="41"/>
        <v>{8,8,[51010001]}</v>
      </c>
      <c r="K104" t="str">
        <f t="shared" si="41"/>
        <v>{9,9,[50010001]}</v>
      </c>
      <c r="L104" t="str">
        <f t="shared" si="41"/>
        <v>{10,10,[51010004]}</v>
      </c>
      <c r="N104">
        <v>1</v>
      </c>
      <c r="O104">
        <v>2</v>
      </c>
      <c r="P104">
        <v>3</v>
      </c>
      <c r="Q104">
        <v>4</v>
      </c>
      <c r="R104">
        <v>5</v>
      </c>
      <c r="S104">
        <v>6</v>
      </c>
      <c r="T104">
        <v>7</v>
      </c>
      <c r="U104">
        <v>8</v>
      </c>
      <c r="V104">
        <v>9</v>
      </c>
      <c r="W104">
        <v>10</v>
      </c>
      <c r="AC104">
        <f>IFERROR(MATCH(SUM(G$5:G5)+Q$3,$AA$5:$AA$34,1),0)</f>
        <v>3</v>
      </c>
      <c r="AD104">
        <f>IFERROR(MATCH(SUM(H$5:H5)+R$3,$AA$5:$AA$34,1),0)</f>
        <v>1</v>
      </c>
      <c r="AE104">
        <f>IFERROR(MATCH(SUM(I$5:I5)+S$3,$AA$5:$AA$34,1),0)</f>
        <v>2</v>
      </c>
      <c r="AF104">
        <f>IFERROR(MATCH(SUM(J$5:J5)+T$3,$AA$5:$AA$34,1),0)</f>
        <v>1</v>
      </c>
      <c r="AG104">
        <f>IFERROR(MATCH(SUM(K$5:K5)+U$3,$AA$5:$AA$34,1),0)</f>
        <v>0</v>
      </c>
      <c r="AH104">
        <f>IFERROR(MATCH(SUM(L$5:L5)+V$3,$AA$5:$AA$34,1),0)</f>
        <v>0</v>
      </c>
      <c r="AI104">
        <f>IFERROR(MATCH(SUM(M$5:M5)+W$3,$AA$5:$AA$34,1),0)</f>
        <v>0</v>
      </c>
      <c r="AJ104">
        <f>IFERROR(MATCH(SUM(N$5:N5)+X$3,$AA$5:$AA$34,1),0)</f>
        <v>0</v>
      </c>
      <c r="AK104">
        <f>IFERROR(MATCH(SUM(O$5:O5)+Y$3,$AA$5:$AA$34,1),0)</f>
        <v>0</v>
      </c>
    </row>
    <row r="105" spans="1:37">
      <c r="B105">
        <v>10</v>
      </c>
      <c r="C105" t="str">
        <f t="shared" ref="C105:L105" si="42">IF(N105="","","{"&amp;N105+$B105&amp;","&amp;N105+$B105&amp;",["&amp;I153&amp;"]}")</f>
        <v>{11,11,[51010002]}</v>
      </c>
      <c r="D105" t="str">
        <f t="shared" si="42"/>
        <v>{12,12,[50010003]}</v>
      </c>
      <c r="E105" t="str">
        <f t="shared" si="42"/>
        <v>{13,13,[51010003]}</v>
      </c>
      <c r="F105" t="str">
        <f t="shared" si="42"/>
        <v>{14,14,[50010003]}</v>
      </c>
      <c r="G105" t="str">
        <f t="shared" si="42"/>
        <v>{15,15,[50010001]}</v>
      </c>
      <c r="H105" t="str">
        <f t="shared" si="42"/>
        <v>{16,16,[51010001]}</v>
      </c>
      <c r="I105" t="str">
        <f t="shared" si="42"/>
        <v>{17,17,[50010004]}</v>
      </c>
      <c r="J105" t="str">
        <f t="shared" si="42"/>
        <v>{18,18,[50010003]}</v>
      </c>
      <c r="K105" t="str">
        <f t="shared" si="42"/>
        <v>{19,19,[50010001]}</v>
      </c>
      <c r="L105" t="str">
        <f t="shared" si="42"/>
        <v>{20,20,[51010002]}</v>
      </c>
      <c r="N105">
        <v>1</v>
      </c>
      <c r="O105">
        <v>2</v>
      </c>
      <c r="P105">
        <v>3</v>
      </c>
      <c r="Q105">
        <v>4</v>
      </c>
      <c r="R105">
        <v>5</v>
      </c>
      <c r="S105">
        <v>6</v>
      </c>
      <c r="T105">
        <v>7</v>
      </c>
      <c r="U105">
        <v>8</v>
      </c>
      <c r="V105">
        <v>9</v>
      </c>
      <c r="W105">
        <v>10</v>
      </c>
      <c r="AC105">
        <f>IFERROR(MATCH(SUM(G$5:G6)+Q$3,$AA$5:$AA$34,1),0)</f>
        <v>4</v>
      </c>
      <c r="AD105">
        <f>IFERROR(MATCH(SUM(H$5:H6)+R$3,$AA$5:$AA$34,1),0)</f>
        <v>1</v>
      </c>
      <c r="AE105">
        <f>IFERROR(MATCH(SUM(I$5:I6)+S$3,$AA$5:$AA$34,1),0)</f>
        <v>3</v>
      </c>
      <c r="AF105">
        <f>IFERROR(MATCH(SUM(J$5:J6)+T$3,$AA$5:$AA$34,1),0)</f>
        <v>2</v>
      </c>
      <c r="AG105">
        <f>IFERROR(MATCH(SUM(K$5:K6)+U$3,$AA$5:$AA$34,1),0)</f>
        <v>0</v>
      </c>
      <c r="AH105">
        <f>IFERROR(MATCH(SUM(L$5:L6)+V$3,$AA$5:$AA$34,1),0)</f>
        <v>0</v>
      </c>
      <c r="AI105">
        <f>IFERROR(MATCH(SUM(M$5:M6)+W$3,$AA$5:$AA$34,1),0)</f>
        <v>0</v>
      </c>
      <c r="AJ105">
        <f>IFERROR(MATCH(SUM(N$5:N6)+X$3,$AA$5:$AA$34,1),0)</f>
        <v>0</v>
      </c>
      <c r="AK105">
        <f>IFERROR(MATCH(SUM(O$5:O6)+Y$3,$AA$5:$AA$34,1),0)</f>
        <v>0</v>
      </c>
    </row>
    <row r="106" spans="1:37">
      <c r="B106">
        <v>20</v>
      </c>
      <c r="C106" t="str">
        <f>IF(N106="","","{"&amp;N106+$B106&amp;","&amp;N106+$B106&amp;",["&amp;I154&amp;"]}")</f>
        <v>{21,21,[51010001]}</v>
      </c>
      <c r="D106" t="str">
        <f>IF(O106="","","{"&amp;O106+$B106&amp;","&amp;O106+$B106&amp;",["&amp;J154&amp;"]}")</f>
        <v>{22,22,[50010004]}</v>
      </c>
      <c r="E106" t="str">
        <f>IF(P106="","","{"&amp;P106+$B106&amp;","&amp;P106+$B106&amp;",["&amp;K154&amp;"]}")</f>
        <v>{23,23,[50010003]}</v>
      </c>
      <c r="F106" t="str">
        <f>IF(Q106="","","{"&amp;Q106+$B106&amp;","&amp;Q106+$B106&amp;",["&amp;L154&amp;"]}")</f>
        <v>{24,24,[50010001]}</v>
      </c>
      <c r="G106" t="str">
        <f>IF(R106="","","{"&amp;R106+$B106&amp;","&amp;R106+$B106&amp;",["&amp;M154&amp;"]}")</f>
        <v>{25,25,[51010003]}</v>
      </c>
      <c r="H106" t="str">
        <f t="shared" ref="H106:M106" si="43">IF(S106="","","{"&amp;S106+$B106&amp;","&amp;S106+$B106&amp;",["&amp;N154&amp;"]}")</f>
        <v>{26,26,[50010003]}</v>
      </c>
      <c r="I106" t="str">
        <f t="shared" si="43"/>
        <v>{27,27,[51010001]}</v>
      </c>
      <c r="J106" t="str">
        <f t="shared" si="43"/>
        <v>{28,28,[50010003]}</v>
      </c>
      <c r="K106" t="str">
        <f t="shared" si="43"/>
        <v>{29,29,[50010001]}</v>
      </c>
      <c r="L106" t="str">
        <f t="shared" si="43"/>
        <v>{30,30,[51010004]}</v>
      </c>
      <c r="M106" t="str">
        <f t="shared" si="43"/>
        <v/>
      </c>
      <c r="N106">
        <v>1</v>
      </c>
      <c r="O106">
        <v>2</v>
      </c>
      <c r="P106">
        <v>3</v>
      </c>
      <c r="Q106">
        <v>4</v>
      </c>
      <c r="R106">
        <v>5</v>
      </c>
      <c r="S106">
        <v>6</v>
      </c>
      <c r="T106">
        <v>7</v>
      </c>
      <c r="U106">
        <v>8</v>
      </c>
      <c r="V106">
        <v>9</v>
      </c>
      <c r="W106">
        <v>10</v>
      </c>
      <c r="AC106">
        <f>IFERROR(MATCH(SUM(G$5:G7)+Q$3,$AA$5:$AA$34,1),0)</f>
        <v>4</v>
      </c>
      <c r="AD106">
        <f>IFERROR(MATCH(SUM(H$5:H7)+R$3,$AA$5:$AA$34,1),0)</f>
        <v>1</v>
      </c>
      <c r="AE106">
        <f>IFERROR(MATCH(SUM(I$5:I7)+S$3,$AA$5:$AA$34,1),0)</f>
        <v>3</v>
      </c>
      <c r="AF106">
        <f>IFERROR(MATCH(SUM(J$5:J7)+T$3,$AA$5:$AA$34,1),0)</f>
        <v>2</v>
      </c>
      <c r="AG106">
        <f>IFERROR(MATCH(SUM(K$5:K7)+U$3,$AA$5:$AA$34,1),0)</f>
        <v>0</v>
      </c>
      <c r="AH106">
        <f>IFERROR(MATCH(SUM(L$5:L7)+V$3,$AA$5:$AA$34,1),0)</f>
        <v>0</v>
      </c>
      <c r="AI106">
        <f>IFERROR(MATCH(SUM(M$5:M7)+W$3,$AA$5:$AA$34,1),0)</f>
        <v>0</v>
      </c>
      <c r="AJ106">
        <f>IFERROR(MATCH(SUM(N$5:N7)+X$3,$AA$5:$AA$34,1),0)</f>
        <v>0</v>
      </c>
      <c r="AK106">
        <f>IFERROR(MATCH(SUM(O$5:O7)+Y$3,$AA$5:$AA$34,1),0)</f>
        <v>0</v>
      </c>
    </row>
    <row r="107" spans="1:37">
      <c r="B107">
        <v>30</v>
      </c>
      <c r="C107" t="str">
        <f ca="1" t="shared" ref="C107:C148" si="44">IF(N107="","","{"&amp;N107+$B107&amp;","&amp;N107+$B107&amp;",["&amp;I155&amp;"]}")</f>
        <v/>
      </c>
      <c r="D107" t="str">
        <f ca="1" t="shared" ref="D107:D148" si="45">IF(O107="","","{"&amp;O107+$B107&amp;","&amp;O107+$B107&amp;",["&amp;J155&amp;"]}")</f>
        <v/>
      </c>
      <c r="E107" t="str">
        <f ca="1" t="shared" ref="E107:E148" si="46">IF(P107="","","{"&amp;P107+$B107&amp;","&amp;P107+$B107&amp;",["&amp;K155&amp;"]}")</f>
        <v/>
      </c>
      <c r="F107" t="str">
        <f ca="1" t="shared" ref="F107:F148" si="47">IF(Q107="","","{"&amp;Q107+$B107&amp;","&amp;Q107+$B107&amp;",["&amp;L155&amp;"]}")</f>
        <v/>
      </c>
      <c r="G107" t="str">
        <f ca="1" t="shared" ref="G107:G148" si="48">IF(R107="","","{"&amp;R107+$B107&amp;","&amp;R107+$B107&amp;",["&amp;M155&amp;"]}")</f>
        <v/>
      </c>
      <c r="N107" t="str">
        <f ca="1" t="shared" ref="N107:N150" si="49">IF($F8&gt;=N$103,H107+INT(RAND()*3+1),"")</f>
        <v/>
      </c>
      <c r="O107" t="str">
        <f ca="1" t="shared" ref="O107:O150" si="50">IF($F8&gt;=O$103,N107+INT(RAND()*3+1),"")</f>
        <v/>
      </c>
      <c r="P107" t="str">
        <f ca="1" t="shared" ref="P107:P150" si="51">IF($F8&gt;=P$103,O107+INT(RAND()*3+1),"")</f>
        <v/>
      </c>
      <c r="Q107" t="str">
        <f ca="1" t="shared" ref="Q107:Q150" si="52">IF($F8&gt;=Q$103,MIN(P107+INT(RAND()*3+1),10),"")</f>
        <v/>
      </c>
      <c r="R107" t="str">
        <f ca="1" t="shared" ref="R107:R150" si="53">IF($F8&gt;=R$103,MIN(Q107+INT(RAND()*3+1),10),"")</f>
        <v/>
      </c>
      <c r="AC107">
        <f>IFERROR(MATCH(SUM(G$5:G8)+Q$3,$AA$5:$AA$34,1),0)</f>
        <v>4</v>
      </c>
      <c r="AD107">
        <f>IFERROR(MATCH(SUM(H$5:H8)+R$3,$AA$5:$AA$34,1),0)</f>
        <v>1</v>
      </c>
      <c r="AE107">
        <f>IFERROR(MATCH(SUM(I$5:I8)+S$3,$AA$5:$AA$34,1),0)</f>
        <v>3</v>
      </c>
      <c r="AF107">
        <f>IFERROR(MATCH(SUM(J$5:J8)+T$3,$AA$5:$AA$34,1),0)</f>
        <v>2</v>
      </c>
      <c r="AG107">
        <f>IFERROR(MATCH(SUM(K$5:K8)+U$3,$AA$5:$AA$34,1),0)</f>
        <v>0</v>
      </c>
      <c r="AH107">
        <f>IFERROR(MATCH(SUM(L$5:L8)+V$3,$AA$5:$AA$34,1),0)</f>
        <v>0</v>
      </c>
      <c r="AI107">
        <f>IFERROR(MATCH(SUM(M$5:M8)+W$3,$AA$5:$AA$34,1),0)</f>
        <v>0</v>
      </c>
      <c r="AJ107">
        <f>IFERROR(MATCH(SUM(N$5:N8)+X$3,$AA$5:$AA$34,1),0)</f>
        <v>0</v>
      </c>
      <c r="AK107">
        <f>IFERROR(MATCH(SUM(O$5:O8)+Y$3,$AA$5:$AA$34,1),0)</f>
        <v>0</v>
      </c>
    </row>
    <row r="108" spans="1:37">
      <c r="B108">
        <v>40</v>
      </c>
      <c r="C108" t="str">
        <f ca="1" t="shared" si="44"/>
        <v>{41,41,[51010005]}</v>
      </c>
      <c r="D108" t="str">
        <f ca="1" t="shared" si="45"/>
        <v/>
      </c>
      <c r="E108" t="str">
        <f ca="1" t="shared" si="46"/>
        <v/>
      </c>
      <c r="F108" t="str">
        <f ca="1" t="shared" si="47"/>
        <v/>
      </c>
      <c r="G108" t="str">
        <f ca="1" t="shared" si="48"/>
        <v/>
      </c>
      <c r="N108">
        <f ca="1" t="shared" si="49"/>
        <v>1</v>
      </c>
      <c r="O108" t="str">
        <f ca="1" t="shared" si="50"/>
        <v/>
      </c>
      <c r="P108" t="str">
        <f ca="1" t="shared" si="51"/>
        <v/>
      </c>
      <c r="Q108" t="str">
        <f ca="1" t="shared" si="52"/>
        <v/>
      </c>
      <c r="R108" t="str">
        <f ca="1" t="shared" si="53"/>
        <v/>
      </c>
      <c r="AC108">
        <f>IFERROR(MATCH(SUM(G$5:G9)+Q$3,$AA$5:$AA$34,1),0)</f>
        <v>4</v>
      </c>
      <c r="AD108">
        <f>IFERROR(MATCH(SUM(H$5:H9)+R$3,$AA$5:$AA$34,1),0)</f>
        <v>1</v>
      </c>
      <c r="AE108">
        <f>IFERROR(MATCH(SUM(I$5:I9)+S$3,$AA$5:$AA$34,1),0)</f>
        <v>3</v>
      </c>
      <c r="AF108">
        <f>IFERROR(MATCH(SUM(J$5:J9)+T$3,$AA$5:$AA$34,1),0)</f>
        <v>2</v>
      </c>
      <c r="AG108">
        <f>IFERROR(MATCH(SUM(K$5:K9)+U$3,$AA$5:$AA$34,1),0)</f>
        <v>1</v>
      </c>
      <c r="AH108">
        <f>IFERROR(MATCH(SUM(L$5:L9)+V$3,$AA$5:$AA$34,1),0)</f>
        <v>0</v>
      </c>
      <c r="AI108">
        <f>IFERROR(MATCH(SUM(M$5:M9)+W$3,$AA$5:$AA$34,1),0)</f>
        <v>0</v>
      </c>
      <c r="AJ108">
        <f>IFERROR(MATCH(SUM(N$5:N9)+X$3,$AA$5:$AA$34,1),0)</f>
        <v>0</v>
      </c>
      <c r="AK108">
        <f>IFERROR(MATCH(SUM(O$5:O9)+Y$3,$AA$5:$AA$34,1),0)</f>
        <v>0</v>
      </c>
    </row>
    <row r="109" spans="1:37">
      <c r="B109">
        <v>50</v>
      </c>
      <c r="C109" t="str">
        <f ca="1" t="shared" si="44"/>
        <v/>
      </c>
      <c r="D109" t="str">
        <f ca="1" t="shared" si="45"/>
        <v/>
      </c>
      <c r="E109" t="str">
        <f ca="1" t="shared" si="46"/>
        <v/>
      </c>
      <c r="F109" t="str">
        <f ca="1" t="shared" si="47"/>
        <v/>
      </c>
      <c r="G109" t="str">
        <f ca="1" t="shared" si="48"/>
        <v/>
      </c>
      <c r="N109" t="str">
        <f ca="1" t="shared" si="49"/>
        <v/>
      </c>
      <c r="O109" t="str">
        <f ca="1" t="shared" si="50"/>
        <v/>
      </c>
      <c r="P109" t="str">
        <f ca="1" t="shared" si="51"/>
        <v/>
      </c>
      <c r="Q109" t="str">
        <f ca="1" t="shared" si="52"/>
        <v/>
      </c>
      <c r="R109" t="str">
        <f ca="1" t="shared" si="53"/>
        <v/>
      </c>
      <c r="AC109">
        <f>IFERROR(MATCH(SUM(G$5:G10)+Q$3,$AA$5:$AA$34,1),0)</f>
        <v>4</v>
      </c>
      <c r="AD109">
        <f>IFERROR(MATCH(SUM(H$5:H10)+R$3,$AA$5:$AA$34,1),0)</f>
        <v>1</v>
      </c>
      <c r="AE109">
        <f>IFERROR(MATCH(SUM(I$5:I10)+S$3,$AA$5:$AA$34,1),0)</f>
        <v>3</v>
      </c>
      <c r="AF109">
        <f>IFERROR(MATCH(SUM(J$5:J10)+T$3,$AA$5:$AA$34,1),0)</f>
        <v>2</v>
      </c>
      <c r="AG109">
        <f>IFERROR(MATCH(SUM(K$5:K10)+U$3,$AA$5:$AA$34,1),0)</f>
        <v>1</v>
      </c>
      <c r="AH109">
        <f>IFERROR(MATCH(SUM(L$5:L10)+V$3,$AA$5:$AA$34,1),0)</f>
        <v>0</v>
      </c>
      <c r="AI109">
        <f>IFERROR(MATCH(SUM(M$5:M10)+W$3,$AA$5:$AA$34,1),0)</f>
        <v>0</v>
      </c>
      <c r="AJ109">
        <f>IFERROR(MATCH(SUM(N$5:N10)+X$3,$AA$5:$AA$34,1),0)</f>
        <v>0</v>
      </c>
      <c r="AK109">
        <f>IFERROR(MATCH(SUM(O$5:O10)+Y$3,$AA$5:$AA$34,1),0)</f>
        <v>0</v>
      </c>
    </row>
    <row r="110" spans="1:37">
      <c r="B110">
        <v>60</v>
      </c>
      <c r="C110" t="str">
        <f ca="1" t="shared" si="44"/>
        <v/>
      </c>
      <c r="D110" t="str">
        <f ca="1" t="shared" si="45"/>
        <v/>
      </c>
      <c r="E110" t="str">
        <f ca="1" t="shared" si="46"/>
        <v/>
      </c>
      <c r="F110" t="str">
        <f ca="1" t="shared" si="47"/>
        <v/>
      </c>
      <c r="G110" t="str">
        <f ca="1" t="shared" si="48"/>
        <v/>
      </c>
      <c r="N110" t="str">
        <f ca="1" t="shared" si="49"/>
        <v/>
      </c>
      <c r="O110" t="str">
        <f ca="1" t="shared" si="50"/>
        <v/>
      </c>
      <c r="P110" t="str">
        <f ca="1" t="shared" si="51"/>
        <v/>
      </c>
      <c r="Q110" t="str">
        <f ca="1" t="shared" si="52"/>
        <v/>
      </c>
      <c r="R110" t="str">
        <f ca="1" t="shared" si="53"/>
        <v/>
      </c>
      <c r="AC110">
        <f>IFERROR(MATCH(SUM(G$5:G11)+Q$3,$AA$5:$AA$34,1),0)</f>
        <v>4</v>
      </c>
      <c r="AD110">
        <f>IFERROR(MATCH(SUM(H$5:H11)+R$3,$AA$5:$AA$34,1),0)</f>
        <v>1</v>
      </c>
      <c r="AE110">
        <f>IFERROR(MATCH(SUM(I$5:I11)+S$3,$AA$5:$AA$34,1),0)</f>
        <v>3</v>
      </c>
      <c r="AF110">
        <f>IFERROR(MATCH(SUM(J$5:J11)+T$3,$AA$5:$AA$34,1),0)</f>
        <v>2</v>
      </c>
      <c r="AG110">
        <f>IFERROR(MATCH(SUM(K$5:K11)+U$3,$AA$5:$AA$34,1),0)</f>
        <v>1</v>
      </c>
      <c r="AH110">
        <f>IFERROR(MATCH(SUM(L$5:L11)+V$3,$AA$5:$AA$34,1),0)</f>
        <v>0</v>
      </c>
      <c r="AI110">
        <f>IFERROR(MATCH(SUM(M$5:M11)+W$3,$AA$5:$AA$34,1),0)</f>
        <v>0</v>
      </c>
      <c r="AJ110">
        <f>IFERROR(MATCH(SUM(N$5:N11)+X$3,$AA$5:$AA$34,1),0)</f>
        <v>0</v>
      </c>
      <c r="AK110">
        <f>IFERROR(MATCH(SUM(O$5:O11)+Y$3,$AA$5:$AA$34,1),0)</f>
        <v>0</v>
      </c>
    </row>
    <row r="111" spans="1:37">
      <c r="B111">
        <v>70</v>
      </c>
      <c r="C111" t="str">
        <f ca="1" t="shared" si="44"/>
        <v/>
      </c>
      <c r="D111" t="str">
        <f ca="1" t="shared" si="45"/>
        <v/>
      </c>
      <c r="E111" t="str">
        <f ca="1" t="shared" si="46"/>
        <v/>
      </c>
      <c r="F111" t="str">
        <f ca="1" t="shared" si="47"/>
        <v/>
      </c>
      <c r="G111" t="str">
        <f ca="1" t="shared" si="48"/>
        <v/>
      </c>
      <c r="N111" t="str">
        <f ca="1" t="shared" si="49"/>
        <v/>
      </c>
      <c r="O111" t="str">
        <f ca="1" t="shared" si="50"/>
        <v/>
      </c>
      <c r="P111" t="str">
        <f ca="1" t="shared" si="51"/>
        <v/>
      </c>
      <c r="Q111" t="str">
        <f ca="1" t="shared" si="52"/>
        <v/>
      </c>
      <c r="R111" t="str">
        <f ca="1" t="shared" si="53"/>
        <v/>
      </c>
      <c r="AC111">
        <f>IFERROR(MATCH(SUM(G$5:G12)+Q$3,$AA$5:$AA$34,1),0)</f>
        <v>4</v>
      </c>
      <c r="AD111">
        <f>IFERROR(MATCH(SUM(H$5:H12)+R$3,$AA$5:$AA$34,1),0)</f>
        <v>1</v>
      </c>
      <c r="AE111">
        <f>IFERROR(MATCH(SUM(I$5:I12)+S$3,$AA$5:$AA$34,1),0)</f>
        <v>3</v>
      </c>
      <c r="AF111">
        <f>IFERROR(MATCH(SUM(J$5:J12)+T$3,$AA$5:$AA$34,1),0)</f>
        <v>2</v>
      </c>
      <c r="AG111">
        <f>IFERROR(MATCH(SUM(K$5:K12)+U$3,$AA$5:$AA$34,1),0)</f>
        <v>1</v>
      </c>
      <c r="AH111">
        <f>IFERROR(MATCH(SUM(L$5:L12)+V$3,$AA$5:$AA$34,1),0)</f>
        <v>0</v>
      </c>
      <c r="AI111">
        <f>IFERROR(MATCH(SUM(M$5:M12)+W$3,$AA$5:$AA$34,1),0)</f>
        <v>0</v>
      </c>
      <c r="AJ111">
        <f>IFERROR(MATCH(SUM(N$5:N12)+X$3,$AA$5:$AA$34,1),0)</f>
        <v>0</v>
      </c>
      <c r="AK111">
        <f>IFERROR(MATCH(SUM(O$5:O12)+Y$3,$AA$5:$AA$34,1),0)</f>
        <v>0</v>
      </c>
    </row>
    <row r="112" spans="1:37">
      <c r="B112">
        <v>80</v>
      </c>
      <c r="C112" t="str">
        <f ca="1" t="shared" si="44"/>
        <v>{81,81,[51010006]}</v>
      </c>
      <c r="D112" t="str">
        <f ca="1" t="shared" si="45"/>
        <v/>
      </c>
      <c r="E112" t="str">
        <f ca="1" t="shared" si="46"/>
        <v/>
      </c>
      <c r="F112" t="str">
        <f ca="1" t="shared" si="47"/>
        <v/>
      </c>
      <c r="G112" t="str">
        <f ca="1" t="shared" si="48"/>
        <v/>
      </c>
      <c r="N112">
        <f ca="1" t="shared" si="49"/>
        <v>1</v>
      </c>
      <c r="O112" t="str">
        <f ca="1" t="shared" si="50"/>
        <v/>
      </c>
      <c r="P112" t="str">
        <f ca="1" t="shared" si="51"/>
        <v/>
      </c>
      <c r="Q112" t="str">
        <f ca="1" t="shared" si="52"/>
        <v/>
      </c>
      <c r="R112" t="str">
        <f ca="1" t="shared" si="53"/>
        <v/>
      </c>
      <c r="AC112">
        <f>IFERROR(MATCH(SUM(G$5:G13)+Q$3,$AA$5:$AA$34,1),0)</f>
        <v>4</v>
      </c>
      <c r="AD112">
        <f>IFERROR(MATCH(SUM(H$5:H13)+R$3,$AA$5:$AA$34,1),0)</f>
        <v>1</v>
      </c>
      <c r="AE112">
        <f>IFERROR(MATCH(SUM(I$5:I13)+S$3,$AA$5:$AA$34,1),0)</f>
        <v>3</v>
      </c>
      <c r="AF112">
        <f>IFERROR(MATCH(SUM(J$5:J13)+T$3,$AA$5:$AA$34,1),0)</f>
        <v>2</v>
      </c>
      <c r="AG112">
        <f>IFERROR(MATCH(SUM(K$5:K13)+U$3,$AA$5:$AA$34,1),0)</f>
        <v>1</v>
      </c>
      <c r="AH112">
        <f>IFERROR(MATCH(SUM(L$5:L13)+V$3,$AA$5:$AA$34,1),0)</f>
        <v>1</v>
      </c>
      <c r="AI112">
        <f>IFERROR(MATCH(SUM(M$5:M13)+W$3,$AA$5:$AA$34,1),0)</f>
        <v>0</v>
      </c>
      <c r="AJ112">
        <f>IFERROR(MATCH(SUM(N$5:N13)+X$3,$AA$5:$AA$34,1),0)</f>
        <v>0</v>
      </c>
      <c r="AK112">
        <f>IFERROR(MATCH(SUM(O$5:O13)+Y$3,$AA$5:$AA$34,1),0)</f>
        <v>0</v>
      </c>
    </row>
    <row r="113" spans="2:37">
      <c r="B113">
        <v>90</v>
      </c>
      <c r="C113" t="str">
        <f ca="1" t="shared" si="44"/>
        <v/>
      </c>
      <c r="D113" t="str">
        <f ca="1" t="shared" si="45"/>
        <v/>
      </c>
      <c r="E113" t="str">
        <f ca="1" t="shared" si="46"/>
        <v/>
      </c>
      <c r="F113" t="str">
        <f ca="1" t="shared" si="47"/>
        <v/>
      </c>
      <c r="G113" t="str">
        <f ca="1" t="shared" si="48"/>
        <v/>
      </c>
      <c r="N113" t="str">
        <f ca="1" t="shared" si="49"/>
        <v/>
      </c>
      <c r="O113" t="str">
        <f ca="1" t="shared" si="50"/>
        <v/>
      </c>
      <c r="P113" t="str">
        <f ca="1" t="shared" si="51"/>
        <v/>
      </c>
      <c r="Q113" t="str">
        <f ca="1" t="shared" si="52"/>
        <v/>
      </c>
      <c r="R113" t="str">
        <f ca="1" t="shared" si="53"/>
        <v/>
      </c>
      <c r="AC113">
        <f>IFERROR(MATCH(SUM(G$5:G14)+Q$3,$AA$5:$AA$34,1),0)</f>
        <v>4</v>
      </c>
      <c r="AD113">
        <f>IFERROR(MATCH(SUM(H$5:H14)+R$3,$AA$5:$AA$34,1),0)</f>
        <v>1</v>
      </c>
      <c r="AE113">
        <f>IFERROR(MATCH(SUM(I$5:I14)+S$3,$AA$5:$AA$34,1),0)</f>
        <v>3</v>
      </c>
      <c r="AF113">
        <f>IFERROR(MATCH(SUM(J$5:J14)+T$3,$AA$5:$AA$34,1),0)</f>
        <v>2</v>
      </c>
      <c r="AG113">
        <f>IFERROR(MATCH(SUM(K$5:K14)+U$3,$AA$5:$AA$34,1),0)</f>
        <v>1</v>
      </c>
      <c r="AH113">
        <f>IFERROR(MATCH(SUM(L$5:L14)+V$3,$AA$5:$AA$34,1),0)</f>
        <v>1</v>
      </c>
      <c r="AI113">
        <f>IFERROR(MATCH(SUM(M$5:M14)+W$3,$AA$5:$AA$34,1),0)</f>
        <v>0</v>
      </c>
      <c r="AJ113">
        <f>IFERROR(MATCH(SUM(N$5:N14)+X$3,$AA$5:$AA$34,1),0)</f>
        <v>0</v>
      </c>
      <c r="AK113">
        <f>IFERROR(MATCH(SUM(O$5:O14)+Y$3,$AA$5:$AA$34,1),0)</f>
        <v>0</v>
      </c>
    </row>
    <row r="114" spans="2:37">
      <c r="B114">
        <v>100</v>
      </c>
      <c r="C114" t="str">
        <f ca="1" t="shared" si="44"/>
        <v/>
      </c>
      <c r="D114" t="str">
        <f ca="1" t="shared" si="45"/>
        <v/>
      </c>
      <c r="E114" t="str">
        <f ca="1" t="shared" si="46"/>
        <v/>
      </c>
      <c r="F114" t="str">
        <f ca="1" t="shared" si="47"/>
        <v/>
      </c>
      <c r="G114" t="str">
        <f ca="1" t="shared" si="48"/>
        <v/>
      </c>
      <c r="N114" t="str">
        <f ca="1" t="shared" si="49"/>
        <v/>
      </c>
      <c r="O114" t="str">
        <f ca="1" t="shared" si="50"/>
        <v/>
      </c>
      <c r="P114" t="str">
        <f ca="1" t="shared" si="51"/>
        <v/>
      </c>
      <c r="Q114" t="str">
        <f ca="1" t="shared" si="52"/>
        <v/>
      </c>
      <c r="R114" t="str">
        <f ca="1" t="shared" si="53"/>
        <v/>
      </c>
      <c r="AC114">
        <f>IFERROR(MATCH(SUM(G$5:G15)+Q$3,$AA$5:$AA$34,1),0)</f>
        <v>4</v>
      </c>
      <c r="AD114">
        <f>IFERROR(MATCH(SUM(H$5:H15)+R$3,$AA$5:$AA$34,1),0)</f>
        <v>1</v>
      </c>
      <c r="AE114">
        <f>IFERROR(MATCH(SUM(I$5:I15)+S$3,$AA$5:$AA$34,1),0)</f>
        <v>3</v>
      </c>
      <c r="AF114">
        <f>IFERROR(MATCH(SUM(J$5:J15)+T$3,$AA$5:$AA$34,1),0)</f>
        <v>2</v>
      </c>
      <c r="AG114">
        <f>IFERROR(MATCH(SUM(K$5:K15)+U$3,$AA$5:$AA$34,1),0)</f>
        <v>1</v>
      </c>
      <c r="AH114">
        <f>IFERROR(MATCH(SUM(L$5:L15)+V$3,$AA$5:$AA$34,1),0)</f>
        <v>1</v>
      </c>
      <c r="AI114">
        <f>IFERROR(MATCH(SUM(M$5:M15)+W$3,$AA$5:$AA$34,1),0)</f>
        <v>0</v>
      </c>
      <c r="AJ114">
        <f>IFERROR(MATCH(SUM(N$5:N15)+X$3,$AA$5:$AA$34,1),0)</f>
        <v>0</v>
      </c>
      <c r="AK114">
        <f>IFERROR(MATCH(SUM(O$5:O15)+Y$3,$AA$5:$AA$34,1),0)</f>
        <v>0</v>
      </c>
    </row>
    <row r="115" spans="2:37">
      <c r="B115">
        <v>110</v>
      </c>
      <c r="C115" t="str">
        <f ca="1" t="shared" si="44"/>
        <v/>
      </c>
      <c r="D115" t="str">
        <f ca="1" t="shared" si="45"/>
        <v/>
      </c>
      <c r="E115" t="str">
        <f ca="1" t="shared" si="46"/>
        <v/>
      </c>
      <c r="F115" t="str">
        <f ca="1" t="shared" si="47"/>
        <v/>
      </c>
      <c r="G115" t="str">
        <f ca="1" t="shared" si="48"/>
        <v/>
      </c>
      <c r="N115" t="str">
        <f ca="1" t="shared" si="49"/>
        <v/>
      </c>
      <c r="O115" t="str">
        <f ca="1" t="shared" si="50"/>
        <v/>
      </c>
      <c r="P115" t="str">
        <f ca="1" t="shared" si="51"/>
        <v/>
      </c>
      <c r="Q115" t="str">
        <f ca="1" t="shared" si="52"/>
        <v/>
      </c>
      <c r="R115" t="str">
        <f ca="1" t="shared" si="53"/>
        <v/>
      </c>
      <c r="AC115">
        <f>IFERROR(MATCH(SUM(G$5:G16)+Q$3,$AA$5:$AA$34,1),0)</f>
        <v>4</v>
      </c>
      <c r="AD115">
        <f>IFERROR(MATCH(SUM(H$5:H16)+R$3,$AA$5:$AA$34,1),0)</f>
        <v>1</v>
      </c>
      <c r="AE115">
        <f>IFERROR(MATCH(SUM(I$5:I16)+S$3,$AA$5:$AA$34,1),0)</f>
        <v>3</v>
      </c>
      <c r="AF115">
        <f>IFERROR(MATCH(SUM(J$5:J16)+T$3,$AA$5:$AA$34,1),0)</f>
        <v>2</v>
      </c>
      <c r="AG115">
        <f>IFERROR(MATCH(SUM(K$5:K16)+U$3,$AA$5:$AA$34,1),0)</f>
        <v>1</v>
      </c>
      <c r="AH115">
        <f>IFERROR(MATCH(SUM(L$5:L16)+V$3,$AA$5:$AA$34,1),0)</f>
        <v>1</v>
      </c>
      <c r="AI115">
        <f>IFERROR(MATCH(SUM(M$5:M16)+W$3,$AA$5:$AA$34,1),0)</f>
        <v>0</v>
      </c>
      <c r="AJ115">
        <f>IFERROR(MATCH(SUM(N$5:N16)+X$3,$AA$5:$AA$34,1),0)</f>
        <v>0</v>
      </c>
      <c r="AK115">
        <f>IFERROR(MATCH(SUM(O$5:O16)+Y$3,$AA$5:$AA$34,1),0)</f>
        <v>0</v>
      </c>
    </row>
    <row r="116" spans="2:37">
      <c r="B116">
        <v>120</v>
      </c>
      <c r="C116" t="str">
        <f ca="1" t="shared" si="44"/>
        <v/>
      </c>
      <c r="D116" t="str">
        <f ca="1" t="shared" si="45"/>
        <v/>
      </c>
      <c r="E116" t="str">
        <f ca="1" t="shared" si="46"/>
        <v/>
      </c>
      <c r="F116" t="str">
        <f ca="1" t="shared" si="47"/>
        <v/>
      </c>
      <c r="G116" t="str">
        <f ca="1" t="shared" si="48"/>
        <v/>
      </c>
      <c r="N116" t="str">
        <f ca="1" t="shared" si="49"/>
        <v/>
      </c>
      <c r="O116" t="str">
        <f ca="1" t="shared" si="50"/>
        <v/>
      </c>
      <c r="P116" t="str">
        <f ca="1" t="shared" si="51"/>
        <v/>
      </c>
      <c r="Q116" t="str">
        <f ca="1" t="shared" si="52"/>
        <v/>
      </c>
      <c r="R116" t="str">
        <f ca="1" t="shared" si="53"/>
        <v/>
      </c>
      <c r="AC116">
        <f>IFERROR(MATCH(SUM(G$5:G17)+Q$3,$AA$5:$AA$34,1),0)</f>
        <v>4</v>
      </c>
      <c r="AD116">
        <f>IFERROR(MATCH(SUM(H$5:H17)+R$3,$AA$5:$AA$34,1),0)</f>
        <v>1</v>
      </c>
      <c r="AE116">
        <f>IFERROR(MATCH(SUM(I$5:I17)+S$3,$AA$5:$AA$34,1),0)</f>
        <v>3</v>
      </c>
      <c r="AF116">
        <f>IFERROR(MATCH(SUM(J$5:J17)+T$3,$AA$5:$AA$34,1),0)</f>
        <v>2</v>
      </c>
      <c r="AG116">
        <f>IFERROR(MATCH(SUM(K$5:K17)+U$3,$AA$5:$AA$34,1),0)</f>
        <v>1</v>
      </c>
      <c r="AH116">
        <f>IFERROR(MATCH(SUM(L$5:L17)+V$3,$AA$5:$AA$34,1),0)</f>
        <v>1</v>
      </c>
      <c r="AI116">
        <f>IFERROR(MATCH(SUM(M$5:M17)+W$3,$AA$5:$AA$34,1),0)</f>
        <v>0</v>
      </c>
      <c r="AJ116">
        <f>IFERROR(MATCH(SUM(N$5:N17)+X$3,$AA$5:$AA$34,1),0)</f>
        <v>0</v>
      </c>
      <c r="AK116">
        <f>IFERROR(MATCH(SUM(O$5:O17)+Y$3,$AA$5:$AA$34,1),0)</f>
        <v>0</v>
      </c>
    </row>
    <row r="117" spans="2:37">
      <c r="B117">
        <v>130</v>
      </c>
      <c r="C117" t="str">
        <f ca="1" t="shared" si="44"/>
        <v/>
      </c>
      <c r="D117" t="str">
        <f ca="1" t="shared" si="45"/>
        <v/>
      </c>
      <c r="E117" t="str">
        <f ca="1" t="shared" si="46"/>
        <v/>
      </c>
      <c r="F117" t="str">
        <f ca="1" t="shared" si="47"/>
        <v/>
      </c>
      <c r="G117" t="str">
        <f ca="1" t="shared" si="48"/>
        <v/>
      </c>
      <c r="N117" t="str">
        <f ca="1" t="shared" si="49"/>
        <v/>
      </c>
      <c r="O117" t="str">
        <f ca="1" t="shared" si="50"/>
        <v/>
      </c>
      <c r="P117" t="str">
        <f ca="1" t="shared" si="51"/>
        <v/>
      </c>
      <c r="Q117" t="str">
        <f ca="1" t="shared" si="52"/>
        <v/>
      </c>
      <c r="R117" t="str">
        <f ca="1" t="shared" si="53"/>
        <v/>
      </c>
      <c r="AC117">
        <f>IFERROR(MATCH(SUM(G$5:G18)+Q$3,$AA$5:$AA$34,1),0)</f>
        <v>4</v>
      </c>
      <c r="AD117">
        <f>IFERROR(MATCH(SUM(H$5:H18)+R$3,$AA$5:$AA$34,1),0)</f>
        <v>1</v>
      </c>
      <c r="AE117">
        <f>IFERROR(MATCH(SUM(I$5:I18)+S$3,$AA$5:$AA$34,1),0)</f>
        <v>3</v>
      </c>
      <c r="AF117">
        <f>IFERROR(MATCH(SUM(J$5:J18)+T$3,$AA$5:$AA$34,1),0)</f>
        <v>2</v>
      </c>
      <c r="AG117">
        <f>IFERROR(MATCH(SUM(K$5:K18)+U$3,$AA$5:$AA$34,1),0)</f>
        <v>1</v>
      </c>
      <c r="AH117">
        <f>IFERROR(MATCH(SUM(L$5:L18)+V$3,$AA$5:$AA$34,1),0)</f>
        <v>1</v>
      </c>
      <c r="AI117">
        <f>IFERROR(MATCH(SUM(M$5:M18)+W$3,$AA$5:$AA$34,1),0)</f>
        <v>0</v>
      </c>
      <c r="AJ117">
        <f>IFERROR(MATCH(SUM(N$5:N18)+X$3,$AA$5:$AA$34,1),0)</f>
        <v>0</v>
      </c>
      <c r="AK117">
        <f>IFERROR(MATCH(SUM(O$5:O18)+Y$3,$AA$5:$AA$34,1),0)</f>
        <v>0</v>
      </c>
    </row>
    <row r="118" spans="2:37">
      <c r="B118">
        <v>140</v>
      </c>
      <c r="C118" t="str">
        <f ca="1" t="shared" si="44"/>
        <v/>
      </c>
      <c r="D118" t="str">
        <f ca="1" t="shared" si="45"/>
        <v/>
      </c>
      <c r="E118" t="str">
        <f ca="1" t="shared" si="46"/>
        <v/>
      </c>
      <c r="F118" t="str">
        <f ca="1" t="shared" si="47"/>
        <v/>
      </c>
      <c r="G118" t="str">
        <f ca="1" t="shared" si="48"/>
        <v/>
      </c>
      <c r="N118" t="str">
        <f ca="1" t="shared" si="49"/>
        <v/>
      </c>
      <c r="O118" t="str">
        <f ca="1" t="shared" si="50"/>
        <v/>
      </c>
      <c r="P118" t="str">
        <f ca="1" t="shared" si="51"/>
        <v/>
      </c>
      <c r="Q118" t="str">
        <f ca="1" t="shared" si="52"/>
        <v/>
      </c>
      <c r="R118" t="str">
        <f ca="1" t="shared" si="53"/>
        <v/>
      </c>
      <c r="AC118">
        <f>IFERROR(MATCH(SUM(G$5:G19)+Q$3,$AA$5:$AA$34,1),0)</f>
        <v>4</v>
      </c>
      <c r="AD118">
        <f>IFERROR(MATCH(SUM(H$5:H19)+R$3,$AA$5:$AA$34,1),0)</f>
        <v>1</v>
      </c>
      <c r="AE118">
        <f>IFERROR(MATCH(SUM(I$5:I19)+S$3,$AA$5:$AA$34,1),0)</f>
        <v>3</v>
      </c>
      <c r="AF118">
        <f>IFERROR(MATCH(SUM(J$5:J19)+T$3,$AA$5:$AA$34,1),0)</f>
        <v>2</v>
      </c>
      <c r="AG118">
        <f>IFERROR(MATCH(SUM(K$5:K19)+U$3,$AA$5:$AA$34,1),0)</f>
        <v>1</v>
      </c>
      <c r="AH118">
        <f>IFERROR(MATCH(SUM(L$5:L19)+V$3,$AA$5:$AA$34,1),0)</f>
        <v>1</v>
      </c>
      <c r="AI118">
        <f>IFERROR(MATCH(SUM(M$5:M19)+W$3,$AA$5:$AA$34,1),0)</f>
        <v>0</v>
      </c>
      <c r="AJ118">
        <f>IFERROR(MATCH(SUM(N$5:N19)+X$3,$AA$5:$AA$34,1),0)</f>
        <v>0</v>
      </c>
      <c r="AK118">
        <f>IFERROR(MATCH(SUM(O$5:O19)+Y$3,$AA$5:$AA$34,1),0)</f>
        <v>0</v>
      </c>
    </row>
    <row r="119" spans="2:37">
      <c r="B119">
        <v>150</v>
      </c>
      <c r="C119" t="str">
        <f ca="1" t="shared" si="44"/>
        <v/>
      </c>
      <c r="D119" t="str">
        <f ca="1" t="shared" si="45"/>
        <v/>
      </c>
      <c r="E119" t="str">
        <f ca="1" t="shared" si="46"/>
        <v/>
      </c>
      <c r="F119" t="str">
        <f ca="1" t="shared" si="47"/>
        <v/>
      </c>
      <c r="G119" t="str">
        <f ca="1" t="shared" si="48"/>
        <v/>
      </c>
      <c r="N119" t="str">
        <f ca="1" t="shared" si="49"/>
        <v/>
      </c>
      <c r="O119" t="str">
        <f ca="1" t="shared" si="50"/>
        <v/>
      </c>
      <c r="P119" t="str">
        <f ca="1" t="shared" si="51"/>
        <v/>
      </c>
      <c r="Q119" t="str">
        <f ca="1" t="shared" si="52"/>
        <v/>
      </c>
      <c r="R119" t="str">
        <f ca="1" t="shared" si="53"/>
        <v/>
      </c>
      <c r="AC119">
        <f>IFERROR(MATCH(SUM(G$5:G20)+Q$3,$AA$5:$AA$34,1),0)</f>
        <v>4</v>
      </c>
      <c r="AD119">
        <f>IFERROR(MATCH(SUM(H$5:H20)+R$3,$AA$5:$AA$34,1),0)</f>
        <v>1</v>
      </c>
      <c r="AE119">
        <f>IFERROR(MATCH(SUM(I$5:I20)+S$3,$AA$5:$AA$34,1),0)</f>
        <v>3</v>
      </c>
      <c r="AF119">
        <f>IFERROR(MATCH(SUM(J$5:J20)+T$3,$AA$5:$AA$34,1),0)</f>
        <v>2</v>
      </c>
      <c r="AG119">
        <f>IFERROR(MATCH(SUM(K$5:K20)+U$3,$AA$5:$AA$34,1),0)</f>
        <v>1</v>
      </c>
      <c r="AH119">
        <f>IFERROR(MATCH(SUM(L$5:L20)+V$3,$AA$5:$AA$34,1),0)</f>
        <v>1</v>
      </c>
      <c r="AI119">
        <f>IFERROR(MATCH(SUM(M$5:M20)+W$3,$AA$5:$AA$34,1),0)</f>
        <v>0</v>
      </c>
      <c r="AJ119">
        <f>IFERROR(MATCH(SUM(N$5:N20)+X$3,$AA$5:$AA$34,1),0)</f>
        <v>0</v>
      </c>
      <c r="AK119">
        <f>IFERROR(MATCH(SUM(O$5:O20)+Y$3,$AA$5:$AA$34,1),0)</f>
        <v>0</v>
      </c>
    </row>
    <row r="120" spans="2:37">
      <c r="B120">
        <v>160</v>
      </c>
      <c r="C120" t="str">
        <f ca="1" t="shared" si="44"/>
        <v>{161,161,[51010007]}</v>
      </c>
      <c r="D120" t="str">
        <f ca="1" t="shared" si="45"/>
        <v/>
      </c>
      <c r="E120" t="str">
        <f ca="1" t="shared" si="46"/>
        <v/>
      </c>
      <c r="F120" t="str">
        <f ca="1" t="shared" si="47"/>
        <v/>
      </c>
      <c r="G120" t="str">
        <f ca="1" t="shared" si="48"/>
        <v/>
      </c>
      <c r="N120">
        <f ca="1" t="shared" si="49"/>
        <v>1</v>
      </c>
      <c r="O120" t="str">
        <f ca="1" t="shared" si="50"/>
        <v/>
      </c>
      <c r="P120" t="str">
        <f ca="1" t="shared" si="51"/>
        <v/>
      </c>
      <c r="Q120" t="str">
        <f ca="1" t="shared" si="52"/>
        <v/>
      </c>
      <c r="R120" t="str">
        <f ca="1" t="shared" si="53"/>
        <v/>
      </c>
      <c r="AC120">
        <f>IFERROR(MATCH(SUM(G$5:G21)+Q$3,$AA$5:$AA$34,1),0)</f>
        <v>4</v>
      </c>
      <c r="AD120">
        <f>IFERROR(MATCH(SUM(H$5:H21)+R$3,$AA$5:$AA$34,1),0)</f>
        <v>1</v>
      </c>
      <c r="AE120">
        <f>IFERROR(MATCH(SUM(I$5:I21)+S$3,$AA$5:$AA$34,1),0)</f>
        <v>3</v>
      </c>
      <c r="AF120">
        <f>IFERROR(MATCH(SUM(J$5:J21)+T$3,$AA$5:$AA$34,1),0)</f>
        <v>2</v>
      </c>
      <c r="AG120">
        <f>IFERROR(MATCH(SUM(K$5:K21)+U$3,$AA$5:$AA$34,1),0)</f>
        <v>1</v>
      </c>
      <c r="AH120">
        <f>IFERROR(MATCH(SUM(L$5:L21)+V$3,$AA$5:$AA$34,1),0)</f>
        <v>1</v>
      </c>
      <c r="AI120">
        <f>IFERROR(MATCH(SUM(M$5:M21)+W$3,$AA$5:$AA$34,1),0)</f>
        <v>1</v>
      </c>
      <c r="AJ120">
        <f>IFERROR(MATCH(SUM(N$5:N21)+X$3,$AA$5:$AA$34,1),0)</f>
        <v>0</v>
      </c>
      <c r="AK120">
        <f>IFERROR(MATCH(SUM(O$5:O21)+Y$3,$AA$5:$AA$34,1),0)</f>
        <v>0</v>
      </c>
    </row>
    <row r="121" spans="2:37">
      <c r="B121">
        <v>170</v>
      </c>
      <c r="C121" t="str">
        <f ca="1" t="shared" si="44"/>
        <v/>
      </c>
      <c r="D121" t="str">
        <f ca="1" t="shared" si="45"/>
        <v/>
      </c>
      <c r="E121" t="str">
        <f ca="1" t="shared" si="46"/>
        <v/>
      </c>
      <c r="F121" t="str">
        <f ca="1" t="shared" si="47"/>
        <v/>
      </c>
      <c r="G121" t="str">
        <f ca="1" t="shared" si="48"/>
        <v/>
      </c>
      <c r="N121" t="str">
        <f ca="1" t="shared" si="49"/>
        <v/>
      </c>
      <c r="O121" t="str">
        <f ca="1" t="shared" si="50"/>
        <v/>
      </c>
      <c r="P121" t="str">
        <f ca="1" t="shared" si="51"/>
        <v/>
      </c>
      <c r="Q121" t="str">
        <f ca="1" t="shared" si="52"/>
        <v/>
      </c>
      <c r="R121" t="str">
        <f ca="1" t="shared" si="53"/>
        <v/>
      </c>
      <c r="AC121">
        <f>IFERROR(MATCH(SUM(G$5:G22)+Q$3,$AA$5:$AA$34,1),0)</f>
        <v>4</v>
      </c>
      <c r="AD121">
        <f>IFERROR(MATCH(SUM(H$5:H22)+R$3,$AA$5:$AA$34,1),0)</f>
        <v>1</v>
      </c>
      <c r="AE121">
        <f>IFERROR(MATCH(SUM(I$5:I22)+S$3,$AA$5:$AA$34,1),0)</f>
        <v>3</v>
      </c>
      <c r="AF121">
        <f>IFERROR(MATCH(SUM(J$5:J22)+T$3,$AA$5:$AA$34,1),0)</f>
        <v>2</v>
      </c>
      <c r="AG121">
        <f>IFERROR(MATCH(SUM(K$5:K22)+U$3,$AA$5:$AA$34,1),0)</f>
        <v>1</v>
      </c>
      <c r="AH121">
        <f>IFERROR(MATCH(SUM(L$5:L22)+V$3,$AA$5:$AA$34,1),0)</f>
        <v>1</v>
      </c>
      <c r="AI121">
        <f>IFERROR(MATCH(SUM(M$5:M22)+W$3,$AA$5:$AA$34,1),0)</f>
        <v>1</v>
      </c>
      <c r="AJ121">
        <f>IFERROR(MATCH(SUM(N$5:N22)+X$3,$AA$5:$AA$34,1),0)</f>
        <v>0</v>
      </c>
      <c r="AK121">
        <f>IFERROR(MATCH(SUM(O$5:O22)+Y$3,$AA$5:$AA$34,1),0)</f>
        <v>0</v>
      </c>
    </row>
    <row r="122" spans="2:37">
      <c r="B122">
        <v>180</v>
      </c>
      <c r="C122" t="str">
        <f ca="1" t="shared" si="44"/>
        <v/>
      </c>
      <c r="D122" t="str">
        <f ca="1" t="shared" si="45"/>
        <v/>
      </c>
      <c r="E122" t="str">
        <f ca="1" t="shared" si="46"/>
        <v/>
      </c>
      <c r="F122" t="str">
        <f ca="1" t="shared" si="47"/>
        <v/>
      </c>
      <c r="G122" t="str">
        <f ca="1" t="shared" si="48"/>
        <v/>
      </c>
      <c r="N122" t="str">
        <f ca="1" t="shared" si="49"/>
        <v/>
      </c>
      <c r="O122" t="str">
        <f ca="1" t="shared" si="50"/>
        <v/>
      </c>
      <c r="P122" t="str">
        <f ca="1" t="shared" si="51"/>
        <v/>
      </c>
      <c r="Q122" t="str">
        <f ca="1" t="shared" si="52"/>
        <v/>
      </c>
      <c r="R122" t="str">
        <f ca="1" t="shared" si="53"/>
        <v/>
      </c>
      <c r="AC122">
        <f>IFERROR(MATCH(SUM(G$5:G23)+Q$3,$AA$5:$AA$34,1),0)</f>
        <v>4</v>
      </c>
      <c r="AD122">
        <f>IFERROR(MATCH(SUM(H$5:H23)+R$3,$AA$5:$AA$34,1),0)</f>
        <v>1</v>
      </c>
      <c r="AE122">
        <f>IFERROR(MATCH(SUM(I$5:I23)+S$3,$AA$5:$AA$34,1),0)</f>
        <v>3</v>
      </c>
      <c r="AF122">
        <f>IFERROR(MATCH(SUM(J$5:J23)+T$3,$AA$5:$AA$34,1),0)</f>
        <v>2</v>
      </c>
      <c r="AG122">
        <f>IFERROR(MATCH(SUM(K$5:K23)+U$3,$AA$5:$AA$34,1),0)</f>
        <v>1</v>
      </c>
      <c r="AH122">
        <f>IFERROR(MATCH(SUM(L$5:L23)+V$3,$AA$5:$AA$34,1),0)</f>
        <v>1</v>
      </c>
      <c r="AI122">
        <f>IFERROR(MATCH(SUM(M$5:M23)+W$3,$AA$5:$AA$34,1),0)</f>
        <v>1</v>
      </c>
      <c r="AJ122">
        <f>IFERROR(MATCH(SUM(N$5:N23)+X$3,$AA$5:$AA$34,1),0)</f>
        <v>0</v>
      </c>
      <c r="AK122">
        <f>IFERROR(MATCH(SUM(O$5:O23)+Y$3,$AA$5:$AA$34,1),0)</f>
        <v>0</v>
      </c>
    </row>
    <row r="123" spans="2:37">
      <c r="B123">
        <v>190</v>
      </c>
      <c r="C123" t="str">
        <f ca="1" t="shared" si="44"/>
        <v/>
      </c>
      <c r="D123" t="str">
        <f ca="1" t="shared" si="45"/>
        <v/>
      </c>
      <c r="E123" t="str">
        <f ca="1" t="shared" si="46"/>
        <v/>
      </c>
      <c r="F123" t="str">
        <f ca="1" t="shared" si="47"/>
        <v/>
      </c>
      <c r="G123" t="str">
        <f ca="1" t="shared" si="48"/>
        <v/>
      </c>
      <c r="N123" t="str">
        <f ca="1" t="shared" si="49"/>
        <v/>
      </c>
      <c r="O123" t="str">
        <f ca="1" t="shared" si="50"/>
        <v/>
      </c>
      <c r="P123" t="str">
        <f ca="1" t="shared" si="51"/>
        <v/>
      </c>
      <c r="Q123" t="str">
        <f ca="1" t="shared" si="52"/>
        <v/>
      </c>
      <c r="R123" t="str">
        <f ca="1" t="shared" si="53"/>
        <v/>
      </c>
      <c r="V123" s="46"/>
      <c r="AC123">
        <f>IFERROR(MATCH(SUM(G$5:G24)+Q$3,$AA$5:$AA$34,1),0)</f>
        <v>4</v>
      </c>
      <c r="AD123">
        <f>IFERROR(MATCH(SUM(H$5:H24)+R$3,$AA$5:$AA$34,1),0)</f>
        <v>1</v>
      </c>
      <c r="AE123">
        <f>IFERROR(MATCH(SUM(I$5:I24)+S$3,$AA$5:$AA$34,1),0)</f>
        <v>3</v>
      </c>
      <c r="AF123">
        <f>IFERROR(MATCH(SUM(J$5:J24)+T$3,$AA$5:$AA$34,1),0)</f>
        <v>2</v>
      </c>
      <c r="AG123">
        <f>IFERROR(MATCH(SUM(K$5:K24)+U$3,$AA$5:$AA$34,1),0)</f>
        <v>1</v>
      </c>
      <c r="AH123">
        <f>IFERROR(MATCH(SUM(L$5:L24)+V$3,$AA$5:$AA$34,1),0)</f>
        <v>1</v>
      </c>
      <c r="AI123">
        <f>IFERROR(MATCH(SUM(M$5:M24)+W$3,$AA$5:$AA$34,1),0)</f>
        <v>1</v>
      </c>
      <c r="AJ123">
        <f>IFERROR(MATCH(SUM(N$5:N24)+X$3,$AA$5:$AA$34,1),0)</f>
        <v>0</v>
      </c>
      <c r="AK123">
        <f>IFERROR(MATCH(SUM(O$5:O24)+Y$3,$AA$5:$AA$34,1),0)</f>
        <v>0</v>
      </c>
    </row>
    <row r="124" spans="2:37">
      <c r="B124">
        <v>200</v>
      </c>
      <c r="C124" t="str">
        <f ca="1" t="shared" si="44"/>
        <v/>
      </c>
      <c r="D124" t="str">
        <f ca="1" t="shared" si="45"/>
        <v/>
      </c>
      <c r="E124" t="str">
        <f ca="1" t="shared" si="46"/>
        <v/>
      </c>
      <c r="F124" t="str">
        <f ca="1" t="shared" si="47"/>
        <v/>
      </c>
      <c r="G124" t="str">
        <f ca="1" t="shared" si="48"/>
        <v/>
      </c>
      <c r="N124" t="str">
        <f ca="1" t="shared" si="49"/>
        <v/>
      </c>
      <c r="O124" t="str">
        <f ca="1" t="shared" si="50"/>
        <v/>
      </c>
      <c r="P124" t="str">
        <f ca="1" t="shared" si="51"/>
        <v/>
      </c>
      <c r="Q124" t="str">
        <f ca="1" t="shared" si="52"/>
        <v/>
      </c>
      <c r="R124" t="str">
        <f ca="1" t="shared" si="53"/>
        <v/>
      </c>
      <c r="AC124">
        <f>IFERROR(MATCH(SUM(G$5:G25)+Q$3,$AA$5:$AA$34,1),0)</f>
        <v>4</v>
      </c>
      <c r="AD124">
        <f>IFERROR(MATCH(SUM(H$5:H25)+R$3,$AA$5:$AA$34,1),0)</f>
        <v>1</v>
      </c>
      <c r="AE124">
        <f>IFERROR(MATCH(SUM(I$5:I25)+S$3,$AA$5:$AA$34,1),0)</f>
        <v>3</v>
      </c>
      <c r="AF124">
        <f>IFERROR(MATCH(SUM(J$5:J25)+T$3,$AA$5:$AA$34,1),0)</f>
        <v>2</v>
      </c>
      <c r="AG124">
        <f>IFERROR(MATCH(SUM(K$5:K25)+U$3,$AA$5:$AA$34,1),0)</f>
        <v>1</v>
      </c>
      <c r="AH124">
        <f>IFERROR(MATCH(SUM(L$5:L25)+V$3,$AA$5:$AA$34,1),0)</f>
        <v>1</v>
      </c>
      <c r="AI124">
        <f>IFERROR(MATCH(SUM(M$5:M25)+W$3,$AA$5:$AA$34,1),0)</f>
        <v>1</v>
      </c>
      <c r="AJ124">
        <f>IFERROR(MATCH(SUM(N$5:N25)+X$3,$AA$5:$AA$34,1),0)</f>
        <v>0</v>
      </c>
      <c r="AK124">
        <f>IFERROR(MATCH(SUM(O$5:O25)+Y$3,$AA$5:$AA$34,1),0)</f>
        <v>0</v>
      </c>
    </row>
    <row r="125" spans="2:37">
      <c r="B125">
        <v>210</v>
      </c>
      <c r="C125" t="str">
        <f ca="1" t="shared" si="44"/>
        <v/>
      </c>
      <c r="D125" t="str">
        <f ca="1" t="shared" si="45"/>
        <v/>
      </c>
      <c r="E125" t="str">
        <f ca="1" t="shared" si="46"/>
        <v/>
      </c>
      <c r="F125" t="str">
        <f ca="1" t="shared" si="47"/>
        <v/>
      </c>
      <c r="G125" t="str">
        <f ca="1" t="shared" si="48"/>
        <v/>
      </c>
      <c r="N125" t="str">
        <f ca="1" t="shared" si="49"/>
        <v/>
      </c>
      <c r="O125" t="str">
        <f ca="1" t="shared" si="50"/>
        <v/>
      </c>
      <c r="P125" t="str">
        <f ca="1" t="shared" si="51"/>
        <v/>
      </c>
      <c r="Q125" t="str">
        <f ca="1" t="shared" si="52"/>
        <v/>
      </c>
      <c r="R125" t="str">
        <f ca="1" t="shared" si="53"/>
        <v/>
      </c>
      <c r="AC125">
        <f>IFERROR(MATCH(SUM(G$5:G26)+Q$3,$AA$5:$AA$34,1),0)</f>
        <v>4</v>
      </c>
      <c r="AD125">
        <f>IFERROR(MATCH(SUM(H$5:H26)+R$3,$AA$5:$AA$34,1),0)</f>
        <v>1</v>
      </c>
      <c r="AE125">
        <f>IFERROR(MATCH(SUM(I$5:I26)+S$3,$AA$5:$AA$34,1),0)</f>
        <v>3</v>
      </c>
      <c r="AF125">
        <f>IFERROR(MATCH(SUM(J$5:J26)+T$3,$AA$5:$AA$34,1),0)</f>
        <v>2</v>
      </c>
      <c r="AG125">
        <f>IFERROR(MATCH(SUM(K$5:K26)+U$3,$AA$5:$AA$34,1),0)</f>
        <v>1</v>
      </c>
      <c r="AH125">
        <f>IFERROR(MATCH(SUM(L$5:L26)+V$3,$AA$5:$AA$34,1),0)</f>
        <v>1</v>
      </c>
      <c r="AI125">
        <f>IFERROR(MATCH(SUM(M$5:M26)+W$3,$AA$5:$AA$34,1),0)</f>
        <v>1</v>
      </c>
      <c r="AJ125">
        <f>IFERROR(MATCH(SUM(N$5:N26)+X$3,$AA$5:$AA$34,1),0)</f>
        <v>0</v>
      </c>
      <c r="AK125">
        <f>IFERROR(MATCH(SUM(O$5:O26)+Y$3,$AA$5:$AA$34,1),0)</f>
        <v>0</v>
      </c>
    </row>
    <row r="126" spans="2:37">
      <c r="B126">
        <v>220</v>
      </c>
      <c r="C126" t="str">
        <f ca="1" t="shared" si="44"/>
        <v>{223,223,[51010008]}</v>
      </c>
      <c r="D126" t="str">
        <f ca="1" t="shared" si="45"/>
        <v/>
      </c>
      <c r="E126" t="str">
        <f ca="1" t="shared" si="46"/>
        <v/>
      </c>
      <c r="F126" t="str">
        <f ca="1" t="shared" si="47"/>
        <v/>
      </c>
      <c r="G126" t="str">
        <f ca="1" t="shared" si="48"/>
        <v/>
      </c>
      <c r="N126">
        <f ca="1" t="shared" si="49"/>
        <v>3</v>
      </c>
      <c r="O126" t="str">
        <f ca="1" t="shared" si="50"/>
        <v/>
      </c>
      <c r="P126" t="str">
        <f ca="1" t="shared" si="51"/>
        <v/>
      </c>
      <c r="Q126" t="str">
        <f ca="1" t="shared" si="52"/>
        <v/>
      </c>
      <c r="R126" t="str">
        <f ca="1" t="shared" si="53"/>
        <v/>
      </c>
      <c r="V126" s="46"/>
      <c r="AC126">
        <f>IFERROR(MATCH(SUM(G$5:G27)+Q$3,$AA$5:$AA$34,1),0)</f>
        <v>4</v>
      </c>
      <c r="AD126">
        <f>IFERROR(MATCH(SUM(H$5:H27)+R$3,$AA$5:$AA$34,1),0)</f>
        <v>1</v>
      </c>
      <c r="AE126">
        <f>IFERROR(MATCH(SUM(I$5:I27)+S$3,$AA$5:$AA$34,1),0)</f>
        <v>3</v>
      </c>
      <c r="AF126">
        <f>IFERROR(MATCH(SUM(J$5:J27)+T$3,$AA$5:$AA$34,1),0)</f>
        <v>2</v>
      </c>
      <c r="AG126">
        <f>IFERROR(MATCH(SUM(K$5:K27)+U$3,$AA$5:$AA$34,1),0)</f>
        <v>1</v>
      </c>
      <c r="AH126">
        <f>IFERROR(MATCH(SUM(L$5:L27)+V$3,$AA$5:$AA$34,1),0)</f>
        <v>1</v>
      </c>
      <c r="AI126">
        <f>IFERROR(MATCH(SUM(M$5:M27)+W$3,$AA$5:$AA$34,1),0)</f>
        <v>1</v>
      </c>
      <c r="AJ126">
        <f>IFERROR(MATCH(SUM(N$5:N27)+X$3,$AA$5:$AA$34,1),0)</f>
        <v>1</v>
      </c>
      <c r="AK126">
        <f>IFERROR(MATCH(SUM(O$5:O27)+Y$3,$AA$5:$AA$34,1),0)</f>
        <v>0</v>
      </c>
    </row>
    <row r="127" spans="2:37">
      <c r="B127">
        <v>230</v>
      </c>
      <c r="C127" t="str">
        <f ca="1" t="shared" si="44"/>
        <v/>
      </c>
      <c r="D127" t="str">
        <f ca="1" t="shared" si="45"/>
        <v/>
      </c>
      <c r="E127" t="str">
        <f ca="1" t="shared" si="46"/>
        <v/>
      </c>
      <c r="F127" t="str">
        <f ca="1" t="shared" si="47"/>
        <v/>
      </c>
      <c r="G127" t="str">
        <f ca="1" t="shared" si="48"/>
        <v/>
      </c>
      <c r="N127" t="str">
        <f ca="1" t="shared" si="49"/>
        <v/>
      </c>
      <c r="O127" t="str">
        <f ca="1" t="shared" si="50"/>
        <v/>
      </c>
      <c r="P127" t="str">
        <f ca="1" t="shared" si="51"/>
        <v/>
      </c>
      <c r="Q127" t="str">
        <f ca="1" t="shared" si="52"/>
        <v/>
      </c>
      <c r="R127" t="str">
        <f ca="1" t="shared" si="53"/>
        <v/>
      </c>
      <c r="AC127">
        <f>IFERROR(MATCH(SUM(G$5:G28)+Q$3,$AA$5:$AA$34,1),0)</f>
        <v>4</v>
      </c>
      <c r="AD127">
        <f>IFERROR(MATCH(SUM(H$5:H28)+R$3,$AA$5:$AA$34,1),0)</f>
        <v>1</v>
      </c>
      <c r="AE127">
        <f>IFERROR(MATCH(SUM(I$5:I28)+S$3,$AA$5:$AA$34,1),0)</f>
        <v>3</v>
      </c>
      <c r="AF127">
        <f>IFERROR(MATCH(SUM(J$5:J28)+T$3,$AA$5:$AA$34,1),0)</f>
        <v>2</v>
      </c>
      <c r="AG127">
        <f>IFERROR(MATCH(SUM(K$5:K28)+U$3,$AA$5:$AA$34,1),0)</f>
        <v>1</v>
      </c>
      <c r="AH127">
        <f>IFERROR(MATCH(SUM(L$5:L28)+V$3,$AA$5:$AA$34,1),0)</f>
        <v>1</v>
      </c>
      <c r="AI127">
        <f>IFERROR(MATCH(SUM(M$5:M28)+W$3,$AA$5:$AA$34,1),0)</f>
        <v>1</v>
      </c>
      <c r="AJ127">
        <f>IFERROR(MATCH(SUM(N$5:N28)+X$3,$AA$5:$AA$34,1),0)</f>
        <v>1</v>
      </c>
      <c r="AK127">
        <f>IFERROR(MATCH(SUM(O$5:O28)+Y$3,$AA$5:$AA$34,1),0)</f>
        <v>0</v>
      </c>
    </row>
    <row r="128" spans="2:37">
      <c r="B128">
        <v>240</v>
      </c>
      <c r="C128" t="str">
        <f ca="1" t="shared" si="44"/>
        <v/>
      </c>
      <c r="D128" t="str">
        <f ca="1" t="shared" si="45"/>
        <v/>
      </c>
      <c r="E128" t="str">
        <f ca="1" t="shared" si="46"/>
        <v/>
      </c>
      <c r="F128" t="str">
        <f ca="1" t="shared" si="47"/>
        <v/>
      </c>
      <c r="G128" t="str">
        <f ca="1" t="shared" si="48"/>
        <v/>
      </c>
      <c r="N128" t="str">
        <f ca="1" t="shared" si="49"/>
        <v/>
      </c>
      <c r="O128" t="str">
        <f ca="1" t="shared" si="50"/>
        <v/>
      </c>
      <c r="P128" t="str">
        <f ca="1" t="shared" si="51"/>
        <v/>
      </c>
      <c r="Q128" t="str">
        <f ca="1" t="shared" si="52"/>
        <v/>
      </c>
      <c r="R128" t="str">
        <f ca="1" t="shared" si="53"/>
        <v/>
      </c>
      <c r="AC128">
        <f>IFERROR(MATCH(SUM(G$5:G29)+Q$3,$AA$5:$AA$34,1),0)</f>
        <v>4</v>
      </c>
      <c r="AD128">
        <f>IFERROR(MATCH(SUM(H$5:H29)+R$3,$AA$5:$AA$34,1),0)</f>
        <v>1</v>
      </c>
      <c r="AE128">
        <f>IFERROR(MATCH(SUM(I$5:I29)+S$3,$AA$5:$AA$34,1),0)</f>
        <v>3</v>
      </c>
      <c r="AF128">
        <f>IFERROR(MATCH(SUM(J$5:J29)+T$3,$AA$5:$AA$34,1),0)</f>
        <v>2</v>
      </c>
      <c r="AG128">
        <f>IFERROR(MATCH(SUM(K$5:K29)+U$3,$AA$5:$AA$34,1),0)</f>
        <v>1</v>
      </c>
      <c r="AH128">
        <f>IFERROR(MATCH(SUM(L$5:L29)+V$3,$AA$5:$AA$34,1),0)</f>
        <v>1</v>
      </c>
      <c r="AI128">
        <f>IFERROR(MATCH(SUM(M$5:M29)+W$3,$AA$5:$AA$34,1),0)</f>
        <v>1</v>
      </c>
      <c r="AJ128">
        <f>IFERROR(MATCH(SUM(N$5:N29)+X$3,$AA$5:$AA$34,1),0)</f>
        <v>1</v>
      </c>
      <c r="AK128">
        <f>IFERROR(MATCH(SUM(O$5:O29)+Y$3,$AA$5:$AA$34,1),0)</f>
        <v>0</v>
      </c>
    </row>
    <row r="129" spans="2:37">
      <c r="B129">
        <v>250</v>
      </c>
      <c r="C129" t="str">
        <f ca="1" t="shared" si="44"/>
        <v/>
      </c>
      <c r="D129" t="str">
        <f ca="1" t="shared" si="45"/>
        <v/>
      </c>
      <c r="E129" t="str">
        <f ca="1" t="shared" si="46"/>
        <v/>
      </c>
      <c r="F129" t="str">
        <f ca="1" t="shared" si="47"/>
        <v/>
      </c>
      <c r="G129" t="str">
        <f ca="1" t="shared" si="48"/>
        <v/>
      </c>
      <c r="N129" t="str">
        <f ca="1" t="shared" si="49"/>
        <v/>
      </c>
      <c r="O129" t="str">
        <f ca="1" t="shared" si="50"/>
        <v/>
      </c>
      <c r="P129" t="str">
        <f ca="1" t="shared" si="51"/>
        <v/>
      </c>
      <c r="Q129" t="str">
        <f ca="1" t="shared" si="52"/>
        <v/>
      </c>
      <c r="R129" t="str">
        <f ca="1" t="shared" si="53"/>
        <v/>
      </c>
      <c r="V129" s="46"/>
      <c r="AC129">
        <f>IFERROR(MATCH(SUM(G$5:G30)+Q$3,$AA$5:$AA$34,1),0)</f>
        <v>4</v>
      </c>
      <c r="AD129">
        <f>IFERROR(MATCH(SUM(H$5:H30)+R$3,$AA$5:$AA$34,1),0)</f>
        <v>1</v>
      </c>
      <c r="AE129">
        <f>IFERROR(MATCH(SUM(I$5:I30)+S$3,$AA$5:$AA$34,1),0)</f>
        <v>3</v>
      </c>
      <c r="AF129">
        <f>IFERROR(MATCH(SUM(J$5:J30)+T$3,$AA$5:$AA$34,1),0)</f>
        <v>2</v>
      </c>
      <c r="AG129">
        <f>IFERROR(MATCH(SUM(K$5:K30)+U$3,$AA$5:$AA$34,1),0)</f>
        <v>1</v>
      </c>
      <c r="AH129">
        <f>IFERROR(MATCH(SUM(L$5:L30)+V$3,$AA$5:$AA$34,1),0)</f>
        <v>1</v>
      </c>
      <c r="AI129">
        <f>IFERROR(MATCH(SUM(M$5:M30)+W$3,$AA$5:$AA$34,1),0)</f>
        <v>1</v>
      </c>
      <c r="AJ129">
        <f>IFERROR(MATCH(SUM(N$5:N30)+X$3,$AA$5:$AA$34,1),0)</f>
        <v>1</v>
      </c>
      <c r="AK129">
        <f>IFERROR(MATCH(SUM(O$5:O30)+Y$3,$AA$5:$AA$34,1),0)</f>
        <v>0</v>
      </c>
    </row>
    <row r="130" spans="2:37">
      <c r="B130">
        <v>260</v>
      </c>
      <c r="C130" t="str">
        <f ca="1" t="shared" si="44"/>
        <v/>
      </c>
      <c r="D130" t="str">
        <f ca="1" t="shared" si="45"/>
        <v/>
      </c>
      <c r="E130" t="str">
        <f ca="1" t="shared" si="46"/>
        <v/>
      </c>
      <c r="F130" t="str">
        <f ca="1" t="shared" si="47"/>
        <v/>
      </c>
      <c r="G130" t="str">
        <f ca="1" t="shared" si="48"/>
        <v/>
      </c>
      <c r="N130" t="str">
        <f ca="1" t="shared" si="49"/>
        <v/>
      </c>
      <c r="O130" t="str">
        <f ca="1" t="shared" si="50"/>
        <v/>
      </c>
      <c r="P130" t="str">
        <f ca="1" t="shared" si="51"/>
        <v/>
      </c>
      <c r="Q130" t="str">
        <f ca="1" t="shared" si="52"/>
        <v/>
      </c>
      <c r="R130" t="str">
        <f ca="1" t="shared" si="53"/>
        <v/>
      </c>
      <c r="AC130">
        <f>IFERROR(MATCH(SUM(G$5:G31)+Q$3,$AA$5:$AA$34,1),0)</f>
        <v>4</v>
      </c>
      <c r="AD130">
        <f>IFERROR(MATCH(SUM(H$5:H31)+R$3,$AA$5:$AA$34,1),0)</f>
        <v>1</v>
      </c>
      <c r="AE130">
        <f>IFERROR(MATCH(SUM(I$5:I31)+S$3,$AA$5:$AA$34,1),0)</f>
        <v>3</v>
      </c>
      <c r="AF130">
        <f>IFERROR(MATCH(SUM(J$5:J31)+T$3,$AA$5:$AA$34,1),0)</f>
        <v>2</v>
      </c>
      <c r="AG130">
        <f>IFERROR(MATCH(SUM(K$5:K31)+U$3,$AA$5:$AA$34,1),0)</f>
        <v>1</v>
      </c>
      <c r="AH130">
        <f>IFERROR(MATCH(SUM(L$5:L31)+V$3,$AA$5:$AA$34,1),0)</f>
        <v>1</v>
      </c>
      <c r="AI130">
        <f>IFERROR(MATCH(SUM(M$5:M31)+W$3,$AA$5:$AA$34,1),0)</f>
        <v>1</v>
      </c>
      <c r="AJ130">
        <f>IFERROR(MATCH(SUM(N$5:N31)+X$3,$AA$5:$AA$34,1),0)</f>
        <v>1</v>
      </c>
      <c r="AK130">
        <f>IFERROR(MATCH(SUM(O$5:O31)+Y$3,$AA$5:$AA$34,1),0)</f>
        <v>0</v>
      </c>
    </row>
    <row r="131" spans="2:37">
      <c r="B131">
        <v>270</v>
      </c>
      <c r="C131" t="str">
        <f ca="1" t="shared" si="44"/>
        <v/>
      </c>
      <c r="D131" t="str">
        <f ca="1" t="shared" si="45"/>
        <v/>
      </c>
      <c r="E131" t="str">
        <f ca="1" t="shared" si="46"/>
        <v/>
      </c>
      <c r="F131" t="str">
        <f ca="1" t="shared" si="47"/>
        <v/>
      </c>
      <c r="G131" t="str">
        <f ca="1" t="shared" si="48"/>
        <v/>
      </c>
      <c r="N131" t="str">
        <f ca="1" t="shared" si="49"/>
        <v/>
      </c>
      <c r="O131" t="str">
        <f ca="1" t="shared" si="50"/>
        <v/>
      </c>
      <c r="P131" t="str">
        <f ca="1" t="shared" si="51"/>
        <v/>
      </c>
      <c r="Q131" t="str">
        <f ca="1" t="shared" si="52"/>
        <v/>
      </c>
      <c r="R131" t="str">
        <f ca="1" t="shared" si="53"/>
        <v/>
      </c>
      <c r="AC131">
        <f>IFERROR(MATCH(SUM(G$5:G32)+Q$3,$AA$5:$AA$34,1),0)</f>
        <v>4</v>
      </c>
      <c r="AD131">
        <f>IFERROR(MATCH(SUM(H$5:H32)+R$3,$AA$5:$AA$34,1),0)</f>
        <v>1</v>
      </c>
      <c r="AE131">
        <f>IFERROR(MATCH(SUM(I$5:I32)+S$3,$AA$5:$AA$34,1),0)</f>
        <v>3</v>
      </c>
      <c r="AF131">
        <f>IFERROR(MATCH(SUM(J$5:J32)+T$3,$AA$5:$AA$34,1),0)</f>
        <v>2</v>
      </c>
      <c r="AG131">
        <f>IFERROR(MATCH(SUM(K$5:K32)+U$3,$AA$5:$AA$34,1),0)</f>
        <v>1</v>
      </c>
      <c r="AH131">
        <f>IFERROR(MATCH(SUM(L$5:L32)+V$3,$AA$5:$AA$34,1),0)</f>
        <v>1</v>
      </c>
      <c r="AI131">
        <f>IFERROR(MATCH(SUM(M$5:M32)+W$3,$AA$5:$AA$34,1),0)</f>
        <v>1</v>
      </c>
      <c r="AJ131">
        <f>IFERROR(MATCH(SUM(N$5:N32)+X$3,$AA$5:$AA$34,1),0)</f>
        <v>1</v>
      </c>
      <c r="AK131">
        <f>IFERROR(MATCH(SUM(O$5:O32)+Y$3,$AA$5:$AA$34,1),0)</f>
        <v>0</v>
      </c>
    </row>
    <row r="132" spans="2:37">
      <c r="B132">
        <v>280</v>
      </c>
      <c r="C132" t="str">
        <f ca="1" t="shared" si="44"/>
        <v/>
      </c>
      <c r="D132" t="str">
        <f ca="1" t="shared" si="45"/>
        <v/>
      </c>
      <c r="E132" t="str">
        <f ca="1" t="shared" si="46"/>
        <v/>
      </c>
      <c r="F132" t="str">
        <f ca="1" t="shared" si="47"/>
        <v/>
      </c>
      <c r="G132" t="str">
        <f ca="1" t="shared" si="48"/>
        <v/>
      </c>
      <c r="N132" t="str">
        <f ca="1" t="shared" si="49"/>
        <v/>
      </c>
      <c r="O132" t="str">
        <f ca="1" t="shared" si="50"/>
        <v/>
      </c>
      <c r="P132" t="str">
        <f ca="1" t="shared" si="51"/>
        <v/>
      </c>
      <c r="Q132" t="str">
        <f ca="1" t="shared" si="52"/>
        <v/>
      </c>
      <c r="R132" t="str">
        <f ca="1" t="shared" si="53"/>
        <v/>
      </c>
      <c r="V132" s="48"/>
      <c r="AC132">
        <f>IFERROR(MATCH(SUM(G$5:G33)+Q$3,$AA$5:$AA$34,1),0)</f>
        <v>4</v>
      </c>
      <c r="AD132">
        <f>IFERROR(MATCH(SUM(H$5:H33)+R$3,$AA$5:$AA$34,1),0)</f>
        <v>1</v>
      </c>
      <c r="AE132">
        <f>IFERROR(MATCH(SUM(I$5:I33)+S$3,$AA$5:$AA$34,1),0)</f>
        <v>3</v>
      </c>
      <c r="AF132">
        <f>IFERROR(MATCH(SUM(J$5:J33)+T$3,$AA$5:$AA$34,1),0)</f>
        <v>2</v>
      </c>
      <c r="AG132">
        <f>IFERROR(MATCH(SUM(K$5:K33)+U$3,$AA$5:$AA$34,1),0)</f>
        <v>1</v>
      </c>
      <c r="AH132">
        <f>IFERROR(MATCH(SUM(L$5:L33)+V$3,$AA$5:$AA$34,1),0)</f>
        <v>1</v>
      </c>
      <c r="AI132">
        <f>IFERROR(MATCH(SUM(M$5:M33)+W$3,$AA$5:$AA$34,1),0)</f>
        <v>1</v>
      </c>
      <c r="AJ132">
        <f>IFERROR(MATCH(SUM(N$5:N33)+X$3,$AA$5:$AA$34,1),0)</f>
        <v>1</v>
      </c>
      <c r="AK132">
        <f>IFERROR(MATCH(SUM(O$5:O33)+Y$3,$AA$5:$AA$34,1),0)</f>
        <v>0</v>
      </c>
    </row>
    <row r="133" spans="2:37">
      <c r="B133">
        <v>290</v>
      </c>
      <c r="C133" t="str">
        <f ca="1" t="shared" si="44"/>
        <v/>
      </c>
      <c r="D133" t="str">
        <f ca="1" t="shared" si="45"/>
        <v/>
      </c>
      <c r="E133" t="str">
        <f ca="1" t="shared" si="46"/>
        <v/>
      </c>
      <c r="F133" t="str">
        <f ca="1" t="shared" si="47"/>
        <v/>
      </c>
      <c r="G133" t="str">
        <f ca="1" t="shared" si="48"/>
        <v/>
      </c>
      <c r="N133" t="str">
        <f ca="1" t="shared" si="49"/>
        <v/>
      </c>
      <c r="O133" t="str">
        <f ca="1" t="shared" si="50"/>
        <v/>
      </c>
      <c r="P133" t="str">
        <f ca="1" t="shared" si="51"/>
        <v/>
      </c>
      <c r="Q133" t="str">
        <f ca="1" t="shared" si="52"/>
        <v/>
      </c>
      <c r="R133" t="str">
        <f ca="1" t="shared" si="53"/>
        <v/>
      </c>
      <c r="AC133">
        <f>IFERROR(MATCH(SUM(G$5:G34)+Q$3,$AA$5:$AA$34,1),0)</f>
        <v>4</v>
      </c>
      <c r="AD133">
        <f>IFERROR(MATCH(SUM(H$5:H34)+R$3,$AA$5:$AA$34,1),0)</f>
        <v>1</v>
      </c>
      <c r="AE133">
        <f>IFERROR(MATCH(SUM(I$5:I34)+S$3,$AA$5:$AA$34,1),0)</f>
        <v>3</v>
      </c>
      <c r="AF133">
        <f>IFERROR(MATCH(SUM(J$5:J34)+T$3,$AA$5:$AA$34,1),0)</f>
        <v>2</v>
      </c>
      <c r="AG133">
        <f>IFERROR(MATCH(SUM(K$5:K34)+U$3,$AA$5:$AA$34,1),0)</f>
        <v>1</v>
      </c>
      <c r="AH133">
        <f>IFERROR(MATCH(SUM(L$5:L34)+V$3,$AA$5:$AA$34,1),0)</f>
        <v>1</v>
      </c>
      <c r="AI133">
        <f>IFERROR(MATCH(SUM(M$5:M34)+W$3,$AA$5:$AA$34,1),0)</f>
        <v>1</v>
      </c>
      <c r="AJ133">
        <f>IFERROR(MATCH(SUM(N$5:N34)+X$3,$AA$5:$AA$34,1),0)</f>
        <v>1</v>
      </c>
      <c r="AK133">
        <f>IFERROR(MATCH(SUM(O$5:O34)+Y$3,$AA$5:$AA$34,1),0)</f>
        <v>0</v>
      </c>
    </row>
    <row r="134" spans="2:37">
      <c r="B134">
        <v>300</v>
      </c>
      <c r="C134" t="str">
        <f ca="1" t="shared" si="44"/>
        <v/>
      </c>
      <c r="D134" t="str">
        <f ca="1" t="shared" si="45"/>
        <v/>
      </c>
      <c r="E134" t="str">
        <f ca="1" t="shared" si="46"/>
        <v/>
      </c>
      <c r="F134" t="str">
        <f ca="1" t="shared" si="47"/>
        <v/>
      </c>
      <c r="G134" t="str">
        <f ca="1" t="shared" si="48"/>
        <v/>
      </c>
      <c r="N134" t="str">
        <f ca="1" t="shared" si="49"/>
        <v/>
      </c>
      <c r="O134" t="str">
        <f ca="1" t="shared" si="50"/>
        <v/>
      </c>
      <c r="P134" t="str">
        <f ca="1" t="shared" si="51"/>
        <v/>
      </c>
      <c r="Q134" t="str">
        <f ca="1" t="shared" si="52"/>
        <v/>
      </c>
      <c r="R134" t="str">
        <f ca="1" t="shared" si="53"/>
        <v/>
      </c>
      <c r="AC134">
        <f>IFERROR(MATCH(SUM(G$5:G35)+Q$3,$AA$5:$AA$34,1),0)</f>
        <v>4</v>
      </c>
      <c r="AD134">
        <f>IFERROR(MATCH(SUM(H$5:H35)+R$3,$AA$5:$AA$34,1),0)</f>
        <v>1</v>
      </c>
      <c r="AE134">
        <f>IFERROR(MATCH(SUM(I$5:I35)+S$3,$AA$5:$AA$34,1),0)</f>
        <v>3</v>
      </c>
      <c r="AF134">
        <f>IFERROR(MATCH(SUM(J$5:J35)+T$3,$AA$5:$AA$34,1),0)</f>
        <v>2</v>
      </c>
      <c r="AG134">
        <f>IFERROR(MATCH(SUM(K$5:K35)+U$3,$AA$5:$AA$34,1),0)</f>
        <v>1</v>
      </c>
      <c r="AH134">
        <f>IFERROR(MATCH(SUM(L$5:L35)+V$3,$AA$5:$AA$34,1),0)</f>
        <v>1</v>
      </c>
      <c r="AI134">
        <f>IFERROR(MATCH(SUM(M$5:M35)+W$3,$AA$5:$AA$34,1),0)</f>
        <v>1</v>
      </c>
      <c r="AJ134">
        <f>IFERROR(MATCH(SUM(N$5:N35)+X$3,$AA$5:$AA$34,1),0)</f>
        <v>1</v>
      </c>
      <c r="AK134">
        <f>IFERROR(MATCH(SUM(O$5:O35)+Y$3,$AA$5:$AA$34,1),0)</f>
        <v>0</v>
      </c>
    </row>
    <row r="135" spans="2:37">
      <c r="B135">
        <v>310</v>
      </c>
      <c r="C135" t="str">
        <f ca="1" t="shared" si="44"/>
        <v>{311,311,[51010009]}</v>
      </c>
      <c r="D135" t="str">
        <f ca="1" t="shared" si="45"/>
        <v>{312,312,[51010009]}</v>
      </c>
      <c r="E135" t="str">
        <f ca="1" t="shared" si="46"/>
        <v/>
      </c>
      <c r="F135" t="str">
        <f ca="1" t="shared" si="47"/>
        <v/>
      </c>
      <c r="G135" t="str">
        <f ca="1" t="shared" si="48"/>
        <v/>
      </c>
      <c r="N135">
        <f ca="1" t="shared" si="49"/>
        <v>1</v>
      </c>
      <c r="O135">
        <f ca="1" t="shared" si="50"/>
        <v>2</v>
      </c>
      <c r="P135" t="str">
        <f ca="1" t="shared" si="51"/>
        <v/>
      </c>
      <c r="Q135" t="str">
        <f ca="1" t="shared" si="52"/>
        <v/>
      </c>
      <c r="R135" t="str">
        <f ca="1" t="shared" si="53"/>
        <v/>
      </c>
      <c r="AC135">
        <f>IFERROR(MATCH(SUM(G$5:G36)+Q$3,$AA$5:$AA$34,1),0)</f>
        <v>4</v>
      </c>
      <c r="AD135">
        <f>IFERROR(MATCH(SUM(H$5:H36)+R$3,$AA$5:$AA$34,1),0)</f>
        <v>1</v>
      </c>
      <c r="AE135">
        <f>IFERROR(MATCH(SUM(I$5:I36)+S$3,$AA$5:$AA$34,1),0)</f>
        <v>3</v>
      </c>
      <c r="AF135">
        <f>IFERROR(MATCH(SUM(J$5:J36)+T$3,$AA$5:$AA$34,1),0)</f>
        <v>2</v>
      </c>
      <c r="AG135">
        <f>IFERROR(MATCH(SUM(K$5:K36)+U$3,$AA$5:$AA$34,1),0)</f>
        <v>1</v>
      </c>
      <c r="AH135">
        <f>IFERROR(MATCH(SUM(L$5:L36)+V$3,$AA$5:$AA$34,1),0)</f>
        <v>1</v>
      </c>
      <c r="AI135">
        <f>IFERROR(MATCH(SUM(M$5:M36)+W$3,$AA$5:$AA$34,1),0)</f>
        <v>1</v>
      </c>
      <c r="AJ135">
        <f>IFERROR(MATCH(SUM(N$5:N36)+X$3,$AA$5:$AA$34,1),0)</f>
        <v>1</v>
      </c>
      <c r="AK135">
        <f>IFERROR(MATCH(SUM(O$5:O36)+Y$3,$AA$5:$AA$34,1),0)</f>
        <v>2</v>
      </c>
    </row>
    <row r="136" spans="2:37">
      <c r="B136">
        <v>320</v>
      </c>
      <c r="C136" t="str">
        <f ca="1" t="shared" si="44"/>
        <v/>
      </c>
      <c r="D136" t="str">
        <f ca="1" t="shared" si="45"/>
        <v/>
      </c>
      <c r="E136" t="str">
        <f ca="1" t="shared" si="46"/>
        <v/>
      </c>
      <c r="F136" t="str">
        <f ca="1" t="shared" si="47"/>
        <v/>
      </c>
      <c r="G136" t="str">
        <f ca="1" t="shared" si="48"/>
        <v/>
      </c>
      <c r="N136" t="str">
        <f ca="1" t="shared" si="49"/>
        <v/>
      </c>
      <c r="O136" t="str">
        <f ca="1" t="shared" si="50"/>
        <v/>
      </c>
      <c r="P136" t="str">
        <f ca="1" t="shared" si="51"/>
        <v/>
      </c>
      <c r="Q136" t="str">
        <f ca="1" t="shared" si="52"/>
        <v/>
      </c>
      <c r="R136" t="str">
        <f ca="1" t="shared" si="53"/>
        <v/>
      </c>
      <c r="AC136">
        <f>IFERROR(MATCH(SUM(G$5:G37)+Q$3,$AA$5:$AA$34,1),0)</f>
        <v>4</v>
      </c>
      <c r="AD136">
        <f>IFERROR(MATCH(SUM(H$5:H37)+R$3,$AA$5:$AA$34,1),0)</f>
        <v>1</v>
      </c>
      <c r="AE136">
        <f>IFERROR(MATCH(SUM(I$5:I37)+S$3,$AA$5:$AA$34,1),0)</f>
        <v>3</v>
      </c>
      <c r="AF136">
        <f>IFERROR(MATCH(SUM(J$5:J37)+T$3,$AA$5:$AA$34,1),0)</f>
        <v>2</v>
      </c>
      <c r="AG136">
        <f>IFERROR(MATCH(SUM(K$5:K37)+U$3,$AA$5:$AA$34,1),0)</f>
        <v>1</v>
      </c>
      <c r="AH136">
        <f>IFERROR(MATCH(SUM(L$5:L37)+V$3,$AA$5:$AA$34,1),0)</f>
        <v>1</v>
      </c>
      <c r="AI136">
        <f>IFERROR(MATCH(SUM(M$5:M37)+W$3,$AA$5:$AA$34,1),0)</f>
        <v>1</v>
      </c>
      <c r="AJ136">
        <f>IFERROR(MATCH(SUM(N$5:N37)+X$3,$AA$5:$AA$34,1),0)</f>
        <v>1</v>
      </c>
      <c r="AK136">
        <f>IFERROR(MATCH(SUM(O$5:O37)+Y$3,$AA$5:$AA$34,1),0)</f>
        <v>2</v>
      </c>
    </row>
    <row r="137" spans="2:37">
      <c r="B137">
        <v>330</v>
      </c>
      <c r="C137" t="str">
        <f ca="1" t="shared" si="44"/>
        <v/>
      </c>
      <c r="D137" t="str">
        <f ca="1" t="shared" si="45"/>
        <v/>
      </c>
      <c r="E137" t="str">
        <f ca="1" t="shared" si="46"/>
        <v/>
      </c>
      <c r="F137" t="str">
        <f ca="1" t="shared" si="47"/>
        <v/>
      </c>
      <c r="G137" t="str">
        <f ca="1" t="shared" si="48"/>
        <v/>
      </c>
      <c r="N137" t="str">
        <f ca="1" t="shared" si="49"/>
        <v/>
      </c>
      <c r="O137" t="str">
        <f ca="1" t="shared" si="50"/>
        <v/>
      </c>
      <c r="P137" t="str">
        <f ca="1" t="shared" si="51"/>
        <v/>
      </c>
      <c r="Q137" t="str">
        <f ca="1" t="shared" si="52"/>
        <v/>
      </c>
      <c r="R137" t="str">
        <f ca="1" t="shared" si="53"/>
        <v/>
      </c>
      <c r="AC137">
        <f>IFERROR(MATCH(SUM(G$5:G38)+Q$3,$AA$5:$AA$34,1),0)</f>
        <v>4</v>
      </c>
      <c r="AD137">
        <f>IFERROR(MATCH(SUM(H$5:H38)+R$3,$AA$5:$AA$34,1),0)</f>
        <v>1</v>
      </c>
      <c r="AE137">
        <f>IFERROR(MATCH(SUM(I$5:I38)+S$3,$AA$5:$AA$34,1),0)</f>
        <v>3</v>
      </c>
      <c r="AF137">
        <f>IFERROR(MATCH(SUM(J$5:J38)+T$3,$AA$5:$AA$34,1),0)</f>
        <v>2</v>
      </c>
      <c r="AG137">
        <f>IFERROR(MATCH(SUM(K$5:K38)+U$3,$AA$5:$AA$34,1),0)</f>
        <v>1</v>
      </c>
      <c r="AH137">
        <f>IFERROR(MATCH(SUM(L$5:L38)+V$3,$AA$5:$AA$34,1),0)</f>
        <v>1</v>
      </c>
      <c r="AI137">
        <f>IFERROR(MATCH(SUM(M$5:M38)+W$3,$AA$5:$AA$34,1),0)</f>
        <v>1</v>
      </c>
      <c r="AJ137">
        <f>IFERROR(MATCH(SUM(N$5:N38)+X$3,$AA$5:$AA$34,1),0)</f>
        <v>1</v>
      </c>
      <c r="AK137">
        <f>IFERROR(MATCH(SUM(O$5:O38)+Y$3,$AA$5:$AA$34,1),0)</f>
        <v>2</v>
      </c>
    </row>
    <row r="138" spans="2:37">
      <c r="B138">
        <v>340</v>
      </c>
      <c r="C138" t="str">
        <f ca="1" t="shared" si="44"/>
        <v/>
      </c>
      <c r="D138" t="str">
        <f ca="1" t="shared" si="45"/>
        <v/>
      </c>
      <c r="E138" t="str">
        <f ca="1" t="shared" si="46"/>
        <v/>
      </c>
      <c r="F138" t="str">
        <f ca="1" t="shared" si="47"/>
        <v/>
      </c>
      <c r="G138" t="str">
        <f ca="1" t="shared" si="48"/>
        <v/>
      </c>
      <c r="N138" t="str">
        <f ca="1" t="shared" si="49"/>
        <v/>
      </c>
      <c r="O138" t="str">
        <f ca="1" t="shared" si="50"/>
        <v/>
      </c>
      <c r="P138" t="str">
        <f ca="1" t="shared" si="51"/>
        <v/>
      </c>
      <c r="Q138" t="str">
        <f ca="1" t="shared" si="52"/>
        <v/>
      </c>
      <c r="R138" t="str">
        <f ca="1" t="shared" si="53"/>
        <v/>
      </c>
      <c r="AC138">
        <f>IFERROR(MATCH(SUM(G$5:G39)+Q$3,$AA$5:$AA$34,1),0)</f>
        <v>4</v>
      </c>
      <c r="AD138">
        <f>IFERROR(MATCH(SUM(H$5:H39)+R$3,$AA$5:$AA$34,1),0)</f>
        <v>1</v>
      </c>
      <c r="AE138">
        <f>IFERROR(MATCH(SUM(I$5:I39)+S$3,$AA$5:$AA$34,1),0)</f>
        <v>3</v>
      </c>
      <c r="AF138">
        <f>IFERROR(MATCH(SUM(J$5:J39)+T$3,$AA$5:$AA$34,1),0)</f>
        <v>2</v>
      </c>
      <c r="AG138">
        <f>IFERROR(MATCH(SUM(K$5:K39)+U$3,$AA$5:$AA$34,1),0)</f>
        <v>1</v>
      </c>
      <c r="AH138">
        <f>IFERROR(MATCH(SUM(L$5:L39)+V$3,$AA$5:$AA$34,1),0)</f>
        <v>1</v>
      </c>
      <c r="AI138">
        <f>IFERROR(MATCH(SUM(M$5:M39)+W$3,$AA$5:$AA$34,1),0)</f>
        <v>1</v>
      </c>
      <c r="AJ138">
        <f>IFERROR(MATCH(SUM(N$5:N39)+X$3,$AA$5:$AA$34,1),0)</f>
        <v>1</v>
      </c>
      <c r="AK138">
        <f>IFERROR(MATCH(SUM(O$5:O39)+Y$3,$AA$5:$AA$34,1),0)</f>
        <v>2</v>
      </c>
    </row>
    <row r="139" spans="2:37">
      <c r="B139">
        <v>350</v>
      </c>
      <c r="C139" t="str">
        <f ca="1" t="shared" si="44"/>
        <v/>
      </c>
      <c r="D139" t="str">
        <f ca="1" t="shared" si="45"/>
        <v/>
      </c>
      <c r="E139" t="str">
        <f ca="1" t="shared" si="46"/>
        <v/>
      </c>
      <c r="F139" t="str">
        <f ca="1" t="shared" si="47"/>
        <v/>
      </c>
      <c r="G139" t="str">
        <f ca="1" t="shared" si="48"/>
        <v/>
      </c>
      <c r="N139" t="str">
        <f ca="1" t="shared" si="49"/>
        <v/>
      </c>
      <c r="O139" t="str">
        <f ca="1" t="shared" si="50"/>
        <v/>
      </c>
      <c r="P139" t="str">
        <f ca="1" t="shared" si="51"/>
        <v/>
      </c>
      <c r="Q139" t="str">
        <f ca="1" t="shared" si="52"/>
        <v/>
      </c>
      <c r="R139" t="str">
        <f ca="1" t="shared" si="53"/>
        <v/>
      </c>
      <c r="AC139">
        <f>IFERROR(MATCH(SUM(G$5:G40)+Q$3,$AA$5:$AA$34,1),0)</f>
        <v>4</v>
      </c>
      <c r="AD139">
        <f>IFERROR(MATCH(SUM(H$5:H40)+R$3,$AA$5:$AA$34,1),0)</f>
        <v>1</v>
      </c>
      <c r="AE139">
        <f>IFERROR(MATCH(SUM(I$5:I40)+S$3,$AA$5:$AA$34,1),0)</f>
        <v>3</v>
      </c>
      <c r="AF139">
        <f>IFERROR(MATCH(SUM(J$5:J40)+T$3,$AA$5:$AA$34,1),0)</f>
        <v>2</v>
      </c>
      <c r="AG139">
        <f>IFERROR(MATCH(SUM(K$5:K40)+U$3,$AA$5:$AA$34,1),0)</f>
        <v>1</v>
      </c>
      <c r="AH139">
        <f>IFERROR(MATCH(SUM(L$5:L40)+V$3,$AA$5:$AA$34,1),0)</f>
        <v>1</v>
      </c>
      <c r="AI139">
        <f>IFERROR(MATCH(SUM(M$5:M40)+W$3,$AA$5:$AA$34,1),0)</f>
        <v>1</v>
      </c>
      <c r="AJ139">
        <f>IFERROR(MATCH(SUM(N$5:N40)+X$3,$AA$5:$AA$34,1),0)</f>
        <v>1</v>
      </c>
      <c r="AK139">
        <f>IFERROR(MATCH(SUM(O$5:O40)+Y$3,$AA$5:$AA$34,1),0)</f>
        <v>2</v>
      </c>
    </row>
    <row r="140" spans="2:37">
      <c r="B140">
        <v>360</v>
      </c>
      <c r="C140" t="str">
        <f ca="1" t="shared" si="44"/>
        <v/>
      </c>
      <c r="D140" t="str">
        <f ca="1" t="shared" si="45"/>
        <v/>
      </c>
      <c r="E140" t="str">
        <f ca="1" t="shared" si="46"/>
        <v/>
      </c>
      <c r="F140" t="str">
        <f ca="1" t="shared" si="47"/>
        <v/>
      </c>
      <c r="G140" t="str">
        <f ca="1" t="shared" si="48"/>
        <v/>
      </c>
      <c r="N140" t="str">
        <f ca="1" t="shared" si="49"/>
        <v/>
      </c>
      <c r="O140" t="str">
        <f ca="1" t="shared" si="50"/>
        <v/>
      </c>
      <c r="P140" t="str">
        <f ca="1" t="shared" si="51"/>
        <v/>
      </c>
      <c r="Q140" t="str">
        <f ca="1" t="shared" si="52"/>
        <v/>
      </c>
      <c r="R140" t="str">
        <f ca="1" t="shared" si="53"/>
        <v/>
      </c>
      <c r="AC140">
        <f>IFERROR(MATCH(SUM(G$5:G41)+Q$3,$AA$5:$AA$34,1),0)</f>
        <v>4</v>
      </c>
      <c r="AD140">
        <f>IFERROR(MATCH(SUM(H$5:H41)+R$3,$AA$5:$AA$34,1),0)</f>
        <v>1</v>
      </c>
      <c r="AE140">
        <f>IFERROR(MATCH(SUM(I$5:I41)+S$3,$AA$5:$AA$34,1),0)</f>
        <v>3</v>
      </c>
      <c r="AF140">
        <f>IFERROR(MATCH(SUM(J$5:J41)+T$3,$AA$5:$AA$34,1),0)</f>
        <v>2</v>
      </c>
      <c r="AG140">
        <f>IFERROR(MATCH(SUM(K$5:K41)+U$3,$AA$5:$AA$34,1),0)</f>
        <v>1</v>
      </c>
      <c r="AH140">
        <f>IFERROR(MATCH(SUM(L$5:L41)+V$3,$AA$5:$AA$34,1),0)</f>
        <v>1</v>
      </c>
      <c r="AI140">
        <f>IFERROR(MATCH(SUM(M$5:M41)+W$3,$AA$5:$AA$34,1),0)</f>
        <v>1</v>
      </c>
      <c r="AJ140">
        <f>IFERROR(MATCH(SUM(N$5:N41)+X$3,$AA$5:$AA$34,1),0)</f>
        <v>1</v>
      </c>
      <c r="AK140">
        <f>IFERROR(MATCH(SUM(O$5:O41)+Y$3,$AA$5:$AA$34,1),0)</f>
        <v>2</v>
      </c>
    </row>
    <row r="141" spans="2:37">
      <c r="B141">
        <v>370</v>
      </c>
      <c r="C141" t="str">
        <f ca="1" t="shared" si="44"/>
        <v/>
      </c>
      <c r="D141" t="str">
        <f ca="1" t="shared" si="45"/>
        <v/>
      </c>
      <c r="E141" t="str">
        <f ca="1" t="shared" si="46"/>
        <v/>
      </c>
      <c r="F141" t="str">
        <f ca="1" t="shared" si="47"/>
        <v/>
      </c>
      <c r="G141" t="str">
        <f ca="1" t="shared" si="48"/>
        <v/>
      </c>
      <c r="N141" t="str">
        <f ca="1" t="shared" si="49"/>
        <v/>
      </c>
      <c r="O141" t="str">
        <f ca="1" t="shared" si="50"/>
        <v/>
      </c>
      <c r="P141" t="str">
        <f ca="1" t="shared" si="51"/>
        <v/>
      </c>
      <c r="Q141" t="str">
        <f ca="1" t="shared" si="52"/>
        <v/>
      </c>
      <c r="R141" t="str">
        <f ca="1" t="shared" si="53"/>
        <v/>
      </c>
      <c r="AC141">
        <f>IFERROR(MATCH(SUM(G$5:G42)+Q$3,$AA$5:$AA$34,1),0)</f>
        <v>4</v>
      </c>
      <c r="AD141">
        <f>IFERROR(MATCH(SUM(H$5:H42)+R$3,$AA$5:$AA$34,1),0)</f>
        <v>1</v>
      </c>
      <c r="AE141">
        <f>IFERROR(MATCH(SUM(I$5:I42)+S$3,$AA$5:$AA$34,1),0)</f>
        <v>3</v>
      </c>
      <c r="AF141">
        <f>IFERROR(MATCH(SUM(J$5:J42)+T$3,$AA$5:$AA$34,1),0)</f>
        <v>2</v>
      </c>
      <c r="AG141">
        <f>IFERROR(MATCH(SUM(K$5:K42)+U$3,$AA$5:$AA$34,1),0)</f>
        <v>1</v>
      </c>
      <c r="AH141">
        <f>IFERROR(MATCH(SUM(L$5:L42)+V$3,$AA$5:$AA$34,1),0)</f>
        <v>1</v>
      </c>
      <c r="AI141">
        <f>IFERROR(MATCH(SUM(M$5:M42)+W$3,$AA$5:$AA$34,1),0)</f>
        <v>1</v>
      </c>
      <c r="AJ141">
        <f>IFERROR(MATCH(SUM(N$5:N42)+X$3,$AA$5:$AA$34,1),0)</f>
        <v>1</v>
      </c>
      <c r="AK141">
        <f>IFERROR(MATCH(SUM(O$5:O42)+Y$3,$AA$5:$AA$34,1),0)</f>
        <v>2</v>
      </c>
    </row>
    <row r="142" spans="2:37">
      <c r="B142">
        <v>380</v>
      </c>
      <c r="C142" t="str">
        <f ca="1" t="shared" si="44"/>
        <v/>
      </c>
      <c r="D142" t="str">
        <f ca="1" t="shared" si="45"/>
        <v/>
      </c>
      <c r="E142" t="str">
        <f ca="1" t="shared" si="46"/>
        <v/>
      </c>
      <c r="F142" t="str">
        <f ca="1" t="shared" si="47"/>
        <v/>
      </c>
      <c r="G142" t="str">
        <f ca="1" t="shared" si="48"/>
        <v/>
      </c>
      <c r="N142" t="str">
        <f ca="1" t="shared" si="49"/>
        <v/>
      </c>
      <c r="O142" t="str">
        <f ca="1" t="shared" si="50"/>
        <v/>
      </c>
      <c r="P142" t="str">
        <f ca="1" t="shared" si="51"/>
        <v/>
      </c>
      <c r="Q142" t="str">
        <f ca="1" t="shared" si="52"/>
        <v/>
      </c>
      <c r="R142" t="str">
        <f ca="1" t="shared" si="53"/>
        <v/>
      </c>
      <c r="AC142">
        <f>IFERROR(MATCH(SUM(G$5:G43)+Q$3,$AA$5:$AA$34,1),0)</f>
        <v>4</v>
      </c>
      <c r="AD142">
        <f>IFERROR(MATCH(SUM(H$5:H43)+R$3,$AA$5:$AA$34,1),0)</f>
        <v>1</v>
      </c>
      <c r="AE142">
        <f>IFERROR(MATCH(SUM(I$5:I43)+S$3,$AA$5:$AA$34,1),0)</f>
        <v>3</v>
      </c>
      <c r="AF142">
        <f>IFERROR(MATCH(SUM(J$5:J43)+T$3,$AA$5:$AA$34,1),0)</f>
        <v>2</v>
      </c>
      <c r="AG142">
        <f>IFERROR(MATCH(SUM(K$5:K43)+U$3,$AA$5:$AA$34,1),0)</f>
        <v>1</v>
      </c>
      <c r="AH142">
        <f>IFERROR(MATCH(SUM(L$5:L43)+V$3,$AA$5:$AA$34,1),0)</f>
        <v>1</v>
      </c>
      <c r="AI142">
        <f>IFERROR(MATCH(SUM(M$5:M43)+W$3,$AA$5:$AA$34,1),0)</f>
        <v>1</v>
      </c>
      <c r="AJ142">
        <f>IFERROR(MATCH(SUM(N$5:N43)+X$3,$AA$5:$AA$34,1),0)</f>
        <v>1</v>
      </c>
      <c r="AK142">
        <f>IFERROR(MATCH(SUM(O$5:O43)+Y$3,$AA$5:$AA$34,1),0)</f>
        <v>2</v>
      </c>
    </row>
    <row r="143" spans="2:37">
      <c r="B143">
        <v>390</v>
      </c>
      <c r="C143" t="str">
        <f ca="1" t="shared" si="44"/>
        <v/>
      </c>
      <c r="D143" t="str">
        <f ca="1" t="shared" si="45"/>
        <v/>
      </c>
      <c r="E143" t="str">
        <f ca="1" t="shared" si="46"/>
        <v/>
      </c>
      <c r="F143" t="str">
        <f ca="1" t="shared" si="47"/>
        <v/>
      </c>
      <c r="G143" t="str">
        <f ca="1" t="shared" si="48"/>
        <v/>
      </c>
      <c r="N143" t="str">
        <f ca="1" t="shared" si="49"/>
        <v/>
      </c>
      <c r="O143" t="str">
        <f ca="1" t="shared" si="50"/>
        <v/>
      </c>
      <c r="P143" t="str">
        <f ca="1" t="shared" si="51"/>
        <v/>
      </c>
      <c r="Q143" t="str">
        <f ca="1" t="shared" si="52"/>
        <v/>
      </c>
      <c r="R143" t="str">
        <f ca="1" t="shared" si="53"/>
        <v/>
      </c>
      <c r="AC143">
        <f>IFERROR(MATCH(SUM(G$5:G44)+Q$3,$AA$5:$AA$34,1),0)</f>
        <v>4</v>
      </c>
      <c r="AD143">
        <f>IFERROR(MATCH(SUM(H$5:H44)+R$3,$AA$5:$AA$34,1),0)</f>
        <v>1</v>
      </c>
      <c r="AE143">
        <f>IFERROR(MATCH(SUM(I$5:I44)+S$3,$AA$5:$AA$34,1),0)</f>
        <v>3</v>
      </c>
      <c r="AF143">
        <f>IFERROR(MATCH(SUM(J$5:J44)+T$3,$AA$5:$AA$34,1),0)</f>
        <v>2</v>
      </c>
      <c r="AG143">
        <f>IFERROR(MATCH(SUM(K$5:K44)+U$3,$AA$5:$AA$34,1),0)</f>
        <v>1</v>
      </c>
      <c r="AH143">
        <f>IFERROR(MATCH(SUM(L$5:L44)+V$3,$AA$5:$AA$34,1),0)</f>
        <v>1</v>
      </c>
      <c r="AI143">
        <f>IFERROR(MATCH(SUM(M$5:M44)+W$3,$AA$5:$AA$34,1),0)</f>
        <v>1</v>
      </c>
      <c r="AJ143">
        <f>IFERROR(MATCH(SUM(N$5:N44)+X$3,$AA$5:$AA$34,1),0)</f>
        <v>1</v>
      </c>
      <c r="AK143">
        <f>IFERROR(MATCH(SUM(O$5:O44)+Y$3,$AA$5:$AA$34,1),0)</f>
        <v>2</v>
      </c>
    </row>
    <row r="144" spans="2:37">
      <c r="B144">
        <v>400</v>
      </c>
      <c r="C144" t="str">
        <f ca="1" t="shared" si="44"/>
        <v/>
      </c>
      <c r="D144" t="str">
        <f ca="1" t="shared" si="45"/>
        <v/>
      </c>
      <c r="E144" t="str">
        <f ca="1" t="shared" si="46"/>
        <v/>
      </c>
      <c r="F144" t="str">
        <f ca="1" t="shared" si="47"/>
        <v/>
      </c>
      <c r="G144" t="str">
        <f ca="1" t="shared" si="48"/>
        <v/>
      </c>
      <c r="N144" t="str">
        <f ca="1" t="shared" si="49"/>
        <v/>
      </c>
      <c r="O144" t="str">
        <f ca="1" t="shared" si="50"/>
        <v/>
      </c>
      <c r="P144" t="str">
        <f ca="1" t="shared" si="51"/>
        <v/>
      </c>
      <c r="Q144" t="str">
        <f ca="1" t="shared" si="52"/>
        <v/>
      </c>
      <c r="R144" t="str">
        <f ca="1" t="shared" si="53"/>
        <v/>
      </c>
      <c r="AC144">
        <f>IFERROR(MATCH(SUM(G$5:G45)+Q$3,$AA$5:$AA$34,1),0)</f>
        <v>4</v>
      </c>
      <c r="AD144">
        <f>IFERROR(MATCH(SUM(H$5:H45)+R$3,$AA$5:$AA$34,1),0)</f>
        <v>1</v>
      </c>
      <c r="AE144">
        <f>IFERROR(MATCH(SUM(I$5:I45)+S$3,$AA$5:$AA$34,1),0)</f>
        <v>3</v>
      </c>
      <c r="AF144">
        <f>IFERROR(MATCH(SUM(J$5:J45)+T$3,$AA$5:$AA$34,1),0)</f>
        <v>2</v>
      </c>
      <c r="AG144">
        <f>IFERROR(MATCH(SUM(K$5:K45)+U$3,$AA$5:$AA$34,1),0)</f>
        <v>1</v>
      </c>
      <c r="AH144">
        <f>IFERROR(MATCH(SUM(L$5:L45)+V$3,$AA$5:$AA$34,1),0)</f>
        <v>1</v>
      </c>
      <c r="AI144">
        <f>IFERROR(MATCH(SUM(M$5:M45)+W$3,$AA$5:$AA$34,1),0)</f>
        <v>1</v>
      </c>
      <c r="AJ144">
        <f>IFERROR(MATCH(SUM(N$5:N45)+X$3,$AA$5:$AA$34,1),0)</f>
        <v>1</v>
      </c>
      <c r="AK144">
        <f>IFERROR(MATCH(SUM(O$5:O45)+Y$3,$AA$5:$AA$34,1),0)</f>
        <v>2</v>
      </c>
    </row>
    <row r="145" spans="2:37">
      <c r="B145">
        <v>410</v>
      </c>
      <c r="C145" t="str">
        <f ca="1" t="shared" si="44"/>
        <v/>
      </c>
      <c r="D145" t="str">
        <f ca="1" t="shared" si="45"/>
        <v/>
      </c>
      <c r="E145" t="str">
        <f ca="1" t="shared" si="46"/>
        <v/>
      </c>
      <c r="F145" t="str">
        <f ca="1" t="shared" si="47"/>
        <v/>
      </c>
      <c r="G145" t="str">
        <f ca="1" t="shared" si="48"/>
        <v/>
      </c>
      <c r="N145" t="str">
        <f ca="1" t="shared" si="49"/>
        <v/>
      </c>
      <c r="O145" t="str">
        <f ca="1" t="shared" si="50"/>
        <v/>
      </c>
      <c r="P145" t="str">
        <f ca="1" t="shared" si="51"/>
        <v/>
      </c>
      <c r="Q145" t="str">
        <f ca="1" t="shared" si="52"/>
        <v/>
      </c>
      <c r="R145" t="str">
        <f ca="1" t="shared" si="53"/>
        <v/>
      </c>
      <c r="AC145">
        <f>IFERROR(MATCH(SUM(G$5:G46)+Q$3,$AA$5:$AA$34,1),0)</f>
        <v>4</v>
      </c>
      <c r="AD145">
        <f>IFERROR(MATCH(SUM(H$5:H46)+R$3,$AA$5:$AA$34,1),0)</f>
        <v>1</v>
      </c>
      <c r="AE145">
        <f>IFERROR(MATCH(SUM(I$5:I46)+S$3,$AA$5:$AA$34,1),0)</f>
        <v>3</v>
      </c>
      <c r="AF145">
        <f>IFERROR(MATCH(SUM(J$5:J46)+T$3,$AA$5:$AA$34,1),0)</f>
        <v>2</v>
      </c>
      <c r="AG145">
        <f>IFERROR(MATCH(SUM(K$5:K46)+U$3,$AA$5:$AA$34,1),0)</f>
        <v>1</v>
      </c>
      <c r="AH145">
        <f>IFERROR(MATCH(SUM(L$5:L46)+V$3,$AA$5:$AA$34,1),0)</f>
        <v>1</v>
      </c>
      <c r="AI145">
        <f>IFERROR(MATCH(SUM(M$5:M46)+W$3,$AA$5:$AA$34,1),0)</f>
        <v>1</v>
      </c>
      <c r="AJ145">
        <f>IFERROR(MATCH(SUM(N$5:N46)+X$3,$AA$5:$AA$34,1),0)</f>
        <v>1</v>
      </c>
      <c r="AK145">
        <f>IFERROR(MATCH(SUM(O$5:O46)+Y$3,$AA$5:$AA$34,1),0)</f>
        <v>2</v>
      </c>
    </row>
    <row r="146" spans="2:37">
      <c r="B146">
        <v>420</v>
      </c>
      <c r="C146" t="str">
        <f ca="1" t="shared" si="44"/>
        <v/>
      </c>
      <c r="D146" t="str">
        <f ca="1" t="shared" si="45"/>
        <v/>
      </c>
      <c r="E146" t="str">
        <f ca="1" t="shared" si="46"/>
        <v/>
      </c>
      <c r="F146" t="str">
        <f ca="1" t="shared" si="47"/>
        <v/>
      </c>
      <c r="G146" t="str">
        <f ca="1" t="shared" si="48"/>
        <v/>
      </c>
      <c r="N146" t="str">
        <f ca="1" t="shared" si="49"/>
        <v/>
      </c>
      <c r="O146" t="str">
        <f ca="1" t="shared" si="50"/>
        <v/>
      </c>
      <c r="P146" t="str">
        <f ca="1" t="shared" si="51"/>
        <v/>
      </c>
      <c r="Q146" t="str">
        <f ca="1" t="shared" si="52"/>
        <v/>
      </c>
      <c r="R146" t="str">
        <f ca="1" t="shared" si="53"/>
        <v/>
      </c>
      <c r="AC146">
        <f>IFERROR(MATCH(SUM(G$5:G50)+Q$3,$AA$5:$AA$34,1),0)</f>
        <v>4</v>
      </c>
      <c r="AD146">
        <f>IFERROR(MATCH(SUM(H$5:H50)+R$3,$AA$5:$AA$34,1),0)</f>
        <v>1</v>
      </c>
      <c r="AE146">
        <f>IFERROR(MATCH(SUM(I$5:I50)+S$3,$AA$5:$AA$34,1),0)</f>
        <v>3</v>
      </c>
      <c r="AF146">
        <f>IFERROR(MATCH(SUM(J$5:J50)+T$3,$AA$5:$AA$34,1),0)</f>
        <v>2</v>
      </c>
      <c r="AG146">
        <f>IFERROR(MATCH(SUM(K$5:K50)+U$3,$AA$5:$AA$34,1),0)</f>
        <v>1</v>
      </c>
      <c r="AH146">
        <f>IFERROR(MATCH(SUM(L$5:L50)+V$3,$AA$5:$AA$34,1),0)</f>
        <v>1</v>
      </c>
      <c r="AI146">
        <f>IFERROR(MATCH(SUM(M$5:M50)+W$3,$AA$5:$AA$34,1),0)</f>
        <v>1</v>
      </c>
      <c r="AJ146">
        <f>IFERROR(MATCH(SUM(N$5:N50)+X$3,$AA$5:$AA$34,1),0)</f>
        <v>1</v>
      </c>
      <c r="AK146">
        <f>IFERROR(MATCH(SUM(O$5:O50)+Y$3,$AA$5:$AA$34,1),0)</f>
        <v>2</v>
      </c>
    </row>
    <row r="147" spans="2:37">
      <c r="B147">
        <v>430</v>
      </c>
      <c r="C147" t="str">
        <f ca="1" t="shared" si="44"/>
        <v/>
      </c>
      <c r="D147" t="str">
        <f ca="1" t="shared" si="45"/>
        <v/>
      </c>
      <c r="E147" t="str">
        <f ca="1" t="shared" si="46"/>
        <v/>
      </c>
      <c r="F147" t="str">
        <f ca="1" t="shared" si="47"/>
        <v/>
      </c>
      <c r="G147" t="str">
        <f ca="1" t="shared" si="48"/>
        <v/>
      </c>
      <c r="N147" t="str">
        <f ca="1" t="shared" si="49"/>
        <v/>
      </c>
      <c r="O147" t="str">
        <f ca="1" t="shared" si="50"/>
        <v/>
      </c>
      <c r="P147" t="str">
        <f ca="1" t="shared" si="51"/>
        <v/>
      </c>
      <c r="Q147" t="str">
        <f ca="1" t="shared" si="52"/>
        <v/>
      </c>
      <c r="R147" t="str">
        <f ca="1" t="shared" si="53"/>
        <v/>
      </c>
    </row>
    <row r="148" spans="2:37">
      <c r="B148">
        <v>440</v>
      </c>
      <c r="C148" t="str">
        <f ca="1" t="shared" si="44"/>
        <v/>
      </c>
      <c r="D148" t="str">
        <f ca="1" t="shared" si="45"/>
        <v/>
      </c>
      <c r="E148" t="str">
        <f ca="1" t="shared" si="46"/>
        <v/>
      </c>
      <c r="F148" t="str">
        <f ca="1" t="shared" si="47"/>
        <v/>
      </c>
      <c r="G148" t="str">
        <f ca="1" t="shared" si="48"/>
        <v/>
      </c>
      <c r="N148" t="str">
        <f ca="1" t="shared" si="49"/>
        <v/>
      </c>
      <c r="O148" t="str">
        <f ca="1" t="shared" si="50"/>
        <v/>
      </c>
      <c r="P148" t="str">
        <f ca="1" t="shared" si="51"/>
        <v/>
      </c>
      <c r="Q148" t="str">
        <f ca="1" t="shared" si="52"/>
        <v/>
      </c>
      <c r="R148" t="str">
        <f ca="1" t="shared" si="53"/>
        <v/>
      </c>
    </row>
    <row r="149" spans="2:37">
      <c r="N149" t="str">
        <f ca="1" t="shared" si="49"/>
        <v/>
      </c>
      <c r="O149" t="str">
        <f ca="1" t="shared" si="50"/>
        <v/>
      </c>
      <c r="P149" t="str">
        <f ca="1" t="shared" si="51"/>
        <v/>
      </c>
      <c r="Q149" t="str">
        <f ca="1" t="shared" si="52"/>
        <v/>
      </c>
      <c r="R149" t="str">
        <f ca="1" t="shared" si="53"/>
        <v/>
      </c>
    </row>
    <row r="150" spans="2:37">
      <c r="N150" t="str">
        <f ca="1" t="shared" si="49"/>
        <v/>
      </c>
      <c r="O150" t="str">
        <f ca="1" t="shared" si="50"/>
        <v/>
      </c>
      <c r="P150" t="str">
        <f ca="1" t="shared" si="51"/>
        <v/>
      </c>
      <c r="Q150" t="str">
        <f ca="1" t="shared" si="52"/>
        <v/>
      </c>
      <c r="R150" t="str">
        <f ca="1" t="shared" si="53"/>
        <v/>
      </c>
    </row>
    <row r="151" spans="2:37">
      <c r="C151" t="s">
        <v>365</v>
      </c>
      <c r="D151" t="s">
        <v>365</v>
      </c>
    </row>
    <row r="152" spans="2:37">
      <c r="I152" s="46">
        <v>51010003</v>
      </c>
      <c r="J152">
        <v>50010003</v>
      </c>
      <c r="K152">
        <v>50010003</v>
      </c>
      <c r="L152">
        <v>50010004</v>
      </c>
      <c r="M152" s="46">
        <v>51010001</v>
      </c>
      <c r="N152">
        <v>50010000</v>
      </c>
      <c r="O152">
        <v>50010003</v>
      </c>
      <c r="P152" s="46">
        <v>51010001</v>
      </c>
      <c r="Q152">
        <v>50010001</v>
      </c>
      <c r="R152" s="48">
        <v>51010004</v>
      </c>
      <c r="T152">
        <v>51010001</v>
      </c>
      <c r="U152">
        <v>51010003</v>
      </c>
      <c r="V152">
        <v>51010004</v>
      </c>
      <c r="W152">
        <v>51010001</v>
      </c>
    </row>
    <row r="153" spans="2:37">
      <c r="I153" s="46">
        <v>51010002</v>
      </c>
      <c r="J153">
        <v>50010003</v>
      </c>
      <c r="K153" s="46">
        <v>51010003</v>
      </c>
      <c r="L153">
        <v>50010003</v>
      </c>
      <c r="M153">
        <v>50010001</v>
      </c>
      <c r="N153" s="46">
        <v>51010001</v>
      </c>
      <c r="O153">
        <v>50010004</v>
      </c>
      <c r="P153">
        <v>50010003</v>
      </c>
      <c r="Q153">
        <v>50010001</v>
      </c>
      <c r="R153" s="46">
        <v>51010002</v>
      </c>
      <c r="T153">
        <v>51010001</v>
      </c>
      <c r="U153">
        <v>51010003</v>
      </c>
      <c r="V153">
        <v>51010004</v>
      </c>
      <c r="W153">
        <v>0</v>
      </c>
    </row>
    <row r="154" spans="2:37">
      <c r="C154" t="s">
        <v>366</v>
      </c>
      <c r="D154" t="s">
        <v>367</v>
      </c>
      <c r="E154" t="s">
        <v>368</v>
      </c>
      <c r="F154" t="s">
        <v>369</v>
      </c>
      <c r="I154" s="46">
        <v>51010001</v>
      </c>
      <c r="J154">
        <v>50010004</v>
      </c>
      <c r="K154">
        <v>50010003</v>
      </c>
      <c r="L154">
        <v>50010001</v>
      </c>
      <c r="M154" s="46">
        <v>51010003</v>
      </c>
      <c r="N154">
        <v>50010003</v>
      </c>
      <c r="O154" s="46">
        <v>51010001</v>
      </c>
      <c r="P154">
        <v>50010003</v>
      </c>
      <c r="Q154">
        <v>50010001</v>
      </c>
      <c r="R154" s="48">
        <v>51010004</v>
      </c>
      <c r="T154">
        <v>0</v>
      </c>
    </row>
    <row r="155" spans="2:37">
      <c r="I155">
        <v>0</v>
      </c>
      <c r="T155">
        <v>0</v>
      </c>
    </row>
    <row r="156" spans="2:37">
      <c r="I156">
        <v>51010005</v>
      </c>
      <c r="J156">
        <v>0</v>
      </c>
      <c r="T156">
        <v>51010005</v>
      </c>
      <c r="U156">
        <v>0</v>
      </c>
    </row>
    <row r="157" spans="2:37">
      <c r="I157">
        <v>0</v>
      </c>
      <c r="M157">
        <v>0</v>
      </c>
      <c r="T157">
        <v>0</v>
      </c>
    </row>
    <row r="158" spans="2:37">
      <c r="I158">
        <v>0</v>
      </c>
      <c r="T158">
        <v>0</v>
      </c>
    </row>
    <row r="159" spans="2:37">
      <c r="I159">
        <v>0</v>
      </c>
      <c r="T159">
        <v>0</v>
      </c>
    </row>
    <row r="160" spans="2:37">
      <c r="I160">
        <v>51010006</v>
      </c>
      <c r="J160">
        <v>0</v>
      </c>
      <c r="M160">
        <v>0</v>
      </c>
      <c r="T160">
        <v>51010006</v>
      </c>
      <c r="U160">
        <v>0</v>
      </c>
    </row>
    <row r="161" spans="2:21">
      <c r="B161" t="s">
        <v>370</v>
      </c>
      <c r="I161">
        <v>0</v>
      </c>
      <c r="T161">
        <v>0</v>
      </c>
    </row>
    <row r="162" spans="2:21">
      <c r="I162">
        <v>0</v>
      </c>
      <c r="T162">
        <v>0</v>
      </c>
    </row>
    <row r="163" spans="2:21">
      <c r="I163">
        <v>0</v>
      </c>
      <c r="T163">
        <v>0</v>
      </c>
    </row>
    <row r="164" spans="2:21">
      <c r="I164">
        <v>0</v>
      </c>
      <c r="T164">
        <v>0</v>
      </c>
    </row>
    <row r="165" spans="2:21">
      <c r="I165">
        <v>0</v>
      </c>
      <c r="T165">
        <v>0</v>
      </c>
    </row>
    <row r="166" spans="2:21">
      <c r="I166">
        <v>0</v>
      </c>
      <c r="T166">
        <v>0</v>
      </c>
    </row>
    <row r="167" spans="2:21">
      <c r="I167">
        <v>0</v>
      </c>
      <c r="T167">
        <v>0</v>
      </c>
    </row>
    <row r="168" spans="2:21">
      <c r="I168">
        <v>51010007</v>
      </c>
      <c r="J168">
        <v>0</v>
      </c>
      <c r="T168">
        <v>51010007</v>
      </c>
      <c r="U168">
        <v>0</v>
      </c>
    </row>
    <row r="169" spans="2:21">
      <c r="I169">
        <v>0</v>
      </c>
      <c r="T169">
        <v>0</v>
      </c>
    </row>
    <row r="170" spans="2:21">
      <c r="I170">
        <v>0</v>
      </c>
      <c r="T170">
        <v>0</v>
      </c>
    </row>
    <row r="171" spans="2:21">
      <c r="I171">
        <v>0</v>
      </c>
      <c r="T171">
        <v>0</v>
      </c>
    </row>
    <row r="172" spans="2:21">
      <c r="I172">
        <v>0</v>
      </c>
      <c r="T172">
        <v>0</v>
      </c>
    </row>
    <row r="173" spans="2:21">
      <c r="I173">
        <v>0</v>
      </c>
      <c r="T173">
        <v>0</v>
      </c>
    </row>
    <row r="174" spans="2:21">
      <c r="I174">
        <v>51010008</v>
      </c>
      <c r="J174">
        <v>0</v>
      </c>
      <c r="T174">
        <v>51010008</v>
      </c>
      <c r="U174">
        <v>0</v>
      </c>
    </row>
    <row r="175" spans="2:21">
      <c r="I175">
        <v>0</v>
      </c>
      <c r="T175">
        <v>0</v>
      </c>
    </row>
    <row r="176" spans="2:21">
      <c r="I176">
        <v>0</v>
      </c>
      <c r="T176">
        <v>0</v>
      </c>
    </row>
    <row r="177" spans="9:21">
      <c r="I177">
        <v>0</v>
      </c>
      <c r="T177">
        <v>0</v>
      </c>
    </row>
    <row r="178" spans="9:21">
      <c r="I178">
        <v>0</v>
      </c>
      <c r="T178">
        <v>0</v>
      </c>
    </row>
    <row r="179" spans="9:21">
      <c r="I179">
        <v>0</v>
      </c>
      <c r="T179">
        <v>0</v>
      </c>
    </row>
    <row r="180" spans="9:21">
      <c r="I180">
        <v>0</v>
      </c>
      <c r="T180">
        <v>0</v>
      </c>
    </row>
    <row r="181" spans="9:21">
      <c r="I181">
        <v>0</v>
      </c>
      <c r="T181">
        <v>0</v>
      </c>
    </row>
    <row r="182" spans="9:21">
      <c r="I182">
        <v>0</v>
      </c>
      <c r="T182">
        <v>0</v>
      </c>
    </row>
    <row r="183" spans="9:21">
      <c r="I183">
        <v>51010009</v>
      </c>
      <c r="J183">
        <v>51010009</v>
      </c>
      <c r="T183">
        <v>51010009</v>
      </c>
      <c r="U183">
        <v>51010009</v>
      </c>
    </row>
    <row r="184" spans="9:21">
      <c r="I184">
        <v>0</v>
      </c>
      <c r="T184">
        <v>0</v>
      </c>
    </row>
    <row r="185" spans="9:21">
      <c r="I185">
        <v>0</v>
      </c>
      <c r="T185">
        <v>0</v>
      </c>
    </row>
    <row r="186" spans="9:21">
      <c r="I186">
        <v>0</v>
      </c>
      <c r="T186">
        <v>0</v>
      </c>
    </row>
    <row r="187" spans="9:21">
      <c r="I187">
        <v>0</v>
      </c>
      <c r="T187">
        <v>0</v>
      </c>
    </row>
    <row r="188" spans="9:21">
      <c r="I188">
        <v>0</v>
      </c>
      <c r="T188">
        <v>0</v>
      </c>
    </row>
    <row r="189" spans="9:21">
      <c r="I189">
        <v>0</v>
      </c>
      <c r="T189">
        <v>0</v>
      </c>
    </row>
    <row r="190" spans="9:21">
      <c r="I190">
        <v>0</v>
      </c>
      <c r="T190">
        <v>0</v>
      </c>
    </row>
    <row r="191" spans="9:21">
      <c r="I191">
        <v>0</v>
      </c>
      <c r="T191">
        <v>0</v>
      </c>
    </row>
    <row r="192" spans="9:21">
      <c r="I192">
        <v>0</v>
      </c>
      <c r="T192">
        <v>0</v>
      </c>
    </row>
    <row r="193" spans="9:20">
      <c r="I193">
        <v>0</v>
      </c>
      <c r="T193">
        <v>0</v>
      </c>
    </row>
    <row r="194" spans="9:20">
      <c r="I194">
        <v>0</v>
      </c>
      <c r="T194">
        <v>0</v>
      </c>
    </row>
    <row r="195" spans="9:20">
      <c r="I195">
        <v>0</v>
      </c>
      <c r="T195">
        <v>0</v>
      </c>
    </row>
    <row r="196" spans="9:20">
      <c r="I196">
        <v>0</v>
      </c>
      <c r="T196">
        <v>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C1:AF133"/>
  <sheetViews>
    <sheetView workbookViewId="0">
      <selection activeCell="D145" sqref="D145"/>
    </sheetView>
  </sheetViews>
  <sheetFormatPr defaultColWidth="9.14285714285714" defaultRowHeight="12.75"/>
  <cols>
    <col min="2" max="2" width="12.8571428571429"/>
    <col min="5" max="5" width="17.1428571428571" customWidth="1"/>
    <col min="6" max="6" width="23" customWidth="1"/>
    <col min="7" max="7" width="30.4285714285714" customWidth="1"/>
    <col min="13" max="32" width="9.57142857142857"/>
  </cols>
  <sheetData>
    <row r="1" ht="16.5" spans="3:12">
      <c r="C1" s="2" t="s">
        <v>109</v>
      </c>
      <c r="D1" s="2" t="s">
        <v>303</v>
      </c>
    </row>
    <row r="2" ht="16.5" spans="3:12">
      <c r="C2" s="38" t="s">
        <v>125</v>
      </c>
      <c r="D2" s="39">
        <v>1</v>
      </c>
      <c r="E2" s="40">
        <v>1310100</v>
      </c>
    </row>
    <row r="3" ht="16.5" spans="3:12">
      <c r="C3" s="38" t="s">
        <v>126</v>
      </c>
      <c r="D3" s="39">
        <v>1</v>
      </c>
      <c r="E3" s="40">
        <v>1210400</v>
      </c>
    </row>
    <row r="4" ht="16.5" spans="3:12">
      <c r="C4" s="38" t="s">
        <v>127</v>
      </c>
      <c r="D4" s="39">
        <v>1</v>
      </c>
      <c r="E4" s="40">
        <v>1230100</v>
      </c>
      <c r="G4" t="s">
        <v>371</v>
      </c>
    </row>
    <row r="5" ht="16.5" spans="3:12">
      <c r="C5" s="38" t="s">
        <v>128</v>
      </c>
      <c r="D5" s="39">
        <v>1</v>
      </c>
      <c r="E5" s="41">
        <v>1420200</v>
      </c>
      <c r="J5" s="38"/>
    </row>
    <row r="6" ht="16.5" spans="3:12">
      <c r="C6" s="38" t="s">
        <v>129</v>
      </c>
      <c r="D6" s="39">
        <v>1</v>
      </c>
      <c r="E6" s="41">
        <v>1320100</v>
      </c>
      <c r="J6" s="38"/>
    </row>
    <row r="7" ht="16.5" spans="3:12">
      <c r="C7" s="38" t="s">
        <v>130</v>
      </c>
      <c r="D7" s="39">
        <v>1</v>
      </c>
      <c r="E7" s="41">
        <v>1210600</v>
      </c>
      <c r="J7" s="38"/>
    </row>
    <row r="8" ht="16.5" spans="3:12">
      <c r="C8" s="38" t="s">
        <v>131</v>
      </c>
      <c r="D8" s="39">
        <v>1</v>
      </c>
      <c r="E8" s="41">
        <v>1230400</v>
      </c>
      <c r="J8" s="38"/>
    </row>
    <row r="9" ht="16.5" spans="3:12">
      <c r="C9" s="38" t="s">
        <v>132</v>
      </c>
      <c r="D9" s="39">
        <v>1</v>
      </c>
      <c r="E9" s="41">
        <v>1310300</v>
      </c>
      <c r="J9" s="38"/>
    </row>
    <row r="10" ht="16.5" spans="3:12">
      <c r="C10" s="38" t="s">
        <v>133</v>
      </c>
      <c r="D10" s="39">
        <v>1</v>
      </c>
      <c r="E10" s="41">
        <v>1110100</v>
      </c>
      <c r="J10" s="38"/>
    </row>
    <row r="11" ht="16.5" spans="3:12">
      <c r="C11" s="42" t="s">
        <v>372</v>
      </c>
      <c r="D11" s="39">
        <v>3</v>
      </c>
      <c r="E11" s="43">
        <v>1130100</v>
      </c>
      <c r="J11" s="38"/>
    </row>
    <row r="12" ht="16.5" spans="3:12">
      <c r="C12" s="38" t="s">
        <v>373</v>
      </c>
      <c r="D12" s="39">
        <v>3.94475138121549</v>
      </c>
      <c r="E12" s="43">
        <v>1530100</v>
      </c>
      <c r="J12" s="38"/>
    </row>
    <row r="13" ht="16.5" spans="3:12">
      <c r="C13" s="38" t="s">
        <v>181</v>
      </c>
      <c r="D13" s="39">
        <v>4.95027624309394</v>
      </c>
      <c r="E13" s="43">
        <v>1210300</v>
      </c>
      <c r="J13" s="38"/>
    </row>
    <row r="14" ht="16.5" spans="3:12">
      <c r="C14" s="38" t="s">
        <v>189</v>
      </c>
      <c r="D14" s="39">
        <v>5.70441988950279</v>
      </c>
      <c r="E14" s="43">
        <v>1430700</v>
      </c>
      <c r="G14" t="s">
        <v>374</v>
      </c>
      <c r="H14" t="s">
        <v>372</v>
      </c>
      <c r="I14" t="s">
        <v>132</v>
      </c>
      <c r="J14" t="s">
        <v>133</v>
      </c>
      <c r="K14" t="s">
        <v>129</v>
      </c>
      <c r="L14" t="s">
        <v>131</v>
      </c>
    </row>
    <row r="15" ht="16.5" spans="3:12">
      <c r="C15" s="38" t="s">
        <v>186</v>
      </c>
      <c r="D15" s="39">
        <v>13</v>
      </c>
      <c r="E15" s="43">
        <v>1140100</v>
      </c>
      <c r="G15" t="s">
        <v>375</v>
      </c>
      <c r="H15" t="s">
        <v>130</v>
      </c>
      <c r="I15" t="s">
        <v>373</v>
      </c>
      <c r="J15" t="s">
        <v>133</v>
      </c>
      <c r="K15" t="s">
        <v>129</v>
      </c>
      <c r="L15" t="s">
        <v>131</v>
      </c>
    </row>
    <row r="16" ht="16.5" spans="3:12">
      <c r="C16" s="38" t="s">
        <v>192</v>
      </c>
      <c r="D16" s="39">
        <v>16</v>
      </c>
      <c r="E16" s="43">
        <v>1140200</v>
      </c>
      <c r="G16" t="s">
        <v>376</v>
      </c>
      <c r="H16" t="s">
        <v>130</v>
      </c>
      <c r="I16" t="s">
        <v>132</v>
      </c>
      <c r="J16" t="s">
        <v>181</v>
      </c>
      <c r="K16" t="s">
        <v>129</v>
      </c>
      <c r="L16" t="s">
        <v>131</v>
      </c>
    </row>
    <row r="17" ht="16.5" spans="3:12">
      <c r="C17" s="38" t="s">
        <v>377</v>
      </c>
      <c r="D17" s="39">
        <v>20</v>
      </c>
      <c r="E17" s="44">
        <v>1420300</v>
      </c>
      <c r="G17" t="s">
        <v>378</v>
      </c>
      <c r="H17" t="s">
        <v>372</v>
      </c>
      <c r="I17" t="s">
        <v>373</v>
      </c>
      <c r="J17" t="s">
        <v>133</v>
      </c>
      <c r="K17" t="s">
        <v>129</v>
      </c>
      <c r="L17" t="s">
        <v>131</v>
      </c>
    </row>
    <row r="18" ht="16.5" spans="3:12">
      <c r="C18" s="38" t="s">
        <v>198</v>
      </c>
      <c r="D18" s="39">
        <v>27</v>
      </c>
      <c r="E18" s="44">
        <v>1530200</v>
      </c>
      <c r="G18" t="s">
        <v>379</v>
      </c>
      <c r="H18" t="s">
        <v>130</v>
      </c>
      <c r="I18" t="s">
        <v>373</v>
      </c>
      <c r="J18" t="s">
        <v>181</v>
      </c>
      <c r="K18" t="s">
        <v>129</v>
      </c>
      <c r="L18" t="s">
        <v>131</v>
      </c>
    </row>
    <row r="19" ht="16.5" spans="3:12">
      <c r="C19" s="38" t="s">
        <v>204</v>
      </c>
      <c r="D19" s="39">
        <v>34</v>
      </c>
      <c r="E19" s="44">
        <v>1410200</v>
      </c>
      <c r="G19" t="s">
        <v>380</v>
      </c>
      <c r="H19" t="s">
        <v>372</v>
      </c>
      <c r="I19" t="s">
        <v>132</v>
      </c>
      <c r="J19" t="s">
        <v>181</v>
      </c>
      <c r="K19" t="s">
        <v>129</v>
      </c>
      <c r="L19" t="s">
        <v>131</v>
      </c>
    </row>
    <row r="20" ht="16.5" spans="3:12">
      <c r="C20" s="38" t="s">
        <v>381</v>
      </c>
      <c r="D20" s="39">
        <v>54.0469613259671</v>
      </c>
      <c r="E20" s="44">
        <v>1550200</v>
      </c>
      <c r="G20" t="s">
        <v>382</v>
      </c>
      <c r="H20" t="s">
        <v>372</v>
      </c>
      <c r="I20" t="s">
        <v>373</v>
      </c>
      <c r="J20" t="s">
        <v>181</v>
      </c>
      <c r="K20" t="s">
        <v>129</v>
      </c>
      <c r="L20" t="s">
        <v>131</v>
      </c>
    </row>
    <row r="21" ht="16.5" spans="3:12">
      <c r="C21" s="38" t="s">
        <v>383</v>
      </c>
      <c r="D21" s="39">
        <v>73.3839779005528</v>
      </c>
      <c r="E21" s="44">
        <v>1540100</v>
      </c>
      <c r="G21" t="s">
        <v>384</v>
      </c>
      <c r="H21" t="s">
        <v>372</v>
      </c>
      <c r="I21" t="s">
        <v>373</v>
      </c>
      <c r="J21" t="s">
        <v>181</v>
      </c>
      <c r="K21" t="s">
        <v>189</v>
      </c>
      <c r="L21" t="s">
        <v>131</v>
      </c>
    </row>
    <row r="22" spans="3:12">
      <c r="G22" t="s">
        <v>385</v>
      </c>
      <c r="H22" t="s">
        <v>372</v>
      </c>
      <c r="I22" t="s">
        <v>181</v>
      </c>
      <c r="J22" t="s">
        <v>189</v>
      </c>
      <c r="K22" t="s">
        <v>192</v>
      </c>
      <c r="L22" t="s">
        <v>186</v>
      </c>
    </row>
    <row r="23" spans="3:12">
      <c r="G23" t="s">
        <v>386</v>
      </c>
      <c r="H23" t="s">
        <v>373</v>
      </c>
      <c r="I23" t="s">
        <v>181</v>
      </c>
      <c r="J23" t="s">
        <v>189</v>
      </c>
      <c r="K23" t="s">
        <v>192</v>
      </c>
      <c r="L23" t="s">
        <v>186</v>
      </c>
    </row>
    <row r="24" spans="3:12">
      <c r="G24" t="s">
        <v>387</v>
      </c>
      <c r="H24" t="s">
        <v>372</v>
      </c>
      <c r="I24" t="s">
        <v>181</v>
      </c>
      <c r="J24" t="s">
        <v>189</v>
      </c>
      <c r="K24" t="s">
        <v>131</v>
      </c>
      <c r="L24" t="s">
        <v>186</v>
      </c>
    </row>
    <row r="25" spans="3:12">
      <c r="G25" t="s">
        <v>388</v>
      </c>
      <c r="H25" t="s">
        <v>373</v>
      </c>
      <c r="I25" t="s">
        <v>181</v>
      </c>
      <c r="J25" t="s">
        <v>189</v>
      </c>
      <c r="K25" t="s">
        <v>131</v>
      </c>
      <c r="L25" t="s">
        <v>186</v>
      </c>
    </row>
    <row r="26" spans="3:12">
      <c r="G26" t="s">
        <v>389</v>
      </c>
      <c r="H26" t="s">
        <v>372</v>
      </c>
      <c r="I26" t="s">
        <v>181</v>
      </c>
      <c r="J26" t="s">
        <v>189</v>
      </c>
      <c r="K26" t="s">
        <v>192</v>
      </c>
      <c r="L26" t="s">
        <v>131</v>
      </c>
    </row>
    <row r="27" spans="3:12">
      <c r="G27" t="s">
        <v>390</v>
      </c>
      <c r="H27" t="s">
        <v>373</v>
      </c>
      <c r="I27" t="s">
        <v>181</v>
      </c>
      <c r="J27" t="s">
        <v>189</v>
      </c>
      <c r="K27" t="s">
        <v>192</v>
      </c>
      <c r="L27" t="s">
        <v>131</v>
      </c>
    </row>
    <row r="28" spans="3:12">
      <c r="G28" t="s">
        <v>391</v>
      </c>
      <c r="H28" t="s">
        <v>372</v>
      </c>
      <c r="I28" t="s">
        <v>181</v>
      </c>
      <c r="J28" t="s">
        <v>189</v>
      </c>
      <c r="K28" t="s">
        <v>192</v>
      </c>
      <c r="L28" t="s">
        <v>186</v>
      </c>
    </row>
    <row r="29" spans="3:12">
      <c r="G29" t="s">
        <v>392</v>
      </c>
      <c r="H29" t="s">
        <v>373</v>
      </c>
      <c r="I29" t="s">
        <v>181</v>
      </c>
      <c r="J29" t="s">
        <v>189</v>
      </c>
      <c r="K29" t="s">
        <v>192</v>
      </c>
      <c r="L29" t="s">
        <v>186</v>
      </c>
    </row>
    <row r="30" spans="3:12">
      <c r="G30" t="s">
        <v>393</v>
      </c>
      <c r="H30" t="s">
        <v>372</v>
      </c>
      <c r="I30" t="s">
        <v>181</v>
      </c>
      <c r="J30" t="s">
        <v>189</v>
      </c>
      <c r="K30" t="s">
        <v>131</v>
      </c>
      <c r="L30" t="s">
        <v>186</v>
      </c>
    </row>
    <row r="31" spans="3:12">
      <c r="G31" t="s">
        <v>394</v>
      </c>
      <c r="H31" t="s">
        <v>373</v>
      </c>
      <c r="I31" t="s">
        <v>181</v>
      </c>
      <c r="J31" t="s">
        <v>189</v>
      </c>
      <c r="K31" t="s">
        <v>131</v>
      </c>
      <c r="L31" t="s">
        <v>186</v>
      </c>
    </row>
    <row r="32" spans="3:12">
      <c r="G32" t="s">
        <v>395</v>
      </c>
      <c r="H32" t="s">
        <v>372</v>
      </c>
      <c r="I32" t="s">
        <v>181</v>
      </c>
      <c r="J32" t="s">
        <v>189</v>
      </c>
      <c r="K32" t="s">
        <v>192</v>
      </c>
      <c r="L32" t="s">
        <v>131</v>
      </c>
    </row>
    <row r="33" ht="12.95" customHeight="1" spans="7:12">
      <c r="G33" t="s">
        <v>396</v>
      </c>
      <c r="H33" t="s">
        <v>373</v>
      </c>
      <c r="I33" t="s">
        <v>181</v>
      </c>
      <c r="J33" t="s">
        <v>189</v>
      </c>
      <c r="K33" t="s">
        <v>192</v>
      </c>
      <c r="L33" t="s">
        <v>131</v>
      </c>
    </row>
    <row r="34" spans="7:12">
      <c r="G34" t="s">
        <v>397</v>
      </c>
      <c r="H34" t="s">
        <v>377</v>
      </c>
      <c r="I34" t="s">
        <v>181</v>
      </c>
      <c r="J34" t="s">
        <v>189</v>
      </c>
      <c r="K34" t="s">
        <v>192</v>
      </c>
      <c r="L34" t="s">
        <v>186</v>
      </c>
    </row>
    <row r="35" spans="7:12">
      <c r="G35" t="s">
        <v>398</v>
      </c>
      <c r="H35" t="s">
        <v>198</v>
      </c>
      <c r="I35" t="s">
        <v>181</v>
      </c>
      <c r="J35" t="s">
        <v>189</v>
      </c>
      <c r="K35" t="s">
        <v>192</v>
      </c>
      <c r="L35" t="s">
        <v>186</v>
      </c>
    </row>
    <row r="36" spans="7:12">
      <c r="G36" t="s">
        <v>399</v>
      </c>
      <c r="H36" t="s">
        <v>204</v>
      </c>
      <c r="I36" t="s">
        <v>181</v>
      </c>
      <c r="J36" t="s">
        <v>189</v>
      </c>
      <c r="K36" t="s">
        <v>192</v>
      </c>
      <c r="L36" t="s">
        <v>186</v>
      </c>
    </row>
    <row r="37" spans="7:12">
      <c r="G37" t="s">
        <v>400</v>
      </c>
      <c r="H37" t="s">
        <v>377</v>
      </c>
      <c r="I37" t="s">
        <v>198</v>
      </c>
      <c r="J37" t="s">
        <v>181</v>
      </c>
      <c r="K37" t="s">
        <v>192</v>
      </c>
      <c r="L37" t="s">
        <v>186</v>
      </c>
    </row>
    <row r="38" spans="7:12">
      <c r="G38" t="s">
        <v>401</v>
      </c>
      <c r="H38" t="s">
        <v>204</v>
      </c>
      <c r="I38" t="s">
        <v>198</v>
      </c>
      <c r="J38" t="s">
        <v>181</v>
      </c>
      <c r="K38" t="s">
        <v>192</v>
      </c>
      <c r="L38" t="s">
        <v>186</v>
      </c>
    </row>
    <row r="39" spans="7:12">
      <c r="G39" t="s">
        <v>402</v>
      </c>
      <c r="H39" t="s">
        <v>204</v>
      </c>
      <c r="I39" t="s">
        <v>377</v>
      </c>
      <c r="J39" t="s">
        <v>181</v>
      </c>
      <c r="K39" t="s">
        <v>192</v>
      </c>
      <c r="L39" t="s">
        <v>186</v>
      </c>
    </row>
    <row r="40" spans="7:12">
      <c r="G40" t="s">
        <v>403</v>
      </c>
      <c r="H40" t="s">
        <v>204</v>
      </c>
      <c r="I40" t="s">
        <v>377</v>
      </c>
      <c r="J40" t="s">
        <v>198</v>
      </c>
      <c r="K40" t="s">
        <v>181</v>
      </c>
      <c r="L40" t="s">
        <v>186</v>
      </c>
    </row>
    <row r="41" spans="7:12">
      <c r="G41" t="s">
        <v>404</v>
      </c>
      <c r="H41" t="s">
        <v>204</v>
      </c>
      <c r="I41" t="s">
        <v>377</v>
      </c>
      <c r="J41" t="s">
        <v>198</v>
      </c>
      <c r="K41" t="s">
        <v>181</v>
      </c>
      <c r="L41" t="s">
        <v>192</v>
      </c>
    </row>
    <row r="51" spans="6:32">
      <c r="M51">
        <v>1</v>
      </c>
      <c r="N51">
        <v>2</v>
      </c>
      <c r="O51">
        <v>3</v>
      </c>
      <c r="P51">
        <v>4</v>
      </c>
      <c r="Q51">
        <v>5</v>
      </c>
      <c r="R51">
        <v>6</v>
      </c>
      <c r="S51">
        <v>7</v>
      </c>
      <c r="T51">
        <v>8</v>
      </c>
      <c r="U51">
        <v>9</v>
      </c>
      <c r="V51">
        <v>10</v>
      </c>
      <c r="W51">
        <v>11</v>
      </c>
      <c r="X51">
        <v>12</v>
      </c>
      <c r="Y51">
        <v>13</v>
      </c>
      <c r="Z51">
        <v>14</v>
      </c>
      <c r="AA51">
        <v>15</v>
      </c>
      <c r="AB51">
        <v>16</v>
      </c>
      <c r="AC51">
        <v>17</v>
      </c>
      <c r="AD51">
        <v>18</v>
      </c>
      <c r="AE51">
        <v>19</v>
      </c>
      <c r="AF51">
        <v>20</v>
      </c>
    </row>
    <row r="52" ht="16.5" spans="6:32">
      <c r="M52" s="40">
        <v>1310100</v>
      </c>
      <c r="N52" s="40">
        <v>1210400</v>
      </c>
      <c r="O52" s="40">
        <v>1230100</v>
      </c>
      <c r="P52" s="41">
        <v>1420200</v>
      </c>
      <c r="Q52" s="41">
        <v>1320100</v>
      </c>
      <c r="R52" s="41">
        <v>1210600</v>
      </c>
      <c r="S52" s="41">
        <v>1230400</v>
      </c>
      <c r="T52" s="41">
        <v>1310300</v>
      </c>
      <c r="U52" s="41">
        <v>1110100</v>
      </c>
      <c r="V52" s="43">
        <v>1130100</v>
      </c>
      <c r="W52" s="43">
        <v>1530100</v>
      </c>
      <c r="X52" s="43">
        <v>1210300</v>
      </c>
      <c r="Y52" s="43">
        <v>1430700</v>
      </c>
      <c r="Z52" s="43">
        <v>1140100</v>
      </c>
      <c r="AA52" s="43">
        <v>1140200</v>
      </c>
      <c r="AB52" s="44">
        <v>1420300</v>
      </c>
      <c r="AC52" s="44">
        <v>1530200</v>
      </c>
      <c r="AD52" s="44">
        <v>1410200</v>
      </c>
      <c r="AE52" s="44">
        <v>1550200</v>
      </c>
      <c r="AF52" s="44">
        <v>1540100</v>
      </c>
    </row>
    <row r="53" spans="6:32">
      <c r="F53" t="s">
        <v>374</v>
      </c>
      <c r="G53">
        <v>10</v>
      </c>
      <c r="H53">
        <f>VLOOKUP(H14,$C$2:$E$21,3,0)</f>
        <v>1130100</v>
      </c>
      <c r="I53">
        <f>VLOOKUP(I14,$C$2:$E$21,3,0)</f>
        <v>1310300</v>
      </c>
      <c r="J53">
        <f>VLOOKUP(J14,$C$2:$E$21,3,0)</f>
        <v>1110100</v>
      </c>
      <c r="K53">
        <f>VLOOKUP(K14,$C$2:$E$21,3,0)</f>
        <v>1320100</v>
      </c>
      <c r="L53">
        <f>VLOOKUP(L14,$C$2:$E$21,3,0)</f>
        <v>1230400</v>
      </c>
      <c r="M53">
        <f t="shared" ref="M53:U53" si="0">IF(IFERROR(MATCH(M$52,$H53:$L53,0)&lt;0,TRUE()),M$52,"")</f>
        <v>1310100</v>
      </c>
      <c r="N53">
        <f t="shared" si="0"/>
        <v>1210400</v>
      </c>
      <c r="O53">
        <f t="shared" si="0"/>
        <v>1230100</v>
      </c>
      <c r="P53">
        <f t="shared" si="0"/>
        <v>1420200</v>
      </c>
      <c r="Q53" t="str">
        <f t="shared" si="0"/>
        <v/>
      </c>
      <c r="R53">
        <f t="shared" si="0"/>
        <v>1210600</v>
      </c>
      <c r="S53" t="str">
        <f t="shared" si="0"/>
        <v/>
      </c>
      <c r="T53" t="str">
        <f t="shared" si="0"/>
        <v/>
      </c>
      <c r="U53" t="str">
        <f t="shared" si="0"/>
        <v/>
      </c>
      <c r="V53" t="str">
        <f t="shared" ref="V53:AF53" si="1">IF(IFERROR(MATCH(V$52,$H53:$L53,0)&lt;0,TRUE()),V$52,"")</f>
        <v/>
      </c>
      <c r="W53">
        <f t="shared" si="1"/>
        <v>1530100</v>
      </c>
      <c r="X53">
        <f t="shared" si="1"/>
        <v>1210300</v>
      </c>
      <c r="Y53">
        <f t="shared" si="1"/>
        <v>1430700</v>
      </c>
      <c r="Z53">
        <f t="shared" si="1"/>
        <v>1140100</v>
      </c>
      <c r="AA53">
        <f t="shared" si="1"/>
        <v>1140200</v>
      </c>
      <c r="AB53">
        <f t="shared" si="1"/>
        <v>1420300</v>
      </c>
      <c r="AC53">
        <f t="shared" si="1"/>
        <v>1530200</v>
      </c>
      <c r="AD53">
        <f t="shared" si="1"/>
        <v>1410200</v>
      </c>
      <c r="AE53">
        <f t="shared" si="1"/>
        <v>1550200</v>
      </c>
      <c r="AF53">
        <f t="shared" si="1"/>
        <v>1540100</v>
      </c>
    </row>
    <row r="54" spans="6:32">
      <c r="F54" t="s">
        <v>375</v>
      </c>
      <c r="G54">
        <v>10</v>
      </c>
      <c r="H54">
        <f t="shared" ref="H54:H66" si="2">VLOOKUP(H15,$C$2:$E$21,3,0)</f>
        <v>1210600</v>
      </c>
      <c r="I54">
        <f t="shared" ref="I54:I66" si="3">VLOOKUP(I15,$C$2:$E$21,3,0)</f>
        <v>1530100</v>
      </c>
      <c r="J54">
        <f t="shared" ref="J54:J66" si="4">VLOOKUP(J15,$C$2:$E$21,3,0)</f>
        <v>1110100</v>
      </c>
      <c r="K54">
        <f t="shared" ref="K54:K66" si="5">VLOOKUP(K15,$C$2:$E$21,3,0)</f>
        <v>1320100</v>
      </c>
      <c r="L54">
        <f t="shared" ref="L54:L66" si="6">VLOOKUP(L15,$C$2:$E$21,3,0)</f>
        <v>1230400</v>
      </c>
      <c r="M54">
        <f t="shared" ref="M54:M66" si="7">IF(IFERROR(MATCH(M$52,$H54:$L54,0)&lt;0,TRUE()),M$52,"")</f>
        <v>1310100</v>
      </c>
      <c r="N54">
        <f t="shared" ref="N54:N66" si="8">IF(IFERROR(MATCH(N$52,$H54:$L54,0)&lt;0,TRUE()),N$52,"")</f>
        <v>1210400</v>
      </c>
      <c r="O54">
        <f t="shared" ref="O54:O66" si="9">IF(IFERROR(MATCH(O$52,$H54:$L54,0)&lt;0,TRUE()),O$52,"")</f>
        <v>1230100</v>
      </c>
      <c r="P54">
        <f t="shared" ref="P54:P66" si="10">IF(IFERROR(MATCH(P$52,$H54:$L54,0)&lt;0,TRUE()),P$52,"")</f>
        <v>1420200</v>
      </c>
      <c r="Q54" t="str">
        <f t="shared" ref="Q54:Q66" si="11">IF(IFERROR(MATCH(Q$52,$H54:$L54,0)&lt;0,TRUE()),Q$52,"")</f>
        <v/>
      </c>
      <c r="R54" t="str">
        <f t="shared" ref="R54:R66" si="12">IF(IFERROR(MATCH(R$52,$H54:$L54,0)&lt;0,TRUE()),R$52,"")</f>
        <v/>
      </c>
      <c r="S54" t="str">
        <f t="shared" ref="S54:S66" si="13">IF(IFERROR(MATCH(S$52,$H54:$L54,0)&lt;0,TRUE()),S$52,"")</f>
        <v/>
      </c>
      <c r="T54">
        <f t="shared" ref="T54:T66" si="14">IF(IFERROR(MATCH(T$52,$H54:$L54,0)&lt;0,TRUE()),T$52,"")</f>
        <v>1310300</v>
      </c>
      <c r="U54" t="str">
        <f t="shared" ref="U54:U66" si="15">IF(IFERROR(MATCH(U$52,$H54:$L54,0)&lt;0,TRUE()),U$52,"")</f>
        <v/>
      </c>
      <c r="V54">
        <f t="shared" ref="V54:V66" si="16">IF(IFERROR(MATCH(V$52,$H54:$L54,0)&lt;0,TRUE()),V$52,"")</f>
        <v>1130100</v>
      </c>
      <c r="W54" t="str">
        <f t="shared" ref="W54:W66" si="17">IF(IFERROR(MATCH(W$52,$H54:$L54,0)&lt;0,TRUE()),W$52,"")</f>
        <v/>
      </c>
      <c r="X54">
        <f t="shared" ref="X54:X66" si="18">IF(IFERROR(MATCH(X$52,$H54:$L54,0)&lt;0,TRUE()),X$52,"")</f>
        <v>1210300</v>
      </c>
      <c r="Y54">
        <f t="shared" ref="Y54:Y66" si="19">IF(IFERROR(MATCH(Y$52,$H54:$L54,0)&lt;0,TRUE()),Y$52,"")</f>
        <v>1430700</v>
      </c>
      <c r="Z54">
        <f t="shared" ref="Z54:Z66" si="20">IF(IFERROR(MATCH(Z$52,$H54:$L54,0)&lt;0,TRUE()),Z$52,"")</f>
        <v>1140100</v>
      </c>
      <c r="AA54">
        <f t="shared" ref="AA54:AA66" si="21">IF(IFERROR(MATCH(AA$52,$H54:$L54,0)&lt;0,TRUE()),AA$52,"")</f>
        <v>1140200</v>
      </c>
      <c r="AB54">
        <f t="shared" ref="AB54:AB66" si="22">IF(IFERROR(MATCH(AB$52,$H54:$L54,0)&lt;0,TRUE()),AB$52,"")</f>
        <v>1420300</v>
      </c>
      <c r="AC54">
        <f t="shared" ref="AC54:AC66" si="23">IF(IFERROR(MATCH(AC$52,$H54:$L54,0)&lt;0,TRUE()),AC$52,"")</f>
        <v>1530200</v>
      </c>
      <c r="AD54">
        <f t="shared" ref="AD54:AD66" si="24">IF(IFERROR(MATCH(AD$52,$H54:$L54,0)&lt;0,TRUE()),AD$52,"")</f>
        <v>1410200</v>
      </c>
      <c r="AE54">
        <f t="shared" ref="AE54:AE66" si="25">IF(IFERROR(MATCH(AE$52,$H54:$L54,0)&lt;0,TRUE()),AE$52,"")</f>
        <v>1550200</v>
      </c>
      <c r="AF54">
        <f t="shared" ref="AF54:AF66" si="26">IF(IFERROR(MATCH(AF$52,$H54:$L54,0)&lt;0,TRUE()),AF$52,"")</f>
        <v>1540100</v>
      </c>
    </row>
    <row r="55" spans="6:32">
      <c r="F55" t="s">
        <v>376</v>
      </c>
      <c r="G55">
        <v>10</v>
      </c>
      <c r="H55">
        <f t="shared" si="2"/>
        <v>1210600</v>
      </c>
      <c r="I55">
        <f t="shared" si="3"/>
        <v>1310300</v>
      </c>
      <c r="J55">
        <f t="shared" si="4"/>
        <v>1210300</v>
      </c>
      <c r="K55">
        <f t="shared" si="5"/>
        <v>1320100</v>
      </c>
      <c r="L55">
        <f t="shared" si="6"/>
        <v>1230400</v>
      </c>
      <c r="M55">
        <f t="shared" si="7"/>
        <v>1310100</v>
      </c>
      <c r="N55">
        <f t="shared" si="8"/>
        <v>1210400</v>
      </c>
      <c r="O55">
        <f t="shared" si="9"/>
        <v>1230100</v>
      </c>
      <c r="P55">
        <f t="shared" si="10"/>
        <v>1420200</v>
      </c>
      <c r="Q55" t="str">
        <f t="shared" si="11"/>
        <v/>
      </c>
      <c r="R55" t="str">
        <f t="shared" si="12"/>
        <v/>
      </c>
      <c r="S55" t="str">
        <f t="shared" si="13"/>
        <v/>
      </c>
      <c r="T55" t="str">
        <f t="shared" si="14"/>
        <v/>
      </c>
      <c r="U55">
        <f t="shared" si="15"/>
        <v>1110100</v>
      </c>
      <c r="V55">
        <f t="shared" si="16"/>
        <v>1130100</v>
      </c>
      <c r="W55">
        <f t="shared" si="17"/>
        <v>1530100</v>
      </c>
      <c r="X55" t="str">
        <f t="shared" si="18"/>
        <v/>
      </c>
      <c r="Y55">
        <f t="shared" si="19"/>
        <v>1430700</v>
      </c>
      <c r="Z55">
        <f t="shared" si="20"/>
        <v>1140100</v>
      </c>
      <c r="AA55">
        <f t="shared" si="21"/>
        <v>1140200</v>
      </c>
      <c r="AB55">
        <f t="shared" si="22"/>
        <v>1420300</v>
      </c>
      <c r="AC55">
        <f t="shared" si="23"/>
        <v>1530200</v>
      </c>
      <c r="AD55">
        <f t="shared" si="24"/>
        <v>1410200</v>
      </c>
      <c r="AE55">
        <f t="shared" si="25"/>
        <v>1550200</v>
      </c>
      <c r="AF55">
        <f t="shared" si="26"/>
        <v>1540100</v>
      </c>
    </row>
    <row r="56" spans="6:32">
      <c r="F56" t="s">
        <v>378</v>
      </c>
      <c r="G56">
        <v>11</v>
      </c>
      <c r="H56">
        <f t="shared" si="2"/>
        <v>1130100</v>
      </c>
      <c r="I56">
        <f t="shared" si="3"/>
        <v>1530100</v>
      </c>
      <c r="J56">
        <f t="shared" si="4"/>
        <v>1110100</v>
      </c>
      <c r="K56">
        <f t="shared" si="5"/>
        <v>1320100</v>
      </c>
      <c r="L56">
        <f t="shared" si="6"/>
        <v>1230400</v>
      </c>
      <c r="M56">
        <f t="shared" si="7"/>
        <v>1310100</v>
      </c>
      <c r="N56">
        <f t="shared" si="8"/>
        <v>1210400</v>
      </c>
      <c r="O56">
        <f t="shared" si="9"/>
        <v>1230100</v>
      </c>
      <c r="P56">
        <f t="shared" si="10"/>
        <v>1420200</v>
      </c>
      <c r="Q56" t="str">
        <f t="shared" si="11"/>
        <v/>
      </c>
      <c r="R56">
        <f t="shared" si="12"/>
        <v>1210600</v>
      </c>
      <c r="S56" t="str">
        <f t="shared" si="13"/>
        <v/>
      </c>
      <c r="T56">
        <f t="shared" si="14"/>
        <v>1310300</v>
      </c>
      <c r="U56" t="str">
        <f t="shared" si="15"/>
        <v/>
      </c>
      <c r="V56" t="str">
        <f t="shared" si="16"/>
        <v/>
      </c>
      <c r="W56" t="str">
        <f t="shared" si="17"/>
        <v/>
      </c>
      <c r="X56">
        <f t="shared" si="18"/>
        <v>1210300</v>
      </c>
      <c r="Y56">
        <f t="shared" si="19"/>
        <v>1430700</v>
      </c>
      <c r="Z56">
        <f t="shared" si="20"/>
        <v>1140100</v>
      </c>
      <c r="AA56">
        <f t="shared" si="21"/>
        <v>1140200</v>
      </c>
      <c r="AB56">
        <f t="shared" si="22"/>
        <v>1420300</v>
      </c>
      <c r="AC56">
        <f t="shared" si="23"/>
        <v>1530200</v>
      </c>
      <c r="AD56">
        <f t="shared" si="24"/>
        <v>1410200</v>
      </c>
      <c r="AE56">
        <f t="shared" si="25"/>
        <v>1550200</v>
      </c>
      <c r="AF56">
        <f t="shared" si="26"/>
        <v>1540100</v>
      </c>
    </row>
    <row r="57" spans="6:32">
      <c r="F57" t="s">
        <v>379</v>
      </c>
      <c r="G57">
        <v>11</v>
      </c>
      <c r="H57">
        <f t="shared" si="2"/>
        <v>1210600</v>
      </c>
      <c r="I57">
        <f t="shared" si="3"/>
        <v>1530100</v>
      </c>
      <c r="J57">
        <f t="shared" si="4"/>
        <v>1210300</v>
      </c>
      <c r="K57">
        <f t="shared" si="5"/>
        <v>1320100</v>
      </c>
      <c r="L57">
        <f t="shared" si="6"/>
        <v>1230400</v>
      </c>
      <c r="M57">
        <f t="shared" si="7"/>
        <v>1310100</v>
      </c>
      <c r="N57">
        <f t="shared" si="8"/>
        <v>1210400</v>
      </c>
      <c r="O57">
        <f t="shared" si="9"/>
        <v>1230100</v>
      </c>
      <c r="P57">
        <f t="shared" si="10"/>
        <v>1420200</v>
      </c>
      <c r="Q57" t="str">
        <f t="shared" si="11"/>
        <v/>
      </c>
      <c r="R57" t="str">
        <f t="shared" si="12"/>
        <v/>
      </c>
      <c r="S57" t="str">
        <f t="shared" si="13"/>
        <v/>
      </c>
      <c r="T57">
        <f t="shared" si="14"/>
        <v>1310300</v>
      </c>
      <c r="U57">
        <f t="shared" si="15"/>
        <v>1110100</v>
      </c>
      <c r="V57">
        <f t="shared" si="16"/>
        <v>1130100</v>
      </c>
      <c r="W57" t="str">
        <f t="shared" si="17"/>
        <v/>
      </c>
      <c r="X57" t="str">
        <f t="shared" si="18"/>
        <v/>
      </c>
      <c r="Y57">
        <f t="shared" si="19"/>
        <v>1430700</v>
      </c>
      <c r="Z57">
        <f t="shared" si="20"/>
        <v>1140100</v>
      </c>
      <c r="AA57">
        <f t="shared" si="21"/>
        <v>1140200</v>
      </c>
      <c r="AB57">
        <f t="shared" si="22"/>
        <v>1420300</v>
      </c>
      <c r="AC57">
        <f t="shared" si="23"/>
        <v>1530200</v>
      </c>
      <c r="AD57">
        <f t="shared" si="24"/>
        <v>1410200</v>
      </c>
      <c r="AE57">
        <f t="shared" si="25"/>
        <v>1550200</v>
      </c>
      <c r="AF57">
        <f t="shared" si="26"/>
        <v>1540100</v>
      </c>
    </row>
    <row r="58" spans="6:32">
      <c r="F58" t="s">
        <v>380</v>
      </c>
      <c r="G58">
        <v>11</v>
      </c>
      <c r="H58">
        <f t="shared" si="2"/>
        <v>1130100</v>
      </c>
      <c r="I58">
        <f t="shared" si="3"/>
        <v>1310300</v>
      </c>
      <c r="J58">
        <f t="shared" si="4"/>
        <v>1210300</v>
      </c>
      <c r="K58">
        <f t="shared" si="5"/>
        <v>1320100</v>
      </c>
      <c r="L58">
        <f t="shared" si="6"/>
        <v>1230400</v>
      </c>
      <c r="M58">
        <f t="shared" si="7"/>
        <v>1310100</v>
      </c>
      <c r="N58">
        <f t="shared" si="8"/>
        <v>1210400</v>
      </c>
      <c r="O58">
        <f t="shared" si="9"/>
        <v>1230100</v>
      </c>
      <c r="P58">
        <f t="shared" si="10"/>
        <v>1420200</v>
      </c>
      <c r="Q58" t="str">
        <f t="shared" si="11"/>
        <v/>
      </c>
      <c r="R58">
        <f t="shared" si="12"/>
        <v>1210600</v>
      </c>
      <c r="S58" t="str">
        <f t="shared" si="13"/>
        <v/>
      </c>
      <c r="T58" t="str">
        <f t="shared" si="14"/>
        <v/>
      </c>
      <c r="U58">
        <f t="shared" si="15"/>
        <v>1110100</v>
      </c>
      <c r="V58" t="str">
        <f t="shared" si="16"/>
        <v/>
      </c>
      <c r="W58">
        <f t="shared" si="17"/>
        <v>1530100</v>
      </c>
      <c r="X58" t="str">
        <f t="shared" si="18"/>
        <v/>
      </c>
      <c r="Y58">
        <f t="shared" si="19"/>
        <v>1430700</v>
      </c>
      <c r="Z58">
        <f t="shared" si="20"/>
        <v>1140100</v>
      </c>
      <c r="AA58">
        <f t="shared" si="21"/>
        <v>1140200</v>
      </c>
      <c r="AB58">
        <f t="shared" si="22"/>
        <v>1420300</v>
      </c>
      <c r="AC58">
        <f t="shared" si="23"/>
        <v>1530200</v>
      </c>
      <c r="AD58">
        <f t="shared" si="24"/>
        <v>1410200</v>
      </c>
      <c r="AE58">
        <f t="shared" si="25"/>
        <v>1550200</v>
      </c>
      <c r="AF58">
        <f t="shared" si="26"/>
        <v>1540100</v>
      </c>
    </row>
    <row r="59" spans="6:32">
      <c r="F59" t="s">
        <v>382</v>
      </c>
      <c r="G59">
        <v>12</v>
      </c>
      <c r="H59">
        <f t="shared" si="2"/>
        <v>1130100</v>
      </c>
      <c r="I59">
        <f t="shared" si="3"/>
        <v>1530100</v>
      </c>
      <c r="J59">
        <f t="shared" si="4"/>
        <v>1210300</v>
      </c>
      <c r="K59">
        <f t="shared" si="5"/>
        <v>1320100</v>
      </c>
      <c r="L59">
        <f t="shared" si="6"/>
        <v>1230400</v>
      </c>
      <c r="M59">
        <f t="shared" si="7"/>
        <v>1310100</v>
      </c>
      <c r="N59">
        <f t="shared" si="8"/>
        <v>1210400</v>
      </c>
      <c r="O59">
        <f t="shared" si="9"/>
        <v>1230100</v>
      </c>
      <c r="P59">
        <f t="shared" si="10"/>
        <v>1420200</v>
      </c>
      <c r="Q59" t="str">
        <f t="shared" si="11"/>
        <v/>
      </c>
      <c r="R59">
        <f t="shared" si="12"/>
        <v>1210600</v>
      </c>
      <c r="S59" t="str">
        <f t="shared" si="13"/>
        <v/>
      </c>
      <c r="T59">
        <f t="shared" si="14"/>
        <v>1310300</v>
      </c>
      <c r="U59">
        <f t="shared" si="15"/>
        <v>1110100</v>
      </c>
      <c r="V59" t="str">
        <f t="shared" si="16"/>
        <v/>
      </c>
      <c r="W59" t="str">
        <f t="shared" si="17"/>
        <v/>
      </c>
      <c r="X59" t="str">
        <f t="shared" si="18"/>
        <v/>
      </c>
      <c r="Y59">
        <f t="shared" si="19"/>
        <v>1430700</v>
      </c>
      <c r="Z59">
        <f t="shared" si="20"/>
        <v>1140100</v>
      </c>
      <c r="AA59">
        <f t="shared" si="21"/>
        <v>1140200</v>
      </c>
      <c r="AB59">
        <f t="shared" si="22"/>
        <v>1420300</v>
      </c>
      <c r="AC59">
        <f t="shared" si="23"/>
        <v>1530200</v>
      </c>
      <c r="AD59">
        <f t="shared" si="24"/>
        <v>1410200</v>
      </c>
      <c r="AE59">
        <f t="shared" si="25"/>
        <v>1550200</v>
      </c>
      <c r="AF59">
        <f t="shared" si="26"/>
        <v>1540100</v>
      </c>
    </row>
    <row r="60" spans="6:32">
      <c r="F60" t="s">
        <v>384</v>
      </c>
      <c r="G60">
        <v>13</v>
      </c>
      <c r="H60">
        <f t="shared" si="2"/>
        <v>1130100</v>
      </c>
      <c r="I60">
        <f t="shared" si="3"/>
        <v>1530100</v>
      </c>
      <c r="J60">
        <f t="shared" si="4"/>
        <v>1210300</v>
      </c>
      <c r="K60">
        <f t="shared" si="5"/>
        <v>1430700</v>
      </c>
      <c r="L60">
        <f t="shared" si="6"/>
        <v>1230400</v>
      </c>
      <c r="M60">
        <f t="shared" si="7"/>
        <v>1310100</v>
      </c>
      <c r="N60">
        <f t="shared" si="8"/>
        <v>1210400</v>
      </c>
      <c r="O60">
        <f t="shared" si="9"/>
        <v>1230100</v>
      </c>
      <c r="P60">
        <f t="shared" si="10"/>
        <v>1420200</v>
      </c>
      <c r="Q60">
        <f t="shared" si="11"/>
        <v>1320100</v>
      </c>
      <c r="R60">
        <f t="shared" si="12"/>
        <v>1210600</v>
      </c>
      <c r="S60" t="str">
        <f t="shared" si="13"/>
        <v/>
      </c>
      <c r="T60">
        <f t="shared" si="14"/>
        <v>1310300</v>
      </c>
      <c r="U60">
        <f t="shared" si="15"/>
        <v>1110100</v>
      </c>
      <c r="V60" t="str">
        <f t="shared" si="16"/>
        <v/>
      </c>
      <c r="W60" t="str">
        <f t="shared" si="17"/>
        <v/>
      </c>
      <c r="X60" t="str">
        <f t="shared" si="18"/>
        <v/>
      </c>
      <c r="Y60" t="str">
        <f t="shared" si="19"/>
        <v/>
      </c>
      <c r="Z60">
        <f t="shared" si="20"/>
        <v>1140100</v>
      </c>
      <c r="AA60">
        <f t="shared" si="21"/>
        <v>1140200</v>
      </c>
      <c r="AB60">
        <f t="shared" si="22"/>
        <v>1420300</v>
      </c>
      <c r="AC60">
        <f t="shared" si="23"/>
        <v>1530200</v>
      </c>
      <c r="AD60">
        <f t="shared" si="24"/>
        <v>1410200</v>
      </c>
      <c r="AE60">
        <f t="shared" si="25"/>
        <v>1550200</v>
      </c>
      <c r="AF60">
        <f t="shared" si="26"/>
        <v>1540100</v>
      </c>
    </row>
    <row r="61" spans="6:32">
      <c r="F61" t="s">
        <v>385</v>
      </c>
      <c r="G61">
        <v>14</v>
      </c>
      <c r="H61">
        <f t="shared" si="2"/>
        <v>1130100</v>
      </c>
      <c r="I61">
        <f t="shared" si="3"/>
        <v>1210300</v>
      </c>
      <c r="J61">
        <f t="shared" si="4"/>
        <v>1430700</v>
      </c>
      <c r="K61">
        <f t="shared" si="5"/>
        <v>1140200</v>
      </c>
      <c r="L61">
        <f t="shared" si="6"/>
        <v>1140100</v>
      </c>
      <c r="M61">
        <f t="shared" si="7"/>
        <v>1310100</v>
      </c>
      <c r="N61">
        <f t="shared" si="8"/>
        <v>1210400</v>
      </c>
      <c r="O61">
        <f t="shared" si="9"/>
        <v>1230100</v>
      </c>
      <c r="P61">
        <f t="shared" si="10"/>
        <v>1420200</v>
      </c>
      <c r="Q61">
        <f t="shared" si="11"/>
        <v>1320100</v>
      </c>
      <c r="R61">
        <f t="shared" si="12"/>
        <v>1210600</v>
      </c>
      <c r="S61">
        <f t="shared" si="13"/>
        <v>1230400</v>
      </c>
      <c r="T61">
        <f t="shared" si="14"/>
        <v>1310300</v>
      </c>
      <c r="U61">
        <f t="shared" si="15"/>
        <v>1110100</v>
      </c>
      <c r="V61" t="str">
        <f t="shared" si="16"/>
        <v/>
      </c>
      <c r="W61">
        <f t="shared" si="17"/>
        <v>1530100</v>
      </c>
      <c r="X61" t="str">
        <f t="shared" si="18"/>
        <v/>
      </c>
      <c r="Y61" t="str">
        <f t="shared" si="19"/>
        <v/>
      </c>
      <c r="Z61" t="str">
        <f t="shared" si="20"/>
        <v/>
      </c>
      <c r="AA61" t="str">
        <f t="shared" si="21"/>
        <v/>
      </c>
      <c r="AB61">
        <f t="shared" si="22"/>
        <v>1420300</v>
      </c>
      <c r="AC61">
        <f t="shared" si="23"/>
        <v>1530200</v>
      </c>
      <c r="AD61">
        <f t="shared" si="24"/>
        <v>1410200</v>
      </c>
      <c r="AE61">
        <f t="shared" si="25"/>
        <v>1550200</v>
      </c>
      <c r="AF61">
        <f t="shared" si="26"/>
        <v>1540100</v>
      </c>
    </row>
    <row r="62" spans="6:32">
      <c r="F62" t="s">
        <v>386</v>
      </c>
      <c r="G62">
        <v>14</v>
      </c>
      <c r="H62">
        <f t="shared" si="2"/>
        <v>1530100</v>
      </c>
      <c r="I62">
        <f t="shared" si="3"/>
        <v>1210300</v>
      </c>
      <c r="J62">
        <f t="shared" si="4"/>
        <v>1430700</v>
      </c>
      <c r="K62">
        <f t="shared" si="5"/>
        <v>1140200</v>
      </c>
      <c r="L62">
        <f t="shared" si="6"/>
        <v>1140100</v>
      </c>
      <c r="M62">
        <f t="shared" si="7"/>
        <v>1310100</v>
      </c>
      <c r="N62">
        <f t="shared" si="8"/>
        <v>1210400</v>
      </c>
      <c r="O62">
        <f t="shared" si="9"/>
        <v>1230100</v>
      </c>
      <c r="P62">
        <f t="shared" si="10"/>
        <v>1420200</v>
      </c>
      <c r="Q62">
        <f t="shared" si="11"/>
        <v>1320100</v>
      </c>
      <c r="R62">
        <f t="shared" si="12"/>
        <v>1210600</v>
      </c>
      <c r="S62">
        <f t="shared" si="13"/>
        <v>1230400</v>
      </c>
      <c r="T62">
        <f t="shared" si="14"/>
        <v>1310300</v>
      </c>
      <c r="U62">
        <f t="shared" si="15"/>
        <v>1110100</v>
      </c>
      <c r="V62">
        <f t="shared" si="16"/>
        <v>1130100</v>
      </c>
      <c r="W62" t="str">
        <f t="shared" si="17"/>
        <v/>
      </c>
      <c r="X62" t="str">
        <f t="shared" si="18"/>
        <v/>
      </c>
      <c r="Y62" t="str">
        <f t="shared" si="19"/>
        <v/>
      </c>
      <c r="Z62" t="str">
        <f t="shared" si="20"/>
        <v/>
      </c>
      <c r="AA62" t="str">
        <f t="shared" si="21"/>
        <v/>
      </c>
      <c r="AB62">
        <f t="shared" si="22"/>
        <v>1420300</v>
      </c>
      <c r="AC62">
        <f t="shared" si="23"/>
        <v>1530200</v>
      </c>
      <c r="AD62">
        <f t="shared" si="24"/>
        <v>1410200</v>
      </c>
      <c r="AE62">
        <f t="shared" si="25"/>
        <v>1550200</v>
      </c>
      <c r="AF62">
        <f t="shared" si="26"/>
        <v>1540100</v>
      </c>
    </row>
    <row r="63" spans="6:32">
      <c r="F63" t="s">
        <v>387</v>
      </c>
      <c r="G63">
        <v>14</v>
      </c>
      <c r="H63">
        <f t="shared" si="2"/>
        <v>1130100</v>
      </c>
      <c r="I63">
        <f t="shared" si="3"/>
        <v>1210300</v>
      </c>
      <c r="J63">
        <f t="shared" si="4"/>
        <v>1430700</v>
      </c>
      <c r="K63">
        <f t="shared" si="5"/>
        <v>1230400</v>
      </c>
      <c r="L63">
        <f t="shared" si="6"/>
        <v>1140100</v>
      </c>
      <c r="M63">
        <f t="shared" si="7"/>
        <v>1310100</v>
      </c>
      <c r="N63">
        <f t="shared" si="8"/>
        <v>1210400</v>
      </c>
      <c r="O63">
        <f t="shared" si="9"/>
        <v>1230100</v>
      </c>
      <c r="P63">
        <f t="shared" si="10"/>
        <v>1420200</v>
      </c>
      <c r="Q63">
        <f t="shared" si="11"/>
        <v>1320100</v>
      </c>
      <c r="R63">
        <f t="shared" si="12"/>
        <v>1210600</v>
      </c>
      <c r="S63" t="str">
        <f t="shared" si="13"/>
        <v/>
      </c>
      <c r="T63">
        <f t="shared" si="14"/>
        <v>1310300</v>
      </c>
      <c r="U63">
        <f t="shared" si="15"/>
        <v>1110100</v>
      </c>
      <c r="V63" t="str">
        <f t="shared" si="16"/>
        <v/>
      </c>
      <c r="W63">
        <f t="shared" si="17"/>
        <v>1530100</v>
      </c>
      <c r="X63" t="str">
        <f t="shared" si="18"/>
        <v/>
      </c>
      <c r="Y63" t="str">
        <f t="shared" si="19"/>
        <v/>
      </c>
      <c r="Z63" t="str">
        <f t="shared" si="20"/>
        <v/>
      </c>
      <c r="AA63">
        <f t="shared" si="21"/>
        <v>1140200</v>
      </c>
      <c r="AB63">
        <f t="shared" si="22"/>
        <v>1420300</v>
      </c>
      <c r="AC63">
        <f t="shared" si="23"/>
        <v>1530200</v>
      </c>
      <c r="AD63">
        <f t="shared" si="24"/>
        <v>1410200</v>
      </c>
      <c r="AE63">
        <f t="shared" si="25"/>
        <v>1550200</v>
      </c>
      <c r="AF63">
        <f t="shared" si="26"/>
        <v>1540100</v>
      </c>
    </row>
    <row r="64" spans="6:32">
      <c r="F64" t="s">
        <v>388</v>
      </c>
      <c r="G64">
        <v>14</v>
      </c>
      <c r="H64">
        <f t="shared" si="2"/>
        <v>1530100</v>
      </c>
      <c r="I64">
        <f t="shared" si="3"/>
        <v>1210300</v>
      </c>
      <c r="J64">
        <f t="shared" si="4"/>
        <v>1430700</v>
      </c>
      <c r="K64">
        <f t="shared" si="5"/>
        <v>1230400</v>
      </c>
      <c r="L64">
        <f t="shared" si="6"/>
        <v>1140100</v>
      </c>
      <c r="M64">
        <f t="shared" si="7"/>
        <v>1310100</v>
      </c>
      <c r="N64">
        <f t="shared" si="8"/>
        <v>1210400</v>
      </c>
      <c r="O64">
        <f t="shared" si="9"/>
        <v>1230100</v>
      </c>
      <c r="P64">
        <f t="shared" si="10"/>
        <v>1420200</v>
      </c>
      <c r="Q64">
        <f t="shared" si="11"/>
        <v>1320100</v>
      </c>
      <c r="R64">
        <f t="shared" si="12"/>
        <v>1210600</v>
      </c>
      <c r="S64" t="str">
        <f t="shared" si="13"/>
        <v/>
      </c>
      <c r="T64">
        <f t="shared" si="14"/>
        <v>1310300</v>
      </c>
      <c r="U64">
        <f t="shared" si="15"/>
        <v>1110100</v>
      </c>
      <c r="V64">
        <f t="shared" si="16"/>
        <v>1130100</v>
      </c>
      <c r="W64" t="str">
        <f t="shared" si="17"/>
        <v/>
      </c>
      <c r="X64" t="str">
        <f t="shared" si="18"/>
        <v/>
      </c>
      <c r="Y64" t="str">
        <f t="shared" si="19"/>
        <v/>
      </c>
      <c r="Z64" t="str">
        <f t="shared" si="20"/>
        <v/>
      </c>
      <c r="AA64">
        <f t="shared" si="21"/>
        <v>1140200</v>
      </c>
      <c r="AB64">
        <f t="shared" si="22"/>
        <v>1420300</v>
      </c>
      <c r="AC64">
        <f t="shared" si="23"/>
        <v>1530200</v>
      </c>
      <c r="AD64">
        <f t="shared" si="24"/>
        <v>1410200</v>
      </c>
      <c r="AE64">
        <f t="shared" si="25"/>
        <v>1550200</v>
      </c>
      <c r="AF64">
        <f t="shared" si="26"/>
        <v>1540100</v>
      </c>
    </row>
    <row r="65" spans="6:32">
      <c r="F65" t="s">
        <v>389</v>
      </c>
      <c r="G65">
        <v>14</v>
      </c>
      <c r="H65">
        <f t="shared" si="2"/>
        <v>1130100</v>
      </c>
      <c r="I65">
        <f t="shared" si="3"/>
        <v>1210300</v>
      </c>
      <c r="J65">
        <f t="shared" si="4"/>
        <v>1430700</v>
      </c>
      <c r="K65">
        <f t="shared" si="5"/>
        <v>1140200</v>
      </c>
      <c r="L65">
        <f t="shared" si="6"/>
        <v>1230400</v>
      </c>
      <c r="M65">
        <f t="shared" si="7"/>
        <v>1310100</v>
      </c>
      <c r="N65">
        <f t="shared" si="8"/>
        <v>1210400</v>
      </c>
      <c r="O65">
        <f t="shared" si="9"/>
        <v>1230100</v>
      </c>
      <c r="P65">
        <f t="shared" si="10"/>
        <v>1420200</v>
      </c>
      <c r="Q65">
        <f t="shared" si="11"/>
        <v>1320100</v>
      </c>
      <c r="R65">
        <f t="shared" si="12"/>
        <v>1210600</v>
      </c>
      <c r="S65" t="str">
        <f t="shared" si="13"/>
        <v/>
      </c>
      <c r="T65">
        <f t="shared" si="14"/>
        <v>1310300</v>
      </c>
      <c r="U65">
        <f t="shared" si="15"/>
        <v>1110100</v>
      </c>
      <c r="V65" t="str">
        <f t="shared" si="16"/>
        <v/>
      </c>
      <c r="W65">
        <f t="shared" si="17"/>
        <v>1530100</v>
      </c>
      <c r="X65" t="str">
        <f t="shared" si="18"/>
        <v/>
      </c>
      <c r="Y65" t="str">
        <f t="shared" si="19"/>
        <v/>
      </c>
      <c r="Z65">
        <f t="shared" si="20"/>
        <v>1140100</v>
      </c>
      <c r="AA65" t="str">
        <f t="shared" si="21"/>
        <v/>
      </c>
      <c r="AB65">
        <f t="shared" si="22"/>
        <v>1420300</v>
      </c>
      <c r="AC65">
        <f t="shared" si="23"/>
        <v>1530200</v>
      </c>
      <c r="AD65">
        <f t="shared" si="24"/>
        <v>1410200</v>
      </c>
      <c r="AE65">
        <f t="shared" si="25"/>
        <v>1550200</v>
      </c>
      <c r="AF65">
        <f t="shared" si="26"/>
        <v>1540100</v>
      </c>
    </row>
    <row r="66" spans="6:32">
      <c r="F66" t="s">
        <v>390</v>
      </c>
      <c r="G66">
        <v>14</v>
      </c>
      <c r="H66">
        <f t="shared" si="2"/>
        <v>1530100</v>
      </c>
      <c r="I66">
        <f t="shared" si="3"/>
        <v>1210300</v>
      </c>
      <c r="J66">
        <f t="shared" si="4"/>
        <v>1430700</v>
      </c>
      <c r="K66">
        <f t="shared" si="5"/>
        <v>1140200</v>
      </c>
      <c r="L66">
        <f t="shared" si="6"/>
        <v>1230400</v>
      </c>
      <c r="M66">
        <f t="shared" si="7"/>
        <v>1310100</v>
      </c>
      <c r="N66">
        <f t="shared" si="8"/>
        <v>1210400</v>
      </c>
      <c r="O66">
        <f t="shared" si="9"/>
        <v>1230100</v>
      </c>
      <c r="P66">
        <f t="shared" si="10"/>
        <v>1420200</v>
      </c>
      <c r="Q66">
        <f t="shared" si="11"/>
        <v>1320100</v>
      </c>
      <c r="R66">
        <f t="shared" si="12"/>
        <v>1210600</v>
      </c>
      <c r="S66" t="str">
        <f t="shared" si="13"/>
        <v/>
      </c>
      <c r="T66">
        <f t="shared" si="14"/>
        <v>1310300</v>
      </c>
      <c r="U66">
        <f t="shared" si="15"/>
        <v>1110100</v>
      </c>
      <c r="V66">
        <f t="shared" si="16"/>
        <v>1130100</v>
      </c>
      <c r="W66" t="str">
        <f t="shared" si="17"/>
        <v/>
      </c>
      <c r="X66" t="str">
        <f t="shared" si="18"/>
        <v/>
      </c>
      <c r="Y66" t="str">
        <f t="shared" si="19"/>
        <v/>
      </c>
      <c r="Z66">
        <f t="shared" si="20"/>
        <v>1140100</v>
      </c>
      <c r="AA66" t="str">
        <f t="shared" si="21"/>
        <v/>
      </c>
      <c r="AB66">
        <f t="shared" si="22"/>
        <v>1420300</v>
      </c>
      <c r="AC66">
        <f t="shared" si="23"/>
        <v>1530200</v>
      </c>
      <c r="AD66">
        <f t="shared" si="24"/>
        <v>1410200</v>
      </c>
      <c r="AE66">
        <f t="shared" si="25"/>
        <v>1550200</v>
      </c>
      <c r="AF66">
        <f t="shared" si="26"/>
        <v>1540100</v>
      </c>
    </row>
    <row r="67" spans="6:32">
      <c r="F67" t="s">
        <v>391</v>
      </c>
      <c r="G67">
        <v>15</v>
      </c>
      <c r="H67">
        <f t="shared" ref="H67:H80" si="27">VLOOKUP(H28,$C$2:$E$21,3,0)</f>
        <v>1130100</v>
      </c>
      <c r="I67">
        <f t="shared" ref="I67:I80" si="28">VLOOKUP(I28,$C$2:$E$21,3,0)</f>
        <v>1210300</v>
      </c>
      <c r="J67">
        <f t="shared" ref="J67:J80" si="29">VLOOKUP(J28,$C$2:$E$21,3,0)</f>
        <v>1430700</v>
      </c>
      <c r="K67">
        <f t="shared" ref="K67:K80" si="30">VLOOKUP(K28,$C$2:$E$21,3,0)</f>
        <v>1140200</v>
      </c>
      <c r="L67">
        <f t="shared" ref="L67:L80" si="31">VLOOKUP(L28,$C$2:$E$21,3,0)</f>
        <v>1140100</v>
      </c>
      <c r="M67">
        <f t="shared" ref="M67:M80" si="32">IF(IFERROR(MATCH(M$52,$H67:$L67,0)&lt;0,TRUE()),M$52,"")</f>
        <v>1310100</v>
      </c>
      <c r="N67">
        <f t="shared" ref="N67:N80" si="33">IF(IFERROR(MATCH(N$52,$H67:$L67,0)&lt;0,TRUE()),N$52,"")</f>
        <v>1210400</v>
      </c>
      <c r="O67">
        <f t="shared" ref="O67:O80" si="34">IF(IFERROR(MATCH(O$52,$H67:$L67,0)&lt;0,TRUE()),O$52,"")</f>
        <v>1230100</v>
      </c>
      <c r="P67">
        <f t="shared" ref="P67:P80" si="35">IF(IFERROR(MATCH(P$52,$H67:$L67,0)&lt;0,TRUE()),P$52,"")</f>
        <v>1420200</v>
      </c>
      <c r="Q67">
        <f t="shared" ref="Q67:Q80" si="36">IF(IFERROR(MATCH(Q$52,$H67:$L67,0)&lt;0,TRUE()),Q$52,"")</f>
        <v>1320100</v>
      </c>
      <c r="R67">
        <f t="shared" ref="R67:R80" si="37">IF(IFERROR(MATCH(R$52,$H67:$L67,0)&lt;0,TRUE()),R$52,"")</f>
        <v>1210600</v>
      </c>
      <c r="S67">
        <f t="shared" ref="S67:S80" si="38">IF(IFERROR(MATCH(S$52,$H67:$L67,0)&lt;0,TRUE()),S$52,"")</f>
        <v>1230400</v>
      </c>
      <c r="T67">
        <f t="shared" ref="T67:T80" si="39">IF(IFERROR(MATCH(T$52,$H67:$L67,0)&lt;0,TRUE()),T$52,"")</f>
        <v>1310300</v>
      </c>
      <c r="U67">
        <f t="shared" ref="U67:U80" si="40">IF(IFERROR(MATCH(U$52,$H67:$L67,0)&lt;0,TRUE()),U$52,"")</f>
        <v>1110100</v>
      </c>
      <c r="V67" t="str">
        <f t="shared" ref="V67:V80" si="41">IF(IFERROR(MATCH(V$52,$H67:$L67,0)&lt;0,TRUE()),V$52,"")</f>
        <v/>
      </c>
      <c r="W67">
        <f t="shared" ref="W67:W80" si="42">IF(IFERROR(MATCH(W$52,$H67:$L67,0)&lt;0,TRUE()),W$52,"")</f>
        <v>1530100</v>
      </c>
      <c r="X67" t="str">
        <f t="shared" ref="X67:X80" si="43">IF(IFERROR(MATCH(X$52,$H67:$L67,0)&lt;0,TRUE()),X$52,"")</f>
        <v/>
      </c>
      <c r="Y67" t="str">
        <f t="shared" ref="Y67:Y80" si="44">IF(IFERROR(MATCH(Y$52,$H67:$L67,0)&lt;0,TRUE()),Y$52,"")</f>
        <v/>
      </c>
      <c r="Z67" t="str">
        <f t="shared" ref="Z67:Z80" si="45">IF(IFERROR(MATCH(Z$52,$H67:$L67,0)&lt;0,TRUE()),Z$52,"")</f>
        <v/>
      </c>
      <c r="AA67" t="str">
        <f t="shared" ref="AA67:AA80" si="46">IF(IFERROR(MATCH(AA$52,$H67:$L67,0)&lt;0,TRUE()),AA$52,"")</f>
        <v/>
      </c>
      <c r="AB67">
        <f t="shared" ref="AB67:AB80" si="47">IF(IFERROR(MATCH(AB$52,$H67:$L67,0)&lt;0,TRUE()),AB$52,"")</f>
        <v>1420300</v>
      </c>
      <c r="AC67">
        <f t="shared" ref="AC67:AC80" si="48">IF(IFERROR(MATCH(AC$52,$H67:$L67,0)&lt;0,TRUE()),AC$52,"")</f>
        <v>1530200</v>
      </c>
      <c r="AD67">
        <f t="shared" ref="AD67:AD80" si="49">IF(IFERROR(MATCH(AD$52,$H67:$L67,0)&lt;0,TRUE()),AD$52,"")</f>
        <v>1410200</v>
      </c>
      <c r="AE67">
        <f t="shared" ref="AE67:AE80" si="50">IF(IFERROR(MATCH(AE$52,$H67:$L67,0)&lt;0,TRUE()),AE$52,"")</f>
        <v>1550200</v>
      </c>
      <c r="AF67">
        <f t="shared" ref="AF67:AF80" si="51">IF(IFERROR(MATCH(AF$52,$H67:$L67,0)&lt;0,TRUE()),AF$52,"")</f>
        <v>1540100</v>
      </c>
    </row>
    <row r="68" spans="6:32">
      <c r="F68" t="s">
        <v>392</v>
      </c>
      <c r="G68">
        <v>15</v>
      </c>
      <c r="H68">
        <f t="shared" si="27"/>
        <v>1530100</v>
      </c>
      <c r="I68">
        <f t="shared" si="28"/>
        <v>1210300</v>
      </c>
      <c r="J68">
        <f t="shared" si="29"/>
        <v>1430700</v>
      </c>
      <c r="K68">
        <f t="shared" si="30"/>
        <v>1140200</v>
      </c>
      <c r="L68">
        <f t="shared" si="31"/>
        <v>1140100</v>
      </c>
      <c r="M68">
        <f t="shared" si="32"/>
        <v>1310100</v>
      </c>
      <c r="N68">
        <f t="shared" si="33"/>
        <v>1210400</v>
      </c>
      <c r="O68">
        <f t="shared" si="34"/>
        <v>1230100</v>
      </c>
      <c r="P68">
        <f t="shared" si="35"/>
        <v>1420200</v>
      </c>
      <c r="Q68">
        <f t="shared" si="36"/>
        <v>1320100</v>
      </c>
      <c r="R68">
        <f t="shared" si="37"/>
        <v>1210600</v>
      </c>
      <c r="S68">
        <f t="shared" si="38"/>
        <v>1230400</v>
      </c>
      <c r="T68">
        <f t="shared" si="39"/>
        <v>1310300</v>
      </c>
      <c r="U68">
        <f t="shared" si="40"/>
        <v>1110100</v>
      </c>
      <c r="V68">
        <f t="shared" si="41"/>
        <v>1130100</v>
      </c>
      <c r="W68" t="str">
        <f t="shared" si="42"/>
        <v/>
      </c>
      <c r="X68" t="str">
        <f t="shared" si="43"/>
        <v/>
      </c>
      <c r="Y68" t="str">
        <f t="shared" si="44"/>
        <v/>
      </c>
      <c r="Z68" t="str">
        <f t="shared" si="45"/>
        <v/>
      </c>
      <c r="AA68" t="str">
        <f t="shared" si="46"/>
        <v/>
      </c>
      <c r="AB68">
        <f t="shared" si="47"/>
        <v>1420300</v>
      </c>
      <c r="AC68">
        <f t="shared" si="48"/>
        <v>1530200</v>
      </c>
      <c r="AD68">
        <f t="shared" si="49"/>
        <v>1410200</v>
      </c>
      <c r="AE68">
        <f t="shared" si="50"/>
        <v>1550200</v>
      </c>
      <c r="AF68">
        <f t="shared" si="51"/>
        <v>1540100</v>
      </c>
    </row>
    <row r="69" spans="6:32">
      <c r="F69" t="s">
        <v>393</v>
      </c>
      <c r="G69">
        <v>15</v>
      </c>
      <c r="H69">
        <f t="shared" si="27"/>
        <v>1130100</v>
      </c>
      <c r="I69">
        <f t="shared" si="28"/>
        <v>1210300</v>
      </c>
      <c r="J69">
        <f t="shared" si="29"/>
        <v>1430700</v>
      </c>
      <c r="K69">
        <f t="shared" si="30"/>
        <v>1230400</v>
      </c>
      <c r="L69">
        <f t="shared" si="31"/>
        <v>1140100</v>
      </c>
      <c r="M69">
        <f t="shared" si="32"/>
        <v>1310100</v>
      </c>
      <c r="N69">
        <f t="shared" si="33"/>
        <v>1210400</v>
      </c>
      <c r="O69">
        <f t="shared" si="34"/>
        <v>1230100</v>
      </c>
      <c r="P69">
        <f t="shared" si="35"/>
        <v>1420200</v>
      </c>
      <c r="Q69">
        <f t="shared" si="36"/>
        <v>1320100</v>
      </c>
      <c r="R69">
        <f t="shared" si="37"/>
        <v>1210600</v>
      </c>
      <c r="S69" t="str">
        <f t="shared" si="38"/>
        <v/>
      </c>
      <c r="T69">
        <f t="shared" si="39"/>
        <v>1310300</v>
      </c>
      <c r="U69">
        <f t="shared" si="40"/>
        <v>1110100</v>
      </c>
      <c r="V69" t="str">
        <f t="shared" si="41"/>
        <v/>
      </c>
      <c r="W69">
        <f t="shared" si="42"/>
        <v>1530100</v>
      </c>
      <c r="X69" t="str">
        <f t="shared" si="43"/>
        <v/>
      </c>
      <c r="Y69" t="str">
        <f t="shared" si="44"/>
        <v/>
      </c>
      <c r="Z69" t="str">
        <f t="shared" si="45"/>
        <v/>
      </c>
      <c r="AA69">
        <f t="shared" si="46"/>
        <v>1140200</v>
      </c>
      <c r="AB69">
        <f t="shared" si="47"/>
        <v>1420300</v>
      </c>
      <c r="AC69">
        <f t="shared" si="48"/>
        <v>1530200</v>
      </c>
      <c r="AD69">
        <f t="shared" si="49"/>
        <v>1410200</v>
      </c>
      <c r="AE69">
        <f t="shared" si="50"/>
        <v>1550200</v>
      </c>
      <c r="AF69">
        <f t="shared" si="51"/>
        <v>1540100</v>
      </c>
    </row>
    <row r="70" spans="6:32">
      <c r="F70" t="s">
        <v>394</v>
      </c>
      <c r="G70">
        <v>15</v>
      </c>
      <c r="H70">
        <f t="shared" si="27"/>
        <v>1530100</v>
      </c>
      <c r="I70">
        <f t="shared" si="28"/>
        <v>1210300</v>
      </c>
      <c r="J70">
        <f t="shared" si="29"/>
        <v>1430700</v>
      </c>
      <c r="K70">
        <f t="shared" si="30"/>
        <v>1230400</v>
      </c>
      <c r="L70">
        <f t="shared" si="31"/>
        <v>1140100</v>
      </c>
      <c r="M70">
        <f t="shared" si="32"/>
        <v>1310100</v>
      </c>
      <c r="N70">
        <f t="shared" si="33"/>
        <v>1210400</v>
      </c>
      <c r="O70">
        <f t="shared" si="34"/>
        <v>1230100</v>
      </c>
      <c r="P70">
        <f t="shared" si="35"/>
        <v>1420200</v>
      </c>
      <c r="Q70">
        <f t="shared" si="36"/>
        <v>1320100</v>
      </c>
      <c r="R70">
        <f t="shared" si="37"/>
        <v>1210600</v>
      </c>
      <c r="S70" t="str">
        <f t="shared" si="38"/>
        <v/>
      </c>
      <c r="T70">
        <f t="shared" si="39"/>
        <v>1310300</v>
      </c>
      <c r="U70">
        <f t="shared" si="40"/>
        <v>1110100</v>
      </c>
      <c r="V70">
        <f t="shared" si="41"/>
        <v>1130100</v>
      </c>
      <c r="W70" t="str">
        <f t="shared" si="42"/>
        <v/>
      </c>
      <c r="X70" t="str">
        <f t="shared" si="43"/>
        <v/>
      </c>
      <c r="Y70" t="str">
        <f t="shared" si="44"/>
        <v/>
      </c>
      <c r="Z70" t="str">
        <f t="shared" si="45"/>
        <v/>
      </c>
      <c r="AA70">
        <f t="shared" si="46"/>
        <v>1140200</v>
      </c>
      <c r="AB70">
        <f t="shared" si="47"/>
        <v>1420300</v>
      </c>
      <c r="AC70">
        <f t="shared" si="48"/>
        <v>1530200</v>
      </c>
      <c r="AD70">
        <f t="shared" si="49"/>
        <v>1410200</v>
      </c>
      <c r="AE70">
        <f t="shared" si="50"/>
        <v>1550200</v>
      </c>
      <c r="AF70">
        <f t="shared" si="51"/>
        <v>1540100</v>
      </c>
    </row>
    <row r="71" spans="6:32">
      <c r="F71" t="s">
        <v>395</v>
      </c>
      <c r="G71">
        <v>15</v>
      </c>
      <c r="H71">
        <f t="shared" si="27"/>
        <v>1130100</v>
      </c>
      <c r="I71">
        <f t="shared" si="28"/>
        <v>1210300</v>
      </c>
      <c r="J71">
        <f t="shared" si="29"/>
        <v>1430700</v>
      </c>
      <c r="K71">
        <f t="shared" si="30"/>
        <v>1140200</v>
      </c>
      <c r="L71">
        <f t="shared" si="31"/>
        <v>1230400</v>
      </c>
      <c r="M71">
        <f t="shared" si="32"/>
        <v>1310100</v>
      </c>
      <c r="N71">
        <f t="shared" si="33"/>
        <v>1210400</v>
      </c>
      <c r="O71">
        <f t="shared" si="34"/>
        <v>1230100</v>
      </c>
      <c r="P71">
        <f t="shared" si="35"/>
        <v>1420200</v>
      </c>
      <c r="Q71">
        <f t="shared" si="36"/>
        <v>1320100</v>
      </c>
      <c r="R71">
        <f t="shared" si="37"/>
        <v>1210600</v>
      </c>
      <c r="S71" t="str">
        <f t="shared" si="38"/>
        <v/>
      </c>
      <c r="T71">
        <f t="shared" si="39"/>
        <v>1310300</v>
      </c>
      <c r="U71">
        <f t="shared" si="40"/>
        <v>1110100</v>
      </c>
      <c r="V71" t="str">
        <f t="shared" si="41"/>
        <v/>
      </c>
      <c r="W71">
        <f t="shared" si="42"/>
        <v>1530100</v>
      </c>
      <c r="X71" t="str">
        <f t="shared" si="43"/>
        <v/>
      </c>
      <c r="Y71" t="str">
        <f t="shared" si="44"/>
        <v/>
      </c>
      <c r="Z71">
        <f t="shared" si="45"/>
        <v>1140100</v>
      </c>
      <c r="AA71" t="str">
        <f t="shared" si="46"/>
        <v/>
      </c>
      <c r="AB71">
        <f t="shared" si="47"/>
        <v>1420300</v>
      </c>
      <c r="AC71">
        <f t="shared" si="48"/>
        <v>1530200</v>
      </c>
      <c r="AD71">
        <f t="shared" si="49"/>
        <v>1410200</v>
      </c>
      <c r="AE71">
        <f t="shared" si="50"/>
        <v>1550200</v>
      </c>
      <c r="AF71">
        <f t="shared" si="51"/>
        <v>1540100</v>
      </c>
    </row>
    <row r="72" spans="6:32">
      <c r="F72" t="s">
        <v>396</v>
      </c>
      <c r="G72">
        <v>15</v>
      </c>
      <c r="H72">
        <f t="shared" si="27"/>
        <v>1530100</v>
      </c>
      <c r="I72">
        <f t="shared" si="28"/>
        <v>1210300</v>
      </c>
      <c r="J72">
        <f t="shared" si="29"/>
        <v>1430700</v>
      </c>
      <c r="K72">
        <f t="shared" si="30"/>
        <v>1140200</v>
      </c>
      <c r="L72">
        <f t="shared" si="31"/>
        <v>1230400</v>
      </c>
      <c r="M72">
        <f t="shared" si="32"/>
        <v>1310100</v>
      </c>
      <c r="N72">
        <f t="shared" si="33"/>
        <v>1210400</v>
      </c>
      <c r="O72">
        <f t="shared" si="34"/>
        <v>1230100</v>
      </c>
      <c r="P72">
        <f t="shared" si="35"/>
        <v>1420200</v>
      </c>
      <c r="Q72">
        <f t="shared" si="36"/>
        <v>1320100</v>
      </c>
      <c r="R72">
        <f t="shared" si="37"/>
        <v>1210600</v>
      </c>
      <c r="S72" t="str">
        <f t="shared" si="38"/>
        <v/>
      </c>
      <c r="T72">
        <f t="shared" si="39"/>
        <v>1310300</v>
      </c>
      <c r="U72">
        <f t="shared" si="40"/>
        <v>1110100</v>
      </c>
      <c r="V72">
        <f t="shared" si="41"/>
        <v>1130100</v>
      </c>
      <c r="W72" t="str">
        <f t="shared" si="42"/>
        <v/>
      </c>
      <c r="X72" t="str">
        <f t="shared" si="43"/>
        <v/>
      </c>
      <c r="Y72" t="str">
        <f t="shared" si="44"/>
        <v/>
      </c>
      <c r="Z72">
        <f t="shared" si="45"/>
        <v>1140100</v>
      </c>
      <c r="AA72" t="str">
        <f t="shared" si="46"/>
        <v/>
      </c>
      <c r="AB72">
        <f t="shared" si="47"/>
        <v>1420300</v>
      </c>
      <c r="AC72">
        <f t="shared" si="48"/>
        <v>1530200</v>
      </c>
      <c r="AD72">
        <f t="shared" si="49"/>
        <v>1410200</v>
      </c>
      <c r="AE72">
        <f t="shared" si="50"/>
        <v>1550200</v>
      </c>
      <c r="AF72">
        <f t="shared" si="51"/>
        <v>1540100</v>
      </c>
    </row>
    <row r="73" spans="6:32">
      <c r="F73" t="s">
        <v>397</v>
      </c>
      <c r="G73">
        <v>16</v>
      </c>
      <c r="H73">
        <f t="shared" si="27"/>
        <v>1420300</v>
      </c>
      <c r="I73">
        <f t="shared" si="28"/>
        <v>1210300</v>
      </c>
      <c r="J73">
        <f t="shared" si="29"/>
        <v>1430700</v>
      </c>
      <c r="K73">
        <f t="shared" si="30"/>
        <v>1140200</v>
      </c>
      <c r="L73">
        <f t="shared" si="31"/>
        <v>1140100</v>
      </c>
      <c r="M73">
        <f t="shared" si="32"/>
        <v>1310100</v>
      </c>
      <c r="N73">
        <f t="shared" si="33"/>
        <v>1210400</v>
      </c>
      <c r="O73">
        <f t="shared" si="34"/>
        <v>1230100</v>
      </c>
      <c r="P73">
        <f t="shared" si="35"/>
        <v>1420200</v>
      </c>
      <c r="Q73">
        <f t="shared" si="36"/>
        <v>1320100</v>
      </c>
      <c r="R73">
        <f t="shared" si="37"/>
        <v>1210600</v>
      </c>
      <c r="S73">
        <f t="shared" si="38"/>
        <v>1230400</v>
      </c>
      <c r="T73">
        <f t="shared" si="39"/>
        <v>1310300</v>
      </c>
      <c r="U73">
        <f t="shared" si="40"/>
        <v>1110100</v>
      </c>
      <c r="V73">
        <f t="shared" si="41"/>
        <v>1130100</v>
      </c>
      <c r="W73">
        <f t="shared" si="42"/>
        <v>1530100</v>
      </c>
      <c r="X73" t="str">
        <f t="shared" si="43"/>
        <v/>
      </c>
      <c r="Y73" t="str">
        <f t="shared" si="44"/>
        <v/>
      </c>
      <c r="Z73" t="str">
        <f t="shared" si="45"/>
        <v/>
      </c>
      <c r="AA73" t="str">
        <f t="shared" si="46"/>
        <v/>
      </c>
      <c r="AB73" t="str">
        <f t="shared" si="47"/>
        <v/>
      </c>
      <c r="AC73">
        <f t="shared" si="48"/>
        <v>1530200</v>
      </c>
      <c r="AD73">
        <f t="shared" si="49"/>
        <v>1410200</v>
      </c>
      <c r="AE73">
        <f t="shared" si="50"/>
        <v>1550200</v>
      </c>
      <c r="AF73">
        <f t="shared" si="51"/>
        <v>1540100</v>
      </c>
    </row>
    <row r="74" spans="6:32">
      <c r="F74" t="s">
        <v>398</v>
      </c>
      <c r="G74">
        <v>16</v>
      </c>
      <c r="H74">
        <f t="shared" si="27"/>
        <v>1530200</v>
      </c>
      <c r="I74">
        <f t="shared" si="28"/>
        <v>1210300</v>
      </c>
      <c r="J74">
        <f t="shared" si="29"/>
        <v>1430700</v>
      </c>
      <c r="K74">
        <f t="shared" si="30"/>
        <v>1140200</v>
      </c>
      <c r="L74">
        <f t="shared" si="31"/>
        <v>1140100</v>
      </c>
      <c r="M74">
        <f t="shared" si="32"/>
        <v>1310100</v>
      </c>
      <c r="N74">
        <f t="shared" si="33"/>
        <v>1210400</v>
      </c>
      <c r="O74">
        <f t="shared" si="34"/>
        <v>1230100</v>
      </c>
      <c r="P74">
        <f t="shared" si="35"/>
        <v>1420200</v>
      </c>
      <c r="Q74">
        <f t="shared" si="36"/>
        <v>1320100</v>
      </c>
      <c r="R74">
        <f t="shared" si="37"/>
        <v>1210600</v>
      </c>
      <c r="S74">
        <f t="shared" si="38"/>
        <v>1230400</v>
      </c>
      <c r="T74">
        <f t="shared" si="39"/>
        <v>1310300</v>
      </c>
      <c r="U74">
        <f t="shared" si="40"/>
        <v>1110100</v>
      </c>
      <c r="V74">
        <f t="shared" si="41"/>
        <v>1130100</v>
      </c>
      <c r="W74">
        <f t="shared" si="42"/>
        <v>1530100</v>
      </c>
      <c r="X74" t="str">
        <f t="shared" si="43"/>
        <v/>
      </c>
      <c r="Y74" t="str">
        <f t="shared" si="44"/>
        <v/>
      </c>
      <c r="Z74" t="str">
        <f t="shared" si="45"/>
        <v/>
      </c>
      <c r="AA74" t="str">
        <f t="shared" si="46"/>
        <v/>
      </c>
      <c r="AB74">
        <f t="shared" si="47"/>
        <v>1420300</v>
      </c>
      <c r="AC74" t="str">
        <f t="shared" si="48"/>
        <v/>
      </c>
      <c r="AD74">
        <f t="shared" si="49"/>
        <v>1410200</v>
      </c>
      <c r="AE74">
        <f t="shared" si="50"/>
        <v>1550200</v>
      </c>
      <c r="AF74">
        <f t="shared" si="51"/>
        <v>1540100</v>
      </c>
    </row>
    <row r="75" spans="6:32">
      <c r="F75" t="s">
        <v>399</v>
      </c>
      <c r="G75">
        <v>16</v>
      </c>
      <c r="H75">
        <f t="shared" si="27"/>
        <v>1410200</v>
      </c>
      <c r="I75">
        <f t="shared" si="28"/>
        <v>1210300</v>
      </c>
      <c r="J75">
        <f t="shared" si="29"/>
        <v>1430700</v>
      </c>
      <c r="K75">
        <f t="shared" si="30"/>
        <v>1140200</v>
      </c>
      <c r="L75">
        <f t="shared" si="31"/>
        <v>1140100</v>
      </c>
      <c r="M75">
        <f t="shared" si="32"/>
        <v>1310100</v>
      </c>
      <c r="N75">
        <f t="shared" si="33"/>
        <v>1210400</v>
      </c>
      <c r="O75">
        <f t="shared" si="34"/>
        <v>1230100</v>
      </c>
      <c r="P75">
        <f t="shared" si="35"/>
        <v>1420200</v>
      </c>
      <c r="Q75">
        <f t="shared" si="36"/>
        <v>1320100</v>
      </c>
      <c r="R75">
        <f t="shared" si="37"/>
        <v>1210600</v>
      </c>
      <c r="S75">
        <f t="shared" si="38"/>
        <v>1230400</v>
      </c>
      <c r="T75">
        <f t="shared" si="39"/>
        <v>1310300</v>
      </c>
      <c r="U75">
        <f t="shared" si="40"/>
        <v>1110100</v>
      </c>
      <c r="V75">
        <f t="shared" si="41"/>
        <v>1130100</v>
      </c>
      <c r="W75">
        <f t="shared" si="42"/>
        <v>1530100</v>
      </c>
      <c r="X75" t="str">
        <f t="shared" si="43"/>
        <v/>
      </c>
      <c r="Y75" t="str">
        <f t="shared" si="44"/>
        <v/>
      </c>
      <c r="Z75" t="str">
        <f t="shared" si="45"/>
        <v/>
      </c>
      <c r="AA75" t="str">
        <f t="shared" si="46"/>
        <v/>
      </c>
      <c r="AB75">
        <f t="shared" si="47"/>
        <v>1420300</v>
      </c>
      <c r="AC75">
        <f t="shared" si="48"/>
        <v>1530200</v>
      </c>
      <c r="AD75" t="str">
        <f t="shared" si="49"/>
        <v/>
      </c>
      <c r="AE75">
        <f t="shared" si="50"/>
        <v>1550200</v>
      </c>
      <c r="AF75">
        <f t="shared" si="51"/>
        <v>1540100</v>
      </c>
    </row>
    <row r="76" spans="6:32">
      <c r="F76" t="s">
        <v>400</v>
      </c>
      <c r="G76">
        <v>17</v>
      </c>
      <c r="H76">
        <f t="shared" si="27"/>
        <v>1420300</v>
      </c>
      <c r="I76">
        <f t="shared" si="28"/>
        <v>1530200</v>
      </c>
      <c r="J76">
        <f t="shared" si="29"/>
        <v>1210300</v>
      </c>
      <c r="K76">
        <f t="shared" si="30"/>
        <v>1140200</v>
      </c>
      <c r="L76">
        <f t="shared" si="31"/>
        <v>1140100</v>
      </c>
      <c r="M76">
        <f t="shared" si="32"/>
        <v>1310100</v>
      </c>
      <c r="N76">
        <f t="shared" si="33"/>
        <v>1210400</v>
      </c>
      <c r="O76">
        <f t="shared" si="34"/>
        <v>1230100</v>
      </c>
      <c r="P76">
        <f t="shared" si="35"/>
        <v>1420200</v>
      </c>
      <c r="Q76">
        <f t="shared" si="36"/>
        <v>1320100</v>
      </c>
      <c r="R76">
        <f t="shared" si="37"/>
        <v>1210600</v>
      </c>
      <c r="S76">
        <f t="shared" si="38"/>
        <v>1230400</v>
      </c>
      <c r="T76">
        <f t="shared" si="39"/>
        <v>1310300</v>
      </c>
      <c r="U76">
        <f t="shared" si="40"/>
        <v>1110100</v>
      </c>
      <c r="V76">
        <f t="shared" si="41"/>
        <v>1130100</v>
      </c>
      <c r="W76">
        <f t="shared" si="42"/>
        <v>1530100</v>
      </c>
      <c r="X76" t="str">
        <f t="shared" si="43"/>
        <v/>
      </c>
      <c r="Y76">
        <f t="shared" si="44"/>
        <v>1430700</v>
      </c>
      <c r="Z76" t="str">
        <f t="shared" si="45"/>
        <v/>
      </c>
      <c r="AA76" t="str">
        <f t="shared" si="46"/>
        <v/>
      </c>
      <c r="AB76" t="str">
        <f t="shared" si="47"/>
        <v/>
      </c>
      <c r="AC76" t="str">
        <f t="shared" si="48"/>
        <v/>
      </c>
      <c r="AD76">
        <f t="shared" si="49"/>
        <v>1410200</v>
      </c>
      <c r="AE76">
        <f t="shared" si="50"/>
        <v>1550200</v>
      </c>
      <c r="AF76">
        <f t="shared" si="51"/>
        <v>1540100</v>
      </c>
    </row>
    <row r="77" spans="6:32">
      <c r="F77" t="s">
        <v>401</v>
      </c>
      <c r="G77">
        <v>17</v>
      </c>
      <c r="H77">
        <f t="shared" si="27"/>
        <v>1410200</v>
      </c>
      <c r="I77">
        <f t="shared" si="28"/>
        <v>1530200</v>
      </c>
      <c r="J77">
        <f t="shared" si="29"/>
        <v>1210300</v>
      </c>
      <c r="K77">
        <f t="shared" si="30"/>
        <v>1140200</v>
      </c>
      <c r="L77">
        <f t="shared" si="31"/>
        <v>1140100</v>
      </c>
      <c r="M77">
        <f t="shared" si="32"/>
        <v>1310100</v>
      </c>
      <c r="N77">
        <f t="shared" si="33"/>
        <v>1210400</v>
      </c>
      <c r="O77">
        <f t="shared" si="34"/>
        <v>1230100</v>
      </c>
      <c r="P77">
        <f t="shared" si="35"/>
        <v>1420200</v>
      </c>
      <c r="Q77">
        <f t="shared" si="36"/>
        <v>1320100</v>
      </c>
      <c r="R77">
        <f t="shared" si="37"/>
        <v>1210600</v>
      </c>
      <c r="S77">
        <f t="shared" si="38"/>
        <v>1230400</v>
      </c>
      <c r="T77">
        <f t="shared" si="39"/>
        <v>1310300</v>
      </c>
      <c r="U77">
        <f t="shared" si="40"/>
        <v>1110100</v>
      </c>
      <c r="V77">
        <f t="shared" si="41"/>
        <v>1130100</v>
      </c>
      <c r="W77">
        <f t="shared" si="42"/>
        <v>1530100</v>
      </c>
      <c r="X77" t="str">
        <f t="shared" si="43"/>
        <v/>
      </c>
      <c r="Y77">
        <f t="shared" si="44"/>
        <v>1430700</v>
      </c>
      <c r="Z77" t="str">
        <f t="shared" si="45"/>
        <v/>
      </c>
      <c r="AA77" t="str">
        <f t="shared" si="46"/>
        <v/>
      </c>
      <c r="AB77">
        <f t="shared" si="47"/>
        <v>1420300</v>
      </c>
      <c r="AC77" t="str">
        <f t="shared" si="48"/>
        <v/>
      </c>
      <c r="AD77" t="str">
        <f t="shared" si="49"/>
        <v/>
      </c>
      <c r="AE77">
        <f t="shared" si="50"/>
        <v>1550200</v>
      </c>
      <c r="AF77">
        <f t="shared" si="51"/>
        <v>1540100</v>
      </c>
    </row>
    <row r="78" spans="6:32">
      <c r="F78" t="s">
        <v>402</v>
      </c>
      <c r="G78">
        <v>17</v>
      </c>
      <c r="H78">
        <f t="shared" si="27"/>
        <v>1410200</v>
      </c>
      <c r="I78">
        <f t="shared" si="28"/>
        <v>1420300</v>
      </c>
      <c r="J78">
        <f t="shared" si="29"/>
        <v>1210300</v>
      </c>
      <c r="K78">
        <f t="shared" si="30"/>
        <v>1140200</v>
      </c>
      <c r="L78">
        <f t="shared" si="31"/>
        <v>1140100</v>
      </c>
      <c r="M78">
        <f t="shared" si="32"/>
        <v>1310100</v>
      </c>
      <c r="N78">
        <f t="shared" si="33"/>
        <v>1210400</v>
      </c>
      <c r="O78">
        <f t="shared" si="34"/>
        <v>1230100</v>
      </c>
      <c r="P78">
        <f t="shared" si="35"/>
        <v>1420200</v>
      </c>
      <c r="Q78">
        <f t="shared" si="36"/>
        <v>1320100</v>
      </c>
      <c r="R78">
        <f t="shared" si="37"/>
        <v>1210600</v>
      </c>
      <c r="S78">
        <f t="shared" si="38"/>
        <v>1230400</v>
      </c>
      <c r="T78">
        <f t="shared" si="39"/>
        <v>1310300</v>
      </c>
      <c r="U78">
        <f t="shared" si="40"/>
        <v>1110100</v>
      </c>
      <c r="V78">
        <f t="shared" si="41"/>
        <v>1130100</v>
      </c>
      <c r="W78">
        <f t="shared" si="42"/>
        <v>1530100</v>
      </c>
      <c r="X78" t="str">
        <f t="shared" si="43"/>
        <v/>
      </c>
      <c r="Y78">
        <f t="shared" si="44"/>
        <v>1430700</v>
      </c>
      <c r="Z78" t="str">
        <f t="shared" si="45"/>
        <v/>
      </c>
      <c r="AA78" t="str">
        <f t="shared" si="46"/>
        <v/>
      </c>
      <c r="AB78" t="str">
        <f t="shared" si="47"/>
        <v/>
      </c>
      <c r="AC78">
        <f t="shared" si="48"/>
        <v>1530200</v>
      </c>
      <c r="AD78" t="str">
        <f t="shared" si="49"/>
        <v/>
      </c>
      <c r="AE78">
        <f t="shared" si="50"/>
        <v>1550200</v>
      </c>
      <c r="AF78">
        <f t="shared" si="51"/>
        <v>1540100</v>
      </c>
    </row>
    <row r="79" spans="6:32">
      <c r="F79" t="s">
        <v>403</v>
      </c>
      <c r="G79">
        <v>18</v>
      </c>
      <c r="H79">
        <f t="shared" si="27"/>
        <v>1410200</v>
      </c>
      <c r="I79">
        <f t="shared" si="28"/>
        <v>1420300</v>
      </c>
      <c r="J79">
        <f t="shared" si="29"/>
        <v>1530200</v>
      </c>
      <c r="K79">
        <f t="shared" si="30"/>
        <v>1210300</v>
      </c>
      <c r="L79">
        <f t="shared" si="31"/>
        <v>1140100</v>
      </c>
      <c r="M79">
        <f t="shared" si="32"/>
        <v>1310100</v>
      </c>
      <c r="N79">
        <f t="shared" si="33"/>
        <v>1210400</v>
      </c>
      <c r="O79">
        <f t="shared" si="34"/>
        <v>1230100</v>
      </c>
      <c r="P79">
        <f t="shared" si="35"/>
        <v>1420200</v>
      </c>
      <c r="Q79">
        <f t="shared" si="36"/>
        <v>1320100</v>
      </c>
      <c r="R79">
        <f t="shared" si="37"/>
        <v>1210600</v>
      </c>
      <c r="S79">
        <f t="shared" si="38"/>
        <v>1230400</v>
      </c>
      <c r="T79">
        <f t="shared" si="39"/>
        <v>1310300</v>
      </c>
      <c r="U79">
        <f t="shared" si="40"/>
        <v>1110100</v>
      </c>
      <c r="V79">
        <f t="shared" si="41"/>
        <v>1130100</v>
      </c>
      <c r="W79">
        <f t="shared" si="42"/>
        <v>1530100</v>
      </c>
      <c r="X79" t="str">
        <f t="shared" si="43"/>
        <v/>
      </c>
      <c r="Y79">
        <f t="shared" si="44"/>
        <v>1430700</v>
      </c>
      <c r="Z79" t="str">
        <f t="shared" si="45"/>
        <v/>
      </c>
      <c r="AA79">
        <f t="shared" si="46"/>
        <v>1140200</v>
      </c>
      <c r="AB79" t="str">
        <f t="shared" si="47"/>
        <v/>
      </c>
      <c r="AC79" t="str">
        <f t="shared" si="48"/>
        <v/>
      </c>
      <c r="AD79" t="str">
        <f t="shared" si="49"/>
        <v/>
      </c>
      <c r="AE79">
        <f t="shared" si="50"/>
        <v>1550200</v>
      </c>
      <c r="AF79">
        <f t="shared" si="51"/>
        <v>1540100</v>
      </c>
    </row>
    <row r="80" spans="6:32">
      <c r="F80" t="s">
        <v>404</v>
      </c>
      <c r="G80">
        <v>18</v>
      </c>
      <c r="H80">
        <f t="shared" si="27"/>
        <v>1410200</v>
      </c>
      <c r="I80">
        <f t="shared" si="28"/>
        <v>1420300</v>
      </c>
      <c r="J80">
        <f t="shared" si="29"/>
        <v>1530200</v>
      </c>
      <c r="K80">
        <f t="shared" si="30"/>
        <v>1210300</v>
      </c>
      <c r="L80">
        <f t="shared" si="31"/>
        <v>1140200</v>
      </c>
      <c r="M80">
        <f t="shared" si="32"/>
        <v>1310100</v>
      </c>
      <c r="N80">
        <f t="shared" si="33"/>
        <v>1210400</v>
      </c>
      <c r="O80">
        <f t="shared" si="34"/>
        <v>1230100</v>
      </c>
      <c r="P80">
        <f t="shared" si="35"/>
        <v>1420200</v>
      </c>
      <c r="Q80">
        <f t="shared" si="36"/>
        <v>1320100</v>
      </c>
      <c r="R80">
        <f t="shared" si="37"/>
        <v>1210600</v>
      </c>
      <c r="S80">
        <f t="shared" si="38"/>
        <v>1230400</v>
      </c>
      <c r="T80">
        <f t="shared" si="39"/>
        <v>1310300</v>
      </c>
      <c r="U80">
        <f t="shared" si="40"/>
        <v>1110100</v>
      </c>
      <c r="V80">
        <f t="shared" si="41"/>
        <v>1130100</v>
      </c>
      <c r="W80">
        <f t="shared" si="42"/>
        <v>1530100</v>
      </c>
      <c r="X80" t="str">
        <f t="shared" si="43"/>
        <v/>
      </c>
      <c r="Y80">
        <f t="shared" si="44"/>
        <v>1430700</v>
      </c>
      <c r="Z80">
        <f t="shared" si="45"/>
        <v>1140100</v>
      </c>
      <c r="AA80" t="str">
        <f t="shared" si="46"/>
        <v/>
      </c>
      <c r="AB80" t="str">
        <f t="shared" si="47"/>
        <v/>
      </c>
      <c r="AC80" t="str">
        <f t="shared" si="48"/>
        <v/>
      </c>
      <c r="AD80" t="str">
        <f t="shared" si="49"/>
        <v/>
      </c>
      <c r="AE80">
        <f t="shared" si="50"/>
        <v>1550200</v>
      </c>
      <c r="AF80">
        <f t="shared" si="51"/>
        <v>1540100</v>
      </c>
    </row>
    <row r="86" spans="5:32">
      <c r="E86" t="str">
        <f>"["&amp;_xlfn.TEXTJOIN(",",1,H86:AF86)&amp;"]"</f>
        <v>[1130100,1310300,1110100,1320100,1230400,1310100,1210400,1230100,1420200,1210600]</v>
      </c>
      <c r="F86" t="s">
        <v>374</v>
      </c>
      <c r="H86">
        <f>IF(COUNTIF($H53:H53,"&gt;"&amp;0)&gt;$G53,"",H53)</f>
        <v>1130100</v>
      </c>
      <c r="I86">
        <f>IF(COUNTIF($H53:I53,"&gt;"&amp;0)&gt;$G53,"",I53)</f>
        <v>1310300</v>
      </c>
      <c r="J86">
        <f>IF(COUNTIF($H53:J53,"&gt;"&amp;0)&gt;$G53,"",J53)</f>
        <v>1110100</v>
      </c>
      <c r="K86">
        <f>IF(COUNTIF($H53:K53,"&gt;"&amp;0)&gt;$G53,"",K53)</f>
        <v>1320100</v>
      </c>
      <c r="L86">
        <f>IF(COUNTIF($H53:L53,"&gt;"&amp;0)&gt;$G53,"",L53)</f>
        <v>1230400</v>
      </c>
      <c r="M86">
        <f>IF(COUNTIF($H53:M53,"&gt;"&amp;0)&gt;$G53,"",M53)</f>
        <v>1310100</v>
      </c>
      <c r="N86">
        <f>IF(COUNTIF($H53:N53,"&gt;"&amp;0)&gt;$G53,"",N53)</f>
        <v>1210400</v>
      </c>
      <c r="O86">
        <f>IF(COUNTIF($H53:O53,"&gt;"&amp;0)&gt;$G53,"",O53)</f>
        <v>1230100</v>
      </c>
      <c r="P86">
        <f>IF(COUNTIF($H53:P53,"&gt;"&amp;0)&gt;$G53,"",P53)</f>
        <v>1420200</v>
      </c>
      <c r="Q86" t="str">
        <f>IF(COUNTIF($H53:Q53,"&gt;"&amp;0)&gt;$G53,"",Q53)</f>
        <v/>
      </c>
      <c r="R86">
        <f>IF(COUNTIF($H53:R53,"&gt;"&amp;0)&gt;$G53,"",R53)</f>
        <v>1210600</v>
      </c>
      <c r="S86" t="str">
        <f>IF(COUNTIF($H53:S53,"&gt;"&amp;0)&gt;$G53,"",S53)</f>
        <v/>
      </c>
      <c r="T86" t="str">
        <f>IF(COUNTIF($H53:T53,"&gt;"&amp;0)&gt;$G53,"",T53)</f>
        <v/>
      </c>
      <c r="U86" t="str">
        <f>IF(COUNTIF($H53:U53,"&gt;"&amp;0)&gt;$G53,"",U53)</f>
        <v/>
      </c>
      <c r="V86" t="str">
        <f>IF(COUNTIF($H53:V53,"&gt;"&amp;0)&gt;$G53,"",V53)</f>
        <v/>
      </c>
      <c r="W86" t="str">
        <f>IF(COUNTIF($H53:W53,"&gt;"&amp;0)&gt;$G53,"",W53)</f>
        <v/>
      </c>
      <c r="X86" t="str">
        <f>IF(COUNTIF($H53:X53,"&gt;"&amp;0)&gt;$G53,"",X53)</f>
        <v/>
      </c>
      <c r="Y86" t="str">
        <f>IF(COUNTIF($H53:Y53,"&gt;"&amp;0)&gt;$G53,"",Y53)</f>
        <v/>
      </c>
      <c r="Z86" t="str">
        <f>IF(COUNTIF($H53:Z53,"&gt;"&amp;0)&gt;$G53,"",Z53)</f>
        <v/>
      </c>
      <c r="AA86" t="str">
        <f>IF(COUNTIF($H53:AA53,"&gt;"&amp;0)&gt;$G53,"",AA53)</f>
        <v/>
      </c>
      <c r="AB86" t="str">
        <f>IF(COUNTIF($H53:AB53,"&gt;"&amp;0)&gt;$G53,"",AB53)</f>
        <v/>
      </c>
      <c r="AC86" t="str">
        <f>IF(COUNTIF($H53:AC53,"&gt;"&amp;0)&gt;$G53,"",AC53)</f>
        <v/>
      </c>
      <c r="AD86" t="str">
        <f>IF(COUNTIF($H53:AD53,"&gt;"&amp;0)&gt;$G53,"",AD53)</f>
        <v/>
      </c>
      <c r="AE86" t="str">
        <f>IF(COUNTIF($H53:AE53,"&gt;"&amp;0)&gt;$G53,"",AE53)</f>
        <v/>
      </c>
      <c r="AF86" t="str">
        <f>IF(COUNTIF($H53:AF53,"&gt;"&amp;0)&gt;$G53,"",AF53)</f>
        <v/>
      </c>
    </row>
    <row r="87" spans="5:32">
      <c r="E87" t="str">
        <f t="shared" ref="E87:E113" si="52">"["&amp;_xlfn.TEXTJOIN(",",1,H87:AF87)&amp;"]"</f>
        <v>[1210600,1530100,1110100,1320100,1230400,1310100,1210400,1230100,1420200,1310300]</v>
      </c>
      <c r="F87" t="s">
        <v>375</v>
      </c>
      <c r="H87">
        <f>IF(COUNTIF($H54:H54,"&gt;"&amp;0)&gt;$G54,"",H54)</f>
        <v>1210600</v>
      </c>
      <c r="I87">
        <f>IF(COUNTIF($H54:I54,"&gt;"&amp;0)&gt;$G54,"",I54)</f>
        <v>1530100</v>
      </c>
      <c r="J87">
        <f>IF(COUNTIF($H54:J54,"&gt;"&amp;0)&gt;$G54,"",J54)</f>
        <v>1110100</v>
      </c>
      <c r="K87">
        <f>IF(COUNTIF($H54:K54,"&gt;"&amp;0)&gt;$G54,"",K54)</f>
        <v>1320100</v>
      </c>
      <c r="L87">
        <f>IF(COUNTIF($H54:L54,"&gt;"&amp;0)&gt;$G54,"",L54)</f>
        <v>1230400</v>
      </c>
      <c r="M87">
        <f>IF(COUNTIF($H54:M54,"&gt;"&amp;0)&gt;$G54,"",M54)</f>
        <v>1310100</v>
      </c>
      <c r="N87">
        <f>IF(COUNTIF($H54:N54,"&gt;"&amp;0)&gt;$G54,"",N54)</f>
        <v>1210400</v>
      </c>
      <c r="O87">
        <f>IF(COUNTIF($H54:O54,"&gt;"&amp;0)&gt;$G54,"",O54)</f>
        <v>1230100</v>
      </c>
      <c r="P87">
        <f>IF(COUNTIF($H54:P54,"&gt;"&amp;0)&gt;$G54,"",P54)</f>
        <v>1420200</v>
      </c>
      <c r="Q87" t="str">
        <f>IF(COUNTIF($H54:Q54,"&gt;"&amp;0)&gt;$G54,"",Q54)</f>
        <v/>
      </c>
      <c r="R87" t="str">
        <f>IF(COUNTIF($H54:R54,"&gt;"&amp;0)&gt;$G54,"",R54)</f>
        <v/>
      </c>
      <c r="S87" t="str">
        <f>IF(COUNTIF($H54:S54,"&gt;"&amp;0)&gt;$G54,"",S54)</f>
        <v/>
      </c>
      <c r="T87">
        <f>IF(COUNTIF($H54:T54,"&gt;"&amp;0)&gt;$G54,"",T54)</f>
        <v>1310300</v>
      </c>
      <c r="U87" t="str">
        <f>IF(COUNTIF($H54:U54,"&gt;"&amp;0)&gt;$G54,"",U54)</f>
        <v/>
      </c>
      <c r="V87" t="str">
        <f>IF(COUNTIF($H54:V54,"&gt;"&amp;0)&gt;$G54,"",V54)</f>
        <v/>
      </c>
      <c r="W87" t="str">
        <f>IF(COUNTIF($H54:W54,"&gt;"&amp;0)&gt;$G54,"",W54)</f>
        <v/>
      </c>
      <c r="X87" t="str">
        <f>IF(COUNTIF($H54:X54,"&gt;"&amp;0)&gt;$G54,"",X54)</f>
        <v/>
      </c>
      <c r="Y87" t="str">
        <f>IF(COUNTIF($H54:Y54,"&gt;"&amp;0)&gt;$G54,"",Y54)</f>
        <v/>
      </c>
      <c r="Z87" t="str">
        <f>IF(COUNTIF($H54:Z54,"&gt;"&amp;0)&gt;$G54,"",Z54)</f>
        <v/>
      </c>
      <c r="AA87" t="str">
        <f>IF(COUNTIF($H54:AA54,"&gt;"&amp;0)&gt;$G54,"",AA54)</f>
        <v/>
      </c>
      <c r="AB87" t="str">
        <f>IF(COUNTIF($H54:AB54,"&gt;"&amp;0)&gt;$G54,"",AB54)</f>
        <v/>
      </c>
      <c r="AC87" t="str">
        <f>IF(COUNTIF($H54:AC54,"&gt;"&amp;0)&gt;$G54,"",AC54)</f>
        <v/>
      </c>
      <c r="AD87" t="str">
        <f>IF(COUNTIF($H54:AD54,"&gt;"&amp;0)&gt;$G54,"",AD54)</f>
        <v/>
      </c>
      <c r="AE87" t="str">
        <f>IF(COUNTIF($H54:AE54,"&gt;"&amp;0)&gt;$G54,"",AE54)</f>
        <v/>
      </c>
      <c r="AF87" t="str">
        <f>IF(COUNTIF($H54:AF54,"&gt;"&amp;0)&gt;$G54,"",AF54)</f>
        <v/>
      </c>
    </row>
    <row r="88" spans="5:32">
      <c r="E88" t="str">
        <f t="shared" si="52"/>
        <v>[1210600,1310300,1210300,1320100,1230400,1310100,1210400,1230100,1420200,1110100]</v>
      </c>
      <c r="F88" t="s">
        <v>376</v>
      </c>
      <c r="H88">
        <f>IF(COUNTIF($H55:H55,"&gt;"&amp;0)&gt;$G55,"",H55)</f>
        <v>1210600</v>
      </c>
      <c r="I88">
        <f>IF(COUNTIF($H55:I55,"&gt;"&amp;0)&gt;$G55,"",I55)</f>
        <v>1310300</v>
      </c>
      <c r="J88">
        <f>IF(COUNTIF($H55:J55,"&gt;"&amp;0)&gt;$G55,"",J55)</f>
        <v>1210300</v>
      </c>
      <c r="K88">
        <f>IF(COUNTIF($H55:K55,"&gt;"&amp;0)&gt;$G55,"",K55)</f>
        <v>1320100</v>
      </c>
      <c r="L88">
        <f>IF(COUNTIF($H55:L55,"&gt;"&amp;0)&gt;$G55,"",L55)</f>
        <v>1230400</v>
      </c>
      <c r="M88">
        <f>IF(COUNTIF($H55:M55,"&gt;"&amp;0)&gt;$G55,"",M55)</f>
        <v>1310100</v>
      </c>
      <c r="N88">
        <f>IF(COUNTIF($H55:N55,"&gt;"&amp;0)&gt;$G55,"",N55)</f>
        <v>1210400</v>
      </c>
      <c r="O88">
        <f>IF(COUNTIF($H55:O55,"&gt;"&amp;0)&gt;$G55,"",O55)</f>
        <v>1230100</v>
      </c>
      <c r="P88">
        <f>IF(COUNTIF($H55:P55,"&gt;"&amp;0)&gt;$G55,"",P55)</f>
        <v>1420200</v>
      </c>
      <c r="Q88" t="str">
        <f>IF(COUNTIF($H55:Q55,"&gt;"&amp;0)&gt;$G55,"",Q55)</f>
        <v/>
      </c>
      <c r="R88" t="str">
        <f>IF(COUNTIF($H55:R55,"&gt;"&amp;0)&gt;$G55,"",R55)</f>
        <v/>
      </c>
      <c r="S88" t="str">
        <f>IF(COUNTIF($H55:S55,"&gt;"&amp;0)&gt;$G55,"",S55)</f>
        <v/>
      </c>
      <c r="T88" t="str">
        <f>IF(COUNTIF($H55:T55,"&gt;"&amp;0)&gt;$G55,"",T55)</f>
        <v/>
      </c>
      <c r="U88">
        <f>IF(COUNTIF($H55:U55,"&gt;"&amp;0)&gt;$G55,"",U55)</f>
        <v>1110100</v>
      </c>
      <c r="V88" t="str">
        <f>IF(COUNTIF($H55:V55,"&gt;"&amp;0)&gt;$G55,"",V55)</f>
        <v/>
      </c>
      <c r="W88" t="str">
        <f>IF(COUNTIF($H55:W55,"&gt;"&amp;0)&gt;$G55,"",W55)</f>
        <v/>
      </c>
      <c r="X88" t="str">
        <f>IF(COUNTIF($H55:X55,"&gt;"&amp;0)&gt;$G55,"",X55)</f>
        <v/>
      </c>
      <c r="Y88" t="str">
        <f>IF(COUNTIF($H55:Y55,"&gt;"&amp;0)&gt;$G55,"",Y55)</f>
        <v/>
      </c>
      <c r="Z88" t="str">
        <f>IF(COUNTIF($H55:Z55,"&gt;"&amp;0)&gt;$G55,"",Z55)</f>
        <v/>
      </c>
      <c r="AA88" t="str">
        <f>IF(COUNTIF($H55:AA55,"&gt;"&amp;0)&gt;$G55,"",AA55)</f>
        <v/>
      </c>
      <c r="AB88" t="str">
        <f>IF(COUNTIF($H55:AB55,"&gt;"&amp;0)&gt;$G55,"",AB55)</f>
        <v/>
      </c>
      <c r="AC88" t="str">
        <f>IF(COUNTIF($H55:AC55,"&gt;"&amp;0)&gt;$G55,"",AC55)</f>
        <v/>
      </c>
      <c r="AD88" t="str">
        <f>IF(COUNTIF($H55:AD55,"&gt;"&amp;0)&gt;$G55,"",AD55)</f>
        <v/>
      </c>
      <c r="AE88" t="str">
        <f>IF(COUNTIF($H55:AE55,"&gt;"&amp;0)&gt;$G55,"",AE55)</f>
        <v/>
      </c>
      <c r="AF88" t="str">
        <f>IF(COUNTIF($H55:AF55,"&gt;"&amp;0)&gt;$G55,"",AF55)</f>
        <v/>
      </c>
    </row>
    <row r="89" spans="5:32">
      <c r="E89" t="str">
        <f t="shared" si="52"/>
        <v>[1130100,1530100,1110100,1320100,1230400,1310100,1210400,1230100,1420200,1210600,1310300]</v>
      </c>
      <c r="F89" t="s">
        <v>378</v>
      </c>
      <c r="H89">
        <f>IF(COUNTIF($H56:H56,"&gt;"&amp;0)&gt;$G56,"",H56)</f>
        <v>1130100</v>
      </c>
      <c r="I89">
        <f>IF(COUNTIF($H56:I56,"&gt;"&amp;0)&gt;$G56,"",I56)</f>
        <v>1530100</v>
      </c>
      <c r="J89">
        <f>IF(COUNTIF($H56:J56,"&gt;"&amp;0)&gt;$G56,"",J56)</f>
        <v>1110100</v>
      </c>
      <c r="K89">
        <f>IF(COUNTIF($H56:K56,"&gt;"&amp;0)&gt;$G56,"",K56)</f>
        <v>1320100</v>
      </c>
      <c r="L89">
        <f>IF(COUNTIF($H56:L56,"&gt;"&amp;0)&gt;$G56,"",L56)</f>
        <v>1230400</v>
      </c>
      <c r="M89">
        <f>IF(COUNTIF($H56:M56,"&gt;"&amp;0)&gt;$G56,"",M56)</f>
        <v>1310100</v>
      </c>
      <c r="N89">
        <f>IF(COUNTIF($H56:N56,"&gt;"&amp;0)&gt;$G56,"",N56)</f>
        <v>1210400</v>
      </c>
      <c r="O89">
        <f>IF(COUNTIF($H56:O56,"&gt;"&amp;0)&gt;$G56,"",O56)</f>
        <v>1230100</v>
      </c>
      <c r="P89">
        <f>IF(COUNTIF($H56:P56,"&gt;"&amp;0)&gt;$G56,"",P56)</f>
        <v>1420200</v>
      </c>
      <c r="Q89" t="str">
        <f>IF(COUNTIF($H56:Q56,"&gt;"&amp;0)&gt;$G56,"",Q56)</f>
        <v/>
      </c>
      <c r="R89">
        <f>IF(COUNTIF($H56:R56,"&gt;"&amp;0)&gt;$G56,"",R56)</f>
        <v>1210600</v>
      </c>
      <c r="S89" t="str">
        <f>IF(COUNTIF($H56:S56,"&gt;"&amp;0)&gt;$G56,"",S56)</f>
        <v/>
      </c>
      <c r="T89">
        <f>IF(COUNTIF($H56:T56,"&gt;"&amp;0)&gt;$G56,"",T56)</f>
        <v>1310300</v>
      </c>
      <c r="U89" t="str">
        <f>IF(COUNTIF($H56:U56,"&gt;"&amp;0)&gt;$G56,"",U56)</f>
        <v/>
      </c>
      <c r="V89" t="str">
        <f>IF(COUNTIF($H56:V56,"&gt;"&amp;0)&gt;$G56,"",V56)</f>
        <v/>
      </c>
      <c r="W89" t="str">
        <f>IF(COUNTIF($H56:W56,"&gt;"&amp;0)&gt;$G56,"",W56)</f>
        <v/>
      </c>
      <c r="X89" t="str">
        <f>IF(COUNTIF($H56:X56,"&gt;"&amp;0)&gt;$G56,"",X56)</f>
        <v/>
      </c>
      <c r="Y89" t="str">
        <f>IF(COUNTIF($H56:Y56,"&gt;"&amp;0)&gt;$G56,"",Y56)</f>
        <v/>
      </c>
      <c r="Z89" t="str">
        <f>IF(COUNTIF($H56:Z56,"&gt;"&amp;0)&gt;$G56,"",Z56)</f>
        <v/>
      </c>
      <c r="AA89" t="str">
        <f>IF(COUNTIF($H56:AA56,"&gt;"&amp;0)&gt;$G56,"",AA56)</f>
        <v/>
      </c>
      <c r="AB89" t="str">
        <f>IF(COUNTIF($H56:AB56,"&gt;"&amp;0)&gt;$G56,"",AB56)</f>
        <v/>
      </c>
      <c r="AC89" t="str">
        <f>IF(COUNTIF($H56:AC56,"&gt;"&amp;0)&gt;$G56,"",AC56)</f>
        <v/>
      </c>
      <c r="AD89" t="str">
        <f>IF(COUNTIF($H56:AD56,"&gt;"&amp;0)&gt;$G56,"",AD56)</f>
        <v/>
      </c>
      <c r="AE89" t="str">
        <f>IF(COUNTIF($H56:AE56,"&gt;"&amp;0)&gt;$G56,"",AE56)</f>
        <v/>
      </c>
      <c r="AF89" t="str">
        <f>IF(COUNTIF($H56:AF56,"&gt;"&amp;0)&gt;$G56,"",AF56)</f>
        <v/>
      </c>
    </row>
    <row r="90" spans="5:32">
      <c r="E90" t="str">
        <f t="shared" si="52"/>
        <v>[1210600,1530100,1210300,1320100,1230400,1310100,1210400,1230100,1420200,1310300,1110100]</v>
      </c>
      <c r="F90" t="s">
        <v>379</v>
      </c>
      <c r="H90">
        <f>IF(COUNTIF($H57:H57,"&gt;"&amp;0)&gt;$G57,"",H57)</f>
        <v>1210600</v>
      </c>
      <c r="I90">
        <f>IF(COUNTIF($H57:I57,"&gt;"&amp;0)&gt;$G57,"",I57)</f>
        <v>1530100</v>
      </c>
      <c r="J90">
        <f>IF(COUNTIF($H57:J57,"&gt;"&amp;0)&gt;$G57,"",J57)</f>
        <v>1210300</v>
      </c>
      <c r="K90">
        <f>IF(COUNTIF($H57:K57,"&gt;"&amp;0)&gt;$G57,"",K57)</f>
        <v>1320100</v>
      </c>
      <c r="L90">
        <f>IF(COUNTIF($H57:L57,"&gt;"&amp;0)&gt;$G57,"",L57)</f>
        <v>1230400</v>
      </c>
      <c r="M90">
        <f>IF(COUNTIF($H57:M57,"&gt;"&amp;0)&gt;$G57,"",M57)</f>
        <v>1310100</v>
      </c>
      <c r="N90">
        <f>IF(COUNTIF($H57:N57,"&gt;"&amp;0)&gt;$G57,"",N57)</f>
        <v>1210400</v>
      </c>
      <c r="O90">
        <f>IF(COUNTIF($H57:O57,"&gt;"&amp;0)&gt;$G57,"",O57)</f>
        <v>1230100</v>
      </c>
      <c r="P90">
        <f>IF(COUNTIF($H57:P57,"&gt;"&amp;0)&gt;$G57,"",P57)</f>
        <v>1420200</v>
      </c>
      <c r="Q90" t="str">
        <f>IF(COUNTIF($H57:Q57,"&gt;"&amp;0)&gt;$G57,"",Q57)</f>
        <v/>
      </c>
      <c r="R90" t="str">
        <f>IF(COUNTIF($H57:R57,"&gt;"&amp;0)&gt;$G57,"",R57)</f>
        <v/>
      </c>
      <c r="S90" t="str">
        <f>IF(COUNTIF($H57:S57,"&gt;"&amp;0)&gt;$G57,"",S57)</f>
        <v/>
      </c>
      <c r="T90">
        <f>IF(COUNTIF($H57:T57,"&gt;"&amp;0)&gt;$G57,"",T57)</f>
        <v>1310300</v>
      </c>
      <c r="U90">
        <f>IF(COUNTIF($H57:U57,"&gt;"&amp;0)&gt;$G57,"",U57)</f>
        <v>1110100</v>
      </c>
      <c r="V90" t="str">
        <f>IF(COUNTIF($H57:V57,"&gt;"&amp;0)&gt;$G57,"",V57)</f>
        <v/>
      </c>
      <c r="W90" t="str">
        <f>IF(COUNTIF($H57:W57,"&gt;"&amp;0)&gt;$G57,"",W57)</f>
        <v/>
      </c>
      <c r="X90" t="str">
        <f>IF(COUNTIF($H57:X57,"&gt;"&amp;0)&gt;$G57,"",X57)</f>
        <v/>
      </c>
      <c r="Y90" t="str">
        <f>IF(COUNTIF($H57:Y57,"&gt;"&amp;0)&gt;$G57,"",Y57)</f>
        <v/>
      </c>
      <c r="Z90" t="str">
        <f>IF(COUNTIF($H57:Z57,"&gt;"&amp;0)&gt;$G57,"",Z57)</f>
        <v/>
      </c>
      <c r="AA90" t="str">
        <f>IF(COUNTIF($H57:AA57,"&gt;"&amp;0)&gt;$G57,"",AA57)</f>
        <v/>
      </c>
      <c r="AB90" t="str">
        <f>IF(COUNTIF($H57:AB57,"&gt;"&amp;0)&gt;$G57,"",AB57)</f>
        <v/>
      </c>
      <c r="AC90" t="str">
        <f>IF(COUNTIF($H57:AC57,"&gt;"&amp;0)&gt;$G57,"",AC57)</f>
        <v/>
      </c>
      <c r="AD90" t="str">
        <f>IF(COUNTIF($H57:AD57,"&gt;"&amp;0)&gt;$G57,"",AD57)</f>
        <v/>
      </c>
      <c r="AE90" t="str">
        <f>IF(COUNTIF($H57:AE57,"&gt;"&amp;0)&gt;$G57,"",AE57)</f>
        <v/>
      </c>
      <c r="AF90" t="str">
        <f>IF(COUNTIF($H57:AF57,"&gt;"&amp;0)&gt;$G57,"",AF57)</f>
        <v/>
      </c>
    </row>
    <row r="91" spans="5:32">
      <c r="E91" t="str">
        <f t="shared" si="52"/>
        <v>[1130100,1310300,1210300,1320100,1230400,1310100,1210400,1230100,1420200,1210600,1110100]</v>
      </c>
      <c r="F91" t="s">
        <v>380</v>
      </c>
      <c r="H91">
        <f>IF(COUNTIF($H58:H58,"&gt;"&amp;0)&gt;$G58,"",H58)</f>
        <v>1130100</v>
      </c>
      <c r="I91">
        <f>IF(COUNTIF($H58:I58,"&gt;"&amp;0)&gt;$G58,"",I58)</f>
        <v>1310300</v>
      </c>
      <c r="J91">
        <f>IF(COUNTIF($H58:J58,"&gt;"&amp;0)&gt;$G58,"",J58)</f>
        <v>1210300</v>
      </c>
      <c r="K91">
        <f>IF(COUNTIF($H58:K58,"&gt;"&amp;0)&gt;$G58,"",K58)</f>
        <v>1320100</v>
      </c>
      <c r="L91">
        <f>IF(COUNTIF($H58:L58,"&gt;"&amp;0)&gt;$G58,"",L58)</f>
        <v>1230400</v>
      </c>
      <c r="M91">
        <f>IF(COUNTIF($H58:M58,"&gt;"&amp;0)&gt;$G58,"",M58)</f>
        <v>1310100</v>
      </c>
      <c r="N91">
        <f>IF(COUNTIF($H58:N58,"&gt;"&amp;0)&gt;$G58,"",N58)</f>
        <v>1210400</v>
      </c>
      <c r="O91">
        <f>IF(COUNTIF($H58:O58,"&gt;"&amp;0)&gt;$G58,"",O58)</f>
        <v>1230100</v>
      </c>
      <c r="P91">
        <f>IF(COUNTIF($H58:P58,"&gt;"&amp;0)&gt;$G58,"",P58)</f>
        <v>1420200</v>
      </c>
      <c r="Q91" t="str">
        <f>IF(COUNTIF($H58:Q58,"&gt;"&amp;0)&gt;$G58,"",Q58)</f>
        <v/>
      </c>
      <c r="R91">
        <f>IF(COUNTIF($H58:R58,"&gt;"&amp;0)&gt;$G58,"",R58)</f>
        <v>1210600</v>
      </c>
      <c r="S91" t="str">
        <f>IF(COUNTIF($H58:S58,"&gt;"&amp;0)&gt;$G58,"",S58)</f>
        <v/>
      </c>
      <c r="T91" t="str">
        <f>IF(COUNTIF($H58:T58,"&gt;"&amp;0)&gt;$G58,"",T58)</f>
        <v/>
      </c>
      <c r="U91">
        <f>IF(COUNTIF($H58:U58,"&gt;"&amp;0)&gt;$G58,"",U58)</f>
        <v>1110100</v>
      </c>
      <c r="V91" t="str">
        <f>IF(COUNTIF($H58:V58,"&gt;"&amp;0)&gt;$G58,"",V58)</f>
        <v/>
      </c>
      <c r="W91" t="str">
        <f>IF(COUNTIF($H58:W58,"&gt;"&amp;0)&gt;$G58,"",W58)</f>
        <v/>
      </c>
      <c r="X91" t="str">
        <f>IF(COUNTIF($H58:X58,"&gt;"&amp;0)&gt;$G58,"",X58)</f>
        <v/>
      </c>
      <c r="Y91" t="str">
        <f>IF(COUNTIF($H58:Y58,"&gt;"&amp;0)&gt;$G58,"",Y58)</f>
        <v/>
      </c>
      <c r="Z91" t="str">
        <f>IF(COUNTIF($H58:Z58,"&gt;"&amp;0)&gt;$G58,"",Z58)</f>
        <v/>
      </c>
      <c r="AA91" t="str">
        <f>IF(COUNTIF($H58:AA58,"&gt;"&amp;0)&gt;$G58,"",AA58)</f>
        <v/>
      </c>
      <c r="AB91" t="str">
        <f>IF(COUNTIF($H58:AB58,"&gt;"&amp;0)&gt;$G58,"",AB58)</f>
        <v/>
      </c>
      <c r="AC91" t="str">
        <f>IF(COUNTIF($H58:AC58,"&gt;"&amp;0)&gt;$G58,"",AC58)</f>
        <v/>
      </c>
      <c r="AD91" t="str">
        <f>IF(COUNTIF($H58:AD58,"&gt;"&amp;0)&gt;$G58,"",AD58)</f>
        <v/>
      </c>
      <c r="AE91" t="str">
        <f>IF(COUNTIF($H58:AE58,"&gt;"&amp;0)&gt;$G58,"",AE58)</f>
        <v/>
      </c>
      <c r="AF91" t="str">
        <f>IF(COUNTIF($H58:AF58,"&gt;"&amp;0)&gt;$G58,"",AF58)</f>
        <v/>
      </c>
    </row>
    <row r="92" spans="5:32">
      <c r="E92" t="str">
        <f t="shared" si="52"/>
        <v>[1130100,1530100,1210300,1320100,1230400,1310100,1210400,1230100,1420200,1210600,1310300,1110100]</v>
      </c>
      <c r="F92" t="s">
        <v>382</v>
      </c>
      <c r="H92">
        <f>IF(COUNTIF($H59:H59,"&gt;"&amp;0)&gt;$G59,"",H59)</f>
        <v>1130100</v>
      </c>
      <c r="I92">
        <f>IF(COUNTIF($H59:I59,"&gt;"&amp;0)&gt;$G59,"",I59)</f>
        <v>1530100</v>
      </c>
      <c r="J92">
        <f>IF(COUNTIF($H59:J59,"&gt;"&amp;0)&gt;$G59,"",J59)</f>
        <v>1210300</v>
      </c>
      <c r="K92">
        <f>IF(COUNTIF($H59:K59,"&gt;"&amp;0)&gt;$G59,"",K59)</f>
        <v>1320100</v>
      </c>
      <c r="L92">
        <f>IF(COUNTIF($H59:L59,"&gt;"&amp;0)&gt;$G59,"",L59)</f>
        <v>1230400</v>
      </c>
      <c r="M92">
        <f>IF(COUNTIF($H59:M59,"&gt;"&amp;0)&gt;$G59,"",M59)</f>
        <v>1310100</v>
      </c>
      <c r="N92">
        <f>IF(COUNTIF($H59:N59,"&gt;"&amp;0)&gt;$G59,"",N59)</f>
        <v>1210400</v>
      </c>
      <c r="O92">
        <f>IF(COUNTIF($H59:O59,"&gt;"&amp;0)&gt;$G59,"",O59)</f>
        <v>1230100</v>
      </c>
      <c r="P92">
        <f>IF(COUNTIF($H59:P59,"&gt;"&amp;0)&gt;$G59,"",P59)</f>
        <v>1420200</v>
      </c>
      <c r="Q92" t="str">
        <f>IF(COUNTIF($H59:Q59,"&gt;"&amp;0)&gt;$G59,"",Q59)</f>
        <v/>
      </c>
      <c r="R92">
        <f>IF(COUNTIF($H59:R59,"&gt;"&amp;0)&gt;$G59,"",R59)</f>
        <v>1210600</v>
      </c>
      <c r="S92" t="str">
        <f>IF(COUNTIF($H59:S59,"&gt;"&amp;0)&gt;$G59,"",S59)</f>
        <v/>
      </c>
      <c r="T92">
        <f>IF(COUNTIF($H59:T59,"&gt;"&amp;0)&gt;$G59,"",T59)</f>
        <v>1310300</v>
      </c>
      <c r="U92">
        <f>IF(COUNTIF($H59:U59,"&gt;"&amp;0)&gt;$G59,"",U59)</f>
        <v>1110100</v>
      </c>
      <c r="V92" t="str">
        <f>IF(COUNTIF($H59:V59,"&gt;"&amp;0)&gt;$G59,"",V59)</f>
        <v/>
      </c>
      <c r="W92" t="str">
        <f>IF(COUNTIF($H59:W59,"&gt;"&amp;0)&gt;$G59,"",W59)</f>
        <v/>
      </c>
      <c r="X92" t="str">
        <f>IF(COUNTIF($H59:X59,"&gt;"&amp;0)&gt;$G59,"",X59)</f>
        <v/>
      </c>
      <c r="Y92" t="str">
        <f>IF(COUNTIF($H59:Y59,"&gt;"&amp;0)&gt;$G59,"",Y59)</f>
        <v/>
      </c>
      <c r="Z92" t="str">
        <f>IF(COUNTIF($H59:Z59,"&gt;"&amp;0)&gt;$G59,"",Z59)</f>
        <v/>
      </c>
      <c r="AA92" t="str">
        <f>IF(COUNTIF($H59:AA59,"&gt;"&amp;0)&gt;$G59,"",AA59)</f>
        <v/>
      </c>
      <c r="AB92" t="str">
        <f>IF(COUNTIF($H59:AB59,"&gt;"&amp;0)&gt;$G59,"",AB59)</f>
        <v/>
      </c>
      <c r="AC92" t="str">
        <f>IF(COUNTIF($H59:AC59,"&gt;"&amp;0)&gt;$G59,"",AC59)</f>
        <v/>
      </c>
      <c r="AD92" t="str">
        <f>IF(COUNTIF($H59:AD59,"&gt;"&amp;0)&gt;$G59,"",AD59)</f>
        <v/>
      </c>
      <c r="AE92" t="str">
        <f>IF(COUNTIF($H59:AE59,"&gt;"&amp;0)&gt;$G59,"",AE59)</f>
        <v/>
      </c>
      <c r="AF92" t="str">
        <f>IF(COUNTIF($H59:AF59,"&gt;"&amp;0)&gt;$G59,"",AF59)</f>
        <v/>
      </c>
    </row>
    <row r="93" spans="5:32">
      <c r="E93" t="str">
        <f t="shared" si="52"/>
        <v>[1130100,1530100,1210300,1430700,1230400,1310100,1210400,1230100,1420200,1320100,1210600,1310300,1110100]</v>
      </c>
      <c r="F93" t="s">
        <v>384</v>
      </c>
      <c r="H93">
        <f>IF(COUNTIF($H60:H60,"&gt;"&amp;0)&gt;$G60,"",H60)</f>
        <v>1130100</v>
      </c>
      <c r="I93">
        <f>IF(COUNTIF($H60:I60,"&gt;"&amp;0)&gt;$G60,"",I60)</f>
        <v>1530100</v>
      </c>
      <c r="J93">
        <f>IF(COUNTIF($H60:J60,"&gt;"&amp;0)&gt;$G60,"",J60)</f>
        <v>1210300</v>
      </c>
      <c r="K93">
        <f>IF(COUNTIF($H60:K60,"&gt;"&amp;0)&gt;$G60,"",K60)</f>
        <v>1430700</v>
      </c>
      <c r="L93">
        <f>IF(COUNTIF($H60:L60,"&gt;"&amp;0)&gt;$G60,"",L60)</f>
        <v>1230400</v>
      </c>
      <c r="M93">
        <f>IF(COUNTIF($H60:M60,"&gt;"&amp;0)&gt;$G60,"",M60)</f>
        <v>1310100</v>
      </c>
      <c r="N93">
        <f>IF(COUNTIF($H60:N60,"&gt;"&amp;0)&gt;$G60,"",N60)</f>
        <v>1210400</v>
      </c>
      <c r="O93">
        <f>IF(COUNTIF($H60:O60,"&gt;"&amp;0)&gt;$G60,"",O60)</f>
        <v>1230100</v>
      </c>
      <c r="P93">
        <f>IF(COUNTIF($H60:P60,"&gt;"&amp;0)&gt;$G60,"",P60)</f>
        <v>1420200</v>
      </c>
      <c r="Q93">
        <f>IF(COUNTIF($H60:Q60,"&gt;"&amp;0)&gt;$G60,"",Q60)</f>
        <v>1320100</v>
      </c>
      <c r="R93">
        <f>IF(COUNTIF($H60:R60,"&gt;"&amp;0)&gt;$G60,"",R60)</f>
        <v>1210600</v>
      </c>
      <c r="S93" t="str">
        <f>IF(COUNTIF($H60:S60,"&gt;"&amp;0)&gt;$G60,"",S60)</f>
        <v/>
      </c>
      <c r="T93">
        <f>IF(COUNTIF($H60:T60,"&gt;"&amp;0)&gt;$G60,"",T60)</f>
        <v>1310300</v>
      </c>
      <c r="U93">
        <f>IF(COUNTIF($H60:U60,"&gt;"&amp;0)&gt;$G60,"",U60)</f>
        <v>1110100</v>
      </c>
      <c r="V93" t="str">
        <f>IF(COUNTIF($H60:V60,"&gt;"&amp;0)&gt;$G60,"",V60)</f>
        <v/>
      </c>
      <c r="W93" t="str">
        <f>IF(COUNTIF($H60:W60,"&gt;"&amp;0)&gt;$G60,"",W60)</f>
        <v/>
      </c>
      <c r="X93" t="str">
        <f>IF(COUNTIF($H60:X60,"&gt;"&amp;0)&gt;$G60,"",X60)</f>
        <v/>
      </c>
      <c r="Y93" t="str">
        <f>IF(COUNTIF($H60:Y60,"&gt;"&amp;0)&gt;$G60,"",Y60)</f>
        <v/>
      </c>
      <c r="Z93" t="str">
        <f>IF(COUNTIF($H60:Z60,"&gt;"&amp;0)&gt;$G60,"",Z60)</f>
        <v/>
      </c>
      <c r="AA93" t="str">
        <f>IF(COUNTIF($H60:AA60,"&gt;"&amp;0)&gt;$G60,"",AA60)</f>
        <v/>
      </c>
      <c r="AB93" t="str">
        <f>IF(COUNTIF($H60:AB60,"&gt;"&amp;0)&gt;$G60,"",AB60)</f>
        <v/>
      </c>
      <c r="AC93" t="str">
        <f>IF(COUNTIF($H60:AC60,"&gt;"&amp;0)&gt;$G60,"",AC60)</f>
        <v/>
      </c>
      <c r="AD93" t="str">
        <f>IF(COUNTIF($H60:AD60,"&gt;"&amp;0)&gt;$G60,"",AD60)</f>
        <v/>
      </c>
      <c r="AE93" t="str">
        <f>IF(COUNTIF($H60:AE60,"&gt;"&amp;0)&gt;$G60,"",AE60)</f>
        <v/>
      </c>
      <c r="AF93" t="str">
        <f>IF(COUNTIF($H60:AF60,"&gt;"&amp;0)&gt;$G60,"",AF60)</f>
        <v/>
      </c>
    </row>
    <row r="94" spans="5:32">
      <c r="E94" t="str">
        <f t="shared" si="52"/>
        <v>[1130100,1210300,1430700,1140200,1140100,1310100,1210400,1230100,1420200,1320100,1210600,1230400,1310300,1110100]</v>
      </c>
      <c r="F94" t="s">
        <v>385</v>
      </c>
      <c r="H94">
        <f>IF(COUNTIF($H61:H61,"&gt;"&amp;0)&gt;$G61,"",H61)</f>
        <v>1130100</v>
      </c>
      <c r="I94">
        <f>IF(COUNTIF($H61:I61,"&gt;"&amp;0)&gt;$G61,"",I61)</f>
        <v>1210300</v>
      </c>
      <c r="J94">
        <f>IF(COUNTIF($H61:J61,"&gt;"&amp;0)&gt;$G61,"",J61)</f>
        <v>1430700</v>
      </c>
      <c r="K94">
        <f>IF(COUNTIF($H61:K61,"&gt;"&amp;0)&gt;$G61,"",K61)</f>
        <v>1140200</v>
      </c>
      <c r="L94">
        <f>IF(COUNTIF($H61:L61,"&gt;"&amp;0)&gt;$G61,"",L61)</f>
        <v>1140100</v>
      </c>
      <c r="M94">
        <f>IF(COUNTIF($H61:M61,"&gt;"&amp;0)&gt;$G61,"",M61)</f>
        <v>1310100</v>
      </c>
      <c r="N94">
        <f>IF(COUNTIF($H61:N61,"&gt;"&amp;0)&gt;$G61,"",N61)</f>
        <v>1210400</v>
      </c>
      <c r="O94">
        <f>IF(COUNTIF($H61:O61,"&gt;"&amp;0)&gt;$G61,"",O61)</f>
        <v>1230100</v>
      </c>
      <c r="P94">
        <f>IF(COUNTIF($H61:P61,"&gt;"&amp;0)&gt;$G61,"",P61)</f>
        <v>1420200</v>
      </c>
      <c r="Q94">
        <f>IF(COUNTIF($H61:Q61,"&gt;"&amp;0)&gt;$G61,"",Q61)</f>
        <v>1320100</v>
      </c>
      <c r="R94">
        <f>IF(COUNTIF($H61:R61,"&gt;"&amp;0)&gt;$G61,"",R61)</f>
        <v>1210600</v>
      </c>
      <c r="S94">
        <f>IF(COUNTIF($H61:S61,"&gt;"&amp;0)&gt;$G61,"",S61)</f>
        <v>1230400</v>
      </c>
      <c r="T94">
        <f>IF(COUNTIF($H61:T61,"&gt;"&amp;0)&gt;$G61,"",T61)</f>
        <v>1310300</v>
      </c>
      <c r="U94">
        <f>IF(COUNTIF($H61:U61,"&gt;"&amp;0)&gt;$G61,"",U61)</f>
        <v>1110100</v>
      </c>
      <c r="V94" t="str">
        <f>IF(COUNTIF($H61:V61,"&gt;"&amp;0)&gt;$G61,"",V61)</f>
        <v/>
      </c>
      <c r="W94" t="str">
        <f>IF(COUNTIF($H61:W61,"&gt;"&amp;0)&gt;$G61,"",W61)</f>
        <v/>
      </c>
      <c r="X94" t="str">
        <f>IF(COUNTIF($H61:X61,"&gt;"&amp;0)&gt;$G61,"",X61)</f>
        <v/>
      </c>
      <c r="Y94" t="str">
        <f>IF(COUNTIF($H61:Y61,"&gt;"&amp;0)&gt;$G61,"",Y61)</f>
        <v/>
      </c>
      <c r="Z94" t="str">
        <f>IF(COUNTIF($H61:Z61,"&gt;"&amp;0)&gt;$G61,"",Z61)</f>
        <v/>
      </c>
      <c r="AA94" t="str">
        <f>IF(COUNTIF($H61:AA61,"&gt;"&amp;0)&gt;$G61,"",AA61)</f>
        <v/>
      </c>
      <c r="AB94" t="str">
        <f>IF(COUNTIF($H61:AB61,"&gt;"&amp;0)&gt;$G61,"",AB61)</f>
        <v/>
      </c>
      <c r="AC94" t="str">
        <f>IF(COUNTIF($H61:AC61,"&gt;"&amp;0)&gt;$G61,"",AC61)</f>
        <v/>
      </c>
      <c r="AD94" t="str">
        <f>IF(COUNTIF($H61:AD61,"&gt;"&amp;0)&gt;$G61,"",AD61)</f>
        <v/>
      </c>
      <c r="AE94" t="str">
        <f>IF(COUNTIF($H61:AE61,"&gt;"&amp;0)&gt;$G61,"",AE61)</f>
        <v/>
      </c>
      <c r="AF94" t="str">
        <f>IF(COUNTIF($H61:AF61,"&gt;"&amp;0)&gt;$G61,"",AF61)</f>
        <v/>
      </c>
    </row>
    <row r="95" spans="5:32">
      <c r="E95" t="str">
        <f t="shared" si="52"/>
        <v>[1530100,1210300,1430700,1140200,1140100,1310100,1210400,1230100,1420200,1320100,1210600,1230400,1310300,1110100]</v>
      </c>
      <c r="F95" t="s">
        <v>386</v>
      </c>
      <c r="H95">
        <f>IF(COUNTIF($H62:H62,"&gt;"&amp;0)&gt;$G62,"",H62)</f>
        <v>1530100</v>
      </c>
      <c r="I95">
        <f>IF(COUNTIF($H62:I62,"&gt;"&amp;0)&gt;$G62,"",I62)</f>
        <v>1210300</v>
      </c>
      <c r="J95">
        <f>IF(COUNTIF($H62:J62,"&gt;"&amp;0)&gt;$G62,"",J62)</f>
        <v>1430700</v>
      </c>
      <c r="K95">
        <f>IF(COUNTIF($H62:K62,"&gt;"&amp;0)&gt;$G62,"",K62)</f>
        <v>1140200</v>
      </c>
      <c r="L95">
        <f>IF(COUNTIF($H62:L62,"&gt;"&amp;0)&gt;$G62,"",L62)</f>
        <v>1140100</v>
      </c>
      <c r="M95">
        <f>IF(COUNTIF($H62:M62,"&gt;"&amp;0)&gt;$G62,"",M62)</f>
        <v>1310100</v>
      </c>
      <c r="N95">
        <f>IF(COUNTIF($H62:N62,"&gt;"&amp;0)&gt;$G62,"",N62)</f>
        <v>1210400</v>
      </c>
      <c r="O95">
        <f>IF(COUNTIF($H62:O62,"&gt;"&amp;0)&gt;$G62,"",O62)</f>
        <v>1230100</v>
      </c>
      <c r="P95">
        <f>IF(COUNTIF($H62:P62,"&gt;"&amp;0)&gt;$G62,"",P62)</f>
        <v>1420200</v>
      </c>
      <c r="Q95">
        <f>IF(COUNTIF($H62:Q62,"&gt;"&amp;0)&gt;$G62,"",Q62)</f>
        <v>1320100</v>
      </c>
      <c r="R95">
        <f>IF(COUNTIF($H62:R62,"&gt;"&amp;0)&gt;$G62,"",R62)</f>
        <v>1210600</v>
      </c>
      <c r="S95">
        <f>IF(COUNTIF($H62:S62,"&gt;"&amp;0)&gt;$G62,"",S62)</f>
        <v>1230400</v>
      </c>
      <c r="T95">
        <f>IF(COUNTIF($H62:T62,"&gt;"&amp;0)&gt;$G62,"",T62)</f>
        <v>1310300</v>
      </c>
      <c r="U95">
        <f>IF(COUNTIF($H62:U62,"&gt;"&amp;0)&gt;$G62,"",U62)</f>
        <v>1110100</v>
      </c>
      <c r="V95" t="str">
        <f>IF(COUNTIF($H62:V62,"&gt;"&amp;0)&gt;$G62,"",V62)</f>
        <v/>
      </c>
      <c r="W95" t="str">
        <f>IF(COUNTIF($H62:W62,"&gt;"&amp;0)&gt;$G62,"",W62)</f>
        <v/>
      </c>
      <c r="X95" t="str">
        <f>IF(COUNTIF($H62:X62,"&gt;"&amp;0)&gt;$G62,"",X62)</f>
        <v/>
      </c>
      <c r="Y95" t="str">
        <f>IF(COUNTIF($H62:Y62,"&gt;"&amp;0)&gt;$G62,"",Y62)</f>
        <v/>
      </c>
      <c r="Z95" t="str">
        <f>IF(COUNTIF($H62:Z62,"&gt;"&amp;0)&gt;$G62,"",Z62)</f>
        <v/>
      </c>
      <c r="AA95" t="str">
        <f>IF(COUNTIF($H62:AA62,"&gt;"&amp;0)&gt;$G62,"",AA62)</f>
        <v/>
      </c>
      <c r="AB95" t="str">
        <f>IF(COUNTIF($H62:AB62,"&gt;"&amp;0)&gt;$G62,"",AB62)</f>
        <v/>
      </c>
      <c r="AC95" t="str">
        <f>IF(COUNTIF($H62:AC62,"&gt;"&amp;0)&gt;$G62,"",AC62)</f>
        <v/>
      </c>
      <c r="AD95" t="str">
        <f>IF(COUNTIF($H62:AD62,"&gt;"&amp;0)&gt;$G62,"",AD62)</f>
        <v/>
      </c>
      <c r="AE95" t="str">
        <f>IF(COUNTIF($H62:AE62,"&gt;"&amp;0)&gt;$G62,"",AE62)</f>
        <v/>
      </c>
      <c r="AF95" t="str">
        <f>IF(COUNTIF($H62:AF62,"&gt;"&amp;0)&gt;$G62,"",AF62)</f>
        <v/>
      </c>
    </row>
    <row r="96" spans="5:32">
      <c r="E96" t="str">
        <f t="shared" si="52"/>
        <v>[1130100,1210300,1430700,1230400,1140100,1310100,1210400,1230100,1420200,1320100,1210600,1310300,1110100,1530100]</v>
      </c>
      <c r="F96" t="s">
        <v>387</v>
      </c>
      <c r="H96">
        <f>IF(COUNTIF($H63:H63,"&gt;"&amp;0)&gt;$G63,"",H63)</f>
        <v>1130100</v>
      </c>
      <c r="I96">
        <f>IF(COUNTIF($H63:I63,"&gt;"&amp;0)&gt;$G63,"",I63)</f>
        <v>1210300</v>
      </c>
      <c r="J96">
        <f>IF(COUNTIF($H63:J63,"&gt;"&amp;0)&gt;$G63,"",J63)</f>
        <v>1430700</v>
      </c>
      <c r="K96">
        <f>IF(COUNTIF($H63:K63,"&gt;"&amp;0)&gt;$G63,"",K63)</f>
        <v>1230400</v>
      </c>
      <c r="L96">
        <f>IF(COUNTIF($H63:L63,"&gt;"&amp;0)&gt;$G63,"",L63)</f>
        <v>1140100</v>
      </c>
      <c r="M96">
        <f>IF(COUNTIF($H63:M63,"&gt;"&amp;0)&gt;$G63,"",M63)</f>
        <v>1310100</v>
      </c>
      <c r="N96">
        <f>IF(COUNTIF($H63:N63,"&gt;"&amp;0)&gt;$G63,"",N63)</f>
        <v>1210400</v>
      </c>
      <c r="O96">
        <f>IF(COUNTIF($H63:O63,"&gt;"&amp;0)&gt;$G63,"",O63)</f>
        <v>1230100</v>
      </c>
      <c r="P96">
        <f>IF(COUNTIF($H63:P63,"&gt;"&amp;0)&gt;$G63,"",P63)</f>
        <v>1420200</v>
      </c>
      <c r="Q96">
        <f>IF(COUNTIF($H63:Q63,"&gt;"&amp;0)&gt;$G63,"",Q63)</f>
        <v>1320100</v>
      </c>
      <c r="R96">
        <f>IF(COUNTIF($H63:R63,"&gt;"&amp;0)&gt;$G63,"",R63)</f>
        <v>1210600</v>
      </c>
      <c r="S96" t="str">
        <f>IF(COUNTIF($H63:S63,"&gt;"&amp;0)&gt;$G63,"",S63)</f>
        <v/>
      </c>
      <c r="T96">
        <f>IF(COUNTIF($H63:T63,"&gt;"&amp;0)&gt;$G63,"",T63)</f>
        <v>1310300</v>
      </c>
      <c r="U96">
        <f>IF(COUNTIF($H63:U63,"&gt;"&amp;0)&gt;$G63,"",U63)</f>
        <v>1110100</v>
      </c>
      <c r="V96" t="str">
        <f>IF(COUNTIF($H63:V63,"&gt;"&amp;0)&gt;$G63,"",V63)</f>
        <v/>
      </c>
      <c r="W96">
        <f>IF(COUNTIF($H63:W63,"&gt;"&amp;0)&gt;$G63,"",W63)</f>
        <v>1530100</v>
      </c>
      <c r="X96" t="str">
        <f>IF(COUNTIF($H63:X63,"&gt;"&amp;0)&gt;$G63,"",X63)</f>
        <v/>
      </c>
      <c r="Y96" t="str">
        <f>IF(COUNTIF($H63:Y63,"&gt;"&amp;0)&gt;$G63,"",Y63)</f>
        <v/>
      </c>
      <c r="Z96" t="str">
        <f>IF(COUNTIF($H63:Z63,"&gt;"&amp;0)&gt;$G63,"",Z63)</f>
        <v/>
      </c>
      <c r="AA96" t="str">
        <f>IF(COUNTIF($H63:AA63,"&gt;"&amp;0)&gt;$G63,"",AA63)</f>
        <v/>
      </c>
      <c r="AB96" t="str">
        <f>IF(COUNTIF($H63:AB63,"&gt;"&amp;0)&gt;$G63,"",AB63)</f>
        <v/>
      </c>
      <c r="AC96" t="str">
        <f>IF(COUNTIF($H63:AC63,"&gt;"&amp;0)&gt;$G63,"",AC63)</f>
        <v/>
      </c>
      <c r="AD96" t="str">
        <f>IF(COUNTIF($H63:AD63,"&gt;"&amp;0)&gt;$G63,"",AD63)</f>
        <v/>
      </c>
      <c r="AE96" t="str">
        <f>IF(COUNTIF($H63:AE63,"&gt;"&amp;0)&gt;$G63,"",AE63)</f>
        <v/>
      </c>
      <c r="AF96" t="str">
        <f>IF(COUNTIF($H63:AF63,"&gt;"&amp;0)&gt;$G63,"",AF63)</f>
        <v/>
      </c>
    </row>
    <row r="97" spans="5:32">
      <c r="E97" t="str">
        <f t="shared" si="52"/>
        <v>[1530100,1210300,1430700,1230400,1140100,1310100,1210400,1230100,1420200,1320100,1210600,1310300,1110100,1130100]</v>
      </c>
      <c r="F97" t="s">
        <v>388</v>
      </c>
      <c r="H97">
        <f>IF(COUNTIF($H64:H64,"&gt;"&amp;0)&gt;$G64,"",H64)</f>
        <v>1530100</v>
      </c>
      <c r="I97">
        <f>IF(COUNTIF($H64:I64,"&gt;"&amp;0)&gt;$G64,"",I64)</f>
        <v>1210300</v>
      </c>
      <c r="J97">
        <f>IF(COUNTIF($H64:J64,"&gt;"&amp;0)&gt;$G64,"",J64)</f>
        <v>1430700</v>
      </c>
      <c r="K97">
        <f>IF(COUNTIF($H64:K64,"&gt;"&amp;0)&gt;$G64,"",K64)</f>
        <v>1230400</v>
      </c>
      <c r="L97">
        <f>IF(COUNTIF($H64:L64,"&gt;"&amp;0)&gt;$G64,"",L64)</f>
        <v>1140100</v>
      </c>
      <c r="M97">
        <f>IF(COUNTIF($H64:M64,"&gt;"&amp;0)&gt;$G64,"",M64)</f>
        <v>1310100</v>
      </c>
      <c r="N97">
        <f>IF(COUNTIF($H64:N64,"&gt;"&amp;0)&gt;$G64,"",N64)</f>
        <v>1210400</v>
      </c>
      <c r="O97">
        <f>IF(COUNTIF($H64:O64,"&gt;"&amp;0)&gt;$G64,"",O64)</f>
        <v>1230100</v>
      </c>
      <c r="P97">
        <f>IF(COUNTIF($H64:P64,"&gt;"&amp;0)&gt;$G64,"",P64)</f>
        <v>1420200</v>
      </c>
      <c r="Q97">
        <f>IF(COUNTIF($H64:Q64,"&gt;"&amp;0)&gt;$G64,"",Q64)</f>
        <v>1320100</v>
      </c>
      <c r="R97">
        <f>IF(COUNTIF($H64:R64,"&gt;"&amp;0)&gt;$G64,"",R64)</f>
        <v>1210600</v>
      </c>
      <c r="S97" t="str">
        <f>IF(COUNTIF($H64:S64,"&gt;"&amp;0)&gt;$G64,"",S64)</f>
        <v/>
      </c>
      <c r="T97">
        <f>IF(COUNTIF($H64:T64,"&gt;"&amp;0)&gt;$G64,"",T64)</f>
        <v>1310300</v>
      </c>
      <c r="U97">
        <f>IF(COUNTIF($H64:U64,"&gt;"&amp;0)&gt;$G64,"",U64)</f>
        <v>1110100</v>
      </c>
      <c r="V97">
        <f>IF(COUNTIF($H64:V64,"&gt;"&amp;0)&gt;$G64,"",V64)</f>
        <v>1130100</v>
      </c>
      <c r="W97" t="str">
        <f>IF(COUNTIF($H64:W64,"&gt;"&amp;0)&gt;$G64,"",W64)</f>
        <v/>
      </c>
      <c r="X97" t="str">
        <f>IF(COUNTIF($H64:X64,"&gt;"&amp;0)&gt;$G64,"",X64)</f>
        <v/>
      </c>
      <c r="Y97" t="str">
        <f>IF(COUNTIF($H64:Y64,"&gt;"&amp;0)&gt;$G64,"",Y64)</f>
        <v/>
      </c>
      <c r="Z97" t="str">
        <f>IF(COUNTIF($H64:Z64,"&gt;"&amp;0)&gt;$G64,"",Z64)</f>
        <v/>
      </c>
      <c r="AA97" t="str">
        <f>IF(COUNTIF($H64:AA64,"&gt;"&amp;0)&gt;$G64,"",AA64)</f>
        <v/>
      </c>
      <c r="AB97" t="str">
        <f>IF(COUNTIF($H64:AB64,"&gt;"&amp;0)&gt;$G64,"",AB64)</f>
        <v/>
      </c>
      <c r="AC97" t="str">
        <f>IF(COUNTIF($H64:AC64,"&gt;"&amp;0)&gt;$G64,"",AC64)</f>
        <v/>
      </c>
      <c r="AD97" t="str">
        <f>IF(COUNTIF($H64:AD64,"&gt;"&amp;0)&gt;$G64,"",AD64)</f>
        <v/>
      </c>
      <c r="AE97" t="str">
        <f>IF(COUNTIF($H64:AE64,"&gt;"&amp;0)&gt;$G64,"",AE64)</f>
        <v/>
      </c>
      <c r="AF97" t="str">
        <f>IF(COUNTIF($H64:AF64,"&gt;"&amp;0)&gt;$G64,"",AF64)</f>
        <v/>
      </c>
    </row>
    <row r="98" spans="5:32">
      <c r="E98" t="str">
        <f t="shared" si="52"/>
        <v>[1130100,1210300,1430700,1140200,1230400,1310100,1210400,1230100,1420200,1320100,1210600,1310300,1110100,1530100]</v>
      </c>
      <c r="F98" t="s">
        <v>389</v>
      </c>
      <c r="H98">
        <f>IF(COUNTIF($H65:H65,"&gt;"&amp;0)&gt;$G65,"",H65)</f>
        <v>1130100</v>
      </c>
      <c r="I98">
        <f>IF(COUNTIF($H65:I65,"&gt;"&amp;0)&gt;$G65,"",I65)</f>
        <v>1210300</v>
      </c>
      <c r="J98">
        <f>IF(COUNTIF($H65:J65,"&gt;"&amp;0)&gt;$G65,"",J65)</f>
        <v>1430700</v>
      </c>
      <c r="K98">
        <f>IF(COUNTIF($H65:K65,"&gt;"&amp;0)&gt;$G65,"",K65)</f>
        <v>1140200</v>
      </c>
      <c r="L98">
        <f>IF(COUNTIF($H65:L65,"&gt;"&amp;0)&gt;$G65,"",L65)</f>
        <v>1230400</v>
      </c>
      <c r="M98">
        <f>IF(COUNTIF($H65:M65,"&gt;"&amp;0)&gt;$G65,"",M65)</f>
        <v>1310100</v>
      </c>
      <c r="N98">
        <f>IF(COUNTIF($H65:N65,"&gt;"&amp;0)&gt;$G65,"",N65)</f>
        <v>1210400</v>
      </c>
      <c r="O98">
        <f>IF(COUNTIF($H65:O65,"&gt;"&amp;0)&gt;$G65,"",O65)</f>
        <v>1230100</v>
      </c>
      <c r="P98">
        <f>IF(COUNTIF($H65:P65,"&gt;"&amp;0)&gt;$G65,"",P65)</f>
        <v>1420200</v>
      </c>
      <c r="Q98">
        <f>IF(COUNTIF($H65:Q65,"&gt;"&amp;0)&gt;$G65,"",Q65)</f>
        <v>1320100</v>
      </c>
      <c r="R98">
        <f>IF(COUNTIF($H65:R65,"&gt;"&amp;0)&gt;$G65,"",R65)</f>
        <v>1210600</v>
      </c>
      <c r="S98" t="str">
        <f>IF(COUNTIF($H65:S65,"&gt;"&amp;0)&gt;$G65,"",S65)</f>
        <v/>
      </c>
      <c r="T98">
        <f>IF(COUNTIF($H65:T65,"&gt;"&amp;0)&gt;$G65,"",T65)</f>
        <v>1310300</v>
      </c>
      <c r="U98">
        <f>IF(COUNTIF($H65:U65,"&gt;"&amp;0)&gt;$G65,"",U65)</f>
        <v>1110100</v>
      </c>
      <c r="V98" t="str">
        <f>IF(COUNTIF($H65:V65,"&gt;"&amp;0)&gt;$G65,"",V65)</f>
        <v/>
      </c>
      <c r="W98">
        <f>IF(COUNTIF($H65:W65,"&gt;"&amp;0)&gt;$G65,"",W65)</f>
        <v>1530100</v>
      </c>
      <c r="X98" t="str">
        <f>IF(COUNTIF($H65:X65,"&gt;"&amp;0)&gt;$G65,"",X65)</f>
        <v/>
      </c>
      <c r="Y98" t="str">
        <f>IF(COUNTIF($H65:Y65,"&gt;"&amp;0)&gt;$G65,"",Y65)</f>
        <v/>
      </c>
      <c r="Z98" t="str">
        <f>IF(COUNTIF($H65:Z65,"&gt;"&amp;0)&gt;$G65,"",Z65)</f>
        <v/>
      </c>
      <c r="AA98" t="str">
        <f>IF(COUNTIF($H65:AA65,"&gt;"&amp;0)&gt;$G65,"",AA65)</f>
        <v/>
      </c>
      <c r="AB98" t="str">
        <f>IF(COUNTIF($H65:AB65,"&gt;"&amp;0)&gt;$G65,"",AB65)</f>
        <v/>
      </c>
      <c r="AC98" t="str">
        <f>IF(COUNTIF($H65:AC65,"&gt;"&amp;0)&gt;$G65,"",AC65)</f>
        <v/>
      </c>
      <c r="AD98" t="str">
        <f>IF(COUNTIF($H65:AD65,"&gt;"&amp;0)&gt;$G65,"",AD65)</f>
        <v/>
      </c>
      <c r="AE98" t="str">
        <f>IF(COUNTIF($H65:AE65,"&gt;"&amp;0)&gt;$G65,"",AE65)</f>
        <v/>
      </c>
      <c r="AF98" t="str">
        <f>IF(COUNTIF($H65:AF65,"&gt;"&amp;0)&gt;$G65,"",AF65)</f>
        <v/>
      </c>
    </row>
    <row r="99" spans="5:32">
      <c r="E99" t="str">
        <f t="shared" si="52"/>
        <v>[1530100,1210300,1430700,1140200,1230400,1310100,1210400,1230100,1420200,1320100,1210600,1310300,1110100,1130100]</v>
      </c>
      <c r="F99" t="s">
        <v>390</v>
      </c>
      <c r="H99">
        <f>IF(COUNTIF($H66:H66,"&gt;"&amp;0)&gt;$G66,"",H66)</f>
        <v>1530100</v>
      </c>
      <c r="I99">
        <f>IF(COUNTIF($H66:I66,"&gt;"&amp;0)&gt;$G66,"",I66)</f>
        <v>1210300</v>
      </c>
      <c r="J99">
        <f>IF(COUNTIF($H66:J66,"&gt;"&amp;0)&gt;$G66,"",J66)</f>
        <v>1430700</v>
      </c>
      <c r="K99">
        <f>IF(COUNTIF($H66:K66,"&gt;"&amp;0)&gt;$G66,"",K66)</f>
        <v>1140200</v>
      </c>
      <c r="L99">
        <f>IF(COUNTIF($H66:L66,"&gt;"&amp;0)&gt;$G66,"",L66)</f>
        <v>1230400</v>
      </c>
      <c r="M99">
        <f>IF(COUNTIF($H66:M66,"&gt;"&amp;0)&gt;$G66,"",M66)</f>
        <v>1310100</v>
      </c>
      <c r="N99">
        <f>IF(COUNTIF($H66:N66,"&gt;"&amp;0)&gt;$G66,"",N66)</f>
        <v>1210400</v>
      </c>
      <c r="O99">
        <f>IF(COUNTIF($H66:O66,"&gt;"&amp;0)&gt;$G66,"",O66)</f>
        <v>1230100</v>
      </c>
      <c r="P99">
        <f>IF(COUNTIF($H66:P66,"&gt;"&amp;0)&gt;$G66,"",P66)</f>
        <v>1420200</v>
      </c>
      <c r="Q99">
        <f>IF(COUNTIF($H66:Q66,"&gt;"&amp;0)&gt;$G66,"",Q66)</f>
        <v>1320100</v>
      </c>
      <c r="R99">
        <f>IF(COUNTIF($H66:R66,"&gt;"&amp;0)&gt;$G66,"",R66)</f>
        <v>1210600</v>
      </c>
      <c r="S99" t="str">
        <f>IF(COUNTIF($H66:S66,"&gt;"&amp;0)&gt;$G66,"",S66)</f>
        <v/>
      </c>
      <c r="T99">
        <f>IF(COUNTIF($H66:T66,"&gt;"&amp;0)&gt;$G66,"",T66)</f>
        <v>1310300</v>
      </c>
      <c r="U99">
        <f>IF(COUNTIF($H66:U66,"&gt;"&amp;0)&gt;$G66,"",U66)</f>
        <v>1110100</v>
      </c>
      <c r="V99">
        <f>IF(COUNTIF($H66:V66,"&gt;"&amp;0)&gt;$G66,"",V66)</f>
        <v>1130100</v>
      </c>
      <c r="W99" t="str">
        <f>IF(COUNTIF($H66:W66,"&gt;"&amp;0)&gt;$G66,"",W66)</f>
        <v/>
      </c>
      <c r="X99" t="str">
        <f>IF(COUNTIF($H66:X66,"&gt;"&amp;0)&gt;$G66,"",X66)</f>
        <v/>
      </c>
      <c r="Y99" t="str">
        <f>IF(COUNTIF($H66:Y66,"&gt;"&amp;0)&gt;$G66,"",Y66)</f>
        <v/>
      </c>
      <c r="Z99" t="str">
        <f>IF(COUNTIF($H66:Z66,"&gt;"&amp;0)&gt;$G66,"",Z66)</f>
        <v/>
      </c>
      <c r="AA99" t="str">
        <f>IF(COUNTIF($H66:AA66,"&gt;"&amp;0)&gt;$G66,"",AA66)</f>
        <v/>
      </c>
      <c r="AB99" t="str">
        <f>IF(COUNTIF($H66:AB66,"&gt;"&amp;0)&gt;$G66,"",AB66)</f>
        <v/>
      </c>
      <c r="AC99" t="str">
        <f>IF(COUNTIF($H66:AC66,"&gt;"&amp;0)&gt;$G66,"",AC66)</f>
        <v/>
      </c>
      <c r="AD99" t="str">
        <f>IF(COUNTIF($H66:AD66,"&gt;"&amp;0)&gt;$G66,"",AD66)</f>
        <v/>
      </c>
      <c r="AE99" t="str">
        <f>IF(COUNTIF($H66:AE66,"&gt;"&amp;0)&gt;$G66,"",AE66)</f>
        <v/>
      </c>
      <c r="AF99" t="str">
        <f>IF(COUNTIF($H66:AF66,"&gt;"&amp;0)&gt;$G66,"",AF66)</f>
        <v/>
      </c>
    </row>
    <row r="100" spans="5:32">
      <c r="E100" t="str">
        <f t="shared" si="52"/>
        <v>[1130100,1210300,1430700,1140200,1140100,1310100,1210400,1230100,1420200,1320100,1210600,1230400,1310300,1110100,1530100]</v>
      </c>
      <c r="F100" t="s">
        <v>391</v>
      </c>
      <c r="H100">
        <f>IF(COUNTIF($H67:H67,"&gt;"&amp;0)&gt;$G67,"",H67)</f>
        <v>1130100</v>
      </c>
      <c r="I100">
        <f>IF(COUNTIF($H67:I67,"&gt;"&amp;0)&gt;$G67,"",I67)</f>
        <v>1210300</v>
      </c>
      <c r="J100">
        <f>IF(COUNTIF($H67:J67,"&gt;"&amp;0)&gt;$G67,"",J67)</f>
        <v>1430700</v>
      </c>
      <c r="K100">
        <f>IF(COUNTIF($H67:K67,"&gt;"&amp;0)&gt;$G67,"",K67)</f>
        <v>1140200</v>
      </c>
      <c r="L100">
        <f>IF(COUNTIF($H67:L67,"&gt;"&amp;0)&gt;$G67,"",L67)</f>
        <v>1140100</v>
      </c>
      <c r="M100">
        <f>IF(COUNTIF($H67:M67,"&gt;"&amp;0)&gt;$G67,"",M67)</f>
        <v>1310100</v>
      </c>
      <c r="N100">
        <f>IF(COUNTIF($H67:N67,"&gt;"&amp;0)&gt;$G67,"",N67)</f>
        <v>1210400</v>
      </c>
      <c r="O100">
        <f>IF(COUNTIF($H67:O67,"&gt;"&amp;0)&gt;$G67,"",O67)</f>
        <v>1230100</v>
      </c>
      <c r="P100">
        <f>IF(COUNTIF($H67:P67,"&gt;"&amp;0)&gt;$G67,"",P67)</f>
        <v>1420200</v>
      </c>
      <c r="Q100">
        <f>IF(COUNTIF($H67:Q67,"&gt;"&amp;0)&gt;$G67,"",Q67)</f>
        <v>1320100</v>
      </c>
      <c r="R100">
        <f>IF(COUNTIF($H67:R67,"&gt;"&amp;0)&gt;$G67,"",R67)</f>
        <v>1210600</v>
      </c>
      <c r="S100">
        <f>IF(COUNTIF($H67:S67,"&gt;"&amp;0)&gt;$G67,"",S67)</f>
        <v>1230400</v>
      </c>
      <c r="T100">
        <f>IF(COUNTIF($H67:T67,"&gt;"&amp;0)&gt;$G67,"",T67)</f>
        <v>1310300</v>
      </c>
      <c r="U100">
        <f>IF(COUNTIF($H67:U67,"&gt;"&amp;0)&gt;$G67,"",U67)</f>
        <v>1110100</v>
      </c>
      <c r="V100" t="str">
        <f>IF(COUNTIF($H67:V67,"&gt;"&amp;0)&gt;$G67,"",V67)</f>
        <v/>
      </c>
      <c r="W100">
        <f>IF(COUNTIF($H67:W67,"&gt;"&amp;0)&gt;$G67,"",W67)</f>
        <v>1530100</v>
      </c>
      <c r="X100" t="str">
        <f>IF(COUNTIF($H67:X67,"&gt;"&amp;0)&gt;$G67,"",X67)</f>
        <v/>
      </c>
      <c r="Y100" t="str">
        <f>IF(COUNTIF($H67:Y67,"&gt;"&amp;0)&gt;$G67,"",Y67)</f>
        <v/>
      </c>
      <c r="Z100" t="str">
        <f>IF(COUNTIF($H67:Z67,"&gt;"&amp;0)&gt;$G67,"",Z67)</f>
        <v/>
      </c>
      <c r="AA100" t="str">
        <f>IF(COUNTIF($H67:AA67,"&gt;"&amp;0)&gt;$G67,"",AA67)</f>
        <v/>
      </c>
      <c r="AB100" t="str">
        <f>IF(COUNTIF($H67:AB67,"&gt;"&amp;0)&gt;$G67,"",AB67)</f>
        <v/>
      </c>
      <c r="AC100" t="str">
        <f>IF(COUNTIF($H67:AC67,"&gt;"&amp;0)&gt;$G67,"",AC67)</f>
        <v/>
      </c>
      <c r="AD100" t="str">
        <f>IF(COUNTIF($H67:AD67,"&gt;"&amp;0)&gt;$G67,"",AD67)</f>
        <v/>
      </c>
      <c r="AE100" t="str">
        <f>IF(COUNTIF($H67:AE67,"&gt;"&amp;0)&gt;$G67,"",AE67)</f>
        <v/>
      </c>
      <c r="AF100" t="str">
        <f>IF(COUNTIF($H67:AF67,"&gt;"&amp;0)&gt;$G67,"",AF67)</f>
        <v/>
      </c>
    </row>
    <row r="101" spans="5:32">
      <c r="E101" t="str">
        <f t="shared" si="52"/>
        <v>[1530100,1210300,1430700,1140200,1140100,1310100,1210400,1230100,1420200,1320100,1210600,1230400,1310300,1110100,1130100]</v>
      </c>
      <c r="F101" t="s">
        <v>392</v>
      </c>
      <c r="H101">
        <f>IF(COUNTIF($H68:H68,"&gt;"&amp;0)&gt;$G68,"",H68)</f>
        <v>1530100</v>
      </c>
      <c r="I101">
        <f>IF(COUNTIF($H68:I68,"&gt;"&amp;0)&gt;$G68,"",I68)</f>
        <v>1210300</v>
      </c>
      <c r="J101">
        <f>IF(COUNTIF($H68:J68,"&gt;"&amp;0)&gt;$G68,"",J68)</f>
        <v>1430700</v>
      </c>
      <c r="K101">
        <f>IF(COUNTIF($H68:K68,"&gt;"&amp;0)&gt;$G68,"",K68)</f>
        <v>1140200</v>
      </c>
      <c r="L101">
        <f>IF(COUNTIF($H68:L68,"&gt;"&amp;0)&gt;$G68,"",L68)</f>
        <v>1140100</v>
      </c>
      <c r="M101">
        <f>IF(COUNTIF($H68:M68,"&gt;"&amp;0)&gt;$G68,"",M68)</f>
        <v>1310100</v>
      </c>
      <c r="N101">
        <f>IF(COUNTIF($H68:N68,"&gt;"&amp;0)&gt;$G68,"",N68)</f>
        <v>1210400</v>
      </c>
      <c r="O101">
        <f>IF(COUNTIF($H68:O68,"&gt;"&amp;0)&gt;$G68,"",O68)</f>
        <v>1230100</v>
      </c>
      <c r="P101">
        <f>IF(COUNTIF($H68:P68,"&gt;"&amp;0)&gt;$G68,"",P68)</f>
        <v>1420200</v>
      </c>
      <c r="Q101">
        <f>IF(COUNTIF($H68:Q68,"&gt;"&amp;0)&gt;$G68,"",Q68)</f>
        <v>1320100</v>
      </c>
      <c r="R101">
        <f>IF(COUNTIF($H68:R68,"&gt;"&amp;0)&gt;$G68,"",R68)</f>
        <v>1210600</v>
      </c>
      <c r="S101">
        <f>IF(COUNTIF($H68:S68,"&gt;"&amp;0)&gt;$G68,"",S68)</f>
        <v>1230400</v>
      </c>
      <c r="T101">
        <f>IF(COUNTIF($H68:T68,"&gt;"&amp;0)&gt;$G68,"",T68)</f>
        <v>1310300</v>
      </c>
      <c r="U101">
        <f>IF(COUNTIF($H68:U68,"&gt;"&amp;0)&gt;$G68,"",U68)</f>
        <v>1110100</v>
      </c>
      <c r="V101">
        <f>IF(COUNTIF($H68:V68,"&gt;"&amp;0)&gt;$G68,"",V68)</f>
        <v>1130100</v>
      </c>
      <c r="W101" t="str">
        <f>IF(COUNTIF($H68:W68,"&gt;"&amp;0)&gt;$G68,"",W68)</f>
        <v/>
      </c>
      <c r="X101" t="str">
        <f>IF(COUNTIF($H68:X68,"&gt;"&amp;0)&gt;$G68,"",X68)</f>
        <v/>
      </c>
      <c r="Y101" t="str">
        <f>IF(COUNTIF($H68:Y68,"&gt;"&amp;0)&gt;$G68,"",Y68)</f>
        <v/>
      </c>
      <c r="Z101" t="str">
        <f>IF(COUNTIF($H68:Z68,"&gt;"&amp;0)&gt;$G68,"",Z68)</f>
        <v/>
      </c>
      <c r="AA101" t="str">
        <f>IF(COUNTIF($H68:AA68,"&gt;"&amp;0)&gt;$G68,"",AA68)</f>
        <v/>
      </c>
      <c r="AB101" t="str">
        <f>IF(COUNTIF($H68:AB68,"&gt;"&amp;0)&gt;$G68,"",AB68)</f>
        <v/>
      </c>
      <c r="AC101" t="str">
        <f>IF(COUNTIF($H68:AC68,"&gt;"&amp;0)&gt;$G68,"",AC68)</f>
        <v/>
      </c>
      <c r="AD101" t="str">
        <f>IF(COUNTIF($H68:AD68,"&gt;"&amp;0)&gt;$G68,"",AD68)</f>
        <v/>
      </c>
      <c r="AE101" t="str">
        <f>IF(COUNTIF($H68:AE68,"&gt;"&amp;0)&gt;$G68,"",AE68)</f>
        <v/>
      </c>
      <c r="AF101" t="str">
        <f>IF(COUNTIF($H68:AF68,"&gt;"&amp;0)&gt;$G68,"",AF68)</f>
        <v/>
      </c>
    </row>
    <row r="102" spans="5:32">
      <c r="E102" t="str">
        <f t="shared" si="52"/>
        <v>[1130100,1210300,1430700,1230400,1140100,1310100,1210400,1230100,1420200,1320100,1210600,1310300,1110100,1530100,1140200]</v>
      </c>
      <c r="F102" t="s">
        <v>393</v>
      </c>
      <c r="H102">
        <f>IF(COUNTIF($H69:H69,"&gt;"&amp;0)&gt;$G69,"",H69)</f>
        <v>1130100</v>
      </c>
      <c r="I102">
        <f>IF(COUNTIF($H69:I69,"&gt;"&amp;0)&gt;$G69,"",I69)</f>
        <v>1210300</v>
      </c>
      <c r="J102">
        <f>IF(COUNTIF($H69:J69,"&gt;"&amp;0)&gt;$G69,"",J69)</f>
        <v>1430700</v>
      </c>
      <c r="K102">
        <f>IF(COUNTIF($H69:K69,"&gt;"&amp;0)&gt;$G69,"",K69)</f>
        <v>1230400</v>
      </c>
      <c r="L102">
        <f>IF(COUNTIF($H69:L69,"&gt;"&amp;0)&gt;$G69,"",L69)</f>
        <v>1140100</v>
      </c>
      <c r="M102">
        <f>IF(COUNTIF($H69:M69,"&gt;"&amp;0)&gt;$G69,"",M69)</f>
        <v>1310100</v>
      </c>
      <c r="N102">
        <f>IF(COUNTIF($H69:N69,"&gt;"&amp;0)&gt;$G69,"",N69)</f>
        <v>1210400</v>
      </c>
      <c r="O102">
        <f>IF(COUNTIF($H69:O69,"&gt;"&amp;0)&gt;$G69,"",O69)</f>
        <v>1230100</v>
      </c>
      <c r="P102">
        <f>IF(COUNTIF($H69:P69,"&gt;"&amp;0)&gt;$G69,"",P69)</f>
        <v>1420200</v>
      </c>
      <c r="Q102">
        <f>IF(COUNTIF($H69:Q69,"&gt;"&amp;0)&gt;$G69,"",Q69)</f>
        <v>1320100</v>
      </c>
      <c r="R102">
        <f>IF(COUNTIF($H69:R69,"&gt;"&amp;0)&gt;$G69,"",R69)</f>
        <v>1210600</v>
      </c>
      <c r="S102" t="str">
        <f>IF(COUNTIF($H69:S69,"&gt;"&amp;0)&gt;$G69,"",S69)</f>
        <v/>
      </c>
      <c r="T102">
        <f>IF(COUNTIF($H69:T69,"&gt;"&amp;0)&gt;$G69,"",T69)</f>
        <v>1310300</v>
      </c>
      <c r="U102">
        <f>IF(COUNTIF($H69:U69,"&gt;"&amp;0)&gt;$G69,"",U69)</f>
        <v>1110100</v>
      </c>
      <c r="V102" t="str">
        <f>IF(COUNTIF($H69:V69,"&gt;"&amp;0)&gt;$G69,"",V69)</f>
        <v/>
      </c>
      <c r="W102">
        <f>IF(COUNTIF($H69:W69,"&gt;"&amp;0)&gt;$G69,"",W69)</f>
        <v>1530100</v>
      </c>
      <c r="X102" t="str">
        <f>IF(COUNTIF($H69:X69,"&gt;"&amp;0)&gt;$G69,"",X69)</f>
        <v/>
      </c>
      <c r="Y102" t="str">
        <f>IF(COUNTIF($H69:Y69,"&gt;"&amp;0)&gt;$G69,"",Y69)</f>
        <v/>
      </c>
      <c r="Z102" t="str">
        <f>IF(COUNTIF($H69:Z69,"&gt;"&amp;0)&gt;$G69,"",Z69)</f>
        <v/>
      </c>
      <c r="AA102">
        <f>IF(COUNTIF($H69:AA69,"&gt;"&amp;0)&gt;$G69,"",AA69)</f>
        <v>1140200</v>
      </c>
      <c r="AB102" t="str">
        <f>IF(COUNTIF($H69:AB69,"&gt;"&amp;0)&gt;$G69,"",AB69)</f>
        <v/>
      </c>
      <c r="AC102" t="str">
        <f>IF(COUNTIF($H69:AC69,"&gt;"&amp;0)&gt;$G69,"",AC69)</f>
        <v/>
      </c>
      <c r="AD102" t="str">
        <f>IF(COUNTIF($H69:AD69,"&gt;"&amp;0)&gt;$G69,"",AD69)</f>
        <v/>
      </c>
      <c r="AE102" t="str">
        <f>IF(COUNTIF($H69:AE69,"&gt;"&amp;0)&gt;$G69,"",AE69)</f>
        <v/>
      </c>
      <c r="AF102" t="str">
        <f>IF(COUNTIF($H69:AF69,"&gt;"&amp;0)&gt;$G69,"",AF69)</f>
        <v/>
      </c>
    </row>
    <row r="103" spans="5:32">
      <c r="E103" t="str">
        <f t="shared" si="52"/>
        <v>[1530100,1210300,1430700,1230400,1140100,1310100,1210400,1230100,1420200,1320100,1210600,1310300,1110100,1130100,1140200]</v>
      </c>
      <c r="F103" t="s">
        <v>394</v>
      </c>
      <c r="H103">
        <f>IF(COUNTIF($H70:H70,"&gt;"&amp;0)&gt;$G70,"",H70)</f>
        <v>1530100</v>
      </c>
      <c r="I103">
        <f>IF(COUNTIF($H70:I70,"&gt;"&amp;0)&gt;$G70,"",I70)</f>
        <v>1210300</v>
      </c>
      <c r="J103">
        <f>IF(COUNTIF($H70:J70,"&gt;"&amp;0)&gt;$G70,"",J70)</f>
        <v>1430700</v>
      </c>
      <c r="K103">
        <f>IF(COUNTIF($H70:K70,"&gt;"&amp;0)&gt;$G70,"",K70)</f>
        <v>1230400</v>
      </c>
      <c r="L103">
        <f>IF(COUNTIF($H70:L70,"&gt;"&amp;0)&gt;$G70,"",L70)</f>
        <v>1140100</v>
      </c>
      <c r="M103">
        <f>IF(COUNTIF($H70:M70,"&gt;"&amp;0)&gt;$G70,"",M70)</f>
        <v>1310100</v>
      </c>
      <c r="N103">
        <f>IF(COUNTIF($H70:N70,"&gt;"&amp;0)&gt;$G70,"",N70)</f>
        <v>1210400</v>
      </c>
      <c r="O103">
        <f>IF(COUNTIF($H70:O70,"&gt;"&amp;0)&gt;$G70,"",O70)</f>
        <v>1230100</v>
      </c>
      <c r="P103">
        <f>IF(COUNTIF($H70:P70,"&gt;"&amp;0)&gt;$G70,"",P70)</f>
        <v>1420200</v>
      </c>
      <c r="Q103">
        <f>IF(COUNTIF($H70:Q70,"&gt;"&amp;0)&gt;$G70,"",Q70)</f>
        <v>1320100</v>
      </c>
      <c r="R103">
        <f>IF(COUNTIF($H70:R70,"&gt;"&amp;0)&gt;$G70,"",R70)</f>
        <v>1210600</v>
      </c>
      <c r="S103" t="str">
        <f>IF(COUNTIF($H70:S70,"&gt;"&amp;0)&gt;$G70,"",S70)</f>
        <v/>
      </c>
      <c r="T103">
        <f>IF(COUNTIF($H70:T70,"&gt;"&amp;0)&gt;$G70,"",T70)</f>
        <v>1310300</v>
      </c>
      <c r="U103">
        <f>IF(COUNTIF($H70:U70,"&gt;"&amp;0)&gt;$G70,"",U70)</f>
        <v>1110100</v>
      </c>
      <c r="V103">
        <f>IF(COUNTIF($H70:V70,"&gt;"&amp;0)&gt;$G70,"",V70)</f>
        <v>1130100</v>
      </c>
      <c r="W103" t="str">
        <f>IF(COUNTIF($H70:W70,"&gt;"&amp;0)&gt;$G70,"",W70)</f>
        <v/>
      </c>
      <c r="X103" t="str">
        <f>IF(COUNTIF($H70:X70,"&gt;"&amp;0)&gt;$G70,"",X70)</f>
        <v/>
      </c>
      <c r="Y103" t="str">
        <f>IF(COUNTIF($H70:Y70,"&gt;"&amp;0)&gt;$G70,"",Y70)</f>
        <v/>
      </c>
      <c r="Z103" t="str">
        <f>IF(COUNTIF($H70:Z70,"&gt;"&amp;0)&gt;$G70,"",Z70)</f>
        <v/>
      </c>
      <c r="AA103">
        <f>IF(COUNTIF($H70:AA70,"&gt;"&amp;0)&gt;$G70,"",AA70)</f>
        <v>1140200</v>
      </c>
      <c r="AB103" t="str">
        <f>IF(COUNTIF($H70:AB70,"&gt;"&amp;0)&gt;$G70,"",AB70)</f>
        <v/>
      </c>
      <c r="AC103" t="str">
        <f>IF(COUNTIF($H70:AC70,"&gt;"&amp;0)&gt;$G70,"",AC70)</f>
        <v/>
      </c>
      <c r="AD103" t="str">
        <f>IF(COUNTIF($H70:AD70,"&gt;"&amp;0)&gt;$G70,"",AD70)</f>
        <v/>
      </c>
      <c r="AE103" t="str">
        <f>IF(COUNTIF($H70:AE70,"&gt;"&amp;0)&gt;$G70,"",AE70)</f>
        <v/>
      </c>
      <c r="AF103" t="str">
        <f>IF(COUNTIF($H70:AF70,"&gt;"&amp;0)&gt;$G70,"",AF70)</f>
        <v/>
      </c>
    </row>
    <row r="104" spans="5:32">
      <c r="E104" t="str">
        <f t="shared" si="52"/>
        <v>[1130100,1210300,1430700,1140200,1230400,1310100,1210400,1230100,1420200,1320100,1210600,1310300,1110100,1530100,1140100]</v>
      </c>
      <c r="F104" t="s">
        <v>395</v>
      </c>
      <c r="H104">
        <f>IF(COUNTIF($H71:H71,"&gt;"&amp;0)&gt;$G71,"",H71)</f>
        <v>1130100</v>
      </c>
      <c r="I104">
        <f>IF(COUNTIF($H71:I71,"&gt;"&amp;0)&gt;$G71,"",I71)</f>
        <v>1210300</v>
      </c>
      <c r="J104">
        <f>IF(COUNTIF($H71:J71,"&gt;"&amp;0)&gt;$G71,"",J71)</f>
        <v>1430700</v>
      </c>
      <c r="K104">
        <f>IF(COUNTIF($H71:K71,"&gt;"&amp;0)&gt;$G71,"",K71)</f>
        <v>1140200</v>
      </c>
      <c r="L104">
        <f>IF(COUNTIF($H71:L71,"&gt;"&amp;0)&gt;$G71,"",L71)</f>
        <v>1230400</v>
      </c>
      <c r="M104">
        <f>IF(COUNTIF($H71:M71,"&gt;"&amp;0)&gt;$G71,"",M71)</f>
        <v>1310100</v>
      </c>
      <c r="N104">
        <f>IF(COUNTIF($H71:N71,"&gt;"&amp;0)&gt;$G71,"",N71)</f>
        <v>1210400</v>
      </c>
      <c r="O104">
        <f>IF(COUNTIF($H71:O71,"&gt;"&amp;0)&gt;$G71,"",O71)</f>
        <v>1230100</v>
      </c>
      <c r="P104">
        <f>IF(COUNTIF($H71:P71,"&gt;"&amp;0)&gt;$G71,"",P71)</f>
        <v>1420200</v>
      </c>
      <c r="Q104">
        <f>IF(COUNTIF($H71:Q71,"&gt;"&amp;0)&gt;$G71,"",Q71)</f>
        <v>1320100</v>
      </c>
      <c r="R104">
        <f>IF(COUNTIF($H71:R71,"&gt;"&amp;0)&gt;$G71,"",R71)</f>
        <v>1210600</v>
      </c>
      <c r="S104" t="str">
        <f>IF(COUNTIF($H71:S71,"&gt;"&amp;0)&gt;$G71,"",S71)</f>
        <v/>
      </c>
      <c r="T104">
        <f>IF(COUNTIF($H71:T71,"&gt;"&amp;0)&gt;$G71,"",T71)</f>
        <v>1310300</v>
      </c>
      <c r="U104">
        <f>IF(COUNTIF($H71:U71,"&gt;"&amp;0)&gt;$G71,"",U71)</f>
        <v>1110100</v>
      </c>
      <c r="V104" t="str">
        <f>IF(COUNTIF($H71:V71,"&gt;"&amp;0)&gt;$G71,"",V71)</f>
        <v/>
      </c>
      <c r="W104">
        <f>IF(COUNTIF($H71:W71,"&gt;"&amp;0)&gt;$G71,"",W71)</f>
        <v>1530100</v>
      </c>
      <c r="X104" t="str">
        <f>IF(COUNTIF($H71:X71,"&gt;"&amp;0)&gt;$G71,"",X71)</f>
        <v/>
      </c>
      <c r="Y104" t="str">
        <f>IF(COUNTIF($H71:Y71,"&gt;"&amp;0)&gt;$G71,"",Y71)</f>
        <v/>
      </c>
      <c r="Z104">
        <f>IF(COUNTIF($H71:Z71,"&gt;"&amp;0)&gt;$G71,"",Z71)</f>
        <v>1140100</v>
      </c>
      <c r="AA104" t="str">
        <f>IF(COUNTIF($H71:AA71,"&gt;"&amp;0)&gt;$G71,"",AA71)</f>
        <v/>
      </c>
      <c r="AB104" t="str">
        <f>IF(COUNTIF($H71:AB71,"&gt;"&amp;0)&gt;$G71,"",AB71)</f>
        <v/>
      </c>
      <c r="AC104" t="str">
        <f>IF(COUNTIF($H71:AC71,"&gt;"&amp;0)&gt;$G71,"",AC71)</f>
        <v/>
      </c>
      <c r="AD104" t="str">
        <f>IF(COUNTIF($H71:AD71,"&gt;"&amp;0)&gt;$G71,"",AD71)</f>
        <v/>
      </c>
      <c r="AE104" t="str">
        <f>IF(COUNTIF($H71:AE71,"&gt;"&amp;0)&gt;$G71,"",AE71)</f>
        <v/>
      </c>
      <c r="AF104" t="str">
        <f>IF(COUNTIF($H71:AF71,"&gt;"&amp;0)&gt;$G71,"",AF71)</f>
        <v/>
      </c>
    </row>
    <row r="105" spans="5:32">
      <c r="E105" t="str">
        <f t="shared" si="52"/>
        <v>[1530100,1210300,1430700,1140200,1230400,1310100,1210400,1230100,1420200,1320100,1210600,1310300,1110100,1130100,1140100]</v>
      </c>
      <c r="F105" t="s">
        <v>396</v>
      </c>
      <c r="H105">
        <f>IF(COUNTIF($H72:H72,"&gt;"&amp;0)&gt;$G72,"",H72)</f>
        <v>1530100</v>
      </c>
      <c r="I105">
        <f>IF(COUNTIF($H72:I72,"&gt;"&amp;0)&gt;$G72,"",I72)</f>
        <v>1210300</v>
      </c>
      <c r="J105">
        <f>IF(COUNTIF($H72:J72,"&gt;"&amp;0)&gt;$G72,"",J72)</f>
        <v>1430700</v>
      </c>
      <c r="K105">
        <f>IF(COUNTIF($H72:K72,"&gt;"&amp;0)&gt;$G72,"",K72)</f>
        <v>1140200</v>
      </c>
      <c r="L105">
        <f>IF(COUNTIF($H72:L72,"&gt;"&amp;0)&gt;$G72,"",L72)</f>
        <v>1230400</v>
      </c>
      <c r="M105">
        <f>IF(COUNTIF($H72:M72,"&gt;"&amp;0)&gt;$G72,"",M72)</f>
        <v>1310100</v>
      </c>
      <c r="N105">
        <f>IF(COUNTIF($H72:N72,"&gt;"&amp;0)&gt;$G72,"",N72)</f>
        <v>1210400</v>
      </c>
      <c r="O105">
        <f>IF(COUNTIF($H72:O72,"&gt;"&amp;0)&gt;$G72,"",O72)</f>
        <v>1230100</v>
      </c>
      <c r="P105">
        <f>IF(COUNTIF($H72:P72,"&gt;"&amp;0)&gt;$G72,"",P72)</f>
        <v>1420200</v>
      </c>
      <c r="Q105">
        <f>IF(COUNTIF($H72:Q72,"&gt;"&amp;0)&gt;$G72,"",Q72)</f>
        <v>1320100</v>
      </c>
      <c r="R105">
        <f>IF(COUNTIF($H72:R72,"&gt;"&amp;0)&gt;$G72,"",R72)</f>
        <v>1210600</v>
      </c>
      <c r="S105" t="str">
        <f>IF(COUNTIF($H72:S72,"&gt;"&amp;0)&gt;$G72,"",S72)</f>
        <v/>
      </c>
      <c r="T105">
        <f>IF(COUNTIF($H72:T72,"&gt;"&amp;0)&gt;$G72,"",T72)</f>
        <v>1310300</v>
      </c>
      <c r="U105">
        <f>IF(COUNTIF($H72:U72,"&gt;"&amp;0)&gt;$G72,"",U72)</f>
        <v>1110100</v>
      </c>
      <c r="V105">
        <f>IF(COUNTIF($H72:V72,"&gt;"&amp;0)&gt;$G72,"",V72)</f>
        <v>1130100</v>
      </c>
      <c r="W105" t="str">
        <f>IF(COUNTIF($H72:W72,"&gt;"&amp;0)&gt;$G72,"",W72)</f>
        <v/>
      </c>
      <c r="X105" t="str">
        <f>IF(COUNTIF($H72:X72,"&gt;"&amp;0)&gt;$G72,"",X72)</f>
        <v/>
      </c>
      <c r="Y105" t="str">
        <f>IF(COUNTIF($H72:Y72,"&gt;"&amp;0)&gt;$G72,"",Y72)</f>
        <v/>
      </c>
      <c r="Z105">
        <f>IF(COUNTIF($H72:Z72,"&gt;"&amp;0)&gt;$G72,"",Z72)</f>
        <v>1140100</v>
      </c>
      <c r="AA105" t="str">
        <f>IF(COUNTIF($H72:AA72,"&gt;"&amp;0)&gt;$G72,"",AA72)</f>
        <v/>
      </c>
      <c r="AB105" t="str">
        <f>IF(COUNTIF($H72:AB72,"&gt;"&amp;0)&gt;$G72,"",AB72)</f>
        <v/>
      </c>
      <c r="AC105" t="str">
        <f>IF(COUNTIF($H72:AC72,"&gt;"&amp;0)&gt;$G72,"",AC72)</f>
        <v/>
      </c>
      <c r="AD105" t="str">
        <f>IF(COUNTIF($H72:AD72,"&gt;"&amp;0)&gt;$G72,"",AD72)</f>
        <v/>
      </c>
      <c r="AE105" t="str">
        <f>IF(COUNTIF($H72:AE72,"&gt;"&amp;0)&gt;$G72,"",AE72)</f>
        <v/>
      </c>
      <c r="AF105" t="str">
        <f>IF(COUNTIF($H72:AF72,"&gt;"&amp;0)&gt;$G72,"",AF72)</f>
        <v/>
      </c>
    </row>
    <row r="106" spans="5:32">
      <c r="E106" t="str">
        <f t="shared" si="52"/>
        <v>[1420300,1210300,1430700,1140200,1140100,1310100,1210400,1230100,1420200,1320100,1210600,1230400,1310300,1110100,1130100,1530100]</v>
      </c>
      <c r="F106" t="s">
        <v>397</v>
      </c>
      <c r="H106">
        <f>IF(COUNTIF($H73:H73,"&gt;"&amp;0)&gt;$G73,"",H73)</f>
        <v>1420300</v>
      </c>
      <c r="I106">
        <f>IF(COUNTIF($H73:I73,"&gt;"&amp;0)&gt;$G73,"",I73)</f>
        <v>1210300</v>
      </c>
      <c r="J106">
        <f>IF(COUNTIF($H73:J73,"&gt;"&amp;0)&gt;$G73,"",J73)</f>
        <v>1430700</v>
      </c>
      <c r="K106">
        <f>IF(COUNTIF($H73:K73,"&gt;"&amp;0)&gt;$G73,"",K73)</f>
        <v>1140200</v>
      </c>
      <c r="L106">
        <f>IF(COUNTIF($H73:L73,"&gt;"&amp;0)&gt;$G73,"",L73)</f>
        <v>1140100</v>
      </c>
      <c r="M106">
        <f>IF(COUNTIF($H73:M73,"&gt;"&amp;0)&gt;$G73,"",M73)</f>
        <v>1310100</v>
      </c>
      <c r="N106">
        <f>IF(COUNTIF($H73:N73,"&gt;"&amp;0)&gt;$G73,"",N73)</f>
        <v>1210400</v>
      </c>
      <c r="O106">
        <f>IF(COUNTIF($H73:O73,"&gt;"&amp;0)&gt;$G73,"",O73)</f>
        <v>1230100</v>
      </c>
      <c r="P106">
        <f>IF(COUNTIF($H73:P73,"&gt;"&amp;0)&gt;$G73,"",P73)</f>
        <v>1420200</v>
      </c>
      <c r="Q106">
        <f>IF(COUNTIF($H73:Q73,"&gt;"&amp;0)&gt;$G73,"",Q73)</f>
        <v>1320100</v>
      </c>
      <c r="R106">
        <f>IF(COUNTIF($H73:R73,"&gt;"&amp;0)&gt;$G73,"",R73)</f>
        <v>1210600</v>
      </c>
      <c r="S106">
        <f>IF(COUNTIF($H73:S73,"&gt;"&amp;0)&gt;$G73,"",S73)</f>
        <v>1230400</v>
      </c>
      <c r="T106">
        <f>IF(COUNTIF($H73:T73,"&gt;"&amp;0)&gt;$G73,"",T73)</f>
        <v>1310300</v>
      </c>
      <c r="U106">
        <f>IF(COUNTIF($H73:U73,"&gt;"&amp;0)&gt;$G73,"",U73)</f>
        <v>1110100</v>
      </c>
      <c r="V106">
        <f>IF(COUNTIF($H73:V73,"&gt;"&amp;0)&gt;$G73,"",V73)</f>
        <v>1130100</v>
      </c>
      <c r="W106">
        <f>IF(COUNTIF($H73:W73,"&gt;"&amp;0)&gt;$G73,"",W73)</f>
        <v>1530100</v>
      </c>
      <c r="X106" t="str">
        <f>IF(COUNTIF($H73:X73,"&gt;"&amp;0)&gt;$G73,"",X73)</f>
        <v/>
      </c>
      <c r="Y106" t="str">
        <f>IF(COUNTIF($H73:Y73,"&gt;"&amp;0)&gt;$G73,"",Y73)</f>
        <v/>
      </c>
      <c r="Z106" t="str">
        <f>IF(COUNTIF($H73:Z73,"&gt;"&amp;0)&gt;$G73,"",Z73)</f>
        <v/>
      </c>
      <c r="AA106" t="str">
        <f>IF(COUNTIF($H73:AA73,"&gt;"&amp;0)&gt;$G73,"",AA73)</f>
        <v/>
      </c>
      <c r="AB106" t="str">
        <f>IF(COUNTIF($H73:AB73,"&gt;"&amp;0)&gt;$G73,"",AB73)</f>
        <v/>
      </c>
      <c r="AC106" t="str">
        <f>IF(COUNTIF($H73:AC73,"&gt;"&amp;0)&gt;$G73,"",AC73)</f>
        <v/>
      </c>
      <c r="AD106" t="str">
        <f>IF(COUNTIF($H73:AD73,"&gt;"&amp;0)&gt;$G73,"",AD73)</f>
        <v/>
      </c>
      <c r="AE106" t="str">
        <f>IF(COUNTIF($H73:AE73,"&gt;"&amp;0)&gt;$G73,"",AE73)</f>
        <v/>
      </c>
      <c r="AF106" t="str">
        <f>IF(COUNTIF($H73:AF73,"&gt;"&amp;0)&gt;$G73,"",AF73)</f>
        <v/>
      </c>
    </row>
    <row r="107" spans="5:32">
      <c r="E107" t="str">
        <f t="shared" si="52"/>
        <v>[1530200,1210300,1430700,1140200,1140100,1310100,1210400,1230100,1420200,1320100,1210600,1230400,1310300,1110100,1130100,1530100]</v>
      </c>
      <c r="F107" t="s">
        <v>398</v>
      </c>
      <c r="H107">
        <f>IF(COUNTIF($H74:H74,"&gt;"&amp;0)&gt;$G74,"",H74)</f>
        <v>1530200</v>
      </c>
      <c r="I107">
        <f>IF(COUNTIF($H74:I74,"&gt;"&amp;0)&gt;$G74,"",I74)</f>
        <v>1210300</v>
      </c>
      <c r="J107">
        <f>IF(COUNTIF($H74:J74,"&gt;"&amp;0)&gt;$G74,"",J74)</f>
        <v>1430700</v>
      </c>
      <c r="K107">
        <f>IF(COUNTIF($H74:K74,"&gt;"&amp;0)&gt;$G74,"",K74)</f>
        <v>1140200</v>
      </c>
      <c r="L107">
        <f>IF(COUNTIF($H74:L74,"&gt;"&amp;0)&gt;$G74,"",L74)</f>
        <v>1140100</v>
      </c>
      <c r="M107">
        <f>IF(COUNTIF($H74:M74,"&gt;"&amp;0)&gt;$G74,"",M74)</f>
        <v>1310100</v>
      </c>
      <c r="N107">
        <f>IF(COUNTIF($H74:N74,"&gt;"&amp;0)&gt;$G74,"",N74)</f>
        <v>1210400</v>
      </c>
      <c r="O107">
        <f>IF(COUNTIF($H74:O74,"&gt;"&amp;0)&gt;$G74,"",O74)</f>
        <v>1230100</v>
      </c>
      <c r="P107">
        <f>IF(COUNTIF($H74:P74,"&gt;"&amp;0)&gt;$G74,"",P74)</f>
        <v>1420200</v>
      </c>
      <c r="Q107">
        <f>IF(COUNTIF($H74:Q74,"&gt;"&amp;0)&gt;$G74,"",Q74)</f>
        <v>1320100</v>
      </c>
      <c r="R107">
        <f>IF(COUNTIF($H74:R74,"&gt;"&amp;0)&gt;$G74,"",R74)</f>
        <v>1210600</v>
      </c>
      <c r="S107">
        <f>IF(COUNTIF($H74:S74,"&gt;"&amp;0)&gt;$G74,"",S74)</f>
        <v>1230400</v>
      </c>
      <c r="T107">
        <f>IF(COUNTIF($H74:T74,"&gt;"&amp;0)&gt;$G74,"",T74)</f>
        <v>1310300</v>
      </c>
      <c r="U107">
        <f>IF(COUNTIF($H74:U74,"&gt;"&amp;0)&gt;$G74,"",U74)</f>
        <v>1110100</v>
      </c>
      <c r="V107">
        <f>IF(COUNTIF($H74:V74,"&gt;"&amp;0)&gt;$G74,"",V74)</f>
        <v>1130100</v>
      </c>
      <c r="W107">
        <f>IF(COUNTIF($H74:W74,"&gt;"&amp;0)&gt;$G74,"",W74)</f>
        <v>1530100</v>
      </c>
      <c r="X107" t="str">
        <f>IF(COUNTIF($H74:X74,"&gt;"&amp;0)&gt;$G74,"",X74)</f>
        <v/>
      </c>
      <c r="Y107" t="str">
        <f>IF(COUNTIF($H74:Y74,"&gt;"&amp;0)&gt;$G74,"",Y74)</f>
        <v/>
      </c>
      <c r="Z107" t="str">
        <f>IF(COUNTIF($H74:Z74,"&gt;"&amp;0)&gt;$G74,"",Z74)</f>
        <v/>
      </c>
      <c r="AA107" t="str">
        <f>IF(COUNTIF($H74:AA74,"&gt;"&amp;0)&gt;$G74,"",AA74)</f>
        <v/>
      </c>
      <c r="AB107" t="str">
        <f>IF(COUNTIF($H74:AB74,"&gt;"&amp;0)&gt;$G74,"",AB74)</f>
        <v/>
      </c>
      <c r="AC107" t="str">
        <f>IF(COUNTIF($H74:AC74,"&gt;"&amp;0)&gt;$G74,"",AC74)</f>
        <v/>
      </c>
      <c r="AD107" t="str">
        <f>IF(COUNTIF($H74:AD74,"&gt;"&amp;0)&gt;$G74,"",AD74)</f>
        <v/>
      </c>
      <c r="AE107" t="str">
        <f>IF(COUNTIF($H74:AE74,"&gt;"&amp;0)&gt;$G74,"",AE74)</f>
        <v/>
      </c>
      <c r="AF107" t="str">
        <f>IF(COUNTIF($H74:AF74,"&gt;"&amp;0)&gt;$G74,"",AF74)</f>
        <v/>
      </c>
    </row>
    <row r="108" spans="5:32">
      <c r="E108" t="str">
        <f t="shared" si="52"/>
        <v>[1410200,1210300,1430700,1140200,1140100,1310100,1210400,1230100,1420200,1320100,1210600,1230400,1310300,1110100,1130100,1530100]</v>
      </c>
      <c r="F108" t="s">
        <v>399</v>
      </c>
      <c r="H108">
        <f>IF(COUNTIF($H75:H75,"&gt;"&amp;0)&gt;$G75,"",H75)</f>
        <v>1410200</v>
      </c>
      <c r="I108">
        <f>IF(COUNTIF($H75:I75,"&gt;"&amp;0)&gt;$G75,"",I75)</f>
        <v>1210300</v>
      </c>
      <c r="J108">
        <f>IF(COUNTIF($H75:J75,"&gt;"&amp;0)&gt;$G75,"",J75)</f>
        <v>1430700</v>
      </c>
      <c r="K108">
        <f>IF(COUNTIF($H75:K75,"&gt;"&amp;0)&gt;$G75,"",K75)</f>
        <v>1140200</v>
      </c>
      <c r="L108">
        <f>IF(COUNTIF($H75:L75,"&gt;"&amp;0)&gt;$G75,"",L75)</f>
        <v>1140100</v>
      </c>
      <c r="M108">
        <f>IF(COUNTIF($H75:M75,"&gt;"&amp;0)&gt;$G75,"",M75)</f>
        <v>1310100</v>
      </c>
      <c r="N108">
        <f>IF(COUNTIF($H75:N75,"&gt;"&amp;0)&gt;$G75,"",N75)</f>
        <v>1210400</v>
      </c>
      <c r="O108">
        <f>IF(COUNTIF($H75:O75,"&gt;"&amp;0)&gt;$G75,"",O75)</f>
        <v>1230100</v>
      </c>
      <c r="P108">
        <f>IF(COUNTIF($H75:P75,"&gt;"&amp;0)&gt;$G75,"",P75)</f>
        <v>1420200</v>
      </c>
      <c r="Q108">
        <f>IF(COUNTIF($H75:Q75,"&gt;"&amp;0)&gt;$G75,"",Q75)</f>
        <v>1320100</v>
      </c>
      <c r="R108">
        <f>IF(COUNTIF($H75:R75,"&gt;"&amp;0)&gt;$G75,"",R75)</f>
        <v>1210600</v>
      </c>
      <c r="S108">
        <f>IF(COUNTIF($H75:S75,"&gt;"&amp;0)&gt;$G75,"",S75)</f>
        <v>1230400</v>
      </c>
      <c r="T108">
        <f>IF(COUNTIF($H75:T75,"&gt;"&amp;0)&gt;$G75,"",T75)</f>
        <v>1310300</v>
      </c>
      <c r="U108">
        <f>IF(COUNTIF($H75:U75,"&gt;"&amp;0)&gt;$G75,"",U75)</f>
        <v>1110100</v>
      </c>
      <c r="V108">
        <f>IF(COUNTIF($H75:V75,"&gt;"&amp;0)&gt;$G75,"",V75)</f>
        <v>1130100</v>
      </c>
      <c r="W108">
        <f>IF(COUNTIF($H75:W75,"&gt;"&amp;0)&gt;$G75,"",W75)</f>
        <v>1530100</v>
      </c>
      <c r="X108" t="str">
        <f>IF(COUNTIF($H75:X75,"&gt;"&amp;0)&gt;$G75,"",X75)</f>
        <v/>
      </c>
      <c r="Y108" t="str">
        <f>IF(COUNTIF($H75:Y75,"&gt;"&amp;0)&gt;$G75,"",Y75)</f>
        <v/>
      </c>
      <c r="Z108" t="str">
        <f>IF(COUNTIF($H75:Z75,"&gt;"&amp;0)&gt;$G75,"",Z75)</f>
        <v/>
      </c>
      <c r="AA108" t="str">
        <f>IF(COUNTIF($H75:AA75,"&gt;"&amp;0)&gt;$G75,"",AA75)</f>
        <v/>
      </c>
      <c r="AB108" t="str">
        <f>IF(COUNTIF($H75:AB75,"&gt;"&amp;0)&gt;$G75,"",AB75)</f>
        <v/>
      </c>
      <c r="AC108" t="str">
        <f>IF(COUNTIF($H75:AC75,"&gt;"&amp;0)&gt;$G75,"",AC75)</f>
        <v/>
      </c>
      <c r="AD108" t="str">
        <f>IF(COUNTIF($H75:AD75,"&gt;"&amp;0)&gt;$G75,"",AD75)</f>
        <v/>
      </c>
      <c r="AE108" t="str">
        <f>IF(COUNTIF($H75:AE75,"&gt;"&amp;0)&gt;$G75,"",AE75)</f>
        <v/>
      </c>
      <c r="AF108" t="str">
        <f>IF(COUNTIF($H75:AF75,"&gt;"&amp;0)&gt;$G75,"",AF75)</f>
        <v/>
      </c>
    </row>
    <row r="109" spans="5:32">
      <c r="E109" t="str">
        <f t="shared" si="52"/>
        <v>[1420300,1530200,1210300,1140200,1140100,1310100,1210400,1230100,1420200,1320100,1210600,1230400,1310300,1110100,1130100,1530100,1430700]</v>
      </c>
      <c r="F109" t="s">
        <v>400</v>
      </c>
      <c r="H109">
        <f>IF(COUNTIF($H76:H76,"&gt;"&amp;0)&gt;$G76,"",H76)</f>
        <v>1420300</v>
      </c>
      <c r="I109">
        <f>IF(COUNTIF($H76:I76,"&gt;"&amp;0)&gt;$G76,"",I76)</f>
        <v>1530200</v>
      </c>
      <c r="J109">
        <f>IF(COUNTIF($H76:J76,"&gt;"&amp;0)&gt;$G76,"",J76)</f>
        <v>1210300</v>
      </c>
      <c r="K109">
        <f>IF(COUNTIF($H76:K76,"&gt;"&amp;0)&gt;$G76,"",K76)</f>
        <v>1140200</v>
      </c>
      <c r="L109">
        <f>IF(COUNTIF($H76:L76,"&gt;"&amp;0)&gt;$G76,"",L76)</f>
        <v>1140100</v>
      </c>
      <c r="M109">
        <f>IF(COUNTIF($H76:M76,"&gt;"&amp;0)&gt;$G76,"",M76)</f>
        <v>1310100</v>
      </c>
      <c r="N109">
        <f>IF(COUNTIF($H76:N76,"&gt;"&amp;0)&gt;$G76,"",N76)</f>
        <v>1210400</v>
      </c>
      <c r="O109">
        <f>IF(COUNTIF($H76:O76,"&gt;"&amp;0)&gt;$G76,"",O76)</f>
        <v>1230100</v>
      </c>
      <c r="P109">
        <f>IF(COUNTIF($H76:P76,"&gt;"&amp;0)&gt;$G76,"",P76)</f>
        <v>1420200</v>
      </c>
      <c r="Q109">
        <f>IF(COUNTIF($H76:Q76,"&gt;"&amp;0)&gt;$G76,"",Q76)</f>
        <v>1320100</v>
      </c>
      <c r="R109">
        <f>IF(COUNTIF($H76:R76,"&gt;"&amp;0)&gt;$G76,"",R76)</f>
        <v>1210600</v>
      </c>
      <c r="S109">
        <f>IF(COUNTIF($H76:S76,"&gt;"&amp;0)&gt;$G76,"",S76)</f>
        <v>1230400</v>
      </c>
      <c r="T109">
        <f>IF(COUNTIF($H76:T76,"&gt;"&amp;0)&gt;$G76,"",T76)</f>
        <v>1310300</v>
      </c>
      <c r="U109">
        <f>IF(COUNTIF($H76:U76,"&gt;"&amp;0)&gt;$G76,"",U76)</f>
        <v>1110100</v>
      </c>
      <c r="V109">
        <f>IF(COUNTIF($H76:V76,"&gt;"&amp;0)&gt;$G76,"",V76)</f>
        <v>1130100</v>
      </c>
      <c r="W109">
        <f>IF(COUNTIF($H76:W76,"&gt;"&amp;0)&gt;$G76,"",W76)</f>
        <v>1530100</v>
      </c>
      <c r="X109" t="str">
        <f>IF(COUNTIF($H76:X76,"&gt;"&amp;0)&gt;$G76,"",X76)</f>
        <v/>
      </c>
      <c r="Y109">
        <f>IF(COUNTIF($H76:Y76,"&gt;"&amp;0)&gt;$G76,"",Y76)</f>
        <v>1430700</v>
      </c>
      <c r="Z109" t="str">
        <f>IF(COUNTIF($H76:Z76,"&gt;"&amp;0)&gt;$G76,"",Z76)</f>
        <v/>
      </c>
      <c r="AA109" t="str">
        <f>IF(COUNTIF($H76:AA76,"&gt;"&amp;0)&gt;$G76,"",AA76)</f>
        <v/>
      </c>
      <c r="AB109" t="str">
        <f>IF(COUNTIF($H76:AB76,"&gt;"&amp;0)&gt;$G76,"",AB76)</f>
        <v/>
      </c>
      <c r="AC109" t="str">
        <f>IF(COUNTIF($H76:AC76,"&gt;"&amp;0)&gt;$G76,"",AC76)</f>
        <v/>
      </c>
      <c r="AD109" t="str">
        <f>IF(COUNTIF($H76:AD76,"&gt;"&amp;0)&gt;$G76,"",AD76)</f>
        <v/>
      </c>
      <c r="AE109" t="str">
        <f>IF(COUNTIF($H76:AE76,"&gt;"&amp;0)&gt;$G76,"",AE76)</f>
        <v/>
      </c>
      <c r="AF109" t="str">
        <f>IF(COUNTIF($H76:AF76,"&gt;"&amp;0)&gt;$G76,"",AF76)</f>
        <v/>
      </c>
    </row>
    <row r="110" spans="5:32">
      <c r="E110" t="str">
        <f t="shared" si="52"/>
        <v>[1410200,1530200,1210300,1140200,1140100,1310100,1210400,1230100,1420200,1320100,1210600,1230400,1310300,1110100,1130100,1530100,1430700]</v>
      </c>
      <c r="F110" t="s">
        <v>401</v>
      </c>
      <c r="H110">
        <f>IF(COUNTIF($H77:H77,"&gt;"&amp;0)&gt;$G77,"",H77)</f>
        <v>1410200</v>
      </c>
      <c r="I110">
        <f>IF(COUNTIF($H77:I77,"&gt;"&amp;0)&gt;$G77,"",I77)</f>
        <v>1530200</v>
      </c>
      <c r="J110">
        <f>IF(COUNTIF($H77:J77,"&gt;"&amp;0)&gt;$G77,"",J77)</f>
        <v>1210300</v>
      </c>
      <c r="K110">
        <f>IF(COUNTIF($H77:K77,"&gt;"&amp;0)&gt;$G77,"",K77)</f>
        <v>1140200</v>
      </c>
      <c r="L110">
        <f>IF(COUNTIF($H77:L77,"&gt;"&amp;0)&gt;$G77,"",L77)</f>
        <v>1140100</v>
      </c>
      <c r="M110">
        <f>IF(COUNTIF($H77:M77,"&gt;"&amp;0)&gt;$G77,"",M77)</f>
        <v>1310100</v>
      </c>
      <c r="N110">
        <f>IF(COUNTIF($H77:N77,"&gt;"&amp;0)&gt;$G77,"",N77)</f>
        <v>1210400</v>
      </c>
      <c r="O110">
        <f>IF(COUNTIF($H77:O77,"&gt;"&amp;0)&gt;$G77,"",O77)</f>
        <v>1230100</v>
      </c>
      <c r="P110">
        <f>IF(COUNTIF($H77:P77,"&gt;"&amp;0)&gt;$G77,"",P77)</f>
        <v>1420200</v>
      </c>
      <c r="Q110">
        <f>IF(COUNTIF($H77:Q77,"&gt;"&amp;0)&gt;$G77,"",Q77)</f>
        <v>1320100</v>
      </c>
      <c r="R110">
        <f>IF(COUNTIF($H77:R77,"&gt;"&amp;0)&gt;$G77,"",R77)</f>
        <v>1210600</v>
      </c>
      <c r="S110">
        <f>IF(COUNTIF($H77:S77,"&gt;"&amp;0)&gt;$G77,"",S77)</f>
        <v>1230400</v>
      </c>
      <c r="T110">
        <f>IF(COUNTIF($H77:T77,"&gt;"&amp;0)&gt;$G77,"",T77)</f>
        <v>1310300</v>
      </c>
      <c r="U110">
        <f>IF(COUNTIF($H77:U77,"&gt;"&amp;0)&gt;$G77,"",U77)</f>
        <v>1110100</v>
      </c>
      <c r="V110">
        <f>IF(COUNTIF($H77:V77,"&gt;"&amp;0)&gt;$G77,"",V77)</f>
        <v>1130100</v>
      </c>
      <c r="W110">
        <f>IF(COUNTIF($H77:W77,"&gt;"&amp;0)&gt;$G77,"",W77)</f>
        <v>1530100</v>
      </c>
      <c r="X110" t="str">
        <f>IF(COUNTIF($H77:X77,"&gt;"&amp;0)&gt;$G77,"",X77)</f>
        <v/>
      </c>
      <c r="Y110">
        <f>IF(COUNTIF($H77:Y77,"&gt;"&amp;0)&gt;$G77,"",Y77)</f>
        <v>1430700</v>
      </c>
      <c r="Z110" t="str">
        <f>IF(COUNTIF($H77:Z77,"&gt;"&amp;0)&gt;$G77,"",Z77)</f>
        <v/>
      </c>
      <c r="AA110" t="str">
        <f>IF(COUNTIF($H77:AA77,"&gt;"&amp;0)&gt;$G77,"",AA77)</f>
        <v/>
      </c>
      <c r="AB110" t="str">
        <f>IF(COUNTIF($H77:AB77,"&gt;"&amp;0)&gt;$G77,"",AB77)</f>
        <v/>
      </c>
      <c r="AC110" t="str">
        <f>IF(COUNTIF($H77:AC77,"&gt;"&amp;0)&gt;$G77,"",AC77)</f>
        <v/>
      </c>
      <c r="AD110" t="str">
        <f>IF(COUNTIF($H77:AD77,"&gt;"&amp;0)&gt;$G77,"",AD77)</f>
        <v/>
      </c>
      <c r="AE110" t="str">
        <f>IF(COUNTIF($H77:AE77,"&gt;"&amp;0)&gt;$G77,"",AE77)</f>
        <v/>
      </c>
      <c r="AF110" t="str">
        <f>IF(COUNTIF($H77:AF77,"&gt;"&amp;0)&gt;$G77,"",AF77)</f>
        <v/>
      </c>
    </row>
    <row r="111" spans="5:32">
      <c r="E111" t="str">
        <f t="shared" si="52"/>
        <v>[1410200,1420300,1210300,1140200,1140100,1310100,1210400,1230100,1420200,1320100,1210600,1230400,1310300,1110100,1130100,1530100,1430700]</v>
      </c>
      <c r="F111" t="s">
        <v>402</v>
      </c>
      <c r="H111">
        <f>IF(COUNTIF($H78:H78,"&gt;"&amp;0)&gt;$G78,"",H78)</f>
        <v>1410200</v>
      </c>
      <c r="I111">
        <f>IF(COUNTIF($H78:I78,"&gt;"&amp;0)&gt;$G78,"",I78)</f>
        <v>1420300</v>
      </c>
      <c r="J111">
        <f>IF(COUNTIF($H78:J78,"&gt;"&amp;0)&gt;$G78,"",J78)</f>
        <v>1210300</v>
      </c>
      <c r="K111">
        <f>IF(COUNTIF($H78:K78,"&gt;"&amp;0)&gt;$G78,"",K78)</f>
        <v>1140200</v>
      </c>
      <c r="L111">
        <f>IF(COUNTIF($H78:L78,"&gt;"&amp;0)&gt;$G78,"",L78)</f>
        <v>1140100</v>
      </c>
      <c r="M111">
        <f>IF(COUNTIF($H78:M78,"&gt;"&amp;0)&gt;$G78,"",M78)</f>
        <v>1310100</v>
      </c>
      <c r="N111">
        <f>IF(COUNTIF($H78:N78,"&gt;"&amp;0)&gt;$G78,"",N78)</f>
        <v>1210400</v>
      </c>
      <c r="O111">
        <f>IF(COUNTIF($H78:O78,"&gt;"&amp;0)&gt;$G78,"",O78)</f>
        <v>1230100</v>
      </c>
      <c r="P111">
        <f>IF(COUNTIF($H78:P78,"&gt;"&amp;0)&gt;$G78,"",P78)</f>
        <v>1420200</v>
      </c>
      <c r="Q111">
        <f>IF(COUNTIF($H78:Q78,"&gt;"&amp;0)&gt;$G78,"",Q78)</f>
        <v>1320100</v>
      </c>
      <c r="R111">
        <f>IF(COUNTIF($H78:R78,"&gt;"&amp;0)&gt;$G78,"",R78)</f>
        <v>1210600</v>
      </c>
      <c r="S111">
        <f>IF(COUNTIF($H78:S78,"&gt;"&amp;0)&gt;$G78,"",S78)</f>
        <v>1230400</v>
      </c>
      <c r="T111">
        <f>IF(COUNTIF($H78:T78,"&gt;"&amp;0)&gt;$G78,"",T78)</f>
        <v>1310300</v>
      </c>
      <c r="U111">
        <f>IF(COUNTIF($H78:U78,"&gt;"&amp;0)&gt;$G78,"",U78)</f>
        <v>1110100</v>
      </c>
      <c r="V111">
        <f>IF(COUNTIF($H78:V78,"&gt;"&amp;0)&gt;$G78,"",V78)</f>
        <v>1130100</v>
      </c>
      <c r="W111">
        <f>IF(COUNTIF($H78:W78,"&gt;"&amp;0)&gt;$G78,"",W78)</f>
        <v>1530100</v>
      </c>
      <c r="X111" t="str">
        <f>IF(COUNTIF($H78:X78,"&gt;"&amp;0)&gt;$G78,"",X78)</f>
        <v/>
      </c>
      <c r="Y111">
        <f>IF(COUNTIF($H78:Y78,"&gt;"&amp;0)&gt;$G78,"",Y78)</f>
        <v>1430700</v>
      </c>
      <c r="Z111" t="str">
        <f>IF(COUNTIF($H78:Z78,"&gt;"&amp;0)&gt;$G78,"",Z78)</f>
        <v/>
      </c>
      <c r="AA111" t="str">
        <f>IF(COUNTIF($H78:AA78,"&gt;"&amp;0)&gt;$G78,"",AA78)</f>
        <v/>
      </c>
      <c r="AB111" t="str">
        <f>IF(COUNTIF($H78:AB78,"&gt;"&amp;0)&gt;$G78,"",AB78)</f>
        <v/>
      </c>
      <c r="AC111" t="str">
        <f>IF(COUNTIF($H78:AC78,"&gt;"&amp;0)&gt;$G78,"",AC78)</f>
        <v/>
      </c>
      <c r="AD111" t="str">
        <f>IF(COUNTIF($H78:AD78,"&gt;"&amp;0)&gt;$G78,"",AD78)</f>
        <v/>
      </c>
      <c r="AE111" t="str">
        <f>IF(COUNTIF($H78:AE78,"&gt;"&amp;0)&gt;$G78,"",AE78)</f>
        <v/>
      </c>
      <c r="AF111" t="str">
        <f>IF(COUNTIF($H78:AF78,"&gt;"&amp;0)&gt;$G78,"",AF78)</f>
        <v/>
      </c>
    </row>
    <row r="112" spans="5:32">
      <c r="E112" t="str">
        <f t="shared" si="52"/>
        <v>[1410200,1420300,1530200,1210300,1140100,1310100,1210400,1230100,1420200,1320100,1210600,1230400,1310300,1110100,1130100,1530100,1430700,1140200]</v>
      </c>
      <c r="F112" t="s">
        <v>403</v>
      </c>
      <c r="H112">
        <f>IF(COUNTIF($H79:H79,"&gt;"&amp;0)&gt;$G79,"",H79)</f>
        <v>1410200</v>
      </c>
      <c r="I112">
        <f>IF(COUNTIF($H79:I79,"&gt;"&amp;0)&gt;$G79,"",I79)</f>
        <v>1420300</v>
      </c>
      <c r="J112">
        <f>IF(COUNTIF($H79:J79,"&gt;"&amp;0)&gt;$G79,"",J79)</f>
        <v>1530200</v>
      </c>
      <c r="K112">
        <f>IF(COUNTIF($H79:K79,"&gt;"&amp;0)&gt;$G79,"",K79)</f>
        <v>1210300</v>
      </c>
      <c r="L112">
        <f>IF(COUNTIF($H79:L79,"&gt;"&amp;0)&gt;$G79,"",L79)</f>
        <v>1140100</v>
      </c>
      <c r="M112">
        <f>IF(COUNTIF($H79:M79,"&gt;"&amp;0)&gt;$G79,"",M79)</f>
        <v>1310100</v>
      </c>
      <c r="N112">
        <f>IF(COUNTIF($H79:N79,"&gt;"&amp;0)&gt;$G79,"",N79)</f>
        <v>1210400</v>
      </c>
      <c r="O112">
        <f>IF(COUNTIF($H79:O79,"&gt;"&amp;0)&gt;$G79,"",O79)</f>
        <v>1230100</v>
      </c>
      <c r="P112">
        <f>IF(COUNTIF($H79:P79,"&gt;"&amp;0)&gt;$G79,"",P79)</f>
        <v>1420200</v>
      </c>
      <c r="Q112">
        <f>IF(COUNTIF($H79:Q79,"&gt;"&amp;0)&gt;$G79,"",Q79)</f>
        <v>1320100</v>
      </c>
      <c r="R112">
        <f>IF(COUNTIF($H79:R79,"&gt;"&amp;0)&gt;$G79,"",R79)</f>
        <v>1210600</v>
      </c>
      <c r="S112">
        <f>IF(COUNTIF($H79:S79,"&gt;"&amp;0)&gt;$G79,"",S79)</f>
        <v>1230400</v>
      </c>
      <c r="T112">
        <f>IF(COUNTIF($H79:T79,"&gt;"&amp;0)&gt;$G79,"",T79)</f>
        <v>1310300</v>
      </c>
      <c r="U112">
        <f>IF(COUNTIF($H79:U79,"&gt;"&amp;0)&gt;$G79,"",U79)</f>
        <v>1110100</v>
      </c>
      <c r="V112">
        <f>IF(COUNTIF($H79:V79,"&gt;"&amp;0)&gt;$G79,"",V79)</f>
        <v>1130100</v>
      </c>
      <c r="W112">
        <f>IF(COUNTIF($H79:W79,"&gt;"&amp;0)&gt;$G79,"",W79)</f>
        <v>1530100</v>
      </c>
      <c r="X112" t="str">
        <f>IF(COUNTIF($H79:X79,"&gt;"&amp;0)&gt;$G79,"",X79)</f>
        <v/>
      </c>
      <c r="Y112">
        <f>IF(COUNTIF($H79:Y79,"&gt;"&amp;0)&gt;$G79,"",Y79)</f>
        <v>1430700</v>
      </c>
      <c r="Z112" t="str">
        <f>IF(COUNTIF($H79:Z79,"&gt;"&amp;0)&gt;$G79,"",Z79)</f>
        <v/>
      </c>
      <c r="AA112">
        <f>IF(COUNTIF($H79:AA79,"&gt;"&amp;0)&gt;$G79,"",AA79)</f>
        <v>1140200</v>
      </c>
      <c r="AB112" t="str">
        <f>IF(COUNTIF($H79:AB79,"&gt;"&amp;0)&gt;$G79,"",AB79)</f>
        <v/>
      </c>
      <c r="AC112" t="str">
        <f>IF(COUNTIF($H79:AC79,"&gt;"&amp;0)&gt;$G79,"",AC79)</f>
        <v/>
      </c>
      <c r="AD112" t="str">
        <f>IF(COUNTIF($H79:AD79,"&gt;"&amp;0)&gt;$G79,"",AD79)</f>
        <v/>
      </c>
      <c r="AE112" t="str">
        <f>IF(COUNTIF($H79:AE79,"&gt;"&amp;0)&gt;$G79,"",AE79)</f>
        <v/>
      </c>
      <c r="AF112" t="str">
        <f>IF(COUNTIF($H79:AF79,"&gt;"&amp;0)&gt;$G79,"",AF79)</f>
        <v/>
      </c>
    </row>
    <row r="113" spans="5:32">
      <c r="E113" t="str">
        <f t="shared" si="52"/>
        <v>[1410200,1420300,1530200,1210300,1140200,1310100,1210400,1230100,1420200,1320100,1210600,1230400,1310300,1110100,1130100,1530100,1430700,1140100]</v>
      </c>
      <c r="F113" t="s">
        <v>404</v>
      </c>
      <c r="H113">
        <f>IF(COUNTIF($H80:H80,"&gt;"&amp;0)&gt;$G80,"",H80)</f>
        <v>1410200</v>
      </c>
      <c r="I113">
        <f>IF(COUNTIF($H80:I80,"&gt;"&amp;0)&gt;$G80,"",I80)</f>
        <v>1420300</v>
      </c>
      <c r="J113">
        <f>IF(COUNTIF($H80:J80,"&gt;"&amp;0)&gt;$G80,"",J80)</f>
        <v>1530200</v>
      </c>
      <c r="K113">
        <f>IF(COUNTIF($H80:K80,"&gt;"&amp;0)&gt;$G80,"",K80)</f>
        <v>1210300</v>
      </c>
      <c r="L113">
        <f>IF(COUNTIF($H80:L80,"&gt;"&amp;0)&gt;$G80,"",L80)</f>
        <v>1140200</v>
      </c>
      <c r="M113">
        <f>IF(COUNTIF($H80:M80,"&gt;"&amp;0)&gt;$G80,"",M80)</f>
        <v>1310100</v>
      </c>
      <c r="N113">
        <f>IF(COUNTIF($H80:N80,"&gt;"&amp;0)&gt;$G80,"",N80)</f>
        <v>1210400</v>
      </c>
      <c r="O113">
        <f>IF(COUNTIF($H80:O80,"&gt;"&amp;0)&gt;$G80,"",O80)</f>
        <v>1230100</v>
      </c>
      <c r="P113">
        <f>IF(COUNTIF($H80:P80,"&gt;"&amp;0)&gt;$G80,"",P80)</f>
        <v>1420200</v>
      </c>
      <c r="Q113">
        <f>IF(COUNTIF($H80:Q80,"&gt;"&amp;0)&gt;$G80,"",Q80)</f>
        <v>1320100</v>
      </c>
      <c r="R113">
        <f>IF(COUNTIF($H80:R80,"&gt;"&amp;0)&gt;$G80,"",R80)</f>
        <v>1210600</v>
      </c>
      <c r="S113">
        <f>IF(COUNTIF($H80:S80,"&gt;"&amp;0)&gt;$G80,"",S80)</f>
        <v>1230400</v>
      </c>
      <c r="T113">
        <f>IF(COUNTIF($H80:T80,"&gt;"&amp;0)&gt;$G80,"",T80)</f>
        <v>1310300</v>
      </c>
      <c r="U113">
        <f>IF(COUNTIF($H80:U80,"&gt;"&amp;0)&gt;$G80,"",U80)</f>
        <v>1110100</v>
      </c>
      <c r="V113">
        <f>IF(COUNTIF($H80:V80,"&gt;"&amp;0)&gt;$G80,"",V80)</f>
        <v>1130100</v>
      </c>
      <c r="W113">
        <f>IF(COUNTIF($H80:W80,"&gt;"&amp;0)&gt;$G80,"",W80)</f>
        <v>1530100</v>
      </c>
      <c r="X113" t="str">
        <f>IF(COUNTIF($H80:X80,"&gt;"&amp;0)&gt;$G80,"",X80)</f>
        <v/>
      </c>
      <c r="Y113">
        <f>IF(COUNTIF($H80:Y80,"&gt;"&amp;0)&gt;$G80,"",Y80)</f>
        <v>1430700</v>
      </c>
      <c r="Z113">
        <f>IF(COUNTIF($H80:Z80,"&gt;"&amp;0)&gt;$G80,"",Z80)</f>
        <v>1140100</v>
      </c>
      <c r="AA113" t="str">
        <f>IF(COUNTIF($H80:AA80,"&gt;"&amp;0)&gt;$G80,"",AA80)</f>
        <v/>
      </c>
      <c r="AB113" t="str">
        <f>IF(COUNTIF($H80:AB80,"&gt;"&amp;0)&gt;$G80,"",AB80)</f>
        <v/>
      </c>
      <c r="AC113" t="str">
        <f>IF(COUNTIF($H80:AC80,"&gt;"&amp;0)&gt;$G80,"",AC80)</f>
        <v/>
      </c>
      <c r="AD113" t="str">
        <f>IF(COUNTIF($H80:AD80,"&gt;"&amp;0)&gt;$G80,"",AD80)</f>
        <v/>
      </c>
      <c r="AE113" t="str">
        <f>IF(COUNTIF($H80:AE80,"&gt;"&amp;0)&gt;$G80,"",AE80)</f>
        <v/>
      </c>
      <c r="AF113" t="str">
        <f>IF(COUNTIF($H80:AF80,"&gt;"&amp;0)&gt;$G80,"",AF80)</f>
        <v/>
      </c>
    </row>
    <row r="129" spans="5:9">
      <c r="F129" t="s">
        <v>405</v>
      </c>
      <c r="G129" t="s">
        <v>406</v>
      </c>
      <c r="I129" t="s">
        <v>407</v>
      </c>
    </row>
    <row r="130" spans="5:9">
      <c r="E130" t="s">
        <v>408</v>
      </c>
      <c r="F130" t="s">
        <v>409</v>
      </c>
      <c r="G130" t="s">
        <v>410</v>
      </c>
      <c r="I130" t="s">
        <v>411</v>
      </c>
    </row>
    <row r="131" spans="5:9">
      <c r="E131" t="s">
        <v>412</v>
      </c>
      <c r="F131" t="s">
        <v>409</v>
      </c>
      <c r="G131" t="s">
        <v>413</v>
      </c>
      <c r="I131" t="s">
        <v>414</v>
      </c>
    </row>
    <row r="132" spans="5:9">
      <c r="E132" t="s">
        <v>415</v>
      </c>
      <c r="F132" t="s">
        <v>409</v>
      </c>
      <c r="G132" t="s">
        <v>416</v>
      </c>
      <c r="I132" t="s">
        <v>411</v>
      </c>
    </row>
    <row r="133" spans="5:9">
      <c r="E133" t="s">
        <v>417</v>
      </c>
      <c r="F133" t="s">
        <v>418</v>
      </c>
      <c r="G133" t="s">
        <v>418</v>
      </c>
      <c r="I133" t="s">
        <v>418</v>
      </c>
    </row>
  </sheetData>
  <conditionalFormatting sqref="E4">
    <cfRule type="duplicateValues" dxfId="53" priority="14"/>
  </conditionalFormatting>
  <conditionalFormatting sqref="M52:N52">
    <cfRule type="duplicateValues" dxfId="53" priority="8"/>
  </conditionalFormatting>
  <conditionalFormatting sqref="M52:O52">
    <cfRule type="duplicateValues" dxfId="54" priority="9"/>
  </conditionalFormatting>
  <conditionalFormatting sqref="O52">
    <cfRule type="duplicateValues" dxfId="53" priority="4"/>
  </conditionalFormatting>
  <conditionalFormatting sqref="P52:U52">
    <cfRule type="duplicateValues" dxfId="53" priority="5"/>
    <cfRule type="duplicateValues" dxfId="54" priority="6"/>
  </conditionalFormatting>
  <conditionalFormatting sqref="AB52:AF52">
    <cfRule type="duplicateValues" dxfId="53" priority="1"/>
    <cfRule type="duplicateValues" dxfId="54" priority="2"/>
  </conditionalFormatting>
  <conditionalFormatting sqref="E2:E3">
    <cfRule type="duplicateValues" dxfId="53" priority="18"/>
  </conditionalFormatting>
  <conditionalFormatting sqref="E2:E4">
    <cfRule type="duplicateValues" dxfId="54" priority="19"/>
  </conditionalFormatting>
  <conditionalFormatting sqref="E5:E10">
    <cfRule type="duplicateValues" dxfId="53" priority="15"/>
    <cfRule type="duplicateValues" dxfId="54" priority="16"/>
  </conditionalFormatting>
  <conditionalFormatting sqref="E17:E21">
    <cfRule type="duplicateValues" dxfId="53" priority="11"/>
    <cfRule type="duplicateValues" dxfId="54" priority="12"/>
  </conditionalFormatting>
  <dataValidations count="2">
    <dataValidation type="whole" operator="between" allowBlank="1" showInputMessage="1" showErrorMessage="1" errorTitle="输入有误" error="数值只能为(0 ~ 9999999999)" sqref="E17 E19 M52:U52 AB52 AD52 E2:E10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V52:W52 Z52:AA52 E11:E12 E15:E16">
      <formula1>0</formula1>
      <formula2>65535</formula2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1:L99"/>
  <sheetViews>
    <sheetView showGridLines="0" zoomScale="80" zoomScaleNormal="80" workbookViewId="0">
      <pane ySplit="1" topLeftCell="A44" activePane="bottomLeft" state="frozen"/>
      <selection/>
      <selection pane="bottomLeft" activeCell="A16" sqref="A16"/>
    </sheetView>
  </sheetViews>
  <sheetFormatPr defaultColWidth="9.14285714285714" defaultRowHeight="16.5"/>
  <cols>
    <col min="1" max="4" width="9.14285714285714" style="35"/>
    <col min="5" max="5" width="14.5714285714286" style="35"/>
    <col min="6" max="6" width="9.14285714285714" style="35"/>
    <col min="7" max="7" width="13.7142857142857" style="35" customWidth="1"/>
    <col min="8" max="8" width="16.8571428571429" style="35" customWidth="1"/>
    <col min="9" max="9" width="9.14285714285714" style="35"/>
    <col min="10" max="10" width="12.7142857142857" style="35"/>
    <col min="11" max="16384" width="9.14285714285714" style="35"/>
  </cols>
  <sheetData>
    <row r="1" spans="2:12">
      <c r="B1" s="35" t="s">
        <v>419</v>
      </c>
      <c r="C1" s="35" t="s">
        <v>420</v>
      </c>
      <c r="D1" s="35" t="s">
        <v>421</v>
      </c>
      <c r="E1" s="35" t="s">
        <v>422</v>
      </c>
      <c r="H1" s="35" t="s">
        <v>423</v>
      </c>
      <c r="I1" s="35" t="s">
        <v>424</v>
      </c>
      <c r="K1" s="35" t="s">
        <v>40</v>
      </c>
      <c r="L1" s="35" t="s">
        <v>425</v>
      </c>
    </row>
    <row r="2" spans="2:12">
      <c r="B2" s="35">
        <v>1</v>
      </c>
      <c r="C2" s="35">
        <v>1</v>
      </c>
      <c r="D2" s="35">
        <v>1</v>
      </c>
      <c r="E2" s="35">
        <v>13</v>
      </c>
      <c r="F2" s="35">
        <v>10</v>
      </c>
      <c r="G2" s="35" t="s">
        <v>426</v>
      </c>
      <c r="I2" s="35" t="s">
        <v>365</v>
      </c>
      <c r="J2" s="35" t="str">
        <f>IF(I2="","",_xlfn.XLOOKUP(I2,价值表!Z:Z,价值表!W:W))</f>
        <v/>
      </c>
      <c r="K2" s="35">
        <f>IF(E2="","",_xlfn.XLOOKUP(E2,价值表!E:E,价值表!H:H)*F2)</f>
        <v>20</v>
      </c>
      <c r="L2" s="35">
        <f>SUM(K2:K22)</f>
        <v>1735</v>
      </c>
    </row>
    <row r="3" spans="2:12">
      <c r="B3" s="35">
        <v>2</v>
      </c>
      <c r="C3" s="35">
        <v>1</v>
      </c>
      <c r="D3" s="35">
        <v>10</v>
      </c>
      <c r="E3" s="35">
        <v>5103001</v>
      </c>
      <c r="F3" s="35">
        <v>50</v>
      </c>
      <c r="G3" s="35" t="s">
        <v>427</v>
      </c>
      <c r="I3" s="35" t="s">
        <v>365</v>
      </c>
      <c r="J3" s="35" t="str">
        <f>IF(I3="","",_xlfn.XLOOKUP(I3,价值表!Z:Z,价值表!W:W))</f>
        <v/>
      </c>
      <c r="K3" s="35">
        <f>IF(E3="","",_xlfn.XLOOKUP(E3,价值表!E:E,价值表!H:H)*F3)</f>
        <v>50</v>
      </c>
    </row>
    <row r="4" spans="2:12">
      <c r="B4" s="35">
        <v>3</v>
      </c>
      <c r="C4" s="35">
        <v>1</v>
      </c>
      <c r="D4" s="35">
        <v>30</v>
      </c>
      <c r="E4" s="35">
        <v>2</v>
      </c>
      <c r="F4" s="35">
        <v>200</v>
      </c>
      <c r="G4" s="35" t="s">
        <v>428</v>
      </c>
      <c r="I4" s="35" t="s">
        <v>365</v>
      </c>
      <c r="J4" s="35" t="str">
        <f>IF(I4="","",_xlfn.XLOOKUP(I4,价值表!Z:Z,价值表!W:W))</f>
        <v/>
      </c>
      <c r="K4" s="35">
        <f>IF(E4="","",_xlfn.XLOOKUP(E4,价值表!E:E,价值表!H:H)*F4)</f>
        <v>10</v>
      </c>
    </row>
    <row r="5" spans="2:12">
      <c r="B5" s="35">
        <v>4</v>
      </c>
      <c r="C5" s="35">
        <v>1</v>
      </c>
      <c r="D5" s="35">
        <v>40</v>
      </c>
      <c r="G5" s="35" t="s">
        <v>365</v>
      </c>
      <c r="H5" s="35" t="s">
        <v>161</v>
      </c>
      <c r="I5" s="35" t="s">
        <v>365</v>
      </c>
      <c r="J5" s="35" t="str">
        <f>IF(I5="","",_xlfn.XLOOKUP(I5,价值表!Z:Z,价值表!W:W))</f>
        <v/>
      </c>
      <c r="K5" s="35" t="str">
        <f>IF(E5="","",_xlfn.XLOOKUP(E5,价值表!E:E,价值表!H:H)*F5)</f>
        <v/>
      </c>
    </row>
    <row r="6" spans="2:12">
      <c r="B6" s="35">
        <v>5</v>
      </c>
      <c r="C6" s="35">
        <v>1</v>
      </c>
      <c r="D6" s="35">
        <v>50</v>
      </c>
      <c r="E6" s="35">
        <v>9</v>
      </c>
      <c r="F6" s="35">
        <v>1</v>
      </c>
      <c r="G6" s="35" t="s">
        <v>429</v>
      </c>
      <c r="H6" s="35" t="s">
        <v>365</v>
      </c>
      <c r="I6" s="35" t="s">
        <v>365</v>
      </c>
      <c r="J6" s="35" t="str">
        <f>IF(I6="","",_xlfn.XLOOKUP(I6,价值表!Z:Z,价值表!W:W))</f>
        <v/>
      </c>
      <c r="K6" s="35">
        <f>IF(E6="","",_xlfn.XLOOKUP(E6,价值表!E:E,价值表!H:H)*F6)</f>
        <v>50</v>
      </c>
    </row>
    <row r="7" spans="2:12">
      <c r="B7" s="35">
        <v>6</v>
      </c>
      <c r="C7" s="35">
        <v>1</v>
      </c>
      <c r="D7" s="35">
        <v>70</v>
      </c>
      <c r="E7" s="35">
        <v>20034</v>
      </c>
      <c r="F7" s="35">
        <v>1</v>
      </c>
      <c r="G7" s="35" t="s">
        <v>430</v>
      </c>
      <c r="H7" s="35" t="s">
        <v>365</v>
      </c>
      <c r="I7" s="35" t="s">
        <v>365</v>
      </c>
      <c r="J7" s="35" t="str">
        <f>IF(I7="","",_xlfn.XLOOKUP(I7,价值表!Z:Z,价值表!W:W))</f>
        <v/>
      </c>
      <c r="K7" s="35">
        <f>IF(E7="","",_xlfn.XLOOKUP(E7,价值表!E:E,价值表!H:H)*F7)</f>
        <v>250</v>
      </c>
    </row>
    <row r="8" spans="2:12">
      <c r="B8" s="35">
        <v>7</v>
      </c>
      <c r="C8" s="35">
        <v>1</v>
      </c>
      <c r="D8" s="35">
        <v>90</v>
      </c>
      <c r="G8" s="35" t="s">
        <v>365</v>
      </c>
      <c r="H8" s="35" t="s">
        <v>132</v>
      </c>
      <c r="I8" s="35" t="s">
        <v>365</v>
      </c>
      <c r="J8" s="35" t="str">
        <f>IF(I8="","",_xlfn.XLOOKUP(I8,价值表!Z:Z,价值表!W:W))</f>
        <v/>
      </c>
      <c r="K8" s="35" t="str">
        <f>IF(E8="","",_xlfn.XLOOKUP(E8,价值表!E:E,价值表!H:H)*F8)</f>
        <v/>
      </c>
    </row>
    <row r="9" spans="2:12">
      <c r="B9" s="35">
        <v>8</v>
      </c>
      <c r="C9" s="35">
        <v>1</v>
      </c>
      <c r="D9" s="35">
        <v>120</v>
      </c>
      <c r="E9" s="35">
        <v>20034</v>
      </c>
      <c r="F9" s="35">
        <v>1</v>
      </c>
      <c r="G9" s="35" t="s">
        <v>430</v>
      </c>
      <c r="H9" s="35" t="s">
        <v>365</v>
      </c>
      <c r="I9" s="35" t="s">
        <v>365</v>
      </c>
      <c r="J9" s="35" t="str">
        <f>IF(I9="","",_xlfn.XLOOKUP(I9,价值表!Z:Z,价值表!W:W))</f>
        <v/>
      </c>
      <c r="K9" s="35">
        <f>IF(E9="","",_xlfn.XLOOKUP(E9,价值表!E:E,价值表!H:H)*F9)</f>
        <v>250</v>
      </c>
    </row>
    <row r="10" spans="2:12">
      <c r="B10" s="35">
        <v>9</v>
      </c>
      <c r="C10" s="35">
        <v>1</v>
      </c>
      <c r="D10" s="35">
        <v>150</v>
      </c>
      <c r="G10" s="35" t="s">
        <v>365</v>
      </c>
      <c r="H10" s="35" t="s">
        <v>365</v>
      </c>
      <c r="I10" s="35" t="s">
        <v>431</v>
      </c>
      <c r="J10" s="35">
        <f>IF(I10="","",_xlfn.XLOOKUP(I10,价值表!Z:Z,价值表!W:W))</f>
        <v>90106</v>
      </c>
      <c r="K10" s="35" t="str">
        <f>IF(E10="","",_xlfn.XLOOKUP(E10,价值表!E:E,价值表!H:H)*F10)</f>
        <v/>
      </c>
    </row>
    <row r="11" spans="2:12">
      <c r="B11" s="35">
        <v>10</v>
      </c>
      <c r="C11" s="35">
        <v>1</v>
      </c>
      <c r="D11" s="35">
        <v>185</v>
      </c>
      <c r="G11" s="35" t="s">
        <v>365</v>
      </c>
      <c r="H11" s="35" t="s">
        <v>131</v>
      </c>
      <c r="I11" s="35" t="s">
        <v>365</v>
      </c>
      <c r="J11" s="35" t="str">
        <f>IF(I11="","",_xlfn.XLOOKUP(I11,价值表!Z:Z,价值表!W:W))</f>
        <v/>
      </c>
      <c r="K11" s="35" t="str">
        <f>IF(E11="","",_xlfn.XLOOKUP(E11,价值表!E:E,价值表!H:H)*F11)</f>
        <v/>
      </c>
    </row>
    <row r="12" spans="2:12">
      <c r="B12" s="35">
        <v>11</v>
      </c>
      <c r="C12" s="35">
        <v>1</v>
      </c>
      <c r="D12" s="35">
        <v>210</v>
      </c>
      <c r="E12" s="35">
        <v>20034</v>
      </c>
      <c r="F12" s="35">
        <v>1</v>
      </c>
      <c r="G12" s="35" t="s">
        <v>430</v>
      </c>
      <c r="H12" s="35" t="s">
        <v>365</v>
      </c>
      <c r="I12" s="35" t="s">
        <v>365</v>
      </c>
      <c r="J12" s="35" t="str">
        <f>IF(I12="","",_xlfn.XLOOKUP(I12,价值表!Z:Z,价值表!W:W))</f>
        <v/>
      </c>
      <c r="K12" s="35">
        <f>IF(E12="","",_xlfn.XLOOKUP(E12,价值表!E:E,价值表!H:H)*F12)</f>
        <v>250</v>
      </c>
    </row>
    <row r="13" spans="2:12">
      <c r="B13" s="35">
        <v>12</v>
      </c>
      <c r="C13" s="35">
        <v>1</v>
      </c>
      <c r="D13" s="35">
        <v>230</v>
      </c>
      <c r="E13" s="35">
        <v>2</v>
      </c>
      <c r="F13" s="35">
        <v>500</v>
      </c>
      <c r="G13" s="35" t="s">
        <v>432</v>
      </c>
      <c r="H13" s="35" t="s">
        <v>365</v>
      </c>
      <c r="I13" s="35" t="s">
        <v>365</v>
      </c>
      <c r="J13" s="35" t="str">
        <f>IF(I13="","",_xlfn.XLOOKUP(I13,价值表!Z:Z,价值表!W:W))</f>
        <v/>
      </c>
      <c r="K13" s="35">
        <f>IF(E13="","",_xlfn.XLOOKUP(E13,价值表!E:E,价值表!H:H)*F13)</f>
        <v>25</v>
      </c>
    </row>
    <row r="14" spans="2:12">
      <c r="B14" s="35">
        <v>13</v>
      </c>
      <c r="C14" s="35">
        <v>1</v>
      </c>
      <c r="D14" s="35">
        <v>250</v>
      </c>
      <c r="G14" s="35" t="s">
        <v>365</v>
      </c>
      <c r="H14" s="35" t="s">
        <v>130</v>
      </c>
      <c r="I14" s="35" t="s">
        <v>365</v>
      </c>
      <c r="J14" s="35" t="str">
        <f>IF(I14="","",_xlfn.XLOOKUP(I14,价值表!Z:Z,价值表!W:W))</f>
        <v/>
      </c>
      <c r="K14" s="35" t="str">
        <f>IF(E14="","",_xlfn.XLOOKUP(E14,价值表!E:E,价值表!H:H)*F14)</f>
        <v/>
      </c>
    </row>
    <row r="15" spans="2:12">
      <c r="B15" s="35">
        <v>14</v>
      </c>
      <c r="C15" s="35">
        <v>1</v>
      </c>
      <c r="D15" s="35">
        <v>280</v>
      </c>
      <c r="E15" s="35">
        <v>20034</v>
      </c>
      <c r="F15" s="35">
        <v>1</v>
      </c>
      <c r="G15" s="35" t="s">
        <v>430</v>
      </c>
      <c r="H15" s="35" t="s">
        <v>365</v>
      </c>
      <c r="I15" s="35" t="s">
        <v>365</v>
      </c>
      <c r="J15" s="35" t="str">
        <f>IF(I15="","",_xlfn.XLOOKUP(I15,价值表!Z:Z,价值表!W:W))</f>
        <v/>
      </c>
      <c r="K15" s="35">
        <f>IF(E15="","",_xlfn.XLOOKUP(E15,价值表!E:E,价值表!H:H)*F15)</f>
        <v>250</v>
      </c>
    </row>
    <row r="16" spans="2:12">
      <c r="B16" s="35">
        <v>15</v>
      </c>
      <c r="C16" s="35">
        <v>1</v>
      </c>
      <c r="D16" s="35">
        <v>300</v>
      </c>
      <c r="G16" s="35" t="s">
        <v>365</v>
      </c>
      <c r="H16" s="35" t="s">
        <v>365</v>
      </c>
      <c r="I16" s="35" t="s">
        <v>433</v>
      </c>
      <c r="J16" s="35">
        <f>IF(I16="","",_xlfn.XLOOKUP(I16,价值表!Z:Z,价值表!W:W))</f>
        <v>90212</v>
      </c>
      <c r="K16" s="35" t="str">
        <f>IF(E16="","",_xlfn.XLOOKUP(E16,价值表!E:E,价值表!H:H)*F16)</f>
        <v/>
      </c>
    </row>
    <row r="17" spans="2:12">
      <c r="B17" s="35">
        <v>16</v>
      </c>
      <c r="C17" s="35">
        <v>1</v>
      </c>
      <c r="D17" s="35">
        <v>330</v>
      </c>
      <c r="E17" s="35">
        <v>2</v>
      </c>
      <c r="F17" s="35">
        <v>1000</v>
      </c>
      <c r="G17" s="35" t="s">
        <v>434</v>
      </c>
      <c r="H17" s="35" t="s">
        <v>365</v>
      </c>
      <c r="I17" s="35" t="s">
        <v>365</v>
      </c>
      <c r="J17" s="35" t="str">
        <f>IF(I17="","",_xlfn.XLOOKUP(I17,价值表!Z:Z,价值表!W:W))</f>
        <v/>
      </c>
      <c r="K17" s="35">
        <f>IF(E17="","",_xlfn.XLOOKUP(E17,价值表!E:E,价值表!H:H)*F17)</f>
        <v>50</v>
      </c>
    </row>
    <row r="18" spans="2:12">
      <c r="B18" s="35">
        <v>17</v>
      </c>
      <c r="C18" s="35">
        <v>1</v>
      </c>
      <c r="D18" s="35">
        <v>350</v>
      </c>
      <c r="G18" s="35" t="s">
        <v>365</v>
      </c>
      <c r="H18" s="35" t="s">
        <v>170</v>
      </c>
      <c r="I18" s="35" t="s">
        <v>365</v>
      </c>
      <c r="J18" s="35" t="str">
        <f>IF(I18="","",_xlfn.XLOOKUP(I18,价值表!Z:Z,价值表!W:W))</f>
        <v/>
      </c>
      <c r="K18" s="35" t="str">
        <f>IF(E18="","",_xlfn.XLOOKUP(E18,价值表!E:E,价值表!H:H)*F18)</f>
        <v/>
      </c>
    </row>
    <row r="19" spans="2:12">
      <c r="B19" s="35">
        <v>18</v>
      </c>
      <c r="C19" s="35">
        <v>1</v>
      </c>
      <c r="D19" s="35">
        <v>400</v>
      </c>
      <c r="E19" s="35">
        <v>20034</v>
      </c>
      <c r="F19" s="35">
        <v>1</v>
      </c>
      <c r="G19" s="35" t="s">
        <v>430</v>
      </c>
      <c r="H19" s="35" t="s">
        <v>365</v>
      </c>
      <c r="I19" s="35" t="s">
        <v>365</v>
      </c>
      <c r="J19" s="35" t="str">
        <f>IF(I19="","",_xlfn.XLOOKUP(I19,价值表!Z:Z,价值表!W:W))</f>
        <v/>
      </c>
      <c r="K19" s="35">
        <f>IF(E19="","",_xlfn.XLOOKUP(E19,价值表!E:E,价值表!H:H)*F19)</f>
        <v>250</v>
      </c>
    </row>
    <row r="20" spans="2:12">
      <c r="B20" s="35">
        <v>19</v>
      </c>
      <c r="C20" s="35">
        <v>1</v>
      </c>
      <c r="D20" s="35">
        <v>450</v>
      </c>
      <c r="E20" s="35">
        <v>30</v>
      </c>
      <c r="F20" s="35">
        <v>1</v>
      </c>
      <c r="G20" s="35" t="s">
        <v>435</v>
      </c>
      <c r="H20" s="35" t="s">
        <v>365</v>
      </c>
      <c r="I20" s="35" t="s">
        <v>365</v>
      </c>
      <c r="J20" s="35" t="str">
        <f>IF(I20="","",_xlfn.XLOOKUP(I20,价值表!Z:Z,价值表!W:W))</f>
        <v/>
      </c>
      <c r="K20" s="35">
        <f>IF(E20="","",_xlfn.XLOOKUP(E20,价值表!E:E,价值表!H:H)*F20)</f>
        <v>280</v>
      </c>
    </row>
    <row r="21" spans="2:12">
      <c r="B21" s="35">
        <v>20</v>
      </c>
      <c r="C21" s="35">
        <v>1</v>
      </c>
      <c r="D21" s="35">
        <v>500</v>
      </c>
      <c r="G21" s="35" t="s">
        <v>365</v>
      </c>
      <c r="H21" s="35" t="s">
        <v>436</v>
      </c>
      <c r="I21" s="35" t="s">
        <v>365</v>
      </c>
      <c r="J21" s="35" t="str">
        <f>IF(I21="","",_xlfn.XLOOKUP(I21,价值表!Z:Z,价值表!W:W))</f>
        <v/>
      </c>
      <c r="K21" s="35" t="str">
        <f>IF(E21="","",_xlfn.XLOOKUP(E21,价值表!E:E,价值表!H:H)*F21)</f>
        <v/>
      </c>
    </row>
    <row r="22" spans="2:12">
      <c r="B22" s="35" t="s">
        <v>365</v>
      </c>
      <c r="G22" s="35" t="s">
        <v>365</v>
      </c>
      <c r="H22" s="35" t="s">
        <v>365</v>
      </c>
      <c r="I22" s="35" t="s">
        <v>365</v>
      </c>
      <c r="J22" s="35" t="str">
        <f>IF(I22="","",_xlfn.XLOOKUP(I22,价值表!Z:Z,价值表!W:W))</f>
        <v/>
      </c>
      <c r="K22" s="35" t="str">
        <f>IF(E22="","",_xlfn.XLOOKUP(E22,价值表!E:E,价值表!H:H)*F22)</f>
        <v/>
      </c>
    </row>
    <row r="23" spans="2:12">
      <c r="B23" s="35" t="s">
        <v>365</v>
      </c>
      <c r="G23" s="35" t="s">
        <v>365</v>
      </c>
      <c r="H23" s="35" t="s">
        <v>365</v>
      </c>
      <c r="I23" s="35" t="s">
        <v>365</v>
      </c>
      <c r="J23" s="35" t="str">
        <f>IF(I23="","",_xlfn.XLOOKUP(I23,价值表!Z:Z,价值表!W:W))</f>
        <v/>
      </c>
      <c r="K23" s="35" t="str">
        <f>IF(E23="","",_xlfn.XLOOKUP(E23,价值表!E:E,价值表!H:H)*F23)</f>
        <v/>
      </c>
    </row>
    <row r="24" spans="2:12">
      <c r="B24" s="35">
        <v>21</v>
      </c>
      <c r="C24" s="35">
        <v>2</v>
      </c>
      <c r="D24" s="35">
        <v>1</v>
      </c>
      <c r="E24" s="35">
        <v>20034</v>
      </c>
      <c r="F24" s="35">
        <v>1</v>
      </c>
      <c r="G24" s="35" t="s">
        <v>430</v>
      </c>
      <c r="H24" s="35" t="s">
        <v>365</v>
      </c>
      <c r="I24" s="35" t="s">
        <v>365</v>
      </c>
      <c r="J24" s="35" t="str">
        <f>IF(I24="","",_xlfn.XLOOKUP(I24,价值表!Z:Z,价值表!W:W))</f>
        <v/>
      </c>
      <c r="K24" s="35">
        <f>IF(E24="","",_xlfn.XLOOKUP(E24,价值表!E:E,价值表!H:H)*F24)</f>
        <v>250</v>
      </c>
      <c r="L24" s="35">
        <f>SUM(K24:K44)</f>
        <v>2680</v>
      </c>
    </row>
    <row r="25" spans="2:12">
      <c r="B25" s="35">
        <v>22</v>
      </c>
      <c r="C25" s="35">
        <v>2</v>
      </c>
      <c r="D25" s="35">
        <v>50</v>
      </c>
      <c r="E25" s="35">
        <v>2</v>
      </c>
      <c r="F25" s="35">
        <v>500</v>
      </c>
      <c r="G25" s="35" t="s">
        <v>432</v>
      </c>
      <c r="H25" s="35" t="s">
        <v>365</v>
      </c>
      <c r="I25" s="35" t="s">
        <v>365</v>
      </c>
      <c r="J25" s="35" t="str">
        <f>IF(I25="","",_xlfn.XLOOKUP(I25,价值表!Z:Z,价值表!W:W))</f>
        <v/>
      </c>
      <c r="K25" s="35">
        <f>IF(E25="","",_xlfn.XLOOKUP(E25,价值表!E:E,价值表!H:H)*F25)</f>
        <v>25</v>
      </c>
    </row>
    <row r="26" spans="2:12">
      <c r="B26" s="35">
        <v>23</v>
      </c>
      <c r="C26" s="35">
        <v>2</v>
      </c>
      <c r="D26" s="35">
        <v>100</v>
      </c>
      <c r="E26" s="35">
        <v>20034</v>
      </c>
      <c r="F26" s="35">
        <v>1</v>
      </c>
      <c r="G26" s="35" t="s">
        <v>430</v>
      </c>
      <c r="H26" s="35" t="s">
        <v>365</v>
      </c>
      <c r="I26" s="35" t="s">
        <v>365</v>
      </c>
      <c r="J26" s="35" t="str">
        <f>IF(I26="","",_xlfn.XLOOKUP(I26,价值表!Z:Z,价值表!W:W))</f>
        <v/>
      </c>
      <c r="K26" s="35">
        <f>IF(E26="","",_xlfn.XLOOKUP(E26,价值表!E:E,价值表!H:H)*F26)</f>
        <v>250</v>
      </c>
    </row>
    <row r="27" spans="2:12">
      <c r="B27" s="35">
        <v>24</v>
      </c>
      <c r="C27" s="35">
        <v>2</v>
      </c>
      <c r="D27" s="35">
        <v>150</v>
      </c>
      <c r="G27" s="35" t="s">
        <v>365</v>
      </c>
      <c r="H27" s="35" t="s">
        <v>365</v>
      </c>
      <c r="I27" s="36" t="s">
        <v>437</v>
      </c>
      <c r="J27" s="36">
        <f>IF(I27="","",_xlfn.XLOOKUP(I27,价值表!Z:Z,价值表!W:W))</f>
        <v>90120</v>
      </c>
      <c r="K27" s="35" t="str">
        <f>IF(E27="","",_xlfn.XLOOKUP(E27,价值表!E:E,价值表!H:H)*F27)</f>
        <v/>
      </c>
    </row>
    <row r="28" spans="2:12">
      <c r="B28" s="35">
        <v>25</v>
      </c>
      <c r="C28" s="35">
        <v>2</v>
      </c>
      <c r="D28" s="35">
        <v>200</v>
      </c>
      <c r="E28" s="35">
        <v>5104001</v>
      </c>
      <c r="F28" s="35">
        <v>100</v>
      </c>
      <c r="G28" s="35" t="s">
        <v>438</v>
      </c>
      <c r="H28" s="35" t="s">
        <v>365</v>
      </c>
      <c r="I28" s="35" t="s">
        <v>365</v>
      </c>
      <c r="J28" s="35" t="str">
        <f>IF(I28="","",_xlfn.XLOOKUP(I28,价值表!Z:Z,价值表!W:W))</f>
        <v/>
      </c>
      <c r="K28" s="35">
        <f>IF(E28="","",_xlfn.XLOOKUP(E28,价值表!E:E,价值表!H:H)*F28)</f>
        <v>200</v>
      </c>
    </row>
    <row r="29" spans="2:12">
      <c r="B29" s="35">
        <v>26</v>
      </c>
      <c r="C29" s="35">
        <v>2</v>
      </c>
      <c r="D29" s="35">
        <v>250</v>
      </c>
      <c r="E29" s="35">
        <v>20034</v>
      </c>
      <c r="F29" s="35">
        <v>1</v>
      </c>
      <c r="G29" s="35" t="s">
        <v>430</v>
      </c>
      <c r="H29" s="35" t="s">
        <v>365</v>
      </c>
      <c r="I29" s="35" t="s">
        <v>365</v>
      </c>
      <c r="J29" s="35" t="str">
        <f>IF(I29="","",_xlfn.XLOOKUP(I29,价值表!Z:Z,价值表!W:W))</f>
        <v/>
      </c>
      <c r="K29" s="35">
        <f>IF(E29="","",_xlfn.XLOOKUP(E29,价值表!E:E,价值表!H:H)*F29)</f>
        <v>250</v>
      </c>
    </row>
    <row r="30" spans="2:12">
      <c r="B30" s="35">
        <v>27</v>
      </c>
      <c r="C30" s="35">
        <v>2</v>
      </c>
      <c r="D30" s="35">
        <v>300</v>
      </c>
      <c r="G30" s="35" t="s">
        <v>365</v>
      </c>
      <c r="H30" s="35" t="s">
        <v>439</v>
      </c>
      <c r="I30" s="35" t="s">
        <v>365</v>
      </c>
      <c r="J30" s="35" t="str">
        <f>IF(I30="","",_xlfn.XLOOKUP(I30,价值表!Z:Z,价值表!W:W))</f>
        <v/>
      </c>
      <c r="K30" s="35" t="str">
        <f>IF(E30="","",_xlfn.XLOOKUP(E30,价值表!E:E,价值表!H:H)*F30)</f>
        <v/>
      </c>
    </row>
    <row r="31" spans="2:12">
      <c r="B31" s="35">
        <v>28</v>
      </c>
      <c r="C31" s="35">
        <v>2</v>
      </c>
      <c r="D31" s="35">
        <v>350</v>
      </c>
      <c r="E31" s="35">
        <v>2</v>
      </c>
      <c r="F31" s="35">
        <v>1000</v>
      </c>
      <c r="G31" s="35" t="s">
        <v>434</v>
      </c>
      <c r="H31" s="35" t="s">
        <v>365</v>
      </c>
      <c r="I31" s="35" t="s">
        <v>365</v>
      </c>
      <c r="J31" s="35" t="str">
        <f>IF(I31="","",_xlfn.XLOOKUP(I31,价值表!Z:Z,价值表!W:W))</f>
        <v/>
      </c>
      <c r="K31" s="35">
        <f>IF(E31="","",_xlfn.XLOOKUP(E31,价值表!E:E,价值表!H:H)*F31)</f>
        <v>50</v>
      </c>
    </row>
    <row r="32" spans="2:12">
      <c r="B32" s="35">
        <v>29</v>
      </c>
      <c r="C32" s="35">
        <v>2</v>
      </c>
      <c r="D32" s="35">
        <v>400</v>
      </c>
      <c r="E32" s="35">
        <v>20034</v>
      </c>
      <c r="F32" s="35">
        <v>1</v>
      </c>
      <c r="G32" s="35" t="s">
        <v>430</v>
      </c>
      <c r="H32" s="35" t="s">
        <v>365</v>
      </c>
      <c r="I32" s="35" t="s">
        <v>365</v>
      </c>
      <c r="J32" s="35" t="str">
        <f>IF(I32="","",_xlfn.XLOOKUP(I32,价值表!Z:Z,价值表!W:W))</f>
        <v/>
      </c>
      <c r="K32" s="35">
        <f>IF(E32="","",_xlfn.XLOOKUP(E32,价值表!E:E,价值表!H:H)*F32)</f>
        <v>250</v>
      </c>
    </row>
    <row r="33" spans="2:12">
      <c r="B33" s="35">
        <v>30</v>
      </c>
      <c r="C33" s="35">
        <v>2</v>
      </c>
      <c r="D33" s="35">
        <v>450</v>
      </c>
      <c r="G33" s="35" t="s">
        <v>365</v>
      </c>
      <c r="H33" s="35" t="s">
        <v>365</v>
      </c>
      <c r="I33" s="35" t="s">
        <v>440</v>
      </c>
      <c r="J33" s="35">
        <f>IF(I33="","",_xlfn.XLOOKUP(I33,价值表!Z:Z,价值表!W:W))</f>
        <v>90107</v>
      </c>
      <c r="K33" s="35" t="str">
        <f>IF(E33="","",_xlfn.XLOOKUP(E33,价值表!E:E,价值表!H:H)*F33)</f>
        <v/>
      </c>
    </row>
    <row r="34" spans="2:12">
      <c r="B34" s="35">
        <v>31</v>
      </c>
      <c r="C34" s="35">
        <v>2</v>
      </c>
      <c r="D34" s="35">
        <v>520</v>
      </c>
      <c r="E34" s="35">
        <v>35</v>
      </c>
      <c r="F34" s="35">
        <v>1</v>
      </c>
      <c r="G34" s="35" t="s">
        <v>441</v>
      </c>
      <c r="H34" s="35" t="s">
        <v>365</v>
      </c>
      <c r="I34" s="35" t="s">
        <v>365</v>
      </c>
      <c r="J34" s="35" t="str">
        <f>IF(I34="","",_xlfn.XLOOKUP(I34,价值表!Z:Z,价值表!W:W))</f>
        <v/>
      </c>
      <c r="K34" s="35">
        <f>IF(E34="","",_xlfn.XLOOKUP(E34,价值表!E:E,价值表!H:H)*F34)</f>
        <v>100</v>
      </c>
    </row>
    <row r="35" spans="2:12">
      <c r="B35" s="35">
        <v>32</v>
      </c>
      <c r="C35" s="35">
        <v>2</v>
      </c>
      <c r="D35" s="35">
        <v>600</v>
      </c>
      <c r="E35" s="35">
        <v>20034</v>
      </c>
      <c r="F35" s="35">
        <v>1</v>
      </c>
      <c r="G35" s="35" t="s">
        <v>430</v>
      </c>
      <c r="H35" s="35" t="s">
        <v>365</v>
      </c>
      <c r="I35" s="35" t="s">
        <v>365</v>
      </c>
      <c r="J35" s="35" t="str">
        <f>IF(I35="","",_xlfn.XLOOKUP(I35,价值表!Z:Z,价值表!W:W))</f>
        <v/>
      </c>
      <c r="K35" s="35">
        <f>IF(E35="","",_xlfn.XLOOKUP(E35,价值表!E:E,价值表!H:H)*F35)</f>
        <v>250</v>
      </c>
    </row>
    <row r="36" spans="2:12">
      <c r="B36" s="35">
        <v>33</v>
      </c>
      <c r="C36" s="35">
        <v>2</v>
      </c>
      <c r="D36" s="35">
        <v>650</v>
      </c>
      <c r="E36" s="35">
        <v>5104001</v>
      </c>
      <c r="F36" s="35">
        <v>200</v>
      </c>
      <c r="G36" s="35" t="s">
        <v>442</v>
      </c>
      <c r="H36" s="35" t="s">
        <v>365</v>
      </c>
      <c r="I36" s="35" t="s">
        <v>365</v>
      </c>
      <c r="J36" s="35" t="str">
        <f>IF(I36="","",_xlfn.XLOOKUP(I36,价值表!Z:Z,价值表!W:W))</f>
        <v/>
      </c>
      <c r="K36" s="35">
        <f>IF(E36="","",_xlfn.XLOOKUP(E36,价值表!E:E,价值表!H:H)*F36)</f>
        <v>400</v>
      </c>
    </row>
    <row r="37" spans="2:12">
      <c r="B37" s="35">
        <v>34</v>
      </c>
      <c r="C37" s="35">
        <v>2</v>
      </c>
      <c r="D37" s="35">
        <v>700</v>
      </c>
      <c r="G37" s="35" t="s">
        <v>365</v>
      </c>
      <c r="H37" s="35" t="s">
        <v>436</v>
      </c>
      <c r="I37" s="35" t="s">
        <v>365</v>
      </c>
      <c r="J37" s="35" t="str">
        <f>IF(I37="","",_xlfn.XLOOKUP(I37,价值表!Z:Z,价值表!W:W))</f>
        <v/>
      </c>
      <c r="K37" s="35" t="str">
        <f>IF(E37="","",_xlfn.XLOOKUP(E37,价值表!E:E,价值表!H:H)*F37)</f>
        <v/>
      </c>
    </row>
    <row r="38" spans="2:12">
      <c r="B38" s="35">
        <v>35</v>
      </c>
      <c r="C38" s="35">
        <v>2</v>
      </c>
      <c r="D38" s="35">
        <v>750</v>
      </c>
      <c r="E38" s="35">
        <v>2</v>
      </c>
      <c r="F38" s="35">
        <v>500</v>
      </c>
      <c r="G38" s="35" t="s">
        <v>432</v>
      </c>
      <c r="H38" s="35" t="s">
        <v>365</v>
      </c>
      <c r="I38" s="35" t="s">
        <v>365</v>
      </c>
      <c r="J38" s="35" t="str">
        <f>IF(I38="","",_xlfn.XLOOKUP(I38,价值表!Z:Z,价值表!W:W))</f>
        <v/>
      </c>
      <c r="K38" s="35">
        <f>IF(E38="","",_xlfn.XLOOKUP(E38,价值表!E:E,价值表!H:H)*F38)</f>
        <v>25</v>
      </c>
    </row>
    <row r="39" spans="2:12">
      <c r="B39" s="35">
        <v>36</v>
      </c>
      <c r="C39" s="35">
        <v>2</v>
      </c>
      <c r="D39" s="35">
        <v>800</v>
      </c>
      <c r="E39" s="35">
        <v>9</v>
      </c>
      <c r="F39" s="35">
        <v>5</v>
      </c>
      <c r="G39" s="35" t="s">
        <v>443</v>
      </c>
      <c r="H39" s="35" t="s">
        <v>365</v>
      </c>
      <c r="I39" s="35" t="s">
        <v>365</v>
      </c>
      <c r="J39" s="35" t="str">
        <f>IF(I39="","",_xlfn.XLOOKUP(I39,价值表!Z:Z,价值表!W:W))</f>
        <v/>
      </c>
      <c r="K39" s="35">
        <f>IF(E39="","",_xlfn.XLOOKUP(E39,价值表!E:E,价值表!H:H)*F39)</f>
        <v>250</v>
      </c>
    </row>
    <row r="40" spans="2:12">
      <c r="B40" s="35">
        <v>37</v>
      </c>
      <c r="C40" s="35">
        <v>2</v>
      </c>
      <c r="D40" s="35">
        <v>850</v>
      </c>
      <c r="G40" s="35" t="s">
        <v>365</v>
      </c>
      <c r="H40" s="35" t="s">
        <v>365</v>
      </c>
      <c r="I40" s="36" t="s">
        <v>444</v>
      </c>
      <c r="J40" s="36">
        <f>IF(I40="","",_xlfn.XLOOKUP(I40,价值表!Z:Z,价值表!W:W))</f>
        <v>90117</v>
      </c>
      <c r="K40" s="35" t="str">
        <f>IF(E40="","",_xlfn.XLOOKUP(E40,价值表!E:E,价值表!H:H)*F40)</f>
        <v/>
      </c>
    </row>
    <row r="41" spans="2:12">
      <c r="B41" s="35">
        <v>38</v>
      </c>
      <c r="C41" s="35">
        <v>2</v>
      </c>
      <c r="D41" s="35">
        <v>950</v>
      </c>
      <c r="E41" s="35">
        <v>30</v>
      </c>
      <c r="F41" s="35">
        <v>1</v>
      </c>
      <c r="G41" s="35" t="s">
        <v>435</v>
      </c>
      <c r="H41" s="35" t="s">
        <v>365</v>
      </c>
      <c r="I41" s="35" t="s">
        <v>365</v>
      </c>
      <c r="J41" s="35" t="str">
        <f>IF(I41="","",_xlfn.XLOOKUP(I41,价值表!Z:Z,价值表!W:W))</f>
        <v/>
      </c>
      <c r="K41" s="35">
        <f>IF(E41="","",_xlfn.XLOOKUP(E41,价值表!E:E,价值表!H:H)*F41)</f>
        <v>280</v>
      </c>
    </row>
    <row r="42" spans="2:12">
      <c r="B42" s="35">
        <v>39</v>
      </c>
      <c r="C42" s="35">
        <v>2</v>
      </c>
      <c r="D42" s="35">
        <v>980</v>
      </c>
      <c r="E42" s="35">
        <v>2</v>
      </c>
      <c r="F42" s="35">
        <v>2000</v>
      </c>
      <c r="G42" s="35" t="s">
        <v>445</v>
      </c>
      <c r="H42" s="35" t="s">
        <v>365</v>
      </c>
      <c r="I42" s="35" t="s">
        <v>365</v>
      </c>
      <c r="J42" s="35" t="str">
        <f>IF(I42="","",_xlfn.XLOOKUP(I42,价值表!Z:Z,价值表!W:W))</f>
        <v/>
      </c>
      <c r="K42" s="35">
        <f>IF(E42="","",_xlfn.XLOOKUP(E42,价值表!E:E,价值表!H:H)*F42)</f>
        <v>100</v>
      </c>
    </row>
    <row r="43" spans="2:12">
      <c r="B43" s="35">
        <v>40</v>
      </c>
      <c r="C43" s="35">
        <v>2</v>
      </c>
      <c r="D43" s="35">
        <v>1000</v>
      </c>
      <c r="G43" s="35" t="s">
        <v>365</v>
      </c>
      <c r="H43" s="35" t="s">
        <v>192</v>
      </c>
      <c r="I43" s="35" t="s">
        <v>365</v>
      </c>
      <c r="J43" s="35" t="str">
        <f>IF(I43="","",_xlfn.XLOOKUP(I43,价值表!Z:Z,价值表!W:W))</f>
        <v/>
      </c>
      <c r="K43" s="35" t="str">
        <f>IF(E43="","",_xlfn.XLOOKUP(E43,价值表!E:E,价值表!H:H)*F43)</f>
        <v/>
      </c>
    </row>
    <row r="44" spans="2:12">
      <c r="G44" s="35" t="s">
        <v>365</v>
      </c>
      <c r="H44" s="35" t="s">
        <v>365</v>
      </c>
      <c r="I44" s="35" t="s">
        <v>365</v>
      </c>
      <c r="J44" s="35" t="str">
        <f>IF(I44="","",_xlfn.XLOOKUP(I44,价值表!Z:Z,价值表!W:W))</f>
        <v/>
      </c>
      <c r="K44" s="35" t="str">
        <f>IF(E44="","",_xlfn.XLOOKUP(E44,价值表!E:E,价值表!H:H)*F44)</f>
        <v/>
      </c>
    </row>
    <row r="45" spans="2:12">
      <c r="G45" s="35" t="s">
        <v>365</v>
      </c>
      <c r="H45" s="35" t="s">
        <v>365</v>
      </c>
      <c r="I45" s="35" t="s">
        <v>365</v>
      </c>
      <c r="J45" s="35" t="str">
        <f>IF(I45="","",_xlfn.XLOOKUP(I45,价值表!Z:Z,价值表!W:W))</f>
        <v/>
      </c>
      <c r="K45" s="35" t="str">
        <f>IF(E45="","",_xlfn.XLOOKUP(E45,价值表!E:E,价值表!H:H)*F45)</f>
        <v/>
      </c>
    </row>
    <row r="46" spans="2:12">
      <c r="B46" s="35" t="s">
        <v>365</v>
      </c>
      <c r="G46" s="35" t="s">
        <v>365</v>
      </c>
      <c r="H46" s="35" t="s">
        <v>365</v>
      </c>
      <c r="I46" s="35" t="s">
        <v>365</v>
      </c>
      <c r="J46" s="35" t="str">
        <f>IF(I46="","",_xlfn.XLOOKUP(I46,价值表!Z:Z,价值表!W:W))</f>
        <v/>
      </c>
      <c r="K46" s="35" t="str">
        <f>IF(E46="","",_xlfn.XLOOKUP(E46,价值表!E:E,价值表!H:H)*F46)</f>
        <v/>
      </c>
    </row>
    <row r="47" spans="2:12">
      <c r="B47" s="35">
        <v>41</v>
      </c>
      <c r="C47" s="35">
        <v>3</v>
      </c>
      <c r="D47" s="35">
        <v>50</v>
      </c>
      <c r="E47" s="35">
        <v>2</v>
      </c>
      <c r="F47" s="35">
        <v>1000</v>
      </c>
      <c r="G47" s="35" t="s">
        <v>434</v>
      </c>
      <c r="H47" s="35" t="s">
        <v>365</v>
      </c>
      <c r="I47" s="35" t="s">
        <v>365</v>
      </c>
      <c r="J47" s="35" t="str">
        <f>IF(I47="","",_xlfn.XLOOKUP(I47,价值表!Z:Z,价值表!W:W))</f>
        <v/>
      </c>
      <c r="K47" s="35">
        <f>IF(E47="","",_xlfn.XLOOKUP(E47,价值表!E:E,价值表!H:H)*F47)</f>
        <v>50</v>
      </c>
      <c r="L47" s="35">
        <f>SUM(K47:K67)</f>
        <v>4305</v>
      </c>
    </row>
    <row r="48" spans="2:12">
      <c r="B48" s="35">
        <v>42</v>
      </c>
      <c r="C48" s="35">
        <v>3</v>
      </c>
      <c r="D48" s="35">
        <v>100</v>
      </c>
      <c r="E48" s="35">
        <v>20034</v>
      </c>
      <c r="F48" s="35">
        <v>1</v>
      </c>
      <c r="G48" s="35" t="s">
        <v>430</v>
      </c>
      <c r="H48" s="35" t="s">
        <v>365</v>
      </c>
      <c r="I48" s="35" t="s">
        <v>365</v>
      </c>
      <c r="J48" s="35" t="str">
        <f>IF(I48="","",_xlfn.XLOOKUP(I48,价值表!Z:Z,价值表!W:W))</f>
        <v/>
      </c>
      <c r="K48" s="35">
        <f>IF(E48="","",_xlfn.XLOOKUP(E48,价值表!E:E,价值表!H:H)*F48)</f>
        <v>250</v>
      </c>
    </row>
    <row r="49" spans="2:11">
      <c r="B49" s="35">
        <v>43</v>
      </c>
      <c r="C49" s="35">
        <v>3</v>
      </c>
      <c r="D49" s="35">
        <v>200</v>
      </c>
      <c r="E49" s="35">
        <v>9</v>
      </c>
      <c r="F49" s="35">
        <v>5</v>
      </c>
      <c r="G49" s="35" t="s">
        <v>443</v>
      </c>
      <c r="H49" s="35" t="s">
        <v>365</v>
      </c>
      <c r="I49" s="35" t="s">
        <v>365</v>
      </c>
      <c r="J49" s="35" t="str">
        <f>IF(I49="","",_xlfn.XLOOKUP(I49,价值表!Z:Z,价值表!W:W))</f>
        <v/>
      </c>
      <c r="K49" s="35">
        <f>IF(E49="","",_xlfn.XLOOKUP(E49,价值表!E:E,价值表!H:H)*F49)</f>
        <v>250</v>
      </c>
    </row>
    <row r="50" spans="2:11">
      <c r="B50" s="35">
        <v>44</v>
      </c>
      <c r="C50" s="35">
        <v>3</v>
      </c>
      <c r="D50" s="35">
        <v>300</v>
      </c>
      <c r="G50" s="35" t="s">
        <v>365</v>
      </c>
      <c r="H50" s="35" t="s">
        <v>189</v>
      </c>
      <c r="I50" s="35" t="s">
        <v>365</v>
      </c>
      <c r="J50" s="35" t="str">
        <f>IF(I50="","",_xlfn.XLOOKUP(I50,价值表!Z:Z,价值表!W:W))</f>
        <v/>
      </c>
      <c r="K50" s="35" t="str">
        <f>IF(E50="","",_xlfn.XLOOKUP(E50,价值表!E:E,价值表!H:H)*F50)</f>
        <v/>
      </c>
    </row>
    <row r="51" spans="2:11">
      <c r="B51" s="35">
        <v>45</v>
      </c>
      <c r="C51" s="35">
        <v>3</v>
      </c>
      <c r="D51" s="35">
        <v>400</v>
      </c>
      <c r="E51" s="35">
        <v>20034</v>
      </c>
      <c r="F51" s="35">
        <v>1</v>
      </c>
      <c r="G51" s="35" t="s">
        <v>430</v>
      </c>
      <c r="H51" s="35" t="s">
        <v>365</v>
      </c>
      <c r="I51" s="35" t="s">
        <v>365</v>
      </c>
      <c r="J51" s="35" t="str">
        <f>IF(I51="","",_xlfn.XLOOKUP(I51,价值表!Z:Z,价值表!W:W))</f>
        <v/>
      </c>
      <c r="K51" s="35">
        <f>IF(E51="","",_xlfn.XLOOKUP(E51,价值表!E:E,价值表!H:H)*F51)</f>
        <v>250</v>
      </c>
    </row>
    <row r="52" spans="2:11">
      <c r="B52" s="35">
        <v>46</v>
      </c>
      <c r="C52" s="35">
        <v>3</v>
      </c>
      <c r="D52" s="35">
        <v>500</v>
      </c>
      <c r="E52" s="35">
        <v>5104001</v>
      </c>
      <c r="F52" s="35">
        <v>200</v>
      </c>
      <c r="G52" s="35" t="s">
        <v>442</v>
      </c>
      <c r="H52" s="35" t="s">
        <v>365</v>
      </c>
      <c r="I52" s="35" t="s">
        <v>365</v>
      </c>
      <c r="J52" s="35" t="str">
        <f>IF(I52="","",_xlfn.XLOOKUP(I52,价值表!Z:Z,价值表!W:W))</f>
        <v/>
      </c>
      <c r="K52" s="35">
        <f>IF(E52="","",_xlfn.XLOOKUP(E52,价值表!E:E,价值表!H:H)*F52)</f>
        <v>400</v>
      </c>
    </row>
    <row r="53" spans="2:11">
      <c r="B53" s="35">
        <v>47</v>
      </c>
      <c r="C53" s="35">
        <v>3</v>
      </c>
      <c r="D53" s="35">
        <v>700</v>
      </c>
      <c r="G53" s="35" t="s">
        <v>365</v>
      </c>
      <c r="H53" s="35" t="s">
        <v>439</v>
      </c>
      <c r="I53" s="35" t="s">
        <v>365</v>
      </c>
      <c r="J53" s="35" t="str">
        <f>IF(I53="","",_xlfn.XLOOKUP(I53,价值表!Z:Z,价值表!W:W))</f>
        <v/>
      </c>
      <c r="K53" s="35" t="str">
        <f>IF(E53="","",_xlfn.XLOOKUP(E53,价值表!E:E,价值表!H:H)*F53)</f>
        <v/>
      </c>
    </row>
    <row r="54" spans="2:11">
      <c r="B54" s="35">
        <v>48</v>
      </c>
      <c r="C54" s="35">
        <v>3</v>
      </c>
      <c r="D54" s="35">
        <v>800</v>
      </c>
      <c r="E54" s="35">
        <v>2</v>
      </c>
      <c r="F54" s="35">
        <v>500</v>
      </c>
      <c r="G54" s="35" t="s">
        <v>432</v>
      </c>
      <c r="H54" s="35" t="s">
        <v>365</v>
      </c>
      <c r="I54" s="35" t="s">
        <v>365</v>
      </c>
      <c r="J54" s="35" t="str">
        <f>IF(I54="","",_xlfn.XLOOKUP(I54,价值表!Z:Z,价值表!W:W))</f>
        <v/>
      </c>
      <c r="K54" s="35">
        <f>IF(E54="","",_xlfn.XLOOKUP(E54,价值表!E:E,价值表!H:H)*F54)</f>
        <v>25</v>
      </c>
    </row>
    <row r="55" spans="2:11">
      <c r="B55" s="35">
        <v>49</v>
      </c>
      <c r="C55" s="35">
        <v>3</v>
      </c>
      <c r="D55" s="35">
        <v>900</v>
      </c>
      <c r="G55" s="35" t="s">
        <v>365</v>
      </c>
      <c r="H55" s="35" t="s">
        <v>365</v>
      </c>
      <c r="I55" s="35" t="s">
        <v>446</v>
      </c>
      <c r="J55" s="35">
        <f>IF(I55="","",_xlfn.XLOOKUP(I55,价值表!Z:Z,价值表!W:W))</f>
        <v>90208</v>
      </c>
      <c r="K55" s="35" t="str">
        <f>IF(E55="","",_xlfn.XLOOKUP(E55,价值表!E:E,价值表!H:H)*F55)</f>
        <v/>
      </c>
    </row>
    <row r="56" spans="2:11">
      <c r="B56" s="35">
        <v>50</v>
      </c>
      <c r="C56" s="35">
        <v>3</v>
      </c>
      <c r="D56" s="35">
        <v>1000</v>
      </c>
      <c r="E56" s="35">
        <v>20034</v>
      </c>
      <c r="F56" s="35">
        <v>1</v>
      </c>
      <c r="G56" s="35" t="s">
        <v>430</v>
      </c>
      <c r="H56" s="35" t="s">
        <v>365</v>
      </c>
      <c r="I56" s="35" t="s">
        <v>365</v>
      </c>
      <c r="J56" s="35" t="str">
        <f>IF(I56="","",_xlfn.XLOOKUP(I56,价值表!Z:Z,价值表!W:W))</f>
        <v/>
      </c>
      <c r="K56" s="35">
        <f>IF(E56="","",_xlfn.XLOOKUP(E56,价值表!E:E,价值表!H:H)*F56)</f>
        <v>250</v>
      </c>
    </row>
    <row r="57" spans="2:11">
      <c r="B57" s="35">
        <v>51</v>
      </c>
      <c r="C57" s="35">
        <v>3</v>
      </c>
      <c r="D57" s="35">
        <v>1200</v>
      </c>
      <c r="G57" s="35" t="s">
        <v>365</v>
      </c>
      <c r="H57" s="35" t="s">
        <v>133</v>
      </c>
      <c r="I57" s="35" t="s">
        <v>365</v>
      </c>
      <c r="J57" s="35" t="str">
        <f>IF(I57="","",_xlfn.XLOOKUP(I57,价值表!Z:Z,价值表!W:W))</f>
        <v/>
      </c>
      <c r="K57" s="35" t="str">
        <f>IF(E57="","",_xlfn.XLOOKUP(E57,价值表!E:E,价值表!H:H)*F57)</f>
        <v/>
      </c>
    </row>
    <row r="58" spans="2:11">
      <c r="B58" s="35">
        <v>52</v>
      </c>
      <c r="C58" s="35">
        <v>3</v>
      </c>
      <c r="D58" s="35">
        <v>1300</v>
      </c>
      <c r="E58" s="35">
        <v>5104001</v>
      </c>
      <c r="F58" s="35">
        <v>500</v>
      </c>
      <c r="G58" s="35" t="s">
        <v>447</v>
      </c>
      <c r="H58" s="35" t="s">
        <v>365</v>
      </c>
      <c r="I58" s="35" t="s">
        <v>365</v>
      </c>
      <c r="J58" s="35" t="str">
        <f>IF(I58="","",_xlfn.XLOOKUP(I58,价值表!Z:Z,价值表!W:W))</f>
        <v/>
      </c>
      <c r="K58" s="35">
        <f>IF(E58="","",_xlfn.XLOOKUP(E58,价值表!E:E,价值表!H:H)*F58)</f>
        <v>1000</v>
      </c>
    </row>
    <row r="59" spans="2:11">
      <c r="B59" s="35">
        <v>53</v>
      </c>
      <c r="C59" s="35">
        <v>3</v>
      </c>
      <c r="D59" s="35">
        <v>1400</v>
      </c>
      <c r="E59" s="35">
        <v>2</v>
      </c>
      <c r="F59" s="35">
        <v>2000</v>
      </c>
      <c r="G59" s="35" t="s">
        <v>445</v>
      </c>
      <c r="H59" s="35" t="s">
        <v>365</v>
      </c>
      <c r="I59" s="35" t="s">
        <v>365</v>
      </c>
      <c r="J59" s="35" t="str">
        <f>IF(I59="","",_xlfn.XLOOKUP(I59,价值表!Z:Z,价值表!W:W))</f>
        <v/>
      </c>
      <c r="K59" s="35">
        <f>IF(E59="","",_xlfn.XLOOKUP(E59,价值表!E:E,价值表!H:H)*F59)</f>
        <v>100</v>
      </c>
    </row>
    <row r="60" spans="2:11">
      <c r="B60" s="35">
        <v>54</v>
      </c>
      <c r="C60" s="35">
        <v>3</v>
      </c>
      <c r="D60" s="35">
        <v>1500</v>
      </c>
      <c r="E60" s="35">
        <v>20034</v>
      </c>
      <c r="F60" s="35">
        <v>1</v>
      </c>
      <c r="G60" s="35" t="s">
        <v>430</v>
      </c>
      <c r="H60" s="35" t="s">
        <v>365</v>
      </c>
      <c r="I60" s="35" t="s">
        <v>365</v>
      </c>
      <c r="J60" s="35" t="str">
        <f>IF(I60="","",_xlfn.XLOOKUP(I60,价值表!Z:Z,价值表!W:W))</f>
        <v/>
      </c>
      <c r="K60" s="35">
        <f>IF(E60="","",_xlfn.XLOOKUP(E60,价值表!E:E,价值表!H:H)*F60)</f>
        <v>250</v>
      </c>
    </row>
    <row r="61" spans="2:11">
      <c r="B61" s="35">
        <v>55</v>
      </c>
      <c r="C61" s="35">
        <v>3</v>
      </c>
      <c r="D61" s="35">
        <v>1600</v>
      </c>
      <c r="G61" s="35" t="s">
        <v>365</v>
      </c>
      <c r="H61" s="35" t="s">
        <v>365</v>
      </c>
      <c r="I61" s="35" t="s">
        <v>448</v>
      </c>
      <c r="J61" s="35">
        <f>IF(I61="","",_xlfn.XLOOKUP(I61,价值表!Z:Z,价值表!W:W))</f>
        <v>90204</v>
      </c>
      <c r="K61" s="35" t="str">
        <f>IF(E61="","",_xlfn.XLOOKUP(E61,价值表!E:E,价值表!H:H)*F61)</f>
        <v/>
      </c>
    </row>
    <row r="62" spans="2:11">
      <c r="B62" s="35">
        <v>56</v>
      </c>
      <c r="C62" s="35">
        <v>3</v>
      </c>
      <c r="D62" s="35">
        <v>1700</v>
      </c>
      <c r="E62" s="35">
        <v>5104001</v>
      </c>
      <c r="F62" s="35">
        <v>200</v>
      </c>
      <c r="G62" s="35" t="s">
        <v>442</v>
      </c>
      <c r="H62" s="35" t="s">
        <v>365</v>
      </c>
      <c r="I62" s="35" t="s">
        <v>365</v>
      </c>
      <c r="J62" s="35" t="str">
        <f>IF(I62="","",_xlfn.XLOOKUP(I62,价值表!Z:Z,价值表!W:W))</f>
        <v/>
      </c>
      <c r="K62" s="35">
        <f>IF(E62="","",_xlfn.XLOOKUP(E62,价值表!E:E,价值表!H:H)*F62)</f>
        <v>400</v>
      </c>
    </row>
    <row r="63" spans="2:11">
      <c r="B63" s="35">
        <v>57</v>
      </c>
      <c r="C63" s="35">
        <v>3</v>
      </c>
      <c r="D63" s="35">
        <v>1800</v>
      </c>
      <c r="E63" s="35">
        <v>30</v>
      </c>
      <c r="F63" s="35">
        <v>1</v>
      </c>
      <c r="G63" s="35" t="s">
        <v>435</v>
      </c>
      <c r="H63" s="35" t="s">
        <v>365</v>
      </c>
      <c r="I63" s="35" t="s">
        <v>365</v>
      </c>
      <c r="J63" s="35" t="str">
        <f>IF(I63="","",_xlfn.XLOOKUP(I63,价值表!Z:Z,价值表!W:W))</f>
        <v/>
      </c>
      <c r="K63" s="35">
        <f>IF(E63="","",_xlfn.XLOOKUP(E63,价值表!E:E,价值表!H:H)*F63)</f>
        <v>280</v>
      </c>
    </row>
    <row r="64" spans="2:11">
      <c r="B64" s="35">
        <v>58</v>
      </c>
      <c r="C64" s="35">
        <v>3</v>
      </c>
      <c r="D64" s="35">
        <v>1900</v>
      </c>
      <c r="E64" s="35">
        <v>35</v>
      </c>
      <c r="F64" s="35">
        <v>1</v>
      </c>
      <c r="G64" s="35" t="s">
        <v>441</v>
      </c>
      <c r="H64" s="35" t="s">
        <v>365</v>
      </c>
      <c r="I64" s="35" t="s">
        <v>365</v>
      </c>
      <c r="J64" s="35" t="str">
        <f>IF(I64="","",_xlfn.XLOOKUP(I64,价值表!Z:Z,价值表!W:W))</f>
        <v/>
      </c>
      <c r="K64" s="35">
        <f>IF(E64="","",_xlfn.XLOOKUP(E64,价值表!E:E,价值表!H:H)*F64)</f>
        <v>100</v>
      </c>
    </row>
    <row r="65" spans="2:12">
      <c r="B65" s="35">
        <v>59</v>
      </c>
      <c r="C65" s="35">
        <v>3</v>
      </c>
      <c r="D65" s="35">
        <v>2000</v>
      </c>
      <c r="E65" s="35">
        <v>20035</v>
      </c>
      <c r="F65" s="35">
        <v>1</v>
      </c>
      <c r="G65" s="35" t="s">
        <v>449</v>
      </c>
      <c r="H65" s="35" t="s">
        <v>365</v>
      </c>
      <c r="I65" s="35" t="s">
        <v>365</v>
      </c>
      <c r="J65" s="35" t="str">
        <f>IF(I65="","",_xlfn.XLOOKUP(I65,价值表!Z:Z,价值表!W:W))</f>
        <v/>
      </c>
      <c r="K65" s="35">
        <f>IF(E65="","",_xlfn.XLOOKUP(E65,价值表!E:E,价值表!H:H)*F65)</f>
        <v>700</v>
      </c>
    </row>
    <row r="66" spans="2:12">
      <c r="G66" s="35" t="s">
        <v>365</v>
      </c>
      <c r="H66" s="35" t="s">
        <v>365</v>
      </c>
      <c r="I66" s="35" t="s">
        <v>365</v>
      </c>
      <c r="J66" s="35" t="str">
        <f>IF(I66="","",_xlfn.XLOOKUP(I66,价值表!Z:Z,价值表!W:W))</f>
        <v/>
      </c>
      <c r="K66" s="35" t="str">
        <f>IF(E66="","",_xlfn.XLOOKUP(E66,价值表!E:E,价值表!H:H)*F66)</f>
        <v/>
      </c>
    </row>
    <row r="67" spans="2:12">
      <c r="G67" s="35" t="s">
        <v>365</v>
      </c>
      <c r="H67" s="35" t="s">
        <v>365</v>
      </c>
      <c r="I67" s="35" t="s">
        <v>365</v>
      </c>
      <c r="J67" s="35" t="str">
        <f>IF(I67="","",_xlfn.XLOOKUP(I67,价值表!Z:Z,价值表!W:W))</f>
        <v/>
      </c>
      <c r="K67" s="35" t="str">
        <f>IF(E67="","",_xlfn.XLOOKUP(E67,价值表!E:E,价值表!H:H)*F67)</f>
        <v/>
      </c>
    </row>
    <row r="68" spans="2:12">
      <c r="G68" s="35" t="s">
        <v>365</v>
      </c>
      <c r="H68" s="35" t="s">
        <v>365</v>
      </c>
      <c r="I68" s="35" t="s">
        <v>365</v>
      </c>
      <c r="J68" s="35" t="str">
        <f>IF(I68="","",_xlfn.XLOOKUP(I68,价值表!Z:Z,价值表!W:W))</f>
        <v/>
      </c>
      <c r="K68" s="35" t="str">
        <f>IF(E68="","",_xlfn.XLOOKUP(E68,价值表!E:E,价值表!H:H)*F68)</f>
        <v/>
      </c>
    </row>
    <row r="69" spans="2:12">
      <c r="G69" s="35" t="s">
        <v>365</v>
      </c>
      <c r="H69" s="35" t="s">
        <v>365</v>
      </c>
      <c r="I69" s="35" t="s">
        <v>365</v>
      </c>
      <c r="J69" s="35" t="str">
        <f>IF(I69="","",_xlfn.XLOOKUP(I69,价值表!Z:Z,价值表!W:W))</f>
        <v/>
      </c>
      <c r="K69" s="35" t="str">
        <f>IF(E69="","",_xlfn.XLOOKUP(E69,价值表!E:E,价值表!H:H)*F69)</f>
        <v/>
      </c>
    </row>
    <row r="70" spans="2:12">
      <c r="G70" s="35" t="s">
        <v>365</v>
      </c>
      <c r="H70" s="35" t="s">
        <v>365</v>
      </c>
      <c r="I70" s="35" t="s">
        <v>365</v>
      </c>
      <c r="J70" s="35" t="str">
        <f>IF(I70="","",_xlfn.XLOOKUP(I70,价值表!Z:Z,价值表!W:W))</f>
        <v/>
      </c>
      <c r="K70" s="35" t="str">
        <f>IF(E70="","",_xlfn.XLOOKUP(E70,价值表!E:E,价值表!H:H)*F70)</f>
        <v/>
      </c>
    </row>
    <row r="71" spans="2:12">
      <c r="B71" s="35">
        <v>60</v>
      </c>
      <c r="C71" s="35">
        <v>4</v>
      </c>
      <c r="D71" s="35">
        <v>1</v>
      </c>
      <c r="G71" s="35" t="s">
        <v>365</v>
      </c>
      <c r="H71" s="35" t="s">
        <v>450</v>
      </c>
      <c r="I71" s="35" t="s">
        <v>365</v>
      </c>
      <c r="J71" s="35" t="str">
        <f>IF(I71="","",_xlfn.XLOOKUP(I71,价值表!Z:Z,价值表!W:W))</f>
        <v/>
      </c>
      <c r="K71" s="35" t="str">
        <f>IF(E71="","",_xlfn.XLOOKUP(E71,价值表!E:E,价值表!H:H)*F71)</f>
        <v/>
      </c>
      <c r="L71" s="35">
        <f>SUM(K71:K91)</f>
        <v>3430</v>
      </c>
    </row>
    <row r="72" spans="2:12">
      <c r="B72" s="35">
        <v>61</v>
      </c>
      <c r="C72" s="35">
        <v>4</v>
      </c>
      <c r="D72" s="35">
        <v>200</v>
      </c>
      <c r="E72" s="35">
        <v>2</v>
      </c>
      <c r="F72" s="35">
        <v>2000</v>
      </c>
      <c r="G72" s="35" t="s">
        <v>445</v>
      </c>
      <c r="H72" s="35" t="s">
        <v>365</v>
      </c>
      <c r="I72" s="35" t="s">
        <v>365</v>
      </c>
      <c r="J72" s="35" t="str">
        <f>IF(I72="","",_xlfn.XLOOKUP(I72,价值表!Z:Z,价值表!W:W))</f>
        <v/>
      </c>
      <c r="K72" s="35">
        <f>IF(E72="","",_xlfn.XLOOKUP(E72,价值表!E:E,价值表!H:H)*F72)</f>
        <v>100</v>
      </c>
    </row>
    <row r="73" spans="2:12">
      <c r="B73" s="35">
        <v>62</v>
      </c>
      <c r="C73" s="35">
        <v>4</v>
      </c>
      <c r="D73" s="35">
        <v>300</v>
      </c>
      <c r="E73" s="35">
        <v>20034</v>
      </c>
      <c r="F73" s="35">
        <v>1</v>
      </c>
      <c r="G73" s="35" t="s">
        <v>430</v>
      </c>
      <c r="H73" s="35" t="s">
        <v>365</v>
      </c>
      <c r="I73" s="35" t="s">
        <v>365</v>
      </c>
      <c r="J73" s="35" t="str">
        <f>IF(I73="","",_xlfn.XLOOKUP(I73,价值表!Z:Z,价值表!W:W))</f>
        <v/>
      </c>
      <c r="K73" s="35">
        <f>IF(E73="","",_xlfn.XLOOKUP(E73,价值表!E:E,价值表!H:H)*F73)</f>
        <v>250</v>
      </c>
    </row>
    <row r="74" spans="2:12">
      <c r="B74" s="35">
        <v>63</v>
      </c>
      <c r="C74" s="35">
        <v>4</v>
      </c>
      <c r="D74" s="35">
        <v>500</v>
      </c>
      <c r="G74" s="35" t="s">
        <v>365</v>
      </c>
      <c r="H74" s="35" t="s">
        <v>365</v>
      </c>
      <c r="I74" s="35" t="s">
        <v>451</v>
      </c>
      <c r="J74" s="35">
        <f>IF(I74="","",_xlfn.XLOOKUP(I74,价值表!Z:Z,价值表!W:W))</f>
        <v>90216</v>
      </c>
      <c r="K74" s="35" t="str">
        <f>IF(E74="","",_xlfn.XLOOKUP(E74,价值表!E:E,价值表!H:H)*F74)</f>
        <v/>
      </c>
    </row>
    <row r="75" spans="2:12">
      <c r="B75" s="35">
        <v>64</v>
      </c>
      <c r="C75" s="35">
        <v>4</v>
      </c>
      <c r="D75" s="35">
        <v>700</v>
      </c>
      <c r="E75" s="35">
        <v>35</v>
      </c>
      <c r="F75" s="35">
        <v>1</v>
      </c>
      <c r="G75" s="35" t="s">
        <v>441</v>
      </c>
      <c r="H75" s="35" t="s">
        <v>365</v>
      </c>
      <c r="I75" s="35" t="s">
        <v>365</v>
      </c>
      <c r="J75" s="35" t="str">
        <f>IF(I75="","",_xlfn.XLOOKUP(I75,价值表!Z:Z,价值表!W:W))</f>
        <v/>
      </c>
      <c r="K75" s="35">
        <f>IF(E75="","",_xlfn.XLOOKUP(E75,价值表!E:E,价值表!H:H)*F75)</f>
        <v>100</v>
      </c>
    </row>
    <row r="76" spans="2:12">
      <c r="B76" s="35">
        <v>65</v>
      </c>
      <c r="C76" s="35">
        <v>4</v>
      </c>
      <c r="D76" s="35">
        <v>900</v>
      </c>
      <c r="E76" s="35">
        <v>20034</v>
      </c>
      <c r="F76" s="35">
        <v>1</v>
      </c>
      <c r="G76" s="35" t="s">
        <v>430</v>
      </c>
      <c r="H76" s="35" t="s">
        <v>365</v>
      </c>
      <c r="I76" s="35" t="s">
        <v>365</v>
      </c>
      <c r="J76" s="35" t="str">
        <f>IF(I76="","",_xlfn.XLOOKUP(I76,价值表!Z:Z,价值表!W:W))</f>
        <v/>
      </c>
      <c r="K76" s="35">
        <f>IF(E76="","",_xlfn.XLOOKUP(E76,价值表!E:E,价值表!H:H)*F76)</f>
        <v>250</v>
      </c>
    </row>
    <row r="77" spans="2:12">
      <c r="B77" s="35">
        <v>66</v>
      </c>
      <c r="C77" s="35">
        <v>4</v>
      </c>
      <c r="D77" s="35">
        <v>1000</v>
      </c>
      <c r="E77" s="35">
        <v>5104001</v>
      </c>
      <c r="F77" s="35">
        <v>200</v>
      </c>
      <c r="G77" s="35" t="s">
        <v>442</v>
      </c>
      <c r="H77" s="35" t="s">
        <v>365</v>
      </c>
      <c r="I77" s="35" t="s">
        <v>365</v>
      </c>
      <c r="J77" s="35" t="str">
        <f>IF(I77="","",_xlfn.XLOOKUP(I77,价值表!Z:Z,价值表!W:W))</f>
        <v/>
      </c>
      <c r="K77" s="35">
        <f>IF(E77="","",_xlfn.XLOOKUP(E77,价值表!E:E,价值表!H:H)*F77)</f>
        <v>400</v>
      </c>
    </row>
    <row r="78" spans="2:12">
      <c r="B78" s="35">
        <v>67</v>
      </c>
      <c r="C78" s="35">
        <v>4</v>
      </c>
      <c r="D78" s="35">
        <v>1200</v>
      </c>
      <c r="G78" s="35" t="s">
        <v>365</v>
      </c>
      <c r="H78" s="35" t="s">
        <v>204</v>
      </c>
      <c r="I78" s="35" t="s">
        <v>365</v>
      </c>
      <c r="J78" s="35" t="str">
        <f>IF(I78="","",_xlfn.XLOOKUP(I78,价值表!Z:Z,价值表!W:W))</f>
        <v/>
      </c>
      <c r="K78" s="35" t="str">
        <f>IF(E78="","",_xlfn.XLOOKUP(E78,价值表!E:E,价值表!H:H)*F78)</f>
        <v/>
      </c>
    </row>
    <row r="79" spans="2:12">
      <c r="B79" s="35">
        <v>68</v>
      </c>
      <c r="C79" s="35">
        <v>4</v>
      </c>
      <c r="D79" s="35">
        <v>1300</v>
      </c>
      <c r="E79" s="35">
        <v>2</v>
      </c>
      <c r="F79" s="35">
        <v>1000</v>
      </c>
      <c r="G79" s="35" t="s">
        <v>434</v>
      </c>
      <c r="H79" s="35" t="s">
        <v>365</v>
      </c>
      <c r="I79" s="35" t="s">
        <v>365</v>
      </c>
      <c r="J79" s="35" t="str">
        <f>IF(I79="","",_xlfn.XLOOKUP(I79,价值表!Z:Z,价值表!W:W))</f>
        <v/>
      </c>
      <c r="K79" s="35">
        <f>IF(E79="","",_xlfn.XLOOKUP(E79,价值表!E:E,价值表!H:H)*F79)</f>
        <v>50</v>
      </c>
    </row>
    <row r="80" spans="2:12">
      <c r="B80" s="35">
        <v>69</v>
      </c>
      <c r="C80" s="35">
        <v>4</v>
      </c>
      <c r="D80" s="35">
        <v>1500</v>
      </c>
      <c r="E80" s="35">
        <v>9</v>
      </c>
      <c r="F80" s="35">
        <v>5</v>
      </c>
      <c r="G80" s="35" t="s">
        <v>443</v>
      </c>
      <c r="H80" s="35" t="s">
        <v>365</v>
      </c>
      <c r="I80" s="35" t="s">
        <v>365</v>
      </c>
      <c r="J80" s="35" t="str">
        <f>IF(I80="","",_xlfn.XLOOKUP(I80,价值表!Z:Z,价值表!W:W))</f>
        <v/>
      </c>
      <c r="K80" s="35">
        <f>IF(E80="","",_xlfn.XLOOKUP(E80,价值表!E:E,价值表!H:H)*F80)</f>
        <v>250</v>
      </c>
    </row>
    <row r="81" spans="2:11">
      <c r="B81" s="35">
        <v>70</v>
      </c>
      <c r="C81" s="35">
        <v>4</v>
      </c>
      <c r="D81" s="35">
        <v>1700</v>
      </c>
      <c r="E81" s="35">
        <v>20034</v>
      </c>
      <c r="F81" s="35">
        <v>1</v>
      </c>
      <c r="G81" s="35" t="s">
        <v>430</v>
      </c>
      <c r="H81" s="35" t="s">
        <v>365</v>
      </c>
      <c r="I81" s="35" t="s">
        <v>365</v>
      </c>
      <c r="J81" s="35" t="str">
        <f>IF(I81="","",_xlfn.XLOOKUP(I81,价值表!Z:Z,价值表!W:W))</f>
        <v/>
      </c>
      <c r="K81" s="35">
        <f>IF(E81="","",_xlfn.XLOOKUP(E81,价值表!E:E,价值表!H:H)*F81)</f>
        <v>250</v>
      </c>
    </row>
    <row r="82" spans="2:11">
      <c r="B82" s="35">
        <v>71</v>
      </c>
      <c r="C82" s="35">
        <v>4</v>
      </c>
      <c r="D82" s="35">
        <v>1800</v>
      </c>
      <c r="E82" s="35">
        <v>2</v>
      </c>
      <c r="F82" s="35">
        <v>3000</v>
      </c>
      <c r="G82" s="35" t="s">
        <v>452</v>
      </c>
      <c r="H82" s="35" t="s">
        <v>365</v>
      </c>
      <c r="I82" s="35" t="s">
        <v>365</v>
      </c>
      <c r="J82" s="35" t="str">
        <f>IF(I82="","",_xlfn.XLOOKUP(I82,价值表!Z:Z,价值表!W:W))</f>
        <v/>
      </c>
      <c r="K82" s="35">
        <f>IF(E82="","",_xlfn.XLOOKUP(E82,价值表!E:E,价值表!H:H)*F82)</f>
        <v>150</v>
      </c>
    </row>
    <row r="83" spans="2:11">
      <c r="B83" s="35">
        <v>72</v>
      </c>
      <c r="C83" s="35">
        <v>4</v>
      </c>
      <c r="D83" s="35">
        <v>2000</v>
      </c>
      <c r="G83" s="35" t="s">
        <v>365</v>
      </c>
      <c r="H83" s="35" t="s">
        <v>450</v>
      </c>
      <c r="I83" s="35" t="s">
        <v>365</v>
      </c>
      <c r="J83" s="35" t="str">
        <f>IF(I83="","",_xlfn.XLOOKUP(I83,价值表!Z:Z,价值表!W:W))</f>
        <v/>
      </c>
      <c r="K83" s="35" t="str">
        <f>IF(E83="","",_xlfn.XLOOKUP(E83,价值表!E:E,价值表!H:H)*F83)</f>
        <v/>
      </c>
    </row>
    <row r="84" spans="2:11">
      <c r="B84" s="35">
        <v>73</v>
      </c>
      <c r="C84" s="35">
        <v>4</v>
      </c>
      <c r="D84" s="35">
        <v>2200</v>
      </c>
      <c r="E84" s="35">
        <v>20034</v>
      </c>
      <c r="F84" s="35">
        <v>1</v>
      </c>
      <c r="G84" s="35" t="s">
        <v>430</v>
      </c>
      <c r="H84" s="35" t="s">
        <v>365</v>
      </c>
      <c r="I84" s="35" t="s">
        <v>365</v>
      </c>
      <c r="J84" s="35" t="str">
        <f>IF(I84="","",_xlfn.XLOOKUP(I84,价值表!Z:Z,价值表!W:W))</f>
        <v/>
      </c>
      <c r="K84" s="35">
        <f>IF(E84="","",_xlfn.XLOOKUP(E84,价值表!E:E,价值表!H:H)*F84)</f>
        <v>250</v>
      </c>
    </row>
    <row r="85" spans="2:11">
      <c r="B85" s="35">
        <v>74</v>
      </c>
      <c r="C85" s="35">
        <v>4</v>
      </c>
      <c r="D85" s="35">
        <v>2400</v>
      </c>
      <c r="H85" s="35" t="s">
        <v>365</v>
      </c>
      <c r="I85" s="36" t="s">
        <v>453</v>
      </c>
      <c r="J85" s="36">
        <f>IF(I85="","",_xlfn.XLOOKUP(I85,价值表!Z:Z,价值表!W:W))</f>
        <v>90206</v>
      </c>
      <c r="K85" s="35" t="str">
        <f>IF(E85="","",_xlfn.XLOOKUP(E85,价值表!E:E,价值表!H:H)*F85)</f>
        <v/>
      </c>
    </row>
    <row r="86" spans="2:11">
      <c r="B86" s="35">
        <v>75</v>
      </c>
      <c r="C86" s="35">
        <v>4</v>
      </c>
      <c r="D86" s="35">
        <v>2600</v>
      </c>
      <c r="E86" s="35">
        <v>5104001</v>
      </c>
      <c r="F86" s="35">
        <v>200</v>
      </c>
      <c r="G86" s="35" t="s">
        <v>442</v>
      </c>
      <c r="H86" s="35" t="s">
        <v>365</v>
      </c>
      <c r="I86" s="35" t="s">
        <v>365</v>
      </c>
      <c r="J86" s="35" t="str">
        <f>IF(I86="","",_xlfn.XLOOKUP(I86,价值表!Z:Z,价值表!W:W))</f>
        <v/>
      </c>
      <c r="K86" s="35">
        <f>IF(E86="","",_xlfn.XLOOKUP(E86,价值表!E:E,价值表!H:H)*F86)</f>
        <v>400</v>
      </c>
    </row>
    <row r="87" spans="2:11">
      <c r="B87" s="35">
        <v>76</v>
      </c>
      <c r="C87" s="35">
        <v>4</v>
      </c>
      <c r="D87" s="35">
        <v>2800</v>
      </c>
      <c r="E87" s="35">
        <v>30</v>
      </c>
      <c r="F87" s="35">
        <v>1</v>
      </c>
      <c r="G87" s="35" t="s">
        <v>435</v>
      </c>
      <c r="H87" s="35" t="s">
        <v>365</v>
      </c>
      <c r="I87" s="35" t="s">
        <v>365</v>
      </c>
      <c r="J87" s="35" t="str">
        <f>IF(I87="","",_xlfn.XLOOKUP(I87,价值表!Z:Z,价值表!W:W))</f>
        <v/>
      </c>
      <c r="K87" s="35">
        <f>IF(E87="","",_xlfn.XLOOKUP(E87,价值表!E:E,价值表!H:H)*F87)</f>
        <v>280</v>
      </c>
    </row>
    <row r="88" spans="2:11">
      <c r="B88" s="35">
        <v>77</v>
      </c>
      <c r="C88" s="35">
        <v>4</v>
      </c>
      <c r="D88" s="35">
        <v>3000</v>
      </c>
      <c r="E88" s="35">
        <v>20035</v>
      </c>
      <c r="F88" s="35">
        <v>1</v>
      </c>
      <c r="G88" s="35" t="s">
        <v>449</v>
      </c>
      <c r="H88" s="35" t="s">
        <v>365</v>
      </c>
      <c r="I88" s="35" t="s">
        <v>365</v>
      </c>
      <c r="J88" s="35" t="str">
        <f>IF(I88="","",_xlfn.XLOOKUP(I88,价值表!Z:Z,价值表!W:W))</f>
        <v/>
      </c>
      <c r="K88" s="35">
        <f>IF(E88="","",_xlfn.XLOOKUP(E88,价值表!E:E,价值表!H:H)*F88)</f>
        <v>700</v>
      </c>
    </row>
    <row r="92" spans="2:11">
      <c r="J92" s="37"/>
    </row>
    <row r="93" spans="2:11">
      <c r="J93" s="37"/>
    </row>
    <row r="99" spans="5:5">
      <c r="E99" s="37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D1:Z81"/>
  <sheetViews>
    <sheetView topLeftCell="B1" workbookViewId="0">
      <selection activeCell="L15" sqref="L15"/>
    </sheetView>
  </sheetViews>
  <sheetFormatPr defaultColWidth="9.14285714285714" defaultRowHeight="14.25"/>
  <cols>
    <col min="4" max="4" width="10.2857142857143" style="16"/>
    <col min="5" max="5" width="10.7142857142857" style="16"/>
    <col min="6" max="15" width="10.2857142857143" style="16"/>
    <col min="23" max="23" width="12.5714285714286" style="17" customWidth="1"/>
    <col min="24" max="25" width="8.57142857142857" style="17" customWidth="1"/>
    <col min="26" max="26" width="18" style="17" customWidth="1"/>
  </cols>
  <sheetData>
    <row r="1" ht="16.5" spans="4:26">
      <c r="W1" s="18" t="s">
        <v>454</v>
      </c>
      <c r="X1" s="18" t="s">
        <v>78</v>
      </c>
      <c r="Y1" s="19" t="s">
        <v>455</v>
      </c>
    </row>
    <row r="2" ht="16.5" spans="4:26">
      <c r="W2" s="18" t="s">
        <v>117</v>
      </c>
      <c r="X2" s="18" t="s">
        <v>456</v>
      </c>
      <c r="Y2" s="19" t="s">
        <v>457</v>
      </c>
    </row>
    <row r="3" ht="16.5" spans="4:26">
      <c r="W3" s="20">
        <v>90001</v>
      </c>
      <c r="X3" s="20">
        <v>1</v>
      </c>
      <c r="Y3" s="20">
        <v>4</v>
      </c>
      <c r="Z3" s="20" t="s">
        <v>458</v>
      </c>
    </row>
    <row r="4" ht="16.5" spans="4:26">
      <c r="W4" s="20"/>
      <c r="X4" s="20">
        <v>2</v>
      </c>
      <c r="Y4" s="20"/>
      <c r="Z4" s="20" t="s">
        <v>458</v>
      </c>
    </row>
    <row r="5" ht="16.5" spans="4:26">
      <c r="W5" s="21"/>
      <c r="X5" s="20"/>
      <c r="Y5" s="20"/>
      <c r="Z5" s="20" t="s">
        <v>459</v>
      </c>
    </row>
    <row r="6" ht="16.5" spans="4:26">
      <c r="D6" s="22"/>
      <c r="E6" s="22"/>
      <c r="F6" s="22"/>
      <c r="G6" s="22"/>
      <c r="H6" s="22"/>
      <c r="I6" s="22"/>
      <c r="J6" s="23" t="s">
        <v>460</v>
      </c>
      <c r="K6" s="24"/>
      <c r="L6" s="24"/>
      <c r="M6" s="24"/>
      <c r="N6" s="24"/>
      <c r="W6" s="21"/>
      <c r="X6" s="20"/>
      <c r="Y6" s="20"/>
      <c r="Z6" s="20" t="s">
        <v>461</v>
      </c>
    </row>
    <row r="7" ht="16.5" spans="4:26">
      <c r="D7" s="25" t="s">
        <v>462</v>
      </c>
      <c r="E7" s="25" t="s">
        <v>463</v>
      </c>
      <c r="F7" s="25" t="s">
        <v>464</v>
      </c>
      <c r="G7" s="23" t="s">
        <v>465</v>
      </c>
      <c r="H7" s="23" t="s">
        <v>466</v>
      </c>
      <c r="I7" s="23" t="s">
        <v>467</v>
      </c>
      <c r="J7" s="23" t="s">
        <v>468</v>
      </c>
      <c r="K7" s="23" t="s">
        <v>469</v>
      </c>
      <c r="L7" s="23" t="s">
        <v>470</v>
      </c>
      <c r="M7" s="23" t="s">
        <v>471</v>
      </c>
      <c r="N7" s="23" t="s">
        <v>472</v>
      </c>
      <c r="W7" s="21"/>
      <c r="X7" s="20"/>
      <c r="Y7" s="20"/>
      <c r="Z7" s="20" t="s">
        <v>473</v>
      </c>
    </row>
    <row r="8" ht="16.5" spans="4:26">
      <c r="D8" s="26">
        <v>1</v>
      </c>
      <c r="E8" s="26">
        <v>1</v>
      </c>
      <c r="F8" s="26" t="s">
        <v>474</v>
      </c>
      <c r="G8" s="26" t="s">
        <v>475</v>
      </c>
      <c r="H8" s="26">
        <v>1</v>
      </c>
      <c r="I8" s="26"/>
      <c r="J8" s="26" t="s">
        <v>476</v>
      </c>
      <c r="K8" s="26" t="s">
        <v>477</v>
      </c>
      <c r="L8" s="26">
        <v>5</v>
      </c>
      <c r="M8" s="26"/>
      <c r="N8" s="26" t="s">
        <v>478</v>
      </c>
      <c r="W8" s="27"/>
      <c r="X8" s="20">
        <v>1</v>
      </c>
      <c r="Y8" s="20"/>
      <c r="Z8" s="20" t="s">
        <v>479</v>
      </c>
    </row>
    <row r="9" ht="16.5" spans="4:26">
      <c r="D9" s="26">
        <v>2</v>
      </c>
      <c r="E9" s="26">
        <v>13</v>
      </c>
      <c r="F9" s="26" t="s">
        <v>247</v>
      </c>
      <c r="G9" s="26"/>
      <c r="H9" s="26">
        <v>2</v>
      </c>
      <c r="I9" s="26"/>
      <c r="J9" s="26" t="s">
        <v>480</v>
      </c>
      <c r="K9" s="26"/>
      <c r="L9" s="26">
        <v>7</v>
      </c>
      <c r="M9" s="26"/>
      <c r="N9" s="26"/>
      <c r="W9" s="27"/>
      <c r="X9" s="20">
        <v>2</v>
      </c>
      <c r="Y9" s="20"/>
      <c r="Z9" s="20" t="s">
        <v>479</v>
      </c>
    </row>
    <row r="10" ht="16.5" spans="4:26">
      <c r="D10" s="26">
        <v>3</v>
      </c>
      <c r="E10" s="26">
        <v>2</v>
      </c>
      <c r="F10" s="26" t="s">
        <v>214</v>
      </c>
      <c r="G10" s="26"/>
      <c r="H10" s="26">
        <v>0.05</v>
      </c>
      <c r="I10" s="26"/>
      <c r="J10" s="26" t="s">
        <v>481</v>
      </c>
      <c r="K10" s="26"/>
      <c r="L10" s="26">
        <v>5</v>
      </c>
      <c r="M10" s="26"/>
      <c r="N10" s="26"/>
      <c r="W10" s="21"/>
      <c r="X10" s="20"/>
      <c r="Y10" s="20"/>
      <c r="Z10" s="20" t="s">
        <v>482</v>
      </c>
    </row>
    <row r="11" ht="16.5" spans="4:26">
      <c r="D11" s="26">
        <v>4</v>
      </c>
      <c r="E11" s="26">
        <v>44</v>
      </c>
      <c r="F11" s="26" t="s">
        <v>483</v>
      </c>
      <c r="G11" s="26"/>
      <c r="H11" s="26">
        <v>10</v>
      </c>
      <c r="I11" s="26"/>
      <c r="J11" s="26" t="s">
        <v>291</v>
      </c>
      <c r="K11" s="26" t="s">
        <v>484</v>
      </c>
      <c r="L11" s="26">
        <v>2</v>
      </c>
      <c r="M11" s="26"/>
      <c r="N11" s="28" t="s">
        <v>485</v>
      </c>
      <c r="W11" s="21"/>
      <c r="X11" s="20"/>
      <c r="Y11" s="20"/>
      <c r="Z11" s="20" t="s">
        <v>486</v>
      </c>
    </row>
    <row r="12" ht="16.5" spans="4:26">
      <c r="D12" s="26">
        <v>5</v>
      </c>
      <c r="E12" s="26">
        <v>20003</v>
      </c>
      <c r="F12" s="26" t="s">
        <v>487</v>
      </c>
      <c r="G12" s="26"/>
      <c r="H12" s="26">
        <v>30</v>
      </c>
      <c r="I12" s="26"/>
      <c r="J12" s="26"/>
      <c r="K12" s="26"/>
      <c r="L12" s="26"/>
      <c r="M12" s="26"/>
      <c r="N12" s="28"/>
      <c r="W12" s="20"/>
      <c r="X12" s="20"/>
      <c r="Y12" s="20"/>
      <c r="Z12" s="29" t="s">
        <v>488</v>
      </c>
    </row>
    <row r="13" ht="16.5" spans="4:26">
      <c r="D13" s="26">
        <v>6</v>
      </c>
      <c r="E13" s="26">
        <v>20033</v>
      </c>
      <c r="F13" s="26" t="s">
        <v>489</v>
      </c>
      <c r="G13" s="26"/>
      <c r="H13" s="26">
        <v>40</v>
      </c>
      <c r="I13" s="26"/>
      <c r="J13" s="26"/>
      <c r="K13" s="26"/>
      <c r="L13" s="26"/>
      <c r="M13" s="26"/>
      <c r="N13" s="26"/>
      <c r="W13" s="20"/>
      <c r="X13" s="20"/>
      <c r="Y13" s="20"/>
      <c r="Z13" s="29" t="s">
        <v>488</v>
      </c>
    </row>
    <row r="14" ht="16.5" spans="4:26">
      <c r="D14" s="26">
        <v>7</v>
      </c>
      <c r="E14" s="26">
        <v>5800004</v>
      </c>
      <c r="F14" s="26" t="s">
        <v>490</v>
      </c>
      <c r="G14" s="26"/>
      <c r="H14" s="26">
        <v>30</v>
      </c>
      <c r="I14" s="26"/>
      <c r="J14" s="26"/>
      <c r="K14" s="26"/>
      <c r="L14" s="26"/>
      <c r="M14" s="26"/>
      <c r="N14" s="26"/>
      <c r="W14" s="20"/>
      <c r="X14" s="20"/>
      <c r="Y14" s="20"/>
      <c r="Z14" s="29" t="s">
        <v>488</v>
      </c>
    </row>
    <row r="15" ht="16.5" spans="4:26">
      <c r="D15" s="26">
        <v>8</v>
      </c>
      <c r="E15" s="26">
        <v>5800005</v>
      </c>
      <c r="F15" s="26" t="s">
        <v>491</v>
      </c>
      <c r="G15" s="26"/>
      <c r="H15" s="26">
        <v>50</v>
      </c>
      <c r="I15" s="26"/>
      <c r="J15" s="26"/>
      <c r="K15" s="26"/>
      <c r="L15" s="26"/>
      <c r="M15" s="26"/>
      <c r="N15" s="26"/>
      <c r="W15" s="21"/>
      <c r="X15" s="20"/>
      <c r="Y15" s="20"/>
      <c r="Z15" s="29" t="s">
        <v>492</v>
      </c>
    </row>
    <row r="16" ht="16.5" spans="4:26">
      <c r="D16" s="26">
        <v>9</v>
      </c>
      <c r="E16" s="26">
        <v>20034</v>
      </c>
      <c r="F16" s="26" t="s">
        <v>493</v>
      </c>
      <c r="G16" s="26"/>
      <c r="H16" s="26">
        <v>250</v>
      </c>
      <c r="I16" s="26"/>
      <c r="J16" s="26"/>
      <c r="K16" s="26"/>
      <c r="L16" s="26"/>
      <c r="M16" s="26"/>
      <c r="N16" s="26"/>
      <c r="W16" s="21"/>
      <c r="X16" s="20"/>
      <c r="Y16" s="20"/>
      <c r="Z16" s="29" t="s">
        <v>494</v>
      </c>
    </row>
    <row r="17" ht="16.5" spans="4:26">
      <c r="D17" s="26">
        <v>10</v>
      </c>
      <c r="E17" s="26">
        <v>20035</v>
      </c>
      <c r="F17" s="26" t="s">
        <v>495</v>
      </c>
      <c r="G17" s="26"/>
      <c r="H17" s="26">
        <v>700</v>
      </c>
      <c r="I17" s="26"/>
      <c r="J17" s="26"/>
      <c r="K17" s="26"/>
      <c r="L17" s="26"/>
      <c r="M17" s="26"/>
      <c r="N17" s="26"/>
      <c r="W17" s="20">
        <v>90104</v>
      </c>
      <c r="X17" s="20">
        <v>1</v>
      </c>
      <c r="Y17" s="20">
        <v>1</v>
      </c>
      <c r="Z17" s="29" t="s">
        <v>496</v>
      </c>
    </row>
    <row r="18" ht="16.5" spans="4:26"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W18" s="20"/>
      <c r="X18" s="20">
        <v>2</v>
      </c>
      <c r="Y18" s="20"/>
      <c r="Z18" s="29" t="s">
        <v>496</v>
      </c>
    </row>
    <row r="19" ht="16.5" spans="4:26">
      <c r="D19" s="26">
        <v>11</v>
      </c>
      <c r="E19" s="26">
        <v>5104001</v>
      </c>
      <c r="F19" s="26" t="s">
        <v>497</v>
      </c>
      <c r="G19" s="26"/>
      <c r="H19" s="26">
        <v>2</v>
      </c>
      <c r="I19" s="26"/>
      <c r="J19" s="26"/>
      <c r="K19" s="26"/>
      <c r="L19" s="26"/>
      <c r="M19" s="26"/>
      <c r="N19" s="26"/>
      <c r="W19" s="20"/>
      <c r="X19" s="20">
        <v>3</v>
      </c>
      <c r="Y19" s="20"/>
      <c r="Z19" s="29" t="s">
        <v>496</v>
      </c>
    </row>
    <row r="20" ht="16.5" spans="4:26">
      <c r="D20" s="26">
        <v>12</v>
      </c>
      <c r="E20" s="26">
        <v>5103001</v>
      </c>
      <c r="F20" s="26" t="s">
        <v>498</v>
      </c>
      <c r="G20" s="26" t="s">
        <v>499</v>
      </c>
      <c r="H20" s="26">
        <v>1</v>
      </c>
      <c r="I20" s="26"/>
      <c r="J20" s="26" t="s">
        <v>265</v>
      </c>
      <c r="K20" s="26"/>
      <c r="L20" s="26">
        <v>5</v>
      </c>
      <c r="M20" s="26"/>
      <c r="N20" s="26" t="s">
        <v>500</v>
      </c>
      <c r="W20" s="21"/>
      <c r="X20" s="20"/>
      <c r="Y20" s="20"/>
      <c r="Z20" s="29" t="s">
        <v>501</v>
      </c>
    </row>
    <row r="21" ht="16.5" spans="4:26">
      <c r="D21" s="26">
        <v>13</v>
      </c>
      <c r="E21" s="26">
        <v>11</v>
      </c>
      <c r="F21" s="26" t="s">
        <v>502</v>
      </c>
      <c r="G21" s="26"/>
      <c r="H21" s="26">
        <v>30</v>
      </c>
      <c r="I21" s="26"/>
      <c r="J21" s="26" t="s">
        <v>503</v>
      </c>
      <c r="K21" s="26" t="s">
        <v>504</v>
      </c>
      <c r="L21" s="26">
        <v>6</v>
      </c>
      <c r="M21" s="26"/>
      <c r="N21" s="28" t="s">
        <v>505</v>
      </c>
      <c r="W21" s="20">
        <v>90106</v>
      </c>
      <c r="X21" s="20">
        <v>1</v>
      </c>
      <c r="Y21" s="20">
        <v>10</v>
      </c>
      <c r="Z21" s="29" t="s">
        <v>431</v>
      </c>
    </row>
    <row r="22" ht="16.5" spans="4:26">
      <c r="D22" s="26">
        <v>14</v>
      </c>
      <c r="E22" s="26">
        <v>35</v>
      </c>
      <c r="F22" s="26" t="s">
        <v>506</v>
      </c>
      <c r="G22" s="26"/>
      <c r="H22" s="26">
        <v>100</v>
      </c>
      <c r="I22" s="26"/>
      <c r="J22" s="26" t="s">
        <v>507</v>
      </c>
      <c r="K22" s="26"/>
      <c r="L22" s="26"/>
      <c r="M22" s="26" t="s">
        <v>230</v>
      </c>
      <c r="N22" s="26"/>
      <c r="W22" s="20">
        <v>90107</v>
      </c>
      <c r="X22" s="20">
        <v>1</v>
      </c>
      <c r="Y22" s="20">
        <v>12</v>
      </c>
      <c r="Z22" s="29" t="s">
        <v>440</v>
      </c>
    </row>
    <row r="23" ht="16.5" spans="4:26">
      <c r="D23" s="26">
        <v>15</v>
      </c>
      <c r="E23" s="26"/>
      <c r="F23" s="26" t="s">
        <v>508</v>
      </c>
      <c r="G23" s="26"/>
      <c r="H23" s="26">
        <v>150</v>
      </c>
      <c r="I23" s="26"/>
      <c r="J23" s="26" t="s">
        <v>504</v>
      </c>
      <c r="K23" s="26"/>
      <c r="L23" s="26">
        <v>10</v>
      </c>
      <c r="M23" s="26" t="s">
        <v>509</v>
      </c>
      <c r="N23" s="28" t="s">
        <v>510</v>
      </c>
      <c r="W23" s="21"/>
      <c r="X23" s="20"/>
      <c r="Y23" s="20"/>
      <c r="Z23" s="29" t="s">
        <v>511</v>
      </c>
    </row>
    <row r="24" ht="16.5" spans="4:26">
      <c r="D24" s="26">
        <v>16</v>
      </c>
      <c r="E24" s="26">
        <v>1310100</v>
      </c>
      <c r="F24" s="26" t="s">
        <v>512</v>
      </c>
      <c r="G24" s="26"/>
      <c r="H24" s="26">
        <v>60</v>
      </c>
      <c r="I24" s="26"/>
      <c r="J24" s="26" t="s">
        <v>513</v>
      </c>
      <c r="K24" s="26"/>
      <c r="L24" s="26">
        <v>8</v>
      </c>
      <c r="M24" s="26"/>
      <c r="N24" s="26"/>
      <c r="W24" s="27"/>
      <c r="X24" s="20">
        <v>1</v>
      </c>
      <c r="Y24" s="20"/>
      <c r="Z24" s="29" t="s">
        <v>514</v>
      </c>
    </row>
    <row r="25" ht="16.5" spans="4:26">
      <c r="D25" s="26">
        <v>17</v>
      </c>
      <c r="E25" s="26">
        <v>1420200</v>
      </c>
      <c r="F25" s="30" t="s">
        <v>515</v>
      </c>
      <c r="G25" s="26"/>
      <c r="H25" s="26">
        <v>120</v>
      </c>
      <c r="I25" s="26"/>
      <c r="J25" s="26" t="s">
        <v>513</v>
      </c>
      <c r="K25" s="26"/>
      <c r="L25" s="26">
        <v>8</v>
      </c>
      <c r="M25" s="26"/>
      <c r="N25" s="26"/>
      <c r="W25" s="20"/>
      <c r="X25" s="20">
        <v>1</v>
      </c>
      <c r="Y25" s="20"/>
      <c r="Z25" s="29" t="s">
        <v>516</v>
      </c>
    </row>
    <row r="26" ht="16.5" spans="4:26">
      <c r="D26" s="26">
        <v>18</v>
      </c>
      <c r="E26" s="26">
        <v>1130100</v>
      </c>
      <c r="F26" s="30" t="s">
        <v>517</v>
      </c>
      <c r="G26" s="26"/>
      <c r="H26" s="26">
        <v>240</v>
      </c>
      <c r="I26" s="26"/>
      <c r="J26" s="26" t="s">
        <v>513</v>
      </c>
      <c r="K26" s="26"/>
      <c r="L26" s="26">
        <v>8</v>
      </c>
      <c r="M26" s="26"/>
      <c r="N26" s="26"/>
      <c r="W26" s="20"/>
      <c r="X26" s="20">
        <v>2</v>
      </c>
      <c r="Y26" s="20"/>
      <c r="Z26" s="29" t="s">
        <v>516</v>
      </c>
    </row>
    <row r="27" ht="16.5" spans="4:26">
      <c r="D27" s="26">
        <v>19</v>
      </c>
      <c r="E27" s="30"/>
      <c r="F27" s="30" t="s">
        <v>518</v>
      </c>
      <c r="G27" s="30"/>
      <c r="H27" s="30">
        <v>480</v>
      </c>
      <c r="I27" s="26"/>
      <c r="J27" s="26" t="s">
        <v>513</v>
      </c>
      <c r="K27" s="30"/>
      <c r="L27" s="26">
        <v>8</v>
      </c>
      <c r="M27" s="30"/>
      <c r="N27" s="30"/>
      <c r="W27" s="27"/>
      <c r="X27" s="20">
        <v>1</v>
      </c>
      <c r="Y27" s="20"/>
      <c r="Z27" s="29" t="s">
        <v>519</v>
      </c>
    </row>
    <row r="28" ht="16.5" spans="4:26">
      <c r="D28" s="26">
        <v>20</v>
      </c>
      <c r="E28" s="30"/>
      <c r="F28" s="30" t="s">
        <v>520</v>
      </c>
      <c r="G28" s="30"/>
      <c r="H28" s="30">
        <v>960</v>
      </c>
      <c r="I28" s="26"/>
      <c r="J28" s="26" t="s">
        <v>513</v>
      </c>
      <c r="K28" s="30"/>
      <c r="L28" s="26">
        <v>8</v>
      </c>
      <c r="M28" s="30"/>
      <c r="N28" s="30"/>
      <c r="W28" s="27"/>
      <c r="X28" s="20">
        <v>2</v>
      </c>
      <c r="Y28" s="20"/>
      <c r="Z28" s="29" t="s">
        <v>519</v>
      </c>
    </row>
    <row r="29" ht="16.5" spans="4:26">
      <c r="D29" s="26">
        <v>21</v>
      </c>
      <c r="E29" s="30">
        <v>13101001</v>
      </c>
      <c r="F29" s="26" t="s">
        <v>521</v>
      </c>
      <c r="G29" s="30"/>
      <c r="H29" s="30">
        <v>6</v>
      </c>
      <c r="I29" s="30"/>
      <c r="J29" s="26" t="s">
        <v>513</v>
      </c>
      <c r="K29" s="30"/>
      <c r="L29" s="26">
        <v>8</v>
      </c>
      <c r="M29" s="30"/>
      <c r="N29" s="30"/>
      <c r="W29" s="21"/>
      <c r="X29" s="20"/>
      <c r="Y29" s="20"/>
      <c r="Z29" s="29" t="s">
        <v>522</v>
      </c>
    </row>
    <row r="30" ht="16.5" spans="4:26">
      <c r="D30" s="26">
        <v>22</v>
      </c>
      <c r="E30" s="30">
        <v>14202001</v>
      </c>
      <c r="F30" s="30" t="s">
        <v>523</v>
      </c>
      <c r="G30" s="30"/>
      <c r="H30" s="30">
        <v>12</v>
      </c>
      <c r="I30" s="30"/>
      <c r="J30" s="26" t="s">
        <v>513</v>
      </c>
      <c r="K30" s="30"/>
      <c r="L30" s="26">
        <v>8</v>
      </c>
      <c r="M30" s="30"/>
      <c r="N30" s="30"/>
      <c r="W30" s="21"/>
      <c r="X30" s="20"/>
      <c r="Y30" s="20"/>
      <c r="Z30" s="29" t="s">
        <v>524</v>
      </c>
    </row>
    <row r="31" ht="16.5" spans="4:26">
      <c r="D31" s="26">
        <v>23</v>
      </c>
      <c r="E31" s="26">
        <v>11301001</v>
      </c>
      <c r="F31" s="30" t="s">
        <v>525</v>
      </c>
      <c r="G31" s="26"/>
      <c r="H31" s="30">
        <v>24</v>
      </c>
      <c r="I31" s="26"/>
      <c r="J31" s="26" t="s">
        <v>513</v>
      </c>
      <c r="K31" s="26"/>
      <c r="L31" s="26">
        <v>8</v>
      </c>
      <c r="M31" s="26"/>
      <c r="N31" s="26"/>
      <c r="W31" s="20"/>
      <c r="X31" s="20">
        <v>1</v>
      </c>
      <c r="Y31" s="20"/>
      <c r="Z31" s="20" t="s">
        <v>526</v>
      </c>
    </row>
    <row r="32" ht="16.5" spans="4:26">
      <c r="D32" s="26">
        <v>24</v>
      </c>
      <c r="E32" s="26"/>
      <c r="F32" s="30" t="s">
        <v>527</v>
      </c>
      <c r="G32" s="26"/>
      <c r="H32" s="30">
        <v>48</v>
      </c>
      <c r="I32" s="30"/>
      <c r="J32" s="26" t="s">
        <v>513</v>
      </c>
      <c r="K32" s="30"/>
      <c r="L32" s="26">
        <v>8</v>
      </c>
      <c r="M32" s="30"/>
      <c r="N32" s="30"/>
      <c r="W32" s="20"/>
      <c r="X32" s="20">
        <v>2</v>
      </c>
      <c r="Y32" s="20"/>
      <c r="Z32" s="20" t="s">
        <v>526</v>
      </c>
    </row>
    <row r="33" ht="16.5" spans="4:26">
      <c r="D33" s="26">
        <v>25</v>
      </c>
      <c r="E33" s="26"/>
      <c r="F33" s="30" t="s">
        <v>528</v>
      </c>
      <c r="G33" s="26"/>
      <c r="H33" s="30">
        <v>96</v>
      </c>
      <c r="I33" s="30"/>
      <c r="J33" s="26" t="s">
        <v>513</v>
      </c>
      <c r="K33" s="30"/>
      <c r="L33" s="26">
        <v>8</v>
      </c>
      <c r="M33" s="30"/>
      <c r="N33" s="30"/>
      <c r="W33" s="20"/>
      <c r="X33" s="20">
        <v>3</v>
      </c>
      <c r="Y33" s="20"/>
      <c r="Z33" s="20" t="s">
        <v>526</v>
      </c>
    </row>
    <row r="34" ht="16.5" spans="4:26">
      <c r="D34" s="26" t="s">
        <v>365</v>
      </c>
      <c r="E34" s="26"/>
      <c r="F34" s="30"/>
      <c r="G34" s="26"/>
      <c r="H34" s="26"/>
      <c r="I34" s="30"/>
      <c r="J34" s="30"/>
      <c r="K34" s="30"/>
      <c r="L34" s="30"/>
      <c r="M34" s="30"/>
      <c r="N34" s="30"/>
      <c r="W34" s="20"/>
      <c r="X34" s="20">
        <v>4</v>
      </c>
      <c r="Y34" s="20"/>
      <c r="Z34" s="20" t="s">
        <v>526</v>
      </c>
    </row>
    <row r="35" ht="16.5" spans="4:26">
      <c r="D35" s="26">
        <v>26</v>
      </c>
      <c r="E35" s="26">
        <v>50002</v>
      </c>
      <c r="F35" s="26" t="s">
        <v>529</v>
      </c>
      <c r="G35" s="26" t="s">
        <v>530</v>
      </c>
      <c r="H35" s="26">
        <v>3</v>
      </c>
      <c r="I35" s="30"/>
      <c r="J35" s="30" t="s">
        <v>265</v>
      </c>
      <c r="K35" s="30"/>
      <c r="L35" s="30">
        <v>8</v>
      </c>
      <c r="M35" s="30"/>
      <c r="N35" s="30" t="s">
        <v>531</v>
      </c>
      <c r="W35" s="20">
        <v>90202</v>
      </c>
      <c r="X35" s="20">
        <v>1</v>
      </c>
      <c r="Y35" s="20">
        <v>2</v>
      </c>
      <c r="Z35" s="20" t="s">
        <v>532</v>
      </c>
    </row>
    <row r="36" ht="16.5" spans="4:26">
      <c r="D36" s="26">
        <v>27</v>
      </c>
      <c r="E36" s="26">
        <v>50001</v>
      </c>
      <c r="F36" s="26" t="s">
        <v>533</v>
      </c>
      <c r="G36" s="26"/>
      <c r="H36" s="26">
        <v>0.1</v>
      </c>
      <c r="I36" s="30"/>
      <c r="J36" s="30" t="s">
        <v>265</v>
      </c>
      <c r="K36" s="30"/>
      <c r="L36" s="30">
        <v>5</v>
      </c>
      <c r="M36" s="30" t="s">
        <v>534</v>
      </c>
      <c r="N36" s="30" t="s">
        <v>500</v>
      </c>
      <c r="W36" s="20"/>
      <c r="X36" s="20">
        <v>2</v>
      </c>
      <c r="Y36" s="20"/>
      <c r="Z36" s="20" t="s">
        <v>532</v>
      </c>
    </row>
    <row r="37" ht="16.5" spans="4:26">
      <c r="D37" s="26">
        <v>28</v>
      </c>
      <c r="E37" s="26"/>
      <c r="F37" s="26" t="s">
        <v>535</v>
      </c>
      <c r="G37" s="26"/>
      <c r="H37" s="31">
        <v>15</v>
      </c>
      <c r="I37" s="30"/>
      <c r="J37" s="30" t="s">
        <v>265</v>
      </c>
      <c r="K37" s="30"/>
      <c r="L37" s="30"/>
      <c r="M37" s="30"/>
      <c r="N37" s="30"/>
      <c r="W37" s="20"/>
      <c r="X37" s="20">
        <v>3</v>
      </c>
      <c r="Y37" s="20"/>
      <c r="Z37" s="20" t="s">
        <v>532</v>
      </c>
    </row>
    <row r="38" ht="16.5" spans="4:26">
      <c r="D38" s="26">
        <v>29</v>
      </c>
      <c r="E38" s="26"/>
      <c r="F38" s="26" t="s">
        <v>536</v>
      </c>
      <c r="G38" s="26"/>
      <c r="H38" s="31">
        <v>50</v>
      </c>
      <c r="I38" s="30"/>
      <c r="J38" s="30" t="s">
        <v>265</v>
      </c>
      <c r="K38" s="30"/>
      <c r="L38" s="30"/>
      <c r="M38" s="30"/>
      <c r="N38" s="30"/>
      <c r="W38" s="27"/>
      <c r="X38" s="20"/>
      <c r="Y38" s="20"/>
      <c r="Z38" s="20" t="s">
        <v>532</v>
      </c>
    </row>
    <row r="39" ht="16.5" spans="4:26">
      <c r="D39" s="26">
        <v>30</v>
      </c>
      <c r="E39" s="26"/>
      <c r="F39" s="26" t="s">
        <v>537</v>
      </c>
      <c r="G39" s="26"/>
      <c r="H39" s="26"/>
      <c r="I39" s="30"/>
      <c r="J39" s="30" t="s">
        <v>265</v>
      </c>
      <c r="K39" s="30"/>
      <c r="L39" s="30"/>
      <c r="M39" s="30"/>
      <c r="N39" s="30"/>
      <c r="W39" s="20">
        <v>90203</v>
      </c>
      <c r="X39" s="20">
        <v>1</v>
      </c>
      <c r="Y39" s="20">
        <v>3</v>
      </c>
      <c r="Z39" s="20" t="s">
        <v>538</v>
      </c>
    </row>
    <row r="40" ht="16.5" spans="4:26">
      <c r="D40" s="26">
        <v>31</v>
      </c>
      <c r="E40" s="26"/>
      <c r="F40" s="26" t="s">
        <v>539</v>
      </c>
      <c r="G40" s="26"/>
      <c r="H40" s="26"/>
      <c r="I40" s="30"/>
      <c r="J40" s="30" t="s">
        <v>265</v>
      </c>
      <c r="K40" s="30"/>
      <c r="L40" s="30"/>
      <c r="M40" s="30"/>
      <c r="N40" s="30"/>
      <c r="W40" s="20"/>
      <c r="X40" s="20">
        <v>2</v>
      </c>
      <c r="Y40" s="20"/>
      <c r="Z40" s="20" t="s">
        <v>538</v>
      </c>
    </row>
    <row r="41" ht="16.5" spans="4:26">
      <c r="D41" s="26">
        <v>32</v>
      </c>
      <c r="E41" s="26"/>
      <c r="F41" s="26" t="s">
        <v>540</v>
      </c>
      <c r="G41" s="26"/>
      <c r="H41" s="26"/>
      <c r="I41" s="30"/>
      <c r="J41" s="30" t="s">
        <v>265</v>
      </c>
      <c r="K41" s="30"/>
      <c r="L41" s="30"/>
      <c r="M41" s="30"/>
      <c r="N41" s="30"/>
      <c r="W41" s="20"/>
      <c r="X41" s="20">
        <v>3</v>
      </c>
      <c r="Y41" s="20"/>
      <c r="Z41" s="20" t="s">
        <v>538</v>
      </c>
    </row>
    <row r="42" ht="16.5" spans="4:26">
      <c r="D42" s="26">
        <v>33</v>
      </c>
      <c r="E42" s="26"/>
      <c r="F42" s="26" t="s">
        <v>541</v>
      </c>
      <c r="G42" s="26"/>
      <c r="H42" s="26"/>
      <c r="I42" s="30"/>
      <c r="J42" s="30" t="s">
        <v>265</v>
      </c>
      <c r="K42" s="30"/>
      <c r="L42" s="30"/>
      <c r="M42" s="30"/>
      <c r="N42" s="30"/>
      <c r="W42" s="20">
        <v>90204</v>
      </c>
      <c r="X42" s="20">
        <v>1</v>
      </c>
      <c r="Y42" s="20">
        <v>15</v>
      </c>
      <c r="Z42" s="20" t="s">
        <v>448</v>
      </c>
    </row>
    <row r="43" ht="16.5" spans="4:26">
      <c r="D43" s="26">
        <v>34</v>
      </c>
      <c r="E43" s="26"/>
      <c r="F43" s="26" t="s">
        <v>542</v>
      </c>
      <c r="G43" s="26"/>
      <c r="H43" s="26"/>
      <c r="I43" s="30"/>
      <c r="J43" s="30" t="s">
        <v>265</v>
      </c>
      <c r="K43" s="30"/>
      <c r="L43" s="30"/>
      <c r="M43" s="30"/>
      <c r="N43" s="30"/>
      <c r="W43" s="20"/>
      <c r="X43" s="20">
        <v>2</v>
      </c>
      <c r="Y43" s="20"/>
      <c r="Z43" s="20" t="s">
        <v>448</v>
      </c>
    </row>
    <row r="44" ht="16.5" spans="4:26">
      <c r="D44" s="26">
        <v>35</v>
      </c>
      <c r="E44" s="26"/>
      <c r="F44" s="26" t="s">
        <v>543</v>
      </c>
      <c r="G44" s="26"/>
      <c r="H44" s="26"/>
      <c r="I44" s="30"/>
      <c r="J44" s="30" t="s">
        <v>265</v>
      </c>
      <c r="K44" s="30"/>
      <c r="L44" s="30"/>
      <c r="M44" s="30"/>
      <c r="N44" s="30"/>
      <c r="W44" s="21"/>
      <c r="X44" s="20"/>
      <c r="Y44" s="20"/>
      <c r="Z44" s="20" t="s">
        <v>544</v>
      </c>
    </row>
    <row r="45" ht="16.5" spans="4:26">
      <c r="D45" s="26">
        <v>36</v>
      </c>
      <c r="E45" s="26"/>
      <c r="F45" s="26" t="s">
        <v>545</v>
      </c>
      <c r="G45" s="26"/>
      <c r="H45" s="26"/>
      <c r="I45" s="30"/>
      <c r="J45" s="30" t="s">
        <v>265</v>
      </c>
      <c r="K45" s="30"/>
      <c r="L45" s="30"/>
      <c r="M45" s="30"/>
      <c r="N45" s="30"/>
      <c r="W45" s="20">
        <v>90206</v>
      </c>
      <c r="X45" s="20">
        <v>1</v>
      </c>
      <c r="Y45" s="20">
        <v>13</v>
      </c>
      <c r="Z45" s="20" t="s">
        <v>453</v>
      </c>
    </row>
    <row r="46" ht="16.5" spans="4:26">
      <c r="D46" s="26" t="s">
        <v>365</v>
      </c>
      <c r="E46" s="26"/>
      <c r="F46" s="26"/>
      <c r="G46" s="26"/>
      <c r="H46" s="26"/>
      <c r="I46" s="30"/>
      <c r="J46" s="30"/>
      <c r="K46" s="30"/>
      <c r="L46" s="30"/>
      <c r="M46" s="30"/>
      <c r="N46" s="30"/>
      <c r="W46" s="20"/>
      <c r="X46" s="20">
        <v>1</v>
      </c>
      <c r="Y46" s="20"/>
      <c r="Z46" s="20" t="s">
        <v>546</v>
      </c>
    </row>
    <row r="47" ht="16.5" spans="4:26">
      <c r="D47" s="26" t="s">
        <v>365</v>
      </c>
      <c r="E47" s="26"/>
      <c r="F47" s="26"/>
      <c r="G47" s="26"/>
      <c r="H47" s="26"/>
      <c r="I47" s="30"/>
      <c r="J47" s="30"/>
      <c r="K47" s="30"/>
      <c r="L47" s="30"/>
      <c r="M47" s="30"/>
      <c r="N47" s="30"/>
      <c r="W47" s="20"/>
      <c r="X47" s="20">
        <v>2</v>
      </c>
      <c r="Y47" s="20"/>
      <c r="Z47" s="20" t="s">
        <v>546</v>
      </c>
    </row>
    <row r="48" ht="16.5" spans="4:26">
      <c r="D48" s="26">
        <v>37</v>
      </c>
      <c r="E48" s="26">
        <v>9</v>
      </c>
      <c r="F48" s="26" t="s">
        <v>547</v>
      </c>
      <c r="G48" s="26" t="s">
        <v>548</v>
      </c>
      <c r="H48" s="26">
        <v>50</v>
      </c>
      <c r="I48" s="26"/>
      <c r="J48" s="26" t="s">
        <v>504</v>
      </c>
      <c r="K48" s="26"/>
      <c r="L48" s="26"/>
      <c r="M48" s="26" t="s">
        <v>549</v>
      </c>
      <c r="N48" s="26"/>
      <c r="W48" s="20"/>
      <c r="X48" s="20">
        <v>3</v>
      </c>
      <c r="Y48" s="20"/>
      <c r="Z48" s="20" t="s">
        <v>546</v>
      </c>
    </row>
    <row r="49" ht="16.5" spans="4:26">
      <c r="D49" s="26">
        <v>38</v>
      </c>
      <c r="E49" s="26">
        <v>30</v>
      </c>
      <c r="F49" s="32" t="s">
        <v>550</v>
      </c>
      <c r="G49" s="26"/>
      <c r="H49" s="26">
        <v>280</v>
      </c>
      <c r="I49" s="26"/>
      <c r="J49" s="26" t="s">
        <v>504</v>
      </c>
      <c r="K49" s="26"/>
      <c r="L49" s="26">
        <v>5</v>
      </c>
      <c r="M49" s="26" t="s">
        <v>551</v>
      </c>
      <c r="N49" s="26"/>
      <c r="W49" s="20">
        <v>90208</v>
      </c>
      <c r="X49" s="20">
        <v>1</v>
      </c>
      <c r="Y49" s="20">
        <v>14</v>
      </c>
      <c r="Z49" s="20" t="s">
        <v>446</v>
      </c>
    </row>
    <row r="50" ht="16.5" spans="4:26">
      <c r="D50" s="26">
        <v>39</v>
      </c>
      <c r="E50" s="26">
        <v>5303001</v>
      </c>
      <c r="F50" s="26" t="s">
        <v>552</v>
      </c>
      <c r="G50" s="26"/>
      <c r="H50" s="26">
        <v>5</v>
      </c>
      <c r="I50" s="26"/>
      <c r="J50" s="26" t="s">
        <v>265</v>
      </c>
      <c r="K50" s="26"/>
      <c r="L50" s="26">
        <v>8</v>
      </c>
      <c r="M50" s="26" t="s">
        <v>553</v>
      </c>
      <c r="N50" s="26"/>
      <c r="W50" s="20"/>
      <c r="X50" s="20">
        <v>2</v>
      </c>
      <c r="Y50" s="20"/>
      <c r="Z50" s="20" t="s">
        <v>446</v>
      </c>
    </row>
    <row r="51" ht="16.5" spans="4:26">
      <c r="D51" s="26">
        <v>40</v>
      </c>
      <c r="E51" s="26">
        <v>5305001</v>
      </c>
      <c r="F51" s="26" t="s">
        <v>554</v>
      </c>
      <c r="G51" s="26"/>
      <c r="H51" s="26">
        <v>60</v>
      </c>
      <c r="I51" s="26"/>
      <c r="J51" s="26" t="s">
        <v>504</v>
      </c>
      <c r="K51" s="26"/>
      <c r="L51" s="26">
        <v>5</v>
      </c>
      <c r="M51" s="26" t="s">
        <v>555</v>
      </c>
      <c r="N51" s="26" t="s">
        <v>556</v>
      </c>
      <c r="W51" s="20"/>
      <c r="X51" s="20">
        <v>3</v>
      </c>
      <c r="Y51" s="20"/>
      <c r="Z51" s="20" t="s">
        <v>446</v>
      </c>
    </row>
    <row r="52" ht="16.5" spans="4:26">
      <c r="D52" s="26">
        <v>41</v>
      </c>
      <c r="E52" s="26">
        <v>5301000</v>
      </c>
      <c r="F52" s="26" t="s">
        <v>557</v>
      </c>
      <c r="G52" s="26"/>
      <c r="H52" s="26">
        <v>10</v>
      </c>
      <c r="I52" s="26"/>
      <c r="J52" s="26" t="s">
        <v>265</v>
      </c>
      <c r="K52" s="26"/>
      <c r="L52" s="26"/>
      <c r="M52" s="26" t="s">
        <v>558</v>
      </c>
      <c r="N52" s="26"/>
      <c r="W52" s="20">
        <v>90209</v>
      </c>
      <c r="X52" s="20">
        <v>1</v>
      </c>
      <c r="Y52" s="20">
        <v>5</v>
      </c>
      <c r="Z52" s="20" t="s">
        <v>559</v>
      </c>
    </row>
    <row r="53" ht="16.5" spans="4:26">
      <c r="D53" s="26">
        <v>42</v>
      </c>
      <c r="E53" s="26">
        <v>5302000</v>
      </c>
      <c r="F53" s="26" t="s">
        <v>560</v>
      </c>
      <c r="G53" s="26"/>
      <c r="H53" s="26">
        <v>40</v>
      </c>
      <c r="I53" s="26"/>
      <c r="J53" s="26" t="s">
        <v>265</v>
      </c>
      <c r="K53" s="26"/>
      <c r="L53" s="26"/>
      <c r="M53" s="26" t="s">
        <v>561</v>
      </c>
      <c r="N53" s="26"/>
      <c r="W53" s="20"/>
      <c r="X53" s="20">
        <v>2</v>
      </c>
      <c r="Y53" s="20"/>
      <c r="Z53" s="20" t="s">
        <v>559</v>
      </c>
    </row>
    <row r="54" ht="16.5" spans="4:26">
      <c r="D54" s="26">
        <v>43</v>
      </c>
      <c r="E54" s="26">
        <v>5303000</v>
      </c>
      <c r="F54" s="26" t="s">
        <v>562</v>
      </c>
      <c r="G54" s="26"/>
      <c r="H54" s="26">
        <v>160</v>
      </c>
      <c r="I54" s="26"/>
      <c r="J54" s="26" t="s">
        <v>265</v>
      </c>
      <c r="K54" s="26"/>
      <c r="L54" s="26"/>
      <c r="M54" s="26" t="s">
        <v>563</v>
      </c>
      <c r="N54" s="26"/>
      <c r="W54" s="20"/>
      <c r="X54" s="20">
        <v>3</v>
      </c>
      <c r="Y54" s="20"/>
      <c r="Z54" s="20" t="s">
        <v>559</v>
      </c>
    </row>
    <row r="55" ht="16.5" spans="4:26">
      <c r="D55" s="26">
        <v>44</v>
      </c>
      <c r="E55" s="26">
        <v>5304000</v>
      </c>
      <c r="F55" s="26" t="s">
        <v>564</v>
      </c>
      <c r="G55" s="26"/>
      <c r="H55" s="26">
        <v>640</v>
      </c>
      <c r="I55" s="26"/>
      <c r="J55" s="26" t="s">
        <v>265</v>
      </c>
      <c r="K55" s="26"/>
      <c r="L55" s="26"/>
      <c r="M55" s="26" t="s">
        <v>565</v>
      </c>
      <c r="N55" s="26"/>
      <c r="W55" s="21"/>
      <c r="X55" s="20"/>
      <c r="Y55" s="20"/>
      <c r="Z55" s="20" t="s">
        <v>566</v>
      </c>
    </row>
    <row r="56" ht="16.5" spans="4:26">
      <c r="D56" s="26">
        <v>45</v>
      </c>
      <c r="E56" s="26">
        <v>5305000</v>
      </c>
      <c r="F56" s="26" t="s">
        <v>567</v>
      </c>
      <c r="G56" s="26"/>
      <c r="H56" s="26">
        <v>2560</v>
      </c>
      <c r="I56" s="26"/>
      <c r="J56" s="26" t="s">
        <v>265</v>
      </c>
      <c r="K56" s="26"/>
      <c r="L56" s="26"/>
      <c r="M56" s="26" t="s">
        <v>568</v>
      </c>
      <c r="N56" s="26" t="s">
        <v>556</v>
      </c>
      <c r="W56" s="20"/>
      <c r="X56" s="20">
        <v>1</v>
      </c>
      <c r="Y56" s="20"/>
      <c r="Z56" s="20" t="s">
        <v>569</v>
      </c>
    </row>
    <row r="57" ht="16.5" spans="4:26">
      <c r="D57" s="26">
        <v>46</v>
      </c>
      <c r="E57" s="26">
        <v>5306000</v>
      </c>
      <c r="F57" s="26" t="s">
        <v>570</v>
      </c>
      <c r="G57" s="26"/>
      <c r="H57" s="26">
        <v>10240</v>
      </c>
      <c r="I57" s="26"/>
      <c r="J57" s="26" t="s">
        <v>265</v>
      </c>
      <c r="K57" s="26"/>
      <c r="L57" s="26"/>
      <c r="M57" s="26" t="s">
        <v>571</v>
      </c>
      <c r="N57" s="26" t="s">
        <v>572</v>
      </c>
      <c r="W57" s="20">
        <v>90212</v>
      </c>
      <c r="X57" s="20">
        <v>1</v>
      </c>
      <c r="Y57" s="20">
        <v>9</v>
      </c>
      <c r="Z57" s="20" t="s">
        <v>433</v>
      </c>
    </row>
    <row r="58" ht="16.5" spans="4:26">
      <c r="D58" s="26">
        <v>47</v>
      </c>
      <c r="E58" s="26">
        <v>5307000</v>
      </c>
      <c r="F58" s="26" t="s">
        <v>573</v>
      </c>
      <c r="G58" s="26"/>
      <c r="H58" s="26">
        <v>40960</v>
      </c>
      <c r="I58" s="26"/>
      <c r="J58" s="26" t="s">
        <v>265</v>
      </c>
      <c r="K58" s="26"/>
      <c r="L58" s="26"/>
      <c r="M58" s="26" t="s">
        <v>574</v>
      </c>
      <c r="N58" s="28" t="s">
        <v>575</v>
      </c>
      <c r="W58" s="20"/>
      <c r="X58" s="20"/>
      <c r="Y58" s="20"/>
      <c r="Z58" s="20" t="s">
        <v>576</v>
      </c>
    </row>
    <row r="59" ht="16.5" spans="4:26">
      <c r="D59" s="26" t="s">
        <v>365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W59" s="20"/>
      <c r="X59" s="20"/>
      <c r="Y59" s="20"/>
      <c r="Z59" s="20" t="s">
        <v>577</v>
      </c>
    </row>
    <row r="60" ht="16.5" spans="4:26">
      <c r="D60" s="26">
        <v>48</v>
      </c>
      <c r="E60" s="26">
        <v>5203001</v>
      </c>
      <c r="F60" s="26" t="s">
        <v>578</v>
      </c>
      <c r="G60" s="26" t="s">
        <v>579</v>
      </c>
      <c r="H60" s="26">
        <v>3</v>
      </c>
      <c r="I60" s="26"/>
      <c r="J60" s="26" t="s">
        <v>265</v>
      </c>
      <c r="K60" s="26"/>
      <c r="L60" s="26">
        <v>6</v>
      </c>
      <c r="M60" s="26" t="s">
        <v>580</v>
      </c>
      <c r="N60" s="26" t="s">
        <v>478</v>
      </c>
      <c r="W60" s="27"/>
      <c r="X60" s="20"/>
      <c r="Y60" s="20"/>
      <c r="Z60" s="20" t="s">
        <v>581</v>
      </c>
    </row>
    <row r="61" ht="16.5" spans="4:26">
      <c r="D61" s="26">
        <v>49</v>
      </c>
      <c r="E61" s="26">
        <v>5205001</v>
      </c>
      <c r="F61" s="26" t="s">
        <v>582</v>
      </c>
      <c r="G61" s="26"/>
      <c r="H61" s="26">
        <v>500</v>
      </c>
      <c r="I61" s="26"/>
      <c r="J61" s="26" t="s">
        <v>583</v>
      </c>
      <c r="K61" s="26"/>
      <c r="L61" s="26"/>
      <c r="M61" s="26" t="s">
        <v>584</v>
      </c>
      <c r="N61" s="26"/>
      <c r="W61" s="21"/>
      <c r="X61" s="20"/>
      <c r="Y61" s="20"/>
      <c r="Z61" s="20" t="s">
        <v>585</v>
      </c>
    </row>
    <row r="62" ht="16.5" spans="4:26">
      <c r="D62" s="26">
        <v>50</v>
      </c>
      <c r="E62" s="26">
        <v>5204001</v>
      </c>
      <c r="F62" s="26" t="s">
        <v>586</v>
      </c>
      <c r="G62" s="26"/>
      <c r="H62" s="26">
        <v>5</v>
      </c>
      <c r="I62" s="26"/>
      <c r="J62" s="26" t="s">
        <v>265</v>
      </c>
      <c r="K62" s="26"/>
      <c r="L62" s="26"/>
      <c r="M62" s="26"/>
      <c r="N62" s="28" t="s">
        <v>587</v>
      </c>
      <c r="W62" s="27"/>
      <c r="X62" s="20"/>
      <c r="Y62" s="20"/>
      <c r="Z62" s="20" t="s">
        <v>588</v>
      </c>
    </row>
    <row r="63" ht="16.5" spans="4:26">
      <c r="D63" s="26" t="s">
        <v>365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W63" s="27"/>
      <c r="X63" s="20"/>
      <c r="Y63" s="20"/>
      <c r="Z63" s="20" t="s">
        <v>589</v>
      </c>
    </row>
    <row r="64" ht="16.5" spans="4:26">
      <c r="D64" s="26">
        <v>51</v>
      </c>
      <c r="E64" s="26"/>
      <c r="F64" s="26" t="s">
        <v>590</v>
      </c>
      <c r="G64" s="26"/>
      <c r="H64" s="26">
        <v>100</v>
      </c>
      <c r="I64" s="26"/>
      <c r="J64" s="26" t="s">
        <v>250</v>
      </c>
      <c r="K64" s="26"/>
      <c r="L64" s="26"/>
      <c r="M64" s="26"/>
      <c r="N64" s="26"/>
      <c r="W64" s="20"/>
      <c r="X64" s="20">
        <v>1</v>
      </c>
      <c r="Y64" s="20"/>
      <c r="Z64" s="20" t="s">
        <v>591</v>
      </c>
    </row>
    <row r="65" ht="16.5" spans="4:26">
      <c r="D65" s="26" t="s">
        <v>365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W65" s="20"/>
      <c r="X65" s="20">
        <v>2</v>
      </c>
      <c r="Y65" s="20"/>
      <c r="Z65" s="20" t="s">
        <v>591</v>
      </c>
    </row>
    <row r="66" ht="16.5" spans="4:26">
      <c r="D66" s="26">
        <v>52</v>
      </c>
      <c r="E66" s="26"/>
      <c r="F66" s="26" t="s">
        <v>592</v>
      </c>
      <c r="G66" s="26"/>
      <c r="H66" s="26">
        <v>3000</v>
      </c>
      <c r="I66" s="26">
        <v>30</v>
      </c>
      <c r="J66" s="26" t="s">
        <v>250</v>
      </c>
      <c r="K66" s="26"/>
      <c r="L66" s="26"/>
      <c r="M66" s="26"/>
      <c r="N66" s="26"/>
      <c r="W66" s="20"/>
      <c r="X66" s="20">
        <v>3</v>
      </c>
      <c r="Y66" s="20"/>
      <c r="Z66" s="20" t="s">
        <v>591</v>
      </c>
    </row>
    <row r="67" ht="16.5" spans="4:26">
      <c r="D67" s="26">
        <v>51</v>
      </c>
      <c r="E67" s="26"/>
      <c r="F67" s="26" t="s">
        <v>593</v>
      </c>
      <c r="G67" s="26"/>
      <c r="H67" s="26">
        <v>5000</v>
      </c>
      <c r="I67" s="26">
        <v>128</v>
      </c>
      <c r="J67" s="26" t="s">
        <v>250</v>
      </c>
      <c r="K67" s="26"/>
      <c r="L67" s="26"/>
      <c r="M67" s="26"/>
      <c r="N67" s="26"/>
      <c r="W67" s="21"/>
      <c r="X67" s="20"/>
      <c r="Y67" s="20"/>
      <c r="Z67" s="33" t="s">
        <v>594</v>
      </c>
    </row>
    <row r="68" ht="16.5" spans="4:26">
      <c r="D68" s="26">
        <v>53</v>
      </c>
      <c r="E68" s="26"/>
      <c r="F68" s="26" t="s">
        <v>595</v>
      </c>
      <c r="G68" s="26"/>
      <c r="H68" s="26">
        <v>6000</v>
      </c>
      <c r="I68" s="26">
        <v>198</v>
      </c>
      <c r="J68" s="26" t="s">
        <v>250</v>
      </c>
      <c r="K68" s="26"/>
      <c r="L68" s="26"/>
      <c r="M68" s="26"/>
      <c r="N68" s="26"/>
      <c r="W68" s="20">
        <v>90216</v>
      </c>
      <c r="X68" s="20">
        <v>1</v>
      </c>
      <c r="Y68" s="20">
        <v>16</v>
      </c>
      <c r="Z68" s="20" t="s">
        <v>451</v>
      </c>
    </row>
    <row r="69" ht="16.5" spans="4:26">
      <c r="D69" s="26" t="s">
        <v>365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W69" s="20"/>
      <c r="X69" s="20">
        <v>2</v>
      </c>
      <c r="Y69" s="20"/>
      <c r="Z69" s="20" t="s">
        <v>451</v>
      </c>
    </row>
    <row r="70" ht="16.5" spans="4:26">
      <c r="D70" s="26">
        <v>54</v>
      </c>
      <c r="E70" s="26"/>
      <c r="F70" s="26" t="s">
        <v>596</v>
      </c>
      <c r="G70" s="26"/>
      <c r="H70" s="26"/>
      <c r="I70" s="26">
        <v>128</v>
      </c>
      <c r="J70" s="26"/>
      <c r="K70" s="26"/>
      <c r="L70" s="26"/>
      <c r="M70" s="26"/>
      <c r="N70" s="26"/>
      <c r="W70" s="21"/>
      <c r="X70" s="20"/>
      <c r="Y70" s="20"/>
      <c r="Z70" s="33" t="s">
        <v>597</v>
      </c>
    </row>
    <row r="71" ht="16.5" spans="4:26">
      <c r="D71" s="26">
        <v>55</v>
      </c>
      <c r="E71" s="26"/>
      <c r="F71" s="26" t="s">
        <v>598</v>
      </c>
      <c r="G71" s="26"/>
      <c r="H71" s="26"/>
      <c r="I71" s="26">
        <v>168</v>
      </c>
      <c r="J71" s="26"/>
      <c r="K71" s="26"/>
      <c r="L71" s="26"/>
      <c r="M71" s="26"/>
      <c r="N71" s="26"/>
      <c r="W71" s="21"/>
      <c r="X71" s="20"/>
      <c r="Y71" s="20"/>
      <c r="Z71" s="33" t="s">
        <v>599</v>
      </c>
    </row>
    <row r="72" ht="16.5" spans="4:26">
      <c r="D72" s="26" t="s">
        <v>365</v>
      </c>
      <c r="E72" s="26"/>
      <c r="F72" s="26"/>
      <c r="G72" s="26"/>
      <c r="H72" s="26"/>
      <c r="I72" s="26"/>
      <c r="J72" s="26"/>
      <c r="K72" s="26"/>
      <c r="L72" s="26"/>
      <c r="M72" s="26"/>
      <c r="N72" s="26"/>
      <c r="W72" s="21"/>
      <c r="X72" s="20"/>
      <c r="Y72" s="20"/>
      <c r="Z72" s="33" t="s">
        <v>600</v>
      </c>
    </row>
    <row r="73" ht="16.5" spans="4:26">
      <c r="D73" s="26">
        <v>56</v>
      </c>
      <c r="E73" s="26"/>
      <c r="F73" s="26" t="s">
        <v>601</v>
      </c>
      <c r="G73" s="26"/>
      <c r="H73" s="26"/>
      <c r="I73" s="26">
        <v>266</v>
      </c>
      <c r="J73" s="26"/>
      <c r="K73" s="26"/>
      <c r="L73" s="26"/>
      <c r="M73" s="26"/>
      <c r="N73" s="26" t="s">
        <v>602</v>
      </c>
      <c r="W73" s="21"/>
      <c r="X73" s="20"/>
      <c r="Y73" s="20"/>
      <c r="Z73" s="33" t="s">
        <v>603</v>
      </c>
    </row>
    <row r="74" ht="16.5" spans="4:26">
      <c r="D74" s="26">
        <v>57</v>
      </c>
      <c r="E74" s="26"/>
      <c r="F74" s="26" t="s">
        <v>604</v>
      </c>
      <c r="G74" s="26"/>
      <c r="H74" s="26"/>
      <c r="I74" s="26">
        <v>328</v>
      </c>
      <c r="J74" s="26"/>
      <c r="K74" s="26"/>
      <c r="L74" s="26"/>
      <c r="M74" s="26"/>
      <c r="N74" s="26" t="s">
        <v>602</v>
      </c>
      <c r="W74" s="20">
        <v>90114</v>
      </c>
      <c r="X74" s="20">
        <v>1</v>
      </c>
      <c r="Y74" s="20">
        <v>6</v>
      </c>
      <c r="Z74" s="20" t="s">
        <v>605</v>
      </c>
    </row>
    <row r="75" ht="16.5" spans="4:26">
      <c r="D75" s="26" t="s">
        <v>365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W75" s="20">
        <v>90115</v>
      </c>
      <c r="X75" s="20">
        <v>1</v>
      </c>
      <c r="Y75" s="20">
        <v>7</v>
      </c>
      <c r="Z75" s="20" t="s">
        <v>606</v>
      </c>
    </row>
    <row r="76" ht="16.5" spans="4:26">
      <c r="D76" s="26">
        <v>58</v>
      </c>
      <c r="E76" s="26"/>
      <c r="F76" s="26" t="s">
        <v>607</v>
      </c>
      <c r="G76" s="26"/>
      <c r="H76" s="26"/>
      <c r="I76" s="26">
        <v>328</v>
      </c>
      <c r="J76" s="26"/>
      <c r="K76" s="26"/>
      <c r="L76" s="26"/>
      <c r="M76" s="26"/>
      <c r="N76" s="26" t="s">
        <v>602</v>
      </c>
      <c r="W76" s="20">
        <v>90116</v>
      </c>
      <c r="X76" s="20">
        <v>1</v>
      </c>
      <c r="Y76" s="20">
        <v>8</v>
      </c>
      <c r="Z76" s="20" t="s">
        <v>608</v>
      </c>
    </row>
    <row r="77" ht="16.5" spans="4:26">
      <c r="D77" s="26">
        <v>59</v>
      </c>
      <c r="E77" s="26"/>
      <c r="F77" s="26" t="s">
        <v>609</v>
      </c>
      <c r="G77" s="26"/>
      <c r="H77" s="26"/>
      <c r="I77" s="26">
        <v>648</v>
      </c>
      <c r="J77" s="26"/>
      <c r="K77" s="26"/>
      <c r="L77" s="26"/>
      <c r="M77" s="26"/>
      <c r="N77" s="26" t="s">
        <v>602</v>
      </c>
      <c r="W77" s="20">
        <v>90117</v>
      </c>
      <c r="X77" s="20">
        <v>1</v>
      </c>
      <c r="Y77" s="20">
        <v>11</v>
      </c>
      <c r="Z77" s="20" t="s">
        <v>444</v>
      </c>
    </row>
    <row r="78" ht="16.5" spans="4:26">
      <c r="W78" s="20"/>
      <c r="X78" s="20"/>
      <c r="Y78" s="20"/>
      <c r="Z78" s="20" t="s">
        <v>610</v>
      </c>
    </row>
    <row r="79" ht="16.5" spans="4:26">
      <c r="W79" s="20"/>
      <c r="X79" s="20">
        <v>1</v>
      </c>
      <c r="Y79" s="20"/>
      <c r="Z79" s="34" t="s">
        <v>611</v>
      </c>
    </row>
    <row r="80" ht="16.5" spans="4:26">
      <c r="W80" s="20">
        <v>90120</v>
      </c>
      <c r="X80" s="20">
        <v>1</v>
      </c>
      <c r="Y80" s="20"/>
      <c r="Z80" s="34" t="s">
        <v>437</v>
      </c>
    </row>
    <row r="81" ht="16.5" spans="23:26">
      <c r="W81" s="20"/>
      <c r="X81" s="20">
        <v>1</v>
      </c>
      <c r="Y81" s="20"/>
      <c r="Z81" s="34" t="s">
        <v>612</v>
      </c>
    </row>
  </sheetData>
  <dataValidations count="1">
    <dataValidation type="textLength" operator="between" allowBlank="1" showInputMessage="1" showErrorMessage="1" errorTitle="输入有误" error="文本内容大长(0 ~ 9999999999)" sqref="Z74:Z81">
      <formula1>0</formula1>
      <formula2>65535</formula2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P1015"/>
  <sheetViews>
    <sheetView showGridLines="0" workbookViewId="0">
      <selection activeCell="C43" sqref="C43"/>
    </sheetView>
  </sheetViews>
  <sheetFormatPr defaultColWidth="9.14285714285714" defaultRowHeight="12.75"/>
  <cols>
    <col min="4" max="4" width="10.8571428571429"/>
    <col min="5" max="5" width="12.8571428571429" hidden="1" customWidth="1"/>
    <col min="6" max="6" width="9.14285714285714" hidden="1" customWidth="1"/>
    <col min="7" max="9" width="12.8571428571429"/>
    <col min="13" max="13" width="12.8571428571429"/>
  </cols>
  <sheetData>
    <row r="2" spans="2:16">
      <c r="D2" t="s">
        <v>613</v>
      </c>
      <c r="L2" t="s">
        <v>614</v>
      </c>
    </row>
    <row r="3" ht="16.5" spans="2:16">
      <c r="B3" s="2" t="s">
        <v>213</v>
      </c>
      <c r="C3" s="2" t="s">
        <v>615</v>
      </c>
      <c r="D3" s="2" t="s">
        <v>616</v>
      </c>
      <c r="E3" s="2" t="s">
        <v>219</v>
      </c>
      <c r="F3" s="2" t="s">
        <v>220</v>
      </c>
      <c r="G3" s="2" t="s">
        <v>221</v>
      </c>
      <c r="H3" s="2" t="s">
        <v>222</v>
      </c>
      <c r="I3" s="3" t="s">
        <v>617</v>
      </c>
      <c r="L3" s="2" t="s">
        <v>213</v>
      </c>
      <c r="M3" s="2" t="s">
        <v>219</v>
      </c>
      <c r="N3" s="2" t="s">
        <v>220</v>
      </c>
      <c r="O3" s="2" t="s">
        <v>221</v>
      </c>
      <c r="P3" s="2" t="s">
        <v>222</v>
      </c>
    </row>
    <row r="4" ht="16.5" spans="2:16">
      <c r="B4" s="4">
        <v>1</v>
      </c>
      <c r="C4" s="4">
        <v>1</v>
      </c>
      <c r="D4" s="4">
        <v>500</v>
      </c>
      <c r="E4" s="5"/>
      <c r="F4" s="5"/>
      <c r="G4" s="6"/>
      <c r="H4" s="6"/>
      <c r="I4" s="3"/>
      <c r="L4" s="4">
        <v>1</v>
      </c>
      <c r="M4" s="5"/>
      <c r="N4" s="5">
        <v>0.15</v>
      </c>
      <c r="O4" s="6"/>
      <c r="P4" s="6"/>
    </row>
    <row r="5" ht="16.5" spans="2:16">
      <c r="B5" s="4">
        <v>2</v>
      </c>
      <c r="C5" s="4">
        <f ca="1">_xlfn.XLOOKUP(B5,梦灵本体产出!$AW$147:$AW$206,梦灵本体产出!$D$147:$D$206)</f>
        <v>2</v>
      </c>
      <c r="D5" s="4">
        <v>1000</v>
      </c>
      <c r="E5" s="5"/>
      <c r="F5" s="5"/>
      <c r="G5" s="7">
        <v>0.0271596627776391</v>
      </c>
      <c r="H5" s="7"/>
      <c r="I5" s="3"/>
      <c r="L5" s="4">
        <v>2</v>
      </c>
      <c r="M5" s="5"/>
      <c r="N5" s="5">
        <v>0.18</v>
      </c>
      <c r="O5" s="7">
        <v>0.025</v>
      </c>
      <c r="P5" s="7"/>
    </row>
    <row r="6" ht="16.5" spans="2:16">
      <c r="B6" s="4">
        <v>3</v>
      </c>
      <c r="C6" s="4">
        <f ca="1">_xlfn.XLOOKUP(B6,梦灵本体产出!$AW$147:$AW$206,梦灵本体产出!$D$147:$D$206)</f>
        <v>4</v>
      </c>
      <c r="D6" s="4">
        <v>2000</v>
      </c>
      <c r="E6" s="5"/>
      <c r="F6" s="5"/>
      <c r="G6" s="7">
        <v>0.0502977895326463</v>
      </c>
      <c r="H6" s="7"/>
      <c r="I6" s="8"/>
      <c r="J6" s="3"/>
      <c r="K6" s="3"/>
      <c r="L6" s="4">
        <v>3</v>
      </c>
      <c r="M6" s="5"/>
      <c r="N6" s="5"/>
      <c r="O6" s="7">
        <v>0.05</v>
      </c>
      <c r="P6" s="7"/>
    </row>
    <row r="7" ht="16.5" spans="2:16">
      <c r="B7" s="4">
        <v>4</v>
      </c>
      <c r="C7" s="4">
        <f ca="1">_xlfn.XLOOKUP(B7,梦灵本体产出!$AW$147:$AW$206,梦灵本体产出!$D$147:$D$206)</f>
        <v>11</v>
      </c>
      <c r="D7" s="4">
        <v>3000</v>
      </c>
      <c r="E7" s="5"/>
      <c r="F7" s="5"/>
      <c r="G7" s="9">
        <v>0.06</v>
      </c>
      <c r="H7" s="9">
        <v>0.0157736753008561</v>
      </c>
      <c r="I7" s="3">
        <f>0.0088*10000</f>
        <v>88</v>
      </c>
      <c r="J7" s="10">
        <v>0.019</v>
      </c>
      <c r="K7" s="10">
        <v>0.06</v>
      </c>
      <c r="L7" s="4">
        <v>4</v>
      </c>
      <c r="M7" s="5"/>
      <c r="N7" s="5"/>
      <c r="O7" s="9">
        <v>0.06</v>
      </c>
      <c r="P7" s="9">
        <v>0.01</v>
      </c>
    </row>
    <row r="8" ht="16.5" spans="2:16">
      <c r="B8" s="4">
        <v>5</v>
      </c>
      <c r="C8" s="4">
        <f ca="1">_xlfn.XLOOKUP(B8,梦灵本体产出!$AW$147:$AW$206,梦灵本体产出!$D$147:$D$206)</f>
        <v>23</v>
      </c>
      <c r="D8" s="4">
        <v>4000</v>
      </c>
      <c r="E8" s="5"/>
      <c r="F8" s="5"/>
      <c r="G8" s="7">
        <v>0.08</v>
      </c>
      <c r="H8" s="7">
        <v>0.0230579328089777</v>
      </c>
      <c r="I8" s="8">
        <f>H8/H7</f>
        <v>1.46179836779867</v>
      </c>
      <c r="J8" s="10">
        <v>0.019</v>
      </c>
      <c r="K8" s="10">
        <v>0.06</v>
      </c>
      <c r="L8" s="4">
        <v>5</v>
      </c>
      <c r="M8" s="5"/>
      <c r="N8" s="5"/>
      <c r="O8" s="7">
        <v>0.08</v>
      </c>
      <c r="P8" s="7">
        <v>0.02</v>
      </c>
    </row>
    <row r="9" ht="16.5" spans="2:16">
      <c r="B9" s="4">
        <v>6</v>
      </c>
      <c r="C9" s="4">
        <f ca="1">_xlfn.XLOOKUP(B9,梦灵本体产出!$AW$147:$AW$206,梦灵本体产出!$D$147:$D$206)</f>
        <v>39</v>
      </c>
      <c r="D9" s="4">
        <v>5000</v>
      </c>
      <c r="E9" s="5"/>
      <c r="F9" s="5"/>
      <c r="G9" s="7">
        <v>0.1</v>
      </c>
      <c r="H9" s="7">
        <v>0.0314977993533847</v>
      </c>
      <c r="I9" s="8">
        <f>H9/H8</f>
        <v>1.36602875957384</v>
      </c>
      <c r="J9" s="10">
        <v>0.019</v>
      </c>
      <c r="K9" s="10">
        <v>0.06</v>
      </c>
      <c r="L9" s="4">
        <v>6</v>
      </c>
      <c r="M9" s="5"/>
      <c r="N9" s="5"/>
      <c r="O9" s="7">
        <v>0.1</v>
      </c>
      <c r="P9" s="7">
        <v>0.03</v>
      </c>
    </row>
    <row r="10" ht="16.5" spans="2:16">
      <c r="B10" s="11">
        <v>7</v>
      </c>
      <c r="C10" s="11">
        <f ca="1">_xlfn.XLOOKUP(B10,梦灵本体产出!$AW$147:$AW$206,梦灵本体产出!$D$147:$D$206)</f>
        <v>59</v>
      </c>
      <c r="D10" s="11">
        <v>6000</v>
      </c>
      <c r="E10" s="12"/>
      <c r="F10" s="12"/>
      <c r="G10" s="13">
        <v>0.12</v>
      </c>
      <c r="H10" s="13">
        <v>0.0406863924339197</v>
      </c>
      <c r="I10" s="8">
        <f>H10/H9</f>
        <v>1.29172174784165</v>
      </c>
      <c r="J10" s="10">
        <v>0.019</v>
      </c>
      <c r="K10" s="10">
        <v>0.06</v>
      </c>
      <c r="L10" s="4">
        <v>7</v>
      </c>
      <c r="M10" s="5"/>
      <c r="N10" s="5"/>
      <c r="O10" s="7">
        <v>0.12</v>
      </c>
      <c r="P10" s="7">
        <v>0.04</v>
      </c>
    </row>
    <row r="11" ht="16.5" spans="2:16">
      <c r="B11" s="11">
        <v>8</v>
      </c>
      <c r="C11" s="11"/>
      <c r="D11" s="11"/>
      <c r="E11" s="12"/>
      <c r="F11" s="12"/>
      <c r="G11" s="13">
        <v>0.12</v>
      </c>
      <c r="H11" s="13">
        <v>0.0454549020401133</v>
      </c>
      <c r="I11" s="8">
        <f>H11/H10</f>
        <v>1.11720158315678</v>
      </c>
      <c r="J11" s="10">
        <v>0.019</v>
      </c>
      <c r="K11" s="10">
        <v>0.06</v>
      </c>
      <c r="L11" s="4">
        <v>8</v>
      </c>
      <c r="M11" s="5"/>
      <c r="N11" s="5"/>
      <c r="O11" s="7">
        <v>0.12</v>
      </c>
      <c r="P11" s="7">
        <v>0.045</v>
      </c>
    </row>
    <row r="13" spans="2:16">
      <c r="D13" t="s">
        <v>89</v>
      </c>
      <c r="E13" t="s">
        <v>618</v>
      </c>
    </row>
    <row r="14" spans="2:16">
      <c r="D14" s="14">
        <v>0.026</v>
      </c>
      <c r="E14">
        <v>100</v>
      </c>
    </row>
    <row r="15" spans="2:16">
      <c r="G15" t="s">
        <v>619</v>
      </c>
      <c r="L15" t="s">
        <v>620</v>
      </c>
    </row>
    <row r="16" spans="2:16">
      <c r="C16">
        <v>1</v>
      </c>
      <c r="D16">
        <f>D14</f>
        <v>0.026</v>
      </c>
      <c r="E16">
        <f>1-SUM($D$16:D16)</f>
        <v>0.974</v>
      </c>
      <c r="G16" cm="1">
        <f t="array" ref="G16">SUMPRODUCT(D16:D1015,C16:C1015)</f>
        <v>35.7014542049833</v>
      </c>
      <c r="L16">
        <v>5</v>
      </c>
      <c r="M16" s="14">
        <v>0.12</v>
      </c>
      <c r="O16" s="14">
        <v>0.01</v>
      </c>
      <c r="P16">
        <f>M16-O16</f>
        <v>0.11</v>
      </c>
    </row>
    <row r="17" spans="3:16">
      <c r="C17">
        <v>2</v>
      </c>
      <c r="D17">
        <f>IF(C17=$E$14,E16,E16*$D$14)</f>
        <v>0.025324</v>
      </c>
      <c r="E17">
        <f>1-SUM($D$16:D17)</f>
        <v>0.948676</v>
      </c>
      <c r="G17">
        <f>1/G16</f>
        <v>0.0280100635189369</v>
      </c>
      <c r="L17">
        <v>6</v>
      </c>
      <c r="M17" s="14">
        <v>0.15</v>
      </c>
      <c r="O17" s="15">
        <v>0.025</v>
      </c>
      <c r="P17">
        <f>M17-O17</f>
        <v>0.125</v>
      </c>
    </row>
    <row r="18" spans="3:16">
      <c r="C18">
        <v>3</v>
      </c>
      <c r="D18">
        <f t="shared" ref="D18:D81" si="0">IF(C18=$E$14,E17,E17*$D$14)</f>
        <v>0.024665576</v>
      </c>
      <c r="E18">
        <f>1-SUM($D$16:D18)</f>
        <v>0.924010424</v>
      </c>
      <c r="L18">
        <v>7</v>
      </c>
      <c r="M18" s="14">
        <v>0.18</v>
      </c>
      <c r="O18" s="14">
        <v>0.04</v>
      </c>
      <c r="P18">
        <f>M18-O18</f>
        <v>0.14</v>
      </c>
    </row>
    <row r="19" spans="3:16">
      <c r="C19">
        <v>4</v>
      </c>
      <c r="D19">
        <f t="shared" si="0"/>
        <v>0.024024271024</v>
      </c>
      <c r="E19">
        <f>1-SUM($D$16:D19)</f>
        <v>0.899986152976</v>
      </c>
      <c r="L19">
        <v>8</v>
      </c>
      <c r="M19" s="14">
        <v>0.2</v>
      </c>
      <c r="O19" s="14">
        <v>0.05</v>
      </c>
      <c r="P19">
        <f>M19-O19</f>
        <v>0.15</v>
      </c>
    </row>
    <row r="20" spans="3:16">
      <c r="C20">
        <v>5</v>
      </c>
      <c r="D20">
        <f t="shared" si="0"/>
        <v>0.023399639977376</v>
      </c>
      <c r="E20">
        <f>1-SUM($D$16:D20)</f>
        <v>0.876586512998624</v>
      </c>
      <c r="I20">
        <f>30*15000/10</f>
        <v>45000</v>
      </c>
    </row>
    <row r="21" spans="3:16">
      <c r="C21">
        <v>6</v>
      </c>
      <c r="D21">
        <f t="shared" si="0"/>
        <v>0.0227912493379642</v>
      </c>
      <c r="E21">
        <f>1-SUM($D$16:D21)</f>
        <v>0.85379526366066</v>
      </c>
      <c r="L21" t="s">
        <v>89</v>
      </c>
      <c r="M21" s="14">
        <v>0.052</v>
      </c>
    </row>
    <row r="22" spans="3:16">
      <c r="C22">
        <v>7</v>
      </c>
      <c r="D22">
        <f t="shared" si="0"/>
        <v>0.0221986768551772</v>
      </c>
      <c r="E22">
        <f>1-SUM($D$16:D22)</f>
        <v>0.831596586805483</v>
      </c>
      <c r="L22" t="s">
        <v>262</v>
      </c>
      <c r="M22" t="s">
        <v>621</v>
      </c>
    </row>
    <row r="23" spans="3:16">
      <c r="C23">
        <v>8</v>
      </c>
      <c r="D23">
        <f t="shared" si="0"/>
        <v>0.0216215112569426</v>
      </c>
      <c r="E23">
        <f>1-SUM($D$16:D23)</f>
        <v>0.80997507554854</v>
      </c>
      <c r="L23">
        <v>1</v>
      </c>
      <c r="M23">
        <f>M21</f>
        <v>0.052</v>
      </c>
      <c r="N23">
        <f>1-SUM($M$23:M23)</f>
        <v>0.948</v>
      </c>
    </row>
    <row r="24" spans="3:16">
      <c r="C24">
        <v>9</v>
      </c>
      <c r="D24">
        <f t="shared" si="0"/>
        <v>0.021059351964262</v>
      </c>
      <c r="E24">
        <f>1-SUM($D$16:D24)</f>
        <v>0.788915723584278</v>
      </c>
      <c r="L24">
        <v>2</v>
      </c>
      <c r="M24">
        <f>N23*$M$21</f>
        <v>0.049296</v>
      </c>
      <c r="N24">
        <f>1-SUM($M$23:M24)</f>
        <v>0.898704</v>
      </c>
    </row>
    <row r="25" spans="3:16">
      <c r="C25">
        <v>10</v>
      </c>
      <c r="D25">
        <f t="shared" si="0"/>
        <v>0.0205118088131912</v>
      </c>
      <c r="E25">
        <f>1-SUM($D$16:D25)</f>
        <v>0.768403914771087</v>
      </c>
      <c r="L25">
        <v>3</v>
      </c>
      <c r="M25">
        <f t="shared" ref="M25:M31" si="1">N24*$M$21</f>
        <v>0.046732608</v>
      </c>
      <c r="N25">
        <f>1-SUM($M$23:M25)</f>
        <v>0.851971392</v>
      </c>
    </row>
    <row r="26" spans="3:16">
      <c r="C26">
        <v>11</v>
      </c>
      <c r="D26">
        <f t="shared" si="0"/>
        <v>0.0199785017840483</v>
      </c>
      <c r="E26">
        <f>1-SUM($D$16:D26)</f>
        <v>0.748425412987038</v>
      </c>
      <c r="L26">
        <v>4</v>
      </c>
      <c r="M26">
        <f t="shared" si="1"/>
        <v>0.044302512384</v>
      </c>
      <c r="N26">
        <f>1-SUM($M$23:M26)</f>
        <v>0.807668879616</v>
      </c>
    </row>
    <row r="27" spans="3:16">
      <c r="C27">
        <v>12</v>
      </c>
      <c r="D27">
        <f t="shared" si="0"/>
        <v>0.019459060737663</v>
      </c>
      <c r="E27">
        <f>1-SUM($D$16:D27)</f>
        <v>0.728966352249375</v>
      </c>
      <c r="L27">
        <v>5</v>
      </c>
      <c r="M27">
        <f t="shared" si="1"/>
        <v>0.041998781740032</v>
      </c>
      <c r="N27">
        <f>1-SUM($M$23:M27)</f>
        <v>0.765670097875968</v>
      </c>
    </row>
    <row r="28" spans="3:16">
      <c r="C28">
        <v>13</v>
      </c>
      <c r="D28">
        <f t="shared" si="0"/>
        <v>0.0189531251584838</v>
      </c>
      <c r="E28">
        <f>1-SUM($D$16:D28)</f>
        <v>0.710013227090892</v>
      </c>
      <c r="L28">
        <v>6</v>
      </c>
      <c r="M28">
        <f t="shared" si="1"/>
        <v>0.0398148450895503</v>
      </c>
      <c r="N28">
        <f>1-SUM($M$23:M28)</f>
        <v>0.725855252786418</v>
      </c>
    </row>
    <row r="29" spans="3:16">
      <c r="C29">
        <v>14</v>
      </c>
      <c r="D29">
        <f t="shared" si="0"/>
        <v>0.0184603439043632</v>
      </c>
      <c r="E29">
        <f>1-SUM($D$16:D29)</f>
        <v>0.691552883186529</v>
      </c>
      <c r="L29">
        <v>7</v>
      </c>
      <c r="M29">
        <f t="shared" si="1"/>
        <v>0.0377444731448937</v>
      </c>
      <c r="N29">
        <f>1-SUM($M$23:M29)</f>
        <v>0.688110779641524</v>
      </c>
    </row>
    <row r="30" spans="3:16">
      <c r="C30">
        <v>15</v>
      </c>
      <c r="D30">
        <f t="shared" si="0"/>
        <v>0.0179803749628497</v>
      </c>
      <c r="E30">
        <f>1-SUM($D$16:D30)</f>
        <v>0.673572508223679</v>
      </c>
      <c r="L30">
        <v>8</v>
      </c>
      <c r="M30">
        <f t="shared" si="1"/>
        <v>0.0357817605413593</v>
      </c>
      <c r="N30">
        <f>1-SUM($M$23:M30)</f>
        <v>0.652329019100165</v>
      </c>
    </row>
    <row r="31" spans="3:16">
      <c r="C31">
        <v>16</v>
      </c>
      <c r="D31">
        <f t="shared" si="0"/>
        <v>0.0175128852138156</v>
      </c>
      <c r="E31">
        <f>1-SUM($D$16:D31)</f>
        <v>0.656059623009863</v>
      </c>
      <c r="L31">
        <v>9</v>
      </c>
      <c r="M31">
        <f t="shared" si="1"/>
        <v>0.0339211089932086</v>
      </c>
      <c r="N31">
        <f>1-SUM($M$23:M31)</f>
        <v>0.618407910106956</v>
      </c>
    </row>
    <row r="32" spans="3:16">
      <c r="C32">
        <v>17</v>
      </c>
      <c r="D32">
        <f t="shared" si="0"/>
        <v>0.0170575501982564</v>
      </c>
      <c r="E32">
        <f>1-SUM($D$16:D32)</f>
        <v>0.639002072811607</v>
      </c>
      <c r="L32">
        <v>10</v>
      </c>
      <c r="M32">
        <f>N31</f>
        <v>0.618407910106956</v>
      </c>
      <c r="N32">
        <f>1-SUM($M$23:M32)</f>
        <v>0</v>
      </c>
    </row>
    <row r="33" spans="3:13">
      <c r="C33">
        <v>18</v>
      </c>
      <c r="D33">
        <f t="shared" si="0"/>
        <v>0.0166140538931018</v>
      </c>
      <c r="E33">
        <f>1-SUM($D$16:D33)</f>
        <v>0.622388018918505</v>
      </c>
    </row>
    <row r="34" spans="3:13">
      <c r="C34">
        <v>19</v>
      </c>
      <c r="D34">
        <f t="shared" si="0"/>
        <v>0.0161820884918811</v>
      </c>
      <c r="E34">
        <f>1-SUM($D$16:D34)</f>
        <v>0.606205930426624</v>
      </c>
      <c r="L34" t="s">
        <v>622</v>
      </c>
      <c r="M34" cm="1">
        <f t="array" ref="M34">1/SUMPRODUCT(L23:L32,M23:M32)</f>
        <v>0.125679970568762</v>
      </c>
    </row>
    <row r="35" spans="3:13">
      <c r="C35">
        <v>20</v>
      </c>
      <c r="D35">
        <f t="shared" si="0"/>
        <v>0.0157613541910922</v>
      </c>
      <c r="E35">
        <f>1-SUM($D$16:D35)</f>
        <v>0.590444576235532</v>
      </c>
    </row>
    <row r="36" spans="3:13">
      <c r="C36">
        <v>21</v>
      </c>
      <c r="D36">
        <f t="shared" si="0"/>
        <v>0.0153515589821238</v>
      </c>
      <c r="E36">
        <f>1-SUM($D$16:D36)</f>
        <v>0.575093017253408</v>
      </c>
    </row>
    <row r="37" spans="3:13">
      <c r="C37">
        <v>22</v>
      </c>
      <c r="D37">
        <f t="shared" si="0"/>
        <v>0.0149524184485886</v>
      </c>
      <c r="E37">
        <f>1-SUM($D$16:D37)</f>
        <v>0.560140598804819</v>
      </c>
    </row>
    <row r="38" spans="3:13">
      <c r="C38">
        <v>23</v>
      </c>
      <c r="D38">
        <f t="shared" si="0"/>
        <v>0.0145636555689253</v>
      </c>
      <c r="E38">
        <f>1-SUM($D$16:D38)</f>
        <v>0.545576943235894</v>
      </c>
    </row>
    <row r="39" spans="3:13">
      <c r="C39">
        <v>24</v>
      </c>
      <c r="D39">
        <f t="shared" si="0"/>
        <v>0.0141850005241332</v>
      </c>
      <c r="E39">
        <f>1-SUM($D$16:D39)</f>
        <v>0.531391942711761</v>
      </c>
    </row>
    <row r="40" spans="3:13">
      <c r="C40">
        <v>25</v>
      </c>
      <c r="D40">
        <f t="shared" si="0"/>
        <v>0.0138161905105058</v>
      </c>
      <c r="E40">
        <f>1-SUM($D$16:D40)</f>
        <v>0.517575752201255</v>
      </c>
    </row>
    <row r="41" spans="3:13">
      <c r="C41">
        <v>26</v>
      </c>
      <c r="D41">
        <f t="shared" si="0"/>
        <v>0.0134569695572326</v>
      </c>
      <c r="E41">
        <f>1-SUM($D$16:D41)</f>
        <v>0.504118782644022</v>
      </c>
    </row>
    <row r="42" spans="3:13">
      <c r="C42">
        <v>27</v>
      </c>
      <c r="D42">
        <f t="shared" si="0"/>
        <v>0.0131070883487446</v>
      </c>
      <c r="E42">
        <f>1-SUM($D$16:D42)</f>
        <v>0.491011694295278</v>
      </c>
    </row>
    <row r="43" spans="3:13">
      <c r="C43">
        <v>28</v>
      </c>
      <c r="D43">
        <f t="shared" si="0"/>
        <v>0.0127663040516772</v>
      </c>
      <c r="E43">
        <f>1-SUM($D$16:D43)</f>
        <v>0.4782453902436</v>
      </c>
    </row>
    <row r="44" spans="3:13">
      <c r="C44">
        <v>29</v>
      </c>
      <c r="D44">
        <f t="shared" si="0"/>
        <v>0.0124343801463336</v>
      </c>
      <c r="E44">
        <f>1-SUM($D$16:D44)</f>
        <v>0.465811010097267</v>
      </c>
    </row>
    <row r="45" spans="3:13">
      <c r="C45">
        <v>30</v>
      </c>
      <c r="D45">
        <f t="shared" si="0"/>
        <v>0.0121110862625289</v>
      </c>
      <c r="E45">
        <f>1-SUM($D$16:D45)</f>
        <v>0.453699923834738</v>
      </c>
    </row>
    <row r="46" spans="3:13">
      <c r="C46">
        <v>31</v>
      </c>
      <c r="D46">
        <f t="shared" si="0"/>
        <v>0.0117961980197032</v>
      </c>
      <c r="E46">
        <f>1-SUM($D$16:D46)</f>
        <v>0.441903725815035</v>
      </c>
    </row>
    <row r="47" spans="3:13">
      <c r="C47">
        <v>32</v>
      </c>
      <c r="D47">
        <f t="shared" si="0"/>
        <v>0.0114894968711909</v>
      </c>
      <c r="E47">
        <f>1-SUM($D$16:D47)</f>
        <v>0.430414228943844</v>
      </c>
    </row>
    <row r="48" spans="3:13">
      <c r="C48">
        <v>33</v>
      </c>
      <c r="D48">
        <f t="shared" si="0"/>
        <v>0.0111907699525399</v>
      </c>
      <c r="E48">
        <f>1-SUM($D$16:D48)</f>
        <v>0.419223458991304</v>
      </c>
    </row>
    <row r="49" spans="3:5">
      <c r="C49">
        <v>34</v>
      </c>
      <c r="D49">
        <f t="shared" si="0"/>
        <v>0.0108998099337739</v>
      </c>
      <c r="E49">
        <f>1-SUM($D$16:D49)</f>
        <v>0.40832364905753</v>
      </c>
    </row>
    <row r="50" spans="3:5">
      <c r="C50">
        <v>35</v>
      </c>
      <c r="D50">
        <f t="shared" si="0"/>
        <v>0.0106164148754958</v>
      </c>
      <c r="E50">
        <f>1-SUM($D$16:D50)</f>
        <v>0.397707234182034</v>
      </c>
    </row>
    <row r="51" spans="3:5">
      <c r="C51">
        <v>36</v>
      </c>
      <c r="D51">
        <f t="shared" si="0"/>
        <v>0.0103403880887329</v>
      </c>
      <c r="E51">
        <f>1-SUM($D$16:D51)</f>
        <v>0.387366846093301</v>
      </c>
    </row>
    <row r="52" spans="3:5">
      <c r="C52">
        <v>37</v>
      </c>
      <c r="D52">
        <f t="shared" si="0"/>
        <v>0.0100715379984258</v>
      </c>
      <c r="E52">
        <f>1-SUM($D$16:D52)</f>
        <v>0.377295308094875</v>
      </c>
    </row>
    <row r="53" spans="3:5">
      <c r="C53">
        <v>38</v>
      </c>
      <c r="D53">
        <f t="shared" si="0"/>
        <v>0.00980967801046676</v>
      </c>
      <c r="E53">
        <f>1-SUM($D$16:D53)</f>
        <v>0.367485630084409</v>
      </c>
    </row>
    <row r="54" spans="3:5">
      <c r="C54">
        <v>39</v>
      </c>
      <c r="D54">
        <f t="shared" si="0"/>
        <v>0.00955462638219462</v>
      </c>
      <c r="E54">
        <f>1-SUM($D$16:D54)</f>
        <v>0.357931003702214</v>
      </c>
    </row>
    <row r="55" spans="3:5">
      <c r="C55">
        <v>40</v>
      </c>
      <c r="D55">
        <f t="shared" si="0"/>
        <v>0.00930620609625756</v>
      </c>
      <c r="E55">
        <f>1-SUM($D$16:D55)</f>
        <v>0.348624797605956</v>
      </c>
    </row>
    <row r="56" spans="3:5">
      <c r="C56">
        <v>41</v>
      </c>
      <c r="D56">
        <f t="shared" si="0"/>
        <v>0.00906424473775487</v>
      </c>
      <c r="E56">
        <f>1-SUM($D$16:D56)</f>
        <v>0.339560552868202</v>
      </c>
    </row>
    <row r="57" spans="3:5">
      <c r="C57">
        <v>42</v>
      </c>
      <c r="D57">
        <f t="shared" si="0"/>
        <v>0.00882857437457324</v>
      </c>
      <c r="E57">
        <f>1-SUM($D$16:D57)</f>
        <v>0.330731978493628</v>
      </c>
    </row>
    <row r="58" spans="3:5">
      <c r="C58">
        <v>43</v>
      </c>
      <c r="D58">
        <f t="shared" si="0"/>
        <v>0.00859903144083433</v>
      </c>
      <c r="E58">
        <f>1-SUM($D$16:D58)</f>
        <v>0.322132947052794</v>
      </c>
    </row>
    <row r="59" spans="3:5">
      <c r="C59">
        <v>44</v>
      </c>
      <c r="D59">
        <f t="shared" si="0"/>
        <v>0.00837545662337264</v>
      </c>
      <c r="E59">
        <f>1-SUM($D$16:D59)</f>
        <v>0.313757490429421</v>
      </c>
    </row>
    <row r="60" spans="3:5">
      <c r="C60">
        <v>45</v>
      </c>
      <c r="D60">
        <f t="shared" si="0"/>
        <v>0.00815769475116495</v>
      </c>
      <c r="E60">
        <f>1-SUM($D$16:D60)</f>
        <v>0.305599795678256</v>
      </c>
    </row>
    <row r="61" spans="3:5">
      <c r="C61">
        <v>46</v>
      </c>
      <c r="D61">
        <f t="shared" si="0"/>
        <v>0.00794559468763467</v>
      </c>
      <c r="E61">
        <f>1-SUM($D$16:D61)</f>
        <v>0.297654200990622</v>
      </c>
    </row>
    <row r="62" spans="3:5">
      <c r="C62">
        <v>47</v>
      </c>
      <c r="D62">
        <f t="shared" si="0"/>
        <v>0.00773900922575616</v>
      </c>
      <c r="E62">
        <f>1-SUM($D$16:D62)</f>
        <v>0.289915191764865</v>
      </c>
    </row>
    <row r="63" spans="3:5">
      <c r="C63">
        <v>48</v>
      </c>
      <c r="D63">
        <f t="shared" si="0"/>
        <v>0.0075377949858865</v>
      </c>
      <c r="E63">
        <f>1-SUM($D$16:D63)</f>
        <v>0.282377396778979</v>
      </c>
    </row>
    <row r="64" spans="3:5">
      <c r="C64">
        <v>49</v>
      </c>
      <c r="D64">
        <f t="shared" si="0"/>
        <v>0.00734181231625345</v>
      </c>
      <c r="E64">
        <f>1-SUM($D$16:D64)</f>
        <v>0.275035584462726</v>
      </c>
    </row>
    <row r="65" spans="3:5">
      <c r="C65">
        <v>50</v>
      </c>
      <c r="D65">
        <f t="shared" si="0"/>
        <v>0.00715092519603087</v>
      </c>
      <c r="E65">
        <f>1-SUM($D$16:D65)</f>
        <v>0.267884659266695</v>
      </c>
    </row>
    <row r="66" spans="3:5">
      <c r="C66">
        <v>51</v>
      </c>
      <c r="D66">
        <f t="shared" si="0"/>
        <v>0.00696500114093406</v>
      </c>
      <c r="E66">
        <f>1-SUM($D$16:D66)</f>
        <v>0.260919658125761</v>
      </c>
    </row>
    <row r="67" spans="3:5">
      <c r="C67">
        <v>52</v>
      </c>
      <c r="D67">
        <f t="shared" si="0"/>
        <v>0.00678391111126978</v>
      </c>
      <c r="E67">
        <f>1-SUM($D$16:D67)</f>
        <v>0.254135747014491</v>
      </c>
    </row>
    <row r="68" spans="3:5">
      <c r="C68">
        <v>53</v>
      </c>
      <c r="D68">
        <f t="shared" si="0"/>
        <v>0.00660752942237676</v>
      </c>
      <c r="E68">
        <f>1-SUM($D$16:D68)</f>
        <v>0.247528217592114</v>
      </c>
    </row>
    <row r="69" spans="3:5">
      <c r="C69">
        <v>54</v>
      </c>
      <c r="D69">
        <f t="shared" si="0"/>
        <v>0.00643573365739497</v>
      </c>
      <c r="E69">
        <f>1-SUM($D$16:D69)</f>
        <v>0.241092483934719</v>
      </c>
    </row>
    <row r="70" spans="3:5">
      <c r="C70">
        <v>55</v>
      </c>
      <c r="D70">
        <f t="shared" si="0"/>
        <v>0.0062684045823027</v>
      </c>
      <c r="E70">
        <f>1-SUM($D$16:D70)</f>
        <v>0.234824079352417</v>
      </c>
    </row>
    <row r="71" spans="3:5">
      <c r="C71">
        <v>56</v>
      </c>
      <c r="D71">
        <f t="shared" si="0"/>
        <v>0.00610542606316283</v>
      </c>
      <c r="E71">
        <f>1-SUM($D$16:D71)</f>
        <v>0.228718653289254</v>
      </c>
    </row>
    <row r="72" spans="3:5">
      <c r="C72">
        <v>57</v>
      </c>
      <c r="D72">
        <f t="shared" si="0"/>
        <v>0.0059466849855206</v>
      </c>
      <c r="E72">
        <f>1-SUM($D$16:D72)</f>
        <v>0.222771968303733</v>
      </c>
    </row>
    <row r="73" spans="3:5">
      <c r="C73">
        <v>58</v>
      </c>
      <c r="D73">
        <f t="shared" si="0"/>
        <v>0.00579207117589706</v>
      </c>
      <c r="E73">
        <f>1-SUM($D$16:D73)</f>
        <v>0.216979897127836</v>
      </c>
    </row>
    <row r="74" spans="3:5">
      <c r="C74">
        <v>59</v>
      </c>
      <c r="D74">
        <f t="shared" si="0"/>
        <v>0.00564147732532374</v>
      </c>
      <c r="E74">
        <f>1-SUM($D$16:D74)</f>
        <v>0.211338419802512</v>
      </c>
    </row>
    <row r="75" spans="3:5">
      <c r="C75">
        <v>60</v>
      </c>
      <c r="D75">
        <f t="shared" si="0"/>
        <v>0.00549479891486532</v>
      </c>
      <c r="E75">
        <f>1-SUM($D$16:D75)</f>
        <v>0.205843620887647</v>
      </c>
    </row>
    <row r="76" spans="3:5">
      <c r="C76">
        <v>61</v>
      </c>
      <c r="D76">
        <f t="shared" si="0"/>
        <v>0.00535193414307882</v>
      </c>
      <c r="E76">
        <f>1-SUM($D$16:D76)</f>
        <v>0.200491686744568</v>
      </c>
    </row>
    <row r="77" spans="3:5">
      <c r="C77">
        <v>62</v>
      </c>
      <c r="D77">
        <f t="shared" si="0"/>
        <v>0.00521278385535877</v>
      </c>
      <c r="E77">
        <f>1-SUM($D$16:D77)</f>
        <v>0.195278902889209</v>
      </c>
    </row>
    <row r="78" spans="3:5">
      <c r="C78">
        <v>63</v>
      </c>
      <c r="D78">
        <f t="shared" si="0"/>
        <v>0.00507725147511945</v>
      </c>
      <c r="E78">
        <f>1-SUM($D$16:D78)</f>
        <v>0.19020165141409</v>
      </c>
    </row>
    <row r="79" spans="3:5">
      <c r="C79">
        <v>64</v>
      </c>
      <c r="D79">
        <f t="shared" si="0"/>
        <v>0.00494524293676634</v>
      </c>
      <c r="E79">
        <f>1-SUM($D$16:D79)</f>
        <v>0.185256408477324</v>
      </c>
    </row>
    <row r="80" spans="3:5">
      <c r="C80">
        <v>65</v>
      </c>
      <c r="D80">
        <f t="shared" si="0"/>
        <v>0.00481666662041042</v>
      </c>
      <c r="E80">
        <f>1-SUM($D$16:D80)</f>
        <v>0.180439741856913</v>
      </c>
    </row>
    <row r="81" spans="3:5">
      <c r="C81">
        <v>66</v>
      </c>
      <c r="D81">
        <f t="shared" si="0"/>
        <v>0.00469143328827974</v>
      </c>
      <c r="E81">
        <f>1-SUM($D$16:D81)</f>
        <v>0.175748308568634</v>
      </c>
    </row>
    <row r="82" spans="3:5">
      <c r="C82">
        <v>67</v>
      </c>
      <c r="D82">
        <f t="shared" ref="D82:D145" si="2">IF(C82=$E$14,E81,E81*$D$14)</f>
        <v>0.00456945602278447</v>
      </c>
      <c r="E82">
        <f>1-SUM($D$16:D82)</f>
        <v>0.171178852545849</v>
      </c>
    </row>
    <row r="83" spans="3:5">
      <c r="C83">
        <v>68</v>
      </c>
      <c r="D83">
        <f t="shared" si="2"/>
        <v>0.00445065016619208</v>
      </c>
      <c r="E83">
        <f>1-SUM($D$16:D83)</f>
        <v>0.166728202379657</v>
      </c>
    </row>
    <row r="84" spans="3:5">
      <c r="C84">
        <v>69</v>
      </c>
      <c r="D84">
        <f t="shared" si="2"/>
        <v>0.00433493326187108</v>
      </c>
      <c r="E84">
        <f>1-SUM($D$16:D84)</f>
        <v>0.162393269117786</v>
      </c>
    </row>
    <row r="85" spans="3:5">
      <c r="C85">
        <v>70</v>
      </c>
      <c r="D85">
        <f t="shared" si="2"/>
        <v>0.00422222499706244</v>
      </c>
      <c r="E85">
        <f>1-SUM($D$16:D85)</f>
        <v>0.158171044120723</v>
      </c>
    </row>
    <row r="86" spans="3:5">
      <c r="C86">
        <v>71</v>
      </c>
      <c r="D86">
        <f t="shared" si="2"/>
        <v>0.00411244714713881</v>
      </c>
      <c r="E86">
        <f>1-SUM($D$16:D86)</f>
        <v>0.154058596973585</v>
      </c>
    </row>
    <row r="87" spans="3:5">
      <c r="C87">
        <f>C86+1</f>
        <v>72</v>
      </c>
      <c r="D87">
        <f t="shared" si="2"/>
        <v>0.0040055235213132</v>
      </c>
      <c r="E87">
        <f>1-SUM($D$16:D87)</f>
        <v>0.150053073452271</v>
      </c>
    </row>
    <row r="88" spans="3:5">
      <c r="C88">
        <f t="shared" ref="C88:C119" si="3">C87+1</f>
        <v>73</v>
      </c>
      <c r="D88">
        <f t="shared" si="2"/>
        <v>0.00390137990975906</v>
      </c>
      <c r="E88">
        <f>1-SUM($D$16:D88)</f>
        <v>0.146151693542512</v>
      </c>
    </row>
    <row r="89" spans="3:5">
      <c r="C89">
        <f t="shared" si="3"/>
        <v>74</v>
      </c>
      <c r="D89">
        <f t="shared" si="2"/>
        <v>0.00379994403210532</v>
      </c>
      <c r="E89">
        <f>1-SUM($D$16:D89)</f>
        <v>0.142351749510407</v>
      </c>
    </row>
    <row r="90" spans="3:5">
      <c r="C90">
        <f t="shared" si="3"/>
        <v>75</v>
      </c>
      <c r="D90">
        <f t="shared" si="2"/>
        <v>0.00370114548727058</v>
      </c>
      <c r="E90">
        <f>1-SUM($D$16:D90)</f>
        <v>0.138650604023136</v>
      </c>
    </row>
    <row r="91" spans="3:5">
      <c r="C91">
        <f t="shared" si="3"/>
        <v>76</v>
      </c>
      <c r="D91">
        <f t="shared" si="2"/>
        <v>0.00360491570460155</v>
      </c>
      <c r="E91">
        <f>1-SUM($D$16:D91)</f>
        <v>0.135045688318535</v>
      </c>
    </row>
    <row r="92" spans="3:5">
      <c r="C92">
        <f t="shared" si="3"/>
        <v>77</v>
      </c>
      <c r="D92">
        <f t="shared" si="2"/>
        <v>0.00351118789628191</v>
      </c>
      <c r="E92">
        <f>1-SUM($D$16:D92)</f>
        <v>0.131534500422253</v>
      </c>
    </row>
    <row r="93" spans="3:5">
      <c r="C93">
        <f t="shared" si="3"/>
        <v>78</v>
      </c>
      <c r="D93">
        <f t="shared" si="2"/>
        <v>0.00341989701097858</v>
      </c>
      <c r="E93">
        <f>1-SUM($D$16:D93)</f>
        <v>0.128114603411274</v>
      </c>
    </row>
    <row r="94" spans="3:5">
      <c r="C94">
        <f t="shared" si="3"/>
        <v>79</v>
      </c>
      <c r="D94">
        <f t="shared" si="2"/>
        <v>0.00333097968869314</v>
      </c>
      <c r="E94">
        <f>1-SUM($D$16:D94)</f>
        <v>0.124783623722581</v>
      </c>
    </row>
    <row r="95" spans="3:5">
      <c r="C95">
        <f t="shared" si="3"/>
        <v>80</v>
      </c>
      <c r="D95">
        <f t="shared" si="2"/>
        <v>0.00324437421678712</v>
      </c>
      <c r="E95">
        <f>1-SUM($D$16:D95)</f>
        <v>0.121539249505794</v>
      </c>
    </row>
    <row r="96" spans="3:5">
      <c r="C96">
        <f t="shared" si="3"/>
        <v>81</v>
      </c>
      <c r="D96">
        <f t="shared" si="2"/>
        <v>0.00316002048715065</v>
      </c>
      <c r="E96">
        <f>1-SUM($D$16:D96)</f>
        <v>0.118379229018644</v>
      </c>
    </row>
    <row r="97" spans="3:5">
      <c r="C97">
        <f t="shared" si="3"/>
        <v>82</v>
      </c>
      <c r="D97">
        <f t="shared" si="2"/>
        <v>0.00307785995448473</v>
      </c>
      <c r="E97">
        <f>1-SUM($D$16:D97)</f>
        <v>0.115301369064159</v>
      </c>
    </row>
    <row r="98" spans="3:5">
      <c r="C98">
        <f t="shared" si="3"/>
        <v>83</v>
      </c>
      <c r="D98">
        <f t="shared" si="2"/>
        <v>0.00299783559566813</v>
      </c>
      <c r="E98">
        <f>1-SUM($D$16:D98)</f>
        <v>0.112303533468491</v>
      </c>
    </row>
    <row r="99" spans="3:5">
      <c r="C99">
        <f t="shared" si="3"/>
        <v>84</v>
      </c>
      <c r="D99">
        <f t="shared" si="2"/>
        <v>0.00291989187018076</v>
      </c>
      <c r="E99">
        <f>1-SUM($D$16:D99)</f>
        <v>0.10938364159831</v>
      </c>
    </row>
    <row r="100" spans="3:5">
      <c r="C100">
        <f t="shared" si="3"/>
        <v>85</v>
      </c>
      <c r="D100">
        <f t="shared" si="2"/>
        <v>0.00284397468155606</v>
      </c>
      <c r="E100">
        <f>1-SUM($D$16:D100)</f>
        <v>0.106539666916754</v>
      </c>
    </row>
    <row r="101" spans="3:5">
      <c r="C101">
        <f t="shared" si="3"/>
        <v>86</v>
      </c>
      <c r="D101">
        <f t="shared" si="2"/>
        <v>0.0027700313398356</v>
      </c>
      <c r="E101">
        <f>1-SUM($D$16:D101)</f>
        <v>0.103769635576918</v>
      </c>
    </row>
    <row r="102" spans="3:5">
      <c r="C102">
        <f t="shared" si="3"/>
        <v>87</v>
      </c>
      <c r="D102">
        <f t="shared" si="2"/>
        <v>0.00269801052499988</v>
      </c>
      <c r="E102">
        <f>1-SUM($D$16:D102)</f>
        <v>0.101071625051918</v>
      </c>
    </row>
    <row r="103" spans="3:5">
      <c r="C103">
        <f t="shared" si="3"/>
        <v>88</v>
      </c>
      <c r="D103">
        <f t="shared" si="2"/>
        <v>0.00262786225134988</v>
      </c>
      <c r="E103">
        <f>1-SUM($D$16:D103)</f>
        <v>0.0984437628005685</v>
      </c>
    </row>
    <row r="104" spans="3:5">
      <c r="C104">
        <f t="shared" si="3"/>
        <v>89</v>
      </c>
      <c r="D104">
        <f t="shared" si="2"/>
        <v>0.00255953783281478</v>
      </c>
      <c r="E104">
        <f>1-SUM($D$16:D104)</f>
        <v>0.0958842249677537</v>
      </c>
    </row>
    <row r="105" spans="3:5">
      <c r="C105">
        <f t="shared" si="3"/>
        <v>90</v>
      </c>
      <c r="D105">
        <f t="shared" si="2"/>
        <v>0.0024929898491616</v>
      </c>
      <c r="E105">
        <f>1-SUM($D$16:D105)</f>
        <v>0.0933912351185922</v>
      </c>
    </row>
    <row r="106" spans="3:5">
      <c r="C106">
        <f t="shared" si="3"/>
        <v>91</v>
      </c>
      <c r="D106">
        <f t="shared" si="2"/>
        <v>0.0024281721130834</v>
      </c>
      <c r="E106">
        <f>1-SUM($D$16:D106)</f>
        <v>0.0909630630055087</v>
      </c>
    </row>
    <row r="107" spans="3:5">
      <c r="C107">
        <f t="shared" si="3"/>
        <v>92</v>
      </c>
      <c r="D107">
        <f t="shared" si="2"/>
        <v>0.00236503963814323</v>
      </c>
      <c r="E107">
        <f>1-SUM($D$16:D107)</f>
        <v>0.0885980233673654</v>
      </c>
    </row>
    <row r="108" spans="3:5">
      <c r="C108">
        <f t="shared" si="3"/>
        <v>93</v>
      </c>
      <c r="D108">
        <f t="shared" si="2"/>
        <v>0.0023035486075515</v>
      </c>
      <c r="E108">
        <f>1-SUM($D$16:D108)</f>
        <v>0.0862944747598139</v>
      </c>
    </row>
    <row r="109" spans="3:5">
      <c r="C109">
        <f t="shared" si="3"/>
        <v>94</v>
      </c>
      <c r="D109">
        <f t="shared" si="2"/>
        <v>0.00224365634375516</v>
      </c>
      <c r="E109">
        <f>1-SUM($D$16:D109)</f>
        <v>0.0840508184160588</v>
      </c>
    </row>
    <row r="110" spans="3:5">
      <c r="C110">
        <f t="shared" si="3"/>
        <v>95</v>
      </c>
      <c r="D110">
        <f t="shared" si="2"/>
        <v>0.00218532127881753</v>
      </c>
      <c r="E110">
        <f>1-SUM($D$16:D110)</f>
        <v>0.0818654971372412</v>
      </c>
    </row>
    <row r="111" spans="3:5">
      <c r="C111">
        <f t="shared" si="3"/>
        <v>96</v>
      </c>
      <c r="D111">
        <f t="shared" si="2"/>
        <v>0.00212850292556827</v>
      </c>
      <c r="E111">
        <f>1-SUM($D$16:D111)</f>
        <v>0.0797369942116729</v>
      </c>
    </row>
    <row r="112" spans="3:5">
      <c r="C112">
        <f t="shared" si="3"/>
        <v>97</v>
      </c>
      <c r="D112">
        <f t="shared" si="2"/>
        <v>0.0020731618495035</v>
      </c>
      <c r="E112">
        <f>1-SUM($D$16:D112)</f>
        <v>0.0776638323621694</v>
      </c>
    </row>
    <row r="113" spans="3:5">
      <c r="C113">
        <f t="shared" si="3"/>
        <v>98</v>
      </c>
      <c r="D113">
        <f t="shared" si="2"/>
        <v>0.00201925964141641</v>
      </c>
      <c r="E113">
        <f>1-SUM($D$16:D113)</f>
        <v>0.0756445727207531</v>
      </c>
    </row>
    <row r="114" spans="3:5">
      <c r="C114">
        <f t="shared" si="3"/>
        <v>99</v>
      </c>
      <c r="D114">
        <f t="shared" si="2"/>
        <v>0.00196675889073958</v>
      </c>
      <c r="E114">
        <f>1-SUM($D$16:D114)</f>
        <v>0.0736778138300135</v>
      </c>
    </row>
    <row r="115" spans="3:5">
      <c r="C115">
        <f t="shared" si="3"/>
        <v>100</v>
      </c>
      <c r="D115">
        <f t="shared" si="2"/>
        <v>0.0736778138300135</v>
      </c>
      <c r="E115">
        <f>1-SUM($D$16:D115)</f>
        <v>0</v>
      </c>
    </row>
    <row r="116" spans="3:5">
      <c r="C116">
        <f t="shared" si="3"/>
        <v>101</v>
      </c>
      <c r="D116">
        <f t="shared" si="2"/>
        <v>0</v>
      </c>
      <c r="E116">
        <f>1-SUM($D$16:D116)</f>
        <v>0</v>
      </c>
    </row>
    <row r="117" spans="3:5">
      <c r="C117">
        <f t="shared" si="3"/>
        <v>102</v>
      </c>
      <c r="D117">
        <f t="shared" si="2"/>
        <v>0</v>
      </c>
      <c r="E117">
        <f>1-SUM($D$16:D117)</f>
        <v>0</v>
      </c>
    </row>
    <row r="118" spans="3:5">
      <c r="C118">
        <f t="shared" si="3"/>
        <v>103</v>
      </c>
      <c r="D118">
        <f t="shared" si="2"/>
        <v>0</v>
      </c>
      <c r="E118">
        <f>1-SUM($D$16:D118)</f>
        <v>0</v>
      </c>
    </row>
    <row r="119" spans="3:5">
      <c r="C119">
        <f t="shared" si="3"/>
        <v>104</v>
      </c>
      <c r="D119">
        <f t="shared" si="2"/>
        <v>0</v>
      </c>
      <c r="E119">
        <f>1-SUM($D$16:D119)</f>
        <v>0</v>
      </c>
    </row>
    <row r="120" spans="3:5">
      <c r="C120">
        <f t="shared" ref="C120:C149" si="4">C119+1</f>
        <v>105</v>
      </c>
      <c r="D120">
        <f t="shared" si="2"/>
        <v>0</v>
      </c>
      <c r="E120">
        <f>1-SUM($D$16:D120)</f>
        <v>0</v>
      </c>
    </row>
    <row r="121" spans="3:5">
      <c r="C121">
        <f t="shared" si="4"/>
        <v>106</v>
      </c>
      <c r="D121">
        <f t="shared" si="2"/>
        <v>0</v>
      </c>
      <c r="E121">
        <f>1-SUM($D$16:D121)</f>
        <v>0</v>
      </c>
    </row>
    <row r="122" spans="3:5">
      <c r="C122">
        <f t="shared" si="4"/>
        <v>107</v>
      </c>
      <c r="D122">
        <f t="shared" si="2"/>
        <v>0</v>
      </c>
      <c r="E122">
        <f>1-SUM($D$16:D122)</f>
        <v>0</v>
      </c>
    </row>
    <row r="123" spans="3:5">
      <c r="C123">
        <f t="shared" si="4"/>
        <v>108</v>
      </c>
      <c r="D123">
        <f t="shared" si="2"/>
        <v>0</v>
      </c>
      <c r="E123">
        <f>1-SUM($D$16:D123)</f>
        <v>0</v>
      </c>
    </row>
    <row r="124" spans="3:5">
      <c r="C124">
        <f t="shared" si="4"/>
        <v>109</v>
      </c>
      <c r="D124">
        <f t="shared" si="2"/>
        <v>0</v>
      </c>
      <c r="E124">
        <f>1-SUM($D$16:D124)</f>
        <v>0</v>
      </c>
    </row>
    <row r="125" spans="3:5">
      <c r="C125">
        <f t="shared" si="4"/>
        <v>110</v>
      </c>
      <c r="D125">
        <f t="shared" si="2"/>
        <v>0</v>
      </c>
      <c r="E125">
        <f>1-SUM($D$16:D125)</f>
        <v>0</v>
      </c>
    </row>
    <row r="126" spans="3:5">
      <c r="C126">
        <f t="shared" si="4"/>
        <v>111</v>
      </c>
      <c r="D126">
        <f t="shared" si="2"/>
        <v>0</v>
      </c>
      <c r="E126">
        <f>1-SUM($D$16:D126)</f>
        <v>0</v>
      </c>
    </row>
    <row r="127" spans="3:5">
      <c r="C127">
        <f t="shared" si="4"/>
        <v>112</v>
      </c>
      <c r="D127">
        <f t="shared" si="2"/>
        <v>0</v>
      </c>
      <c r="E127">
        <f>1-SUM($D$16:D127)</f>
        <v>0</v>
      </c>
    </row>
    <row r="128" spans="3:5">
      <c r="C128">
        <f t="shared" si="4"/>
        <v>113</v>
      </c>
      <c r="D128">
        <f t="shared" si="2"/>
        <v>0</v>
      </c>
      <c r="E128">
        <f>1-SUM($D$16:D128)</f>
        <v>0</v>
      </c>
    </row>
    <row r="129" spans="3:5">
      <c r="C129">
        <f t="shared" si="4"/>
        <v>114</v>
      </c>
      <c r="D129">
        <f t="shared" si="2"/>
        <v>0</v>
      </c>
      <c r="E129">
        <f>1-SUM($D$16:D129)</f>
        <v>0</v>
      </c>
    </row>
    <row r="130" spans="3:5">
      <c r="C130">
        <f t="shared" si="4"/>
        <v>115</v>
      </c>
      <c r="D130">
        <f t="shared" si="2"/>
        <v>0</v>
      </c>
      <c r="E130">
        <f>1-SUM($D$16:D130)</f>
        <v>0</v>
      </c>
    </row>
    <row r="131" spans="3:5">
      <c r="C131">
        <f t="shared" si="4"/>
        <v>116</v>
      </c>
      <c r="D131">
        <f t="shared" si="2"/>
        <v>0</v>
      </c>
      <c r="E131">
        <f>1-SUM($D$16:D131)</f>
        <v>0</v>
      </c>
    </row>
    <row r="132" spans="3:5">
      <c r="C132">
        <f t="shared" si="4"/>
        <v>117</v>
      </c>
      <c r="D132">
        <f t="shared" si="2"/>
        <v>0</v>
      </c>
      <c r="E132">
        <f>1-SUM($D$16:D132)</f>
        <v>0</v>
      </c>
    </row>
    <row r="133" spans="3:5">
      <c r="C133">
        <f t="shared" si="4"/>
        <v>118</v>
      </c>
      <c r="D133">
        <f t="shared" si="2"/>
        <v>0</v>
      </c>
      <c r="E133">
        <f>1-SUM($D$16:D133)</f>
        <v>0</v>
      </c>
    </row>
    <row r="134" spans="3:5">
      <c r="C134">
        <f t="shared" si="4"/>
        <v>119</v>
      </c>
      <c r="D134">
        <f t="shared" si="2"/>
        <v>0</v>
      </c>
      <c r="E134">
        <f>1-SUM($D$16:D134)</f>
        <v>0</v>
      </c>
    </row>
    <row r="135" spans="3:5">
      <c r="C135">
        <f t="shared" si="4"/>
        <v>120</v>
      </c>
      <c r="D135">
        <f t="shared" si="2"/>
        <v>0</v>
      </c>
      <c r="E135">
        <f>1-SUM($D$16:D135)</f>
        <v>0</v>
      </c>
    </row>
    <row r="136" spans="3:5">
      <c r="C136">
        <f t="shared" si="4"/>
        <v>121</v>
      </c>
      <c r="D136">
        <f t="shared" si="2"/>
        <v>0</v>
      </c>
      <c r="E136">
        <f>1-SUM($D$16:D136)</f>
        <v>0</v>
      </c>
    </row>
    <row r="137" spans="3:5">
      <c r="C137">
        <f t="shared" si="4"/>
        <v>122</v>
      </c>
      <c r="D137">
        <f t="shared" si="2"/>
        <v>0</v>
      </c>
      <c r="E137">
        <f>1-SUM($D$16:D137)</f>
        <v>0</v>
      </c>
    </row>
    <row r="138" spans="3:5">
      <c r="C138">
        <f t="shared" si="4"/>
        <v>123</v>
      </c>
      <c r="D138">
        <f t="shared" si="2"/>
        <v>0</v>
      </c>
      <c r="E138">
        <f>1-SUM($D$16:D138)</f>
        <v>0</v>
      </c>
    </row>
    <row r="139" spans="3:5">
      <c r="C139">
        <f t="shared" si="4"/>
        <v>124</v>
      </c>
      <c r="D139">
        <f t="shared" si="2"/>
        <v>0</v>
      </c>
      <c r="E139">
        <f>1-SUM($D$16:D139)</f>
        <v>0</v>
      </c>
    </row>
    <row r="140" spans="3:5">
      <c r="C140">
        <f t="shared" si="4"/>
        <v>125</v>
      </c>
      <c r="D140">
        <f t="shared" si="2"/>
        <v>0</v>
      </c>
      <c r="E140">
        <f>1-SUM($D$16:D140)</f>
        <v>0</v>
      </c>
    </row>
    <row r="141" spans="3:5">
      <c r="C141">
        <f t="shared" si="4"/>
        <v>126</v>
      </c>
      <c r="D141">
        <f t="shared" si="2"/>
        <v>0</v>
      </c>
      <c r="E141">
        <f>1-SUM($D$16:D141)</f>
        <v>0</v>
      </c>
    </row>
    <row r="142" spans="3:5">
      <c r="C142">
        <f t="shared" si="4"/>
        <v>127</v>
      </c>
      <c r="D142">
        <f t="shared" si="2"/>
        <v>0</v>
      </c>
      <c r="E142">
        <f>1-SUM($D$16:D142)</f>
        <v>0</v>
      </c>
    </row>
    <row r="143" spans="3:5">
      <c r="C143">
        <f t="shared" si="4"/>
        <v>128</v>
      </c>
      <c r="D143">
        <f t="shared" si="2"/>
        <v>0</v>
      </c>
      <c r="E143">
        <f>1-SUM($D$16:D143)</f>
        <v>0</v>
      </c>
    </row>
    <row r="144" spans="3:5">
      <c r="C144">
        <f t="shared" si="4"/>
        <v>129</v>
      </c>
      <c r="D144">
        <f t="shared" si="2"/>
        <v>0</v>
      </c>
      <c r="E144">
        <f>1-SUM($D$16:D144)</f>
        <v>0</v>
      </c>
    </row>
    <row r="145" spans="3:5">
      <c r="C145">
        <f t="shared" si="4"/>
        <v>130</v>
      </c>
      <c r="D145">
        <f t="shared" si="2"/>
        <v>0</v>
      </c>
      <c r="E145">
        <f>1-SUM($D$16:D145)</f>
        <v>0</v>
      </c>
    </row>
    <row r="146" spans="3:5">
      <c r="C146">
        <f t="shared" si="4"/>
        <v>131</v>
      </c>
      <c r="D146">
        <f t="shared" ref="D146:D209" si="5">IF(C146=$E$14,E145,E145*$D$14)</f>
        <v>0</v>
      </c>
      <c r="E146">
        <f>1-SUM($D$16:D146)</f>
        <v>0</v>
      </c>
    </row>
    <row r="147" spans="3:5">
      <c r="C147">
        <f t="shared" si="4"/>
        <v>132</v>
      </c>
      <c r="D147">
        <f t="shared" si="5"/>
        <v>0</v>
      </c>
      <c r="E147">
        <f>1-SUM($D$16:D147)</f>
        <v>0</v>
      </c>
    </row>
    <row r="148" spans="3:5">
      <c r="C148">
        <f t="shared" si="4"/>
        <v>133</v>
      </c>
      <c r="D148">
        <f t="shared" si="5"/>
        <v>0</v>
      </c>
      <c r="E148">
        <f>1-SUM($D$16:D148)</f>
        <v>0</v>
      </c>
    </row>
    <row r="149" spans="3:5">
      <c r="C149">
        <f t="shared" si="4"/>
        <v>134</v>
      </c>
      <c r="D149">
        <f t="shared" si="5"/>
        <v>0</v>
      </c>
      <c r="E149">
        <f>1-SUM($D$16:D149)</f>
        <v>0</v>
      </c>
    </row>
    <row r="150" spans="3:5">
      <c r="C150">
        <f t="shared" ref="C150:C213" si="6">C149+1</f>
        <v>135</v>
      </c>
      <c r="D150">
        <f t="shared" si="5"/>
        <v>0</v>
      </c>
      <c r="E150">
        <f>1-SUM($D$16:D150)</f>
        <v>0</v>
      </c>
    </row>
    <row r="151" spans="3:5">
      <c r="C151">
        <f t="shared" si="6"/>
        <v>136</v>
      </c>
      <c r="D151">
        <f t="shared" si="5"/>
        <v>0</v>
      </c>
      <c r="E151">
        <f>1-SUM($D$16:D151)</f>
        <v>0</v>
      </c>
    </row>
    <row r="152" spans="3:5">
      <c r="C152">
        <f t="shared" si="6"/>
        <v>137</v>
      </c>
      <c r="D152">
        <f t="shared" si="5"/>
        <v>0</v>
      </c>
      <c r="E152">
        <f>1-SUM($D$16:D152)</f>
        <v>0</v>
      </c>
    </row>
    <row r="153" spans="3:5">
      <c r="C153">
        <f t="shared" si="6"/>
        <v>138</v>
      </c>
      <c r="D153">
        <f t="shared" si="5"/>
        <v>0</v>
      </c>
      <c r="E153">
        <f>1-SUM($D$16:D153)</f>
        <v>0</v>
      </c>
    </row>
    <row r="154" spans="3:5">
      <c r="C154">
        <f t="shared" si="6"/>
        <v>139</v>
      </c>
      <c r="D154">
        <f t="shared" si="5"/>
        <v>0</v>
      </c>
      <c r="E154">
        <f>1-SUM($D$16:D154)</f>
        <v>0</v>
      </c>
    </row>
    <row r="155" spans="3:5">
      <c r="C155">
        <f t="shared" si="6"/>
        <v>140</v>
      </c>
      <c r="D155">
        <f t="shared" si="5"/>
        <v>0</v>
      </c>
      <c r="E155">
        <f>1-SUM($D$16:D155)</f>
        <v>0</v>
      </c>
    </row>
    <row r="156" spans="3:5">
      <c r="C156">
        <f t="shared" si="6"/>
        <v>141</v>
      </c>
      <c r="D156">
        <f t="shared" si="5"/>
        <v>0</v>
      </c>
      <c r="E156">
        <f>1-SUM($D$16:D156)</f>
        <v>0</v>
      </c>
    </row>
    <row r="157" spans="3:5">
      <c r="C157">
        <f t="shared" si="6"/>
        <v>142</v>
      </c>
      <c r="D157">
        <f t="shared" si="5"/>
        <v>0</v>
      </c>
      <c r="E157">
        <f>1-SUM($D$16:D157)</f>
        <v>0</v>
      </c>
    </row>
    <row r="158" spans="3:5">
      <c r="C158">
        <f t="shared" si="6"/>
        <v>143</v>
      </c>
      <c r="D158">
        <f t="shared" si="5"/>
        <v>0</v>
      </c>
      <c r="E158">
        <f>1-SUM($D$16:D158)</f>
        <v>0</v>
      </c>
    </row>
    <row r="159" spans="3:5">
      <c r="C159">
        <f t="shared" si="6"/>
        <v>144</v>
      </c>
      <c r="D159">
        <f t="shared" si="5"/>
        <v>0</v>
      </c>
      <c r="E159">
        <f>1-SUM($D$16:D159)</f>
        <v>0</v>
      </c>
    </row>
    <row r="160" spans="3:5">
      <c r="C160">
        <f t="shared" si="6"/>
        <v>145</v>
      </c>
      <c r="D160">
        <f t="shared" si="5"/>
        <v>0</v>
      </c>
      <c r="E160">
        <f>1-SUM($D$16:D160)</f>
        <v>0</v>
      </c>
    </row>
    <row r="161" spans="3:5">
      <c r="C161">
        <f t="shared" si="6"/>
        <v>146</v>
      </c>
      <c r="D161">
        <f t="shared" si="5"/>
        <v>0</v>
      </c>
      <c r="E161">
        <f>1-SUM($D$16:D161)</f>
        <v>0</v>
      </c>
    </row>
    <row r="162" spans="3:5">
      <c r="C162">
        <f t="shared" si="6"/>
        <v>147</v>
      </c>
      <c r="D162">
        <f t="shared" si="5"/>
        <v>0</v>
      </c>
      <c r="E162">
        <f>1-SUM($D$16:D162)</f>
        <v>0</v>
      </c>
    </row>
    <row r="163" spans="3:5">
      <c r="C163">
        <f t="shared" si="6"/>
        <v>148</v>
      </c>
      <c r="D163">
        <f t="shared" si="5"/>
        <v>0</v>
      </c>
      <c r="E163">
        <f>1-SUM($D$16:D163)</f>
        <v>0</v>
      </c>
    </row>
    <row r="164" spans="3:5">
      <c r="C164">
        <f t="shared" si="6"/>
        <v>149</v>
      </c>
      <c r="D164">
        <f t="shared" si="5"/>
        <v>0</v>
      </c>
      <c r="E164">
        <f>1-SUM($D$16:D164)</f>
        <v>0</v>
      </c>
    </row>
    <row r="165" spans="3:5">
      <c r="C165">
        <f t="shared" si="6"/>
        <v>150</v>
      </c>
      <c r="D165">
        <f t="shared" si="5"/>
        <v>0</v>
      </c>
      <c r="E165">
        <f>1-SUM($D$16:D165)</f>
        <v>0</v>
      </c>
    </row>
    <row r="166" spans="3:5">
      <c r="C166">
        <f t="shared" si="6"/>
        <v>151</v>
      </c>
      <c r="D166">
        <f t="shared" si="5"/>
        <v>0</v>
      </c>
      <c r="E166">
        <f>1-SUM($D$16:D166)</f>
        <v>0</v>
      </c>
    </row>
    <row r="167" spans="3:5">
      <c r="C167">
        <f t="shared" si="6"/>
        <v>152</v>
      </c>
      <c r="D167">
        <f t="shared" si="5"/>
        <v>0</v>
      </c>
      <c r="E167">
        <f>1-SUM($D$16:D167)</f>
        <v>0</v>
      </c>
    </row>
    <row r="168" spans="3:5">
      <c r="C168">
        <f t="shared" si="6"/>
        <v>153</v>
      </c>
      <c r="D168">
        <f t="shared" si="5"/>
        <v>0</v>
      </c>
      <c r="E168">
        <f>1-SUM($D$16:D168)</f>
        <v>0</v>
      </c>
    </row>
    <row r="169" spans="3:5">
      <c r="C169">
        <f t="shared" si="6"/>
        <v>154</v>
      </c>
      <c r="D169">
        <f t="shared" si="5"/>
        <v>0</v>
      </c>
      <c r="E169">
        <f>1-SUM($D$16:D169)</f>
        <v>0</v>
      </c>
    </row>
    <row r="170" spans="3:5">
      <c r="C170">
        <f t="shared" si="6"/>
        <v>155</v>
      </c>
      <c r="D170">
        <f t="shared" si="5"/>
        <v>0</v>
      </c>
      <c r="E170">
        <f>1-SUM($D$16:D170)</f>
        <v>0</v>
      </c>
    </row>
    <row r="171" spans="3:5">
      <c r="C171">
        <f t="shared" si="6"/>
        <v>156</v>
      </c>
      <c r="D171">
        <f t="shared" si="5"/>
        <v>0</v>
      </c>
      <c r="E171">
        <f>1-SUM($D$16:D171)</f>
        <v>0</v>
      </c>
    </row>
    <row r="172" spans="3:5">
      <c r="C172">
        <f t="shared" si="6"/>
        <v>157</v>
      </c>
      <c r="D172">
        <f t="shared" si="5"/>
        <v>0</v>
      </c>
      <c r="E172">
        <f>1-SUM($D$16:D172)</f>
        <v>0</v>
      </c>
    </row>
    <row r="173" spans="3:5">
      <c r="C173">
        <f t="shared" si="6"/>
        <v>158</v>
      </c>
      <c r="D173">
        <f t="shared" si="5"/>
        <v>0</v>
      </c>
      <c r="E173">
        <f>1-SUM($D$16:D173)</f>
        <v>0</v>
      </c>
    </row>
    <row r="174" spans="3:5">
      <c r="C174">
        <f t="shared" si="6"/>
        <v>159</v>
      </c>
      <c r="D174">
        <f t="shared" si="5"/>
        <v>0</v>
      </c>
      <c r="E174">
        <f>1-SUM($D$16:D174)</f>
        <v>0</v>
      </c>
    </row>
    <row r="175" spans="3:5">
      <c r="C175">
        <f t="shared" si="6"/>
        <v>160</v>
      </c>
      <c r="D175">
        <f t="shared" si="5"/>
        <v>0</v>
      </c>
      <c r="E175">
        <f>1-SUM($D$16:D175)</f>
        <v>0</v>
      </c>
    </row>
    <row r="176" spans="3:5">
      <c r="C176">
        <f t="shared" si="6"/>
        <v>161</v>
      </c>
      <c r="D176">
        <f t="shared" si="5"/>
        <v>0</v>
      </c>
      <c r="E176">
        <f>1-SUM($D$16:D176)</f>
        <v>0</v>
      </c>
    </row>
    <row r="177" spans="3:5">
      <c r="C177">
        <f t="shared" si="6"/>
        <v>162</v>
      </c>
      <c r="D177">
        <f t="shared" si="5"/>
        <v>0</v>
      </c>
      <c r="E177">
        <f>1-SUM($D$16:D177)</f>
        <v>0</v>
      </c>
    </row>
    <row r="178" spans="3:5">
      <c r="C178">
        <f t="shared" si="6"/>
        <v>163</v>
      </c>
      <c r="D178">
        <f t="shared" si="5"/>
        <v>0</v>
      </c>
      <c r="E178">
        <f>1-SUM($D$16:D178)</f>
        <v>0</v>
      </c>
    </row>
    <row r="179" spans="3:5">
      <c r="C179">
        <f t="shared" si="6"/>
        <v>164</v>
      </c>
      <c r="D179">
        <f t="shared" si="5"/>
        <v>0</v>
      </c>
      <c r="E179">
        <f>1-SUM($D$16:D179)</f>
        <v>0</v>
      </c>
    </row>
    <row r="180" spans="3:5">
      <c r="C180">
        <f t="shared" si="6"/>
        <v>165</v>
      </c>
      <c r="D180">
        <f t="shared" si="5"/>
        <v>0</v>
      </c>
      <c r="E180">
        <f>1-SUM($D$16:D180)</f>
        <v>0</v>
      </c>
    </row>
    <row r="181" spans="3:5">
      <c r="C181">
        <f t="shared" si="6"/>
        <v>166</v>
      </c>
      <c r="D181">
        <f t="shared" si="5"/>
        <v>0</v>
      </c>
      <c r="E181">
        <f>1-SUM($D$16:D181)</f>
        <v>0</v>
      </c>
    </row>
    <row r="182" spans="3:5">
      <c r="C182">
        <f t="shared" si="6"/>
        <v>167</v>
      </c>
      <c r="D182">
        <f t="shared" si="5"/>
        <v>0</v>
      </c>
      <c r="E182">
        <f>1-SUM($D$16:D182)</f>
        <v>0</v>
      </c>
    </row>
    <row r="183" spans="3:5">
      <c r="C183">
        <f t="shared" si="6"/>
        <v>168</v>
      </c>
      <c r="D183">
        <f t="shared" si="5"/>
        <v>0</v>
      </c>
      <c r="E183">
        <f>1-SUM($D$16:D183)</f>
        <v>0</v>
      </c>
    </row>
    <row r="184" spans="3:5">
      <c r="C184">
        <f t="shared" si="6"/>
        <v>169</v>
      </c>
      <c r="D184">
        <f t="shared" si="5"/>
        <v>0</v>
      </c>
      <c r="E184">
        <f>1-SUM($D$16:D184)</f>
        <v>0</v>
      </c>
    </row>
    <row r="185" spans="3:5">
      <c r="C185">
        <f t="shared" si="6"/>
        <v>170</v>
      </c>
      <c r="D185">
        <f t="shared" si="5"/>
        <v>0</v>
      </c>
      <c r="E185">
        <f>1-SUM($D$16:D185)</f>
        <v>0</v>
      </c>
    </row>
    <row r="186" spans="3:5">
      <c r="C186">
        <f t="shared" si="6"/>
        <v>171</v>
      </c>
      <c r="D186">
        <f t="shared" si="5"/>
        <v>0</v>
      </c>
      <c r="E186">
        <f>1-SUM($D$16:D186)</f>
        <v>0</v>
      </c>
    </row>
    <row r="187" spans="3:5">
      <c r="C187">
        <f t="shared" si="6"/>
        <v>172</v>
      </c>
      <c r="D187">
        <f t="shared" si="5"/>
        <v>0</v>
      </c>
      <c r="E187">
        <f>1-SUM($D$16:D187)</f>
        <v>0</v>
      </c>
    </row>
    <row r="188" spans="3:5">
      <c r="C188">
        <f t="shared" si="6"/>
        <v>173</v>
      </c>
      <c r="D188">
        <f t="shared" si="5"/>
        <v>0</v>
      </c>
      <c r="E188">
        <f>1-SUM($D$16:D188)</f>
        <v>0</v>
      </c>
    </row>
    <row r="189" spans="3:5">
      <c r="C189">
        <f t="shared" si="6"/>
        <v>174</v>
      </c>
      <c r="D189">
        <f t="shared" si="5"/>
        <v>0</v>
      </c>
      <c r="E189">
        <f>1-SUM($D$16:D189)</f>
        <v>0</v>
      </c>
    </row>
    <row r="190" spans="3:5">
      <c r="C190">
        <f t="shared" si="6"/>
        <v>175</v>
      </c>
      <c r="D190">
        <f t="shared" si="5"/>
        <v>0</v>
      </c>
      <c r="E190">
        <f>1-SUM($D$16:D190)</f>
        <v>0</v>
      </c>
    </row>
    <row r="191" spans="3:5">
      <c r="C191">
        <f t="shared" si="6"/>
        <v>176</v>
      </c>
      <c r="D191">
        <f t="shared" si="5"/>
        <v>0</v>
      </c>
      <c r="E191">
        <f>1-SUM($D$16:D191)</f>
        <v>0</v>
      </c>
    </row>
    <row r="192" spans="3:5">
      <c r="C192">
        <f t="shared" si="6"/>
        <v>177</v>
      </c>
      <c r="D192">
        <f t="shared" si="5"/>
        <v>0</v>
      </c>
      <c r="E192">
        <f>1-SUM($D$16:D192)</f>
        <v>0</v>
      </c>
    </row>
    <row r="193" spans="3:5">
      <c r="C193">
        <f t="shared" si="6"/>
        <v>178</v>
      </c>
      <c r="D193">
        <f t="shared" si="5"/>
        <v>0</v>
      </c>
      <c r="E193">
        <f>1-SUM($D$16:D193)</f>
        <v>0</v>
      </c>
    </row>
    <row r="194" spans="3:5">
      <c r="C194">
        <f t="shared" si="6"/>
        <v>179</v>
      </c>
      <c r="D194">
        <f t="shared" si="5"/>
        <v>0</v>
      </c>
      <c r="E194">
        <f>1-SUM($D$16:D194)</f>
        <v>0</v>
      </c>
    </row>
    <row r="195" spans="3:5">
      <c r="C195">
        <f t="shared" si="6"/>
        <v>180</v>
      </c>
      <c r="D195">
        <f t="shared" si="5"/>
        <v>0</v>
      </c>
      <c r="E195">
        <f>1-SUM($D$16:D195)</f>
        <v>0</v>
      </c>
    </row>
    <row r="196" spans="3:5">
      <c r="C196">
        <f t="shared" si="6"/>
        <v>181</v>
      </c>
      <c r="D196">
        <f t="shared" si="5"/>
        <v>0</v>
      </c>
      <c r="E196">
        <f>1-SUM($D$16:D196)</f>
        <v>0</v>
      </c>
    </row>
    <row r="197" spans="3:5">
      <c r="C197">
        <f t="shared" si="6"/>
        <v>182</v>
      </c>
      <c r="D197">
        <f t="shared" si="5"/>
        <v>0</v>
      </c>
      <c r="E197">
        <f>1-SUM($D$16:D197)</f>
        <v>0</v>
      </c>
    </row>
    <row r="198" spans="3:5">
      <c r="C198">
        <f t="shared" si="6"/>
        <v>183</v>
      </c>
      <c r="D198">
        <f t="shared" si="5"/>
        <v>0</v>
      </c>
      <c r="E198">
        <f>1-SUM($D$16:D198)</f>
        <v>0</v>
      </c>
    </row>
    <row r="199" spans="3:5">
      <c r="C199">
        <f t="shared" si="6"/>
        <v>184</v>
      </c>
      <c r="D199">
        <f t="shared" si="5"/>
        <v>0</v>
      </c>
      <c r="E199">
        <f>1-SUM($D$16:D199)</f>
        <v>0</v>
      </c>
    </row>
    <row r="200" spans="3:5">
      <c r="C200">
        <f t="shared" si="6"/>
        <v>185</v>
      </c>
      <c r="D200">
        <f t="shared" si="5"/>
        <v>0</v>
      </c>
      <c r="E200">
        <f>1-SUM($D$16:D200)</f>
        <v>0</v>
      </c>
    </row>
    <row r="201" spans="3:5">
      <c r="C201">
        <f t="shared" si="6"/>
        <v>186</v>
      </c>
      <c r="D201">
        <f t="shared" si="5"/>
        <v>0</v>
      </c>
      <c r="E201">
        <f>1-SUM($D$16:D201)</f>
        <v>0</v>
      </c>
    </row>
    <row r="202" spans="3:5">
      <c r="C202">
        <f t="shared" si="6"/>
        <v>187</v>
      </c>
      <c r="D202">
        <f t="shared" si="5"/>
        <v>0</v>
      </c>
      <c r="E202">
        <f>1-SUM($D$16:D202)</f>
        <v>0</v>
      </c>
    </row>
    <row r="203" spans="3:5">
      <c r="C203">
        <f t="shared" si="6"/>
        <v>188</v>
      </c>
      <c r="D203">
        <f t="shared" si="5"/>
        <v>0</v>
      </c>
      <c r="E203">
        <f>1-SUM($D$16:D203)</f>
        <v>0</v>
      </c>
    </row>
    <row r="204" spans="3:5">
      <c r="C204">
        <f t="shared" si="6"/>
        <v>189</v>
      </c>
      <c r="D204">
        <f t="shared" si="5"/>
        <v>0</v>
      </c>
      <c r="E204">
        <f>1-SUM($D$16:D204)</f>
        <v>0</v>
      </c>
    </row>
    <row r="205" spans="3:5">
      <c r="C205">
        <f t="shared" si="6"/>
        <v>190</v>
      </c>
      <c r="D205">
        <f t="shared" si="5"/>
        <v>0</v>
      </c>
      <c r="E205">
        <f>1-SUM($D$16:D205)</f>
        <v>0</v>
      </c>
    </row>
    <row r="206" spans="3:5">
      <c r="C206">
        <f t="shared" si="6"/>
        <v>191</v>
      </c>
      <c r="D206">
        <f t="shared" si="5"/>
        <v>0</v>
      </c>
      <c r="E206">
        <f>1-SUM($D$16:D206)</f>
        <v>0</v>
      </c>
    </row>
    <row r="207" spans="3:5">
      <c r="C207">
        <f t="shared" si="6"/>
        <v>192</v>
      </c>
      <c r="D207">
        <f t="shared" si="5"/>
        <v>0</v>
      </c>
      <c r="E207">
        <f>1-SUM($D$16:D207)</f>
        <v>0</v>
      </c>
    </row>
    <row r="208" spans="3:5">
      <c r="C208">
        <f t="shared" si="6"/>
        <v>193</v>
      </c>
      <c r="D208">
        <f t="shared" si="5"/>
        <v>0</v>
      </c>
      <c r="E208">
        <f>1-SUM($D$16:D208)</f>
        <v>0</v>
      </c>
    </row>
    <row r="209" spans="3:5">
      <c r="C209">
        <f t="shared" si="6"/>
        <v>194</v>
      </c>
      <c r="D209">
        <f t="shared" si="5"/>
        <v>0</v>
      </c>
      <c r="E209">
        <f>1-SUM($D$16:D209)</f>
        <v>0</v>
      </c>
    </row>
    <row r="210" spans="3:5">
      <c r="C210">
        <f t="shared" si="6"/>
        <v>195</v>
      </c>
      <c r="D210">
        <f t="shared" ref="D210:D273" si="7">IF(C210=$E$14,E209,E209*$D$14)</f>
        <v>0</v>
      </c>
      <c r="E210">
        <f>1-SUM($D$16:D210)</f>
        <v>0</v>
      </c>
    </row>
    <row r="211" spans="3:5">
      <c r="C211">
        <f t="shared" si="6"/>
        <v>196</v>
      </c>
      <c r="D211">
        <f t="shared" si="7"/>
        <v>0</v>
      </c>
      <c r="E211">
        <f>1-SUM($D$16:D211)</f>
        <v>0</v>
      </c>
    </row>
    <row r="212" spans="3:5">
      <c r="C212">
        <f t="shared" si="6"/>
        <v>197</v>
      </c>
      <c r="D212">
        <f t="shared" si="7"/>
        <v>0</v>
      </c>
      <c r="E212">
        <f>1-SUM($D$16:D212)</f>
        <v>0</v>
      </c>
    </row>
    <row r="213" spans="3:5">
      <c r="C213">
        <f t="shared" si="6"/>
        <v>198</v>
      </c>
      <c r="D213">
        <f t="shared" si="7"/>
        <v>0</v>
      </c>
      <c r="E213">
        <f>1-SUM($D$16:D213)</f>
        <v>0</v>
      </c>
    </row>
    <row r="214" spans="3:5">
      <c r="C214">
        <f t="shared" ref="C214:C277" si="8">C213+1</f>
        <v>199</v>
      </c>
      <c r="D214">
        <f t="shared" si="7"/>
        <v>0</v>
      </c>
      <c r="E214">
        <f>1-SUM($D$16:D214)</f>
        <v>0</v>
      </c>
    </row>
    <row r="215" spans="3:5">
      <c r="C215">
        <f t="shared" si="8"/>
        <v>200</v>
      </c>
      <c r="D215">
        <f t="shared" si="7"/>
        <v>0</v>
      </c>
      <c r="E215">
        <f>1-SUM($D$16:D215)</f>
        <v>0</v>
      </c>
    </row>
    <row r="216" spans="3:5">
      <c r="C216">
        <f t="shared" si="8"/>
        <v>201</v>
      </c>
      <c r="D216">
        <f t="shared" si="7"/>
        <v>0</v>
      </c>
      <c r="E216">
        <f>1-SUM($D$16:D216)</f>
        <v>0</v>
      </c>
    </row>
    <row r="217" spans="3:5">
      <c r="C217">
        <f t="shared" si="8"/>
        <v>202</v>
      </c>
      <c r="D217">
        <f t="shared" si="7"/>
        <v>0</v>
      </c>
      <c r="E217">
        <f>1-SUM($D$16:D217)</f>
        <v>0</v>
      </c>
    </row>
    <row r="218" spans="3:5">
      <c r="C218">
        <f t="shared" si="8"/>
        <v>203</v>
      </c>
      <c r="D218">
        <f t="shared" si="7"/>
        <v>0</v>
      </c>
      <c r="E218">
        <f>1-SUM($D$16:D218)</f>
        <v>0</v>
      </c>
    </row>
    <row r="219" spans="3:5">
      <c r="C219">
        <f t="shared" si="8"/>
        <v>204</v>
      </c>
      <c r="D219">
        <f t="shared" si="7"/>
        <v>0</v>
      </c>
      <c r="E219">
        <f>1-SUM($D$16:D219)</f>
        <v>0</v>
      </c>
    </row>
    <row r="220" spans="3:5">
      <c r="C220">
        <f t="shared" si="8"/>
        <v>205</v>
      </c>
      <c r="D220">
        <f t="shared" si="7"/>
        <v>0</v>
      </c>
      <c r="E220">
        <f>1-SUM($D$16:D220)</f>
        <v>0</v>
      </c>
    </row>
    <row r="221" spans="3:5">
      <c r="C221">
        <f t="shared" si="8"/>
        <v>206</v>
      </c>
      <c r="D221">
        <f t="shared" si="7"/>
        <v>0</v>
      </c>
      <c r="E221">
        <f>1-SUM($D$16:D221)</f>
        <v>0</v>
      </c>
    </row>
    <row r="222" spans="3:5">
      <c r="C222">
        <f t="shared" si="8"/>
        <v>207</v>
      </c>
      <c r="D222">
        <f t="shared" si="7"/>
        <v>0</v>
      </c>
      <c r="E222">
        <f>1-SUM($D$16:D222)</f>
        <v>0</v>
      </c>
    </row>
    <row r="223" spans="3:5">
      <c r="C223">
        <f t="shared" si="8"/>
        <v>208</v>
      </c>
      <c r="D223">
        <f t="shared" si="7"/>
        <v>0</v>
      </c>
      <c r="E223">
        <f>1-SUM($D$16:D223)</f>
        <v>0</v>
      </c>
    </row>
    <row r="224" spans="3:5">
      <c r="C224">
        <f t="shared" si="8"/>
        <v>209</v>
      </c>
      <c r="D224">
        <f t="shared" si="7"/>
        <v>0</v>
      </c>
      <c r="E224">
        <f>1-SUM($D$16:D224)</f>
        <v>0</v>
      </c>
    </row>
    <row r="225" spans="3:5">
      <c r="C225">
        <f t="shared" si="8"/>
        <v>210</v>
      </c>
      <c r="D225">
        <f t="shared" si="7"/>
        <v>0</v>
      </c>
      <c r="E225">
        <f>1-SUM($D$16:D225)</f>
        <v>0</v>
      </c>
    </row>
    <row r="226" spans="3:5">
      <c r="C226">
        <f t="shared" si="8"/>
        <v>211</v>
      </c>
      <c r="D226">
        <f t="shared" si="7"/>
        <v>0</v>
      </c>
      <c r="E226">
        <f>1-SUM($D$16:D226)</f>
        <v>0</v>
      </c>
    </row>
    <row r="227" spans="3:5">
      <c r="C227">
        <f t="shared" si="8"/>
        <v>212</v>
      </c>
      <c r="D227">
        <f t="shared" si="7"/>
        <v>0</v>
      </c>
      <c r="E227">
        <f>1-SUM($D$16:D227)</f>
        <v>0</v>
      </c>
    </row>
    <row r="228" spans="3:5">
      <c r="C228">
        <f t="shared" si="8"/>
        <v>213</v>
      </c>
      <c r="D228">
        <f t="shared" si="7"/>
        <v>0</v>
      </c>
      <c r="E228">
        <f>1-SUM($D$16:D228)</f>
        <v>0</v>
      </c>
    </row>
    <row r="229" spans="3:5">
      <c r="C229">
        <f t="shared" si="8"/>
        <v>214</v>
      </c>
      <c r="D229">
        <f t="shared" si="7"/>
        <v>0</v>
      </c>
      <c r="E229">
        <f>1-SUM($D$16:D229)</f>
        <v>0</v>
      </c>
    </row>
    <row r="230" spans="3:5">
      <c r="C230">
        <f t="shared" si="8"/>
        <v>215</v>
      </c>
      <c r="D230">
        <f t="shared" si="7"/>
        <v>0</v>
      </c>
      <c r="E230">
        <f>1-SUM($D$16:D230)</f>
        <v>0</v>
      </c>
    </row>
    <row r="231" spans="3:5">
      <c r="C231">
        <f t="shared" si="8"/>
        <v>216</v>
      </c>
      <c r="D231">
        <f t="shared" si="7"/>
        <v>0</v>
      </c>
      <c r="E231">
        <f>1-SUM($D$16:D231)</f>
        <v>0</v>
      </c>
    </row>
    <row r="232" spans="3:5">
      <c r="C232">
        <f t="shared" si="8"/>
        <v>217</v>
      </c>
      <c r="D232">
        <f t="shared" si="7"/>
        <v>0</v>
      </c>
      <c r="E232">
        <f>1-SUM($D$16:D232)</f>
        <v>0</v>
      </c>
    </row>
    <row r="233" spans="3:5">
      <c r="C233">
        <f t="shared" si="8"/>
        <v>218</v>
      </c>
      <c r="D233">
        <f t="shared" si="7"/>
        <v>0</v>
      </c>
      <c r="E233">
        <f>1-SUM($D$16:D233)</f>
        <v>0</v>
      </c>
    </row>
    <row r="234" spans="3:5">
      <c r="C234">
        <f t="shared" si="8"/>
        <v>219</v>
      </c>
      <c r="D234">
        <f t="shared" si="7"/>
        <v>0</v>
      </c>
      <c r="E234">
        <f>1-SUM($D$16:D234)</f>
        <v>0</v>
      </c>
    </row>
    <row r="235" spans="3:5">
      <c r="C235">
        <f t="shared" si="8"/>
        <v>220</v>
      </c>
      <c r="D235">
        <f t="shared" si="7"/>
        <v>0</v>
      </c>
      <c r="E235">
        <f>1-SUM($D$16:D235)</f>
        <v>0</v>
      </c>
    </row>
    <row r="236" spans="3:5">
      <c r="C236">
        <f t="shared" si="8"/>
        <v>221</v>
      </c>
      <c r="D236">
        <f t="shared" si="7"/>
        <v>0</v>
      </c>
      <c r="E236">
        <f>1-SUM($D$16:D236)</f>
        <v>0</v>
      </c>
    </row>
    <row r="237" spans="3:5">
      <c r="C237">
        <f t="shared" si="8"/>
        <v>222</v>
      </c>
      <c r="D237">
        <f t="shared" si="7"/>
        <v>0</v>
      </c>
      <c r="E237">
        <f>1-SUM($D$16:D237)</f>
        <v>0</v>
      </c>
    </row>
    <row r="238" spans="3:5">
      <c r="C238">
        <f t="shared" si="8"/>
        <v>223</v>
      </c>
      <c r="D238">
        <f t="shared" si="7"/>
        <v>0</v>
      </c>
      <c r="E238">
        <f>1-SUM($D$16:D238)</f>
        <v>0</v>
      </c>
    </row>
    <row r="239" spans="3:5">
      <c r="C239">
        <f t="shared" si="8"/>
        <v>224</v>
      </c>
      <c r="D239">
        <f t="shared" si="7"/>
        <v>0</v>
      </c>
      <c r="E239">
        <f>1-SUM($D$16:D239)</f>
        <v>0</v>
      </c>
    </row>
    <row r="240" spans="3:5">
      <c r="C240">
        <f t="shared" si="8"/>
        <v>225</v>
      </c>
      <c r="D240">
        <f t="shared" si="7"/>
        <v>0</v>
      </c>
      <c r="E240">
        <f>1-SUM($D$16:D240)</f>
        <v>0</v>
      </c>
    </row>
    <row r="241" spans="3:5">
      <c r="C241">
        <f t="shared" si="8"/>
        <v>226</v>
      </c>
      <c r="D241">
        <f t="shared" si="7"/>
        <v>0</v>
      </c>
      <c r="E241">
        <f>1-SUM($D$16:D241)</f>
        <v>0</v>
      </c>
    </row>
    <row r="242" spans="3:5">
      <c r="C242">
        <f t="shared" si="8"/>
        <v>227</v>
      </c>
      <c r="D242">
        <f t="shared" si="7"/>
        <v>0</v>
      </c>
      <c r="E242">
        <f>1-SUM($D$16:D242)</f>
        <v>0</v>
      </c>
    </row>
    <row r="243" spans="3:5">
      <c r="C243">
        <f t="shared" si="8"/>
        <v>228</v>
      </c>
      <c r="D243">
        <f t="shared" si="7"/>
        <v>0</v>
      </c>
      <c r="E243">
        <f>1-SUM($D$16:D243)</f>
        <v>0</v>
      </c>
    </row>
    <row r="244" spans="3:5">
      <c r="C244">
        <f t="shared" si="8"/>
        <v>229</v>
      </c>
      <c r="D244">
        <f t="shared" si="7"/>
        <v>0</v>
      </c>
      <c r="E244">
        <f>1-SUM($D$16:D244)</f>
        <v>0</v>
      </c>
    </row>
    <row r="245" spans="3:5">
      <c r="C245">
        <f t="shared" si="8"/>
        <v>230</v>
      </c>
      <c r="D245">
        <f t="shared" si="7"/>
        <v>0</v>
      </c>
      <c r="E245">
        <f>1-SUM($D$16:D245)</f>
        <v>0</v>
      </c>
    </row>
    <row r="246" spans="3:5">
      <c r="C246">
        <f t="shared" si="8"/>
        <v>231</v>
      </c>
      <c r="D246">
        <f t="shared" si="7"/>
        <v>0</v>
      </c>
      <c r="E246">
        <f>1-SUM($D$16:D246)</f>
        <v>0</v>
      </c>
    </row>
    <row r="247" spans="3:5">
      <c r="C247">
        <f t="shared" si="8"/>
        <v>232</v>
      </c>
      <c r="D247">
        <f t="shared" si="7"/>
        <v>0</v>
      </c>
      <c r="E247">
        <f>1-SUM($D$16:D247)</f>
        <v>0</v>
      </c>
    </row>
    <row r="248" spans="3:5">
      <c r="C248">
        <f t="shared" si="8"/>
        <v>233</v>
      </c>
      <c r="D248">
        <f t="shared" si="7"/>
        <v>0</v>
      </c>
      <c r="E248">
        <f>1-SUM($D$16:D248)</f>
        <v>0</v>
      </c>
    </row>
    <row r="249" spans="3:5">
      <c r="C249">
        <f t="shared" si="8"/>
        <v>234</v>
      </c>
      <c r="D249">
        <f t="shared" si="7"/>
        <v>0</v>
      </c>
      <c r="E249">
        <f>1-SUM($D$16:D249)</f>
        <v>0</v>
      </c>
    </row>
    <row r="250" spans="3:5">
      <c r="C250">
        <f t="shared" si="8"/>
        <v>235</v>
      </c>
      <c r="D250">
        <f t="shared" si="7"/>
        <v>0</v>
      </c>
      <c r="E250">
        <f>1-SUM($D$16:D250)</f>
        <v>0</v>
      </c>
    </row>
    <row r="251" spans="3:5">
      <c r="C251">
        <f t="shared" si="8"/>
        <v>236</v>
      </c>
      <c r="D251">
        <f t="shared" si="7"/>
        <v>0</v>
      </c>
      <c r="E251">
        <f>1-SUM($D$16:D251)</f>
        <v>0</v>
      </c>
    </row>
    <row r="252" spans="3:5">
      <c r="C252">
        <f t="shared" si="8"/>
        <v>237</v>
      </c>
      <c r="D252">
        <f t="shared" si="7"/>
        <v>0</v>
      </c>
      <c r="E252">
        <f>1-SUM($D$16:D252)</f>
        <v>0</v>
      </c>
    </row>
    <row r="253" spans="3:5">
      <c r="C253">
        <f t="shared" si="8"/>
        <v>238</v>
      </c>
      <c r="D253">
        <f t="shared" si="7"/>
        <v>0</v>
      </c>
      <c r="E253">
        <f>1-SUM($D$16:D253)</f>
        <v>0</v>
      </c>
    </row>
    <row r="254" spans="3:5">
      <c r="C254">
        <f t="shared" si="8"/>
        <v>239</v>
      </c>
      <c r="D254">
        <f t="shared" si="7"/>
        <v>0</v>
      </c>
      <c r="E254">
        <f>1-SUM($D$16:D254)</f>
        <v>0</v>
      </c>
    </row>
    <row r="255" spans="3:5">
      <c r="C255">
        <f t="shared" si="8"/>
        <v>240</v>
      </c>
      <c r="D255">
        <f t="shared" si="7"/>
        <v>0</v>
      </c>
      <c r="E255">
        <f>1-SUM($D$16:D255)</f>
        <v>0</v>
      </c>
    </row>
    <row r="256" spans="3:5">
      <c r="C256">
        <f t="shared" si="8"/>
        <v>241</v>
      </c>
      <c r="D256">
        <f t="shared" si="7"/>
        <v>0</v>
      </c>
      <c r="E256">
        <f>1-SUM($D$16:D256)</f>
        <v>0</v>
      </c>
    </row>
    <row r="257" spans="3:5">
      <c r="C257">
        <f t="shared" si="8"/>
        <v>242</v>
      </c>
      <c r="D257">
        <f t="shared" si="7"/>
        <v>0</v>
      </c>
      <c r="E257">
        <f>1-SUM($D$16:D257)</f>
        <v>0</v>
      </c>
    </row>
    <row r="258" spans="3:5">
      <c r="C258">
        <f t="shared" si="8"/>
        <v>243</v>
      </c>
      <c r="D258">
        <f t="shared" si="7"/>
        <v>0</v>
      </c>
      <c r="E258">
        <f>1-SUM($D$16:D258)</f>
        <v>0</v>
      </c>
    </row>
    <row r="259" spans="3:5">
      <c r="C259">
        <f t="shared" si="8"/>
        <v>244</v>
      </c>
      <c r="D259">
        <f t="shared" si="7"/>
        <v>0</v>
      </c>
      <c r="E259">
        <f>1-SUM($D$16:D259)</f>
        <v>0</v>
      </c>
    </row>
    <row r="260" spans="3:5">
      <c r="C260">
        <f t="shared" si="8"/>
        <v>245</v>
      </c>
      <c r="D260">
        <f t="shared" si="7"/>
        <v>0</v>
      </c>
      <c r="E260">
        <f>1-SUM($D$16:D260)</f>
        <v>0</v>
      </c>
    </row>
    <row r="261" spans="3:5">
      <c r="C261">
        <f t="shared" si="8"/>
        <v>246</v>
      </c>
      <c r="D261">
        <f t="shared" si="7"/>
        <v>0</v>
      </c>
      <c r="E261">
        <f>1-SUM($D$16:D261)</f>
        <v>0</v>
      </c>
    </row>
    <row r="262" spans="3:5">
      <c r="C262">
        <f t="shared" si="8"/>
        <v>247</v>
      </c>
      <c r="D262">
        <f t="shared" si="7"/>
        <v>0</v>
      </c>
      <c r="E262">
        <f>1-SUM($D$16:D262)</f>
        <v>0</v>
      </c>
    </row>
    <row r="263" spans="3:5">
      <c r="C263">
        <f t="shared" si="8"/>
        <v>248</v>
      </c>
      <c r="D263">
        <f t="shared" si="7"/>
        <v>0</v>
      </c>
      <c r="E263">
        <f>1-SUM($D$16:D263)</f>
        <v>0</v>
      </c>
    </row>
    <row r="264" spans="3:5">
      <c r="C264">
        <f t="shared" si="8"/>
        <v>249</v>
      </c>
      <c r="D264">
        <f t="shared" si="7"/>
        <v>0</v>
      </c>
      <c r="E264">
        <f>1-SUM($D$16:D264)</f>
        <v>0</v>
      </c>
    </row>
    <row r="265" spans="3:5">
      <c r="C265">
        <f t="shared" si="8"/>
        <v>250</v>
      </c>
      <c r="D265">
        <f t="shared" si="7"/>
        <v>0</v>
      </c>
      <c r="E265">
        <f>1-SUM($D$16:D265)</f>
        <v>0</v>
      </c>
    </row>
    <row r="266" spans="3:5">
      <c r="C266">
        <f t="shared" si="8"/>
        <v>251</v>
      </c>
      <c r="D266">
        <f t="shared" si="7"/>
        <v>0</v>
      </c>
      <c r="E266">
        <f>1-SUM($D$16:D266)</f>
        <v>0</v>
      </c>
    </row>
    <row r="267" spans="3:5">
      <c r="C267">
        <f t="shared" si="8"/>
        <v>252</v>
      </c>
      <c r="D267">
        <f t="shared" si="7"/>
        <v>0</v>
      </c>
      <c r="E267">
        <f>1-SUM($D$16:D267)</f>
        <v>0</v>
      </c>
    </row>
    <row r="268" spans="3:5">
      <c r="C268">
        <f t="shared" si="8"/>
        <v>253</v>
      </c>
      <c r="D268">
        <f t="shared" si="7"/>
        <v>0</v>
      </c>
      <c r="E268">
        <f>1-SUM($D$16:D268)</f>
        <v>0</v>
      </c>
    </row>
    <row r="269" spans="3:5">
      <c r="C269">
        <f t="shared" si="8"/>
        <v>254</v>
      </c>
      <c r="D269">
        <f t="shared" si="7"/>
        <v>0</v>
      </c>
      <c r="E269">
        <f>1-SUM($D$16:D269)</f>
        <v>0</v>
      </c>
    </row>
    <row r="270" spans="3:5">
      <c r="C270">
        <f t="shared" si="8"/>
        <v>255</v>
      </c>
      <c r="D270">
        <f t="shared" si="7"/>
        <v>0</v>
      </c>
      <c r="E270">
        <f>1-SUM($D$16:D270)</f>
        <v>0</v>
      </c>
    </row>
    <row r="271" spans="3:5">
      <c r="C271">
        <f t="shared" si="8"/>
        <v>256</v>
      </c>
      <c r="D271">
        <f t="shared" si="7"/>
        <v>0</v>
      </c>
      <c r="E271">
        <f>1-SUM($D$16:D271)</f>
        <v>0</v>
      </c>
    </row>
    <row r="272" spans="3:5">
      <c r="C272">
        <f t="shared" si="8"/>
        <v>257</v>
      </c>
      <c r="D272">
        <f t="shared" si="7"/>
        <v>0</v>
      </c>
      <c r="E272">
        <f>1-SUM($D$16:D272)</f>
        <v>0</v>
      </c>
    </row>
    <row r="273" spans="3:5">
      <c r="C273">
        <f t="shared" si="8"/>
        <v>258</v>
      </c>
      <c r="D273">
        <f t="shared" si="7"/>
        <v>0</v>
      </c>
      <c r="E273">
        <f>1-SUM($D$16:D273)</f>
        <v>0</v>
      </c>
    </row>
    <row r="274" spans="3:5">
      <c r="C274">
        <f t="shared" si="8"/>
        <v>259</v>
      </c>
      <c r="D274">
        <f t="shared" ref="D274:D337" si="9">IF(C274=$E$14,E273,E273*$D$14)</f>
        <v>0</v>
      </c>
      <c r="E274">
        <f>1-SUM($D$16:D274)</f>
        <v>0</v>
      </c>
    </row>
    <row r="275" spans="3:5">
      <c r="C275">
        <f t="shared" si="8"/>
        <v>260</v>
      </c>
      <c r="D275">
        <f t="shared" si="9"/>
        <v>0</v>
      </c>
      <c r="E275">
        <f>1-SUM($D$16:D275)</f>
        <v>0</v>
      </c>
    </row>
    <row r="276" spans="3:5">
      <c r="C276">
        <f t="shared" si="8"/>
        <v>261</v>
      </c>
      <c r="D276">
        <f t="shared" si="9"/>
        <v>0</v>
      </c>
      <c r="E276">
        <f>1-SUM($D$16:D276)</f>
        <v>0</v>
      </c>
    </row>
    <row r="277" spans="3:5">
      <c r="C277">
        <f t="shared" si="8"/>
        <v>262</v>
      </c>
      <c r="D277">
        <f t="shared" si="9"/>
        <v>0</v>
      </c>
      <c r="E277">
        <f>1-SUM($D$16:D277)</f>
        <v>0</v>
      </c>
    </row>
    <row r="278" spans="3:5">
      <c r="C278">
        <f t="shared" ref="C278:C341" si="10">C277+1</f>
        <v>263</v>
      </c>
      <c r="D278">
        <f t="shared" si="9"/>
        <v>0</v>
      </c>
      <c r="E278">
        <f>1-SUM($D$16:D278)</f>
        <v>0</v>
      </c>
    </row>
    <row r="279" spans="3:5">
      <c r="C279">
        <f t="shared" si="10"/>
        <v>264</v>
      </c>
      <c r="D279">
        <f t="shared" si="9"/>
        <v>0</v>
      </c>
      <c r="E279">
        <f>1-SUM($D$16:D279)</f>
        <v>0</v>
      </c>
    </row>
    <row r="280" spans="3:5">
      <c r="C280">
        <f t="shared" si="10"/>
        <v>265</v>
      </c>
      <c r="D280">
        <f t="shared" si="9"/>
        <v>0</v>
      </c>
      <c r="E280">
        <f>1-SUM($D$16:D280)</f>
        <v>0</v>
      </c>
    </row>
    <row r="281" spans="3:5">
      <c r="C281">
        <f t="shared" si="10"/>
        <v>266</v>
      </c>
      <c r="D281">
        <f t="shared" si="9"/>
        <v>0</v>
      </c>
      <c r="E281">
        <f>1-SUM($D$16:D281)</f>
        <v>0</v>
      </c>
    </row>
    <row r="282" spans="3:5">
      <c r="C282">
        <f t="shared" si="10"/>
        <v>267</v>
      </c>
      <c r="D282">
        <f t="shared" si="9"/>
        <v>0</v>
      </c>
      <c r="E282">
        <f>1-SUM($D$16:D282)</f>
        <v>0</v>
      </c>
    </row>
    <row r="283" spans="3:5">
      <c r="C283">
        <f t="shared" si="10"/>
        <v>268</v>
      </c>
      <c r="D283">
        <f t="shared" si="9"/>
        <v>0</v>
      </c>
      <c r="E283">
        <f>1-SUM($D$16:D283)</f>
        <v>0</v>
      </c>
    </row>
    <row r="284" spans="3:5">
      <c r="C284">
        <f t="shared" si="10"/>
        <v>269</v>
      </c>
      <c r="D284">
        <f t="shared" si="9"/>
        <v>0</v>
      </c>
      <c r="E284">
        <f>1-SUM($D$16:D284)</f>
        <v>0</v>
      </c>
    </row>
    <row r="285" spans="3:5">
      <c r="C285">
        <f t="shared" si="10"/>
        <v>270</v>
      </c>
      <c r="D285">
        <f t="shared" si="9"/>
        <v>0</v>
      </c>
      <c r="E285">
        <f>1-SUM($D$16:D285)</f>
        <v>0</v>
      </c>
    </row>
    <row r="286" spans="3:5">
      <c r="C286">
        <f t="shared" si="10"/>
        <v>271</v>
      </c>
      <c r="D286">
        <f t="shared" si="9"/>
        <v>0</v>
      </c>
      <c r="E286">
        <f>1-SUM($D$16:D286)</f>
        <v>0</v>
      </c>
    </row>
    <row r="287" spans="3:5">
      <c r="C287">
        <f t="shared" si="10"/>
        <v>272</v>
      </c>
      <c r="D287">
        <f t="shared" si="9"/>
        <v>0</v>
      </c>
      <c r="E287">
        <f>1-SUM($D$16:D287)</f>
        <v>0</v>
      </c>
    </row>
    <row r="288" spans="3:5">
      <c r="C288">
        <f t="shared" si="10"/>
        <v>273</v>
      </c>
      <c r="D288">
        <f t="shared" si="9"/>
        <v>0</v>
      </c>
      <c r="E288">
        <f>1-SUM($D$16:D288)</f>
        <v>0</v>
      </c>
    </row>
    <row r="289" spans="3:5">
      <c r="C289">
        <f t="shared" si="10"/>
        <v>274</v>
      </c>
      <c r="D289">
        <f t="shared" si="9"/>
        <v>0</v>
      </c>
      <c r="E289">
        <f>1-SUM($D$16:D289)</f>
        <v>0</v>
      </c>
    </row>
    <row r="290" spans="3:5">
      <c r="C290">
        <f t="shared" si="10"/>
        <v>275</v>
      </c>
      <c r="D290">
        <f t="shared" si="9"/>
        <v>0</v>
      </c>
      <c r="E290">
        <f>1-SUM($D$16:D290)</f>
        <v>0</v>
      </c>
    </row>
    <row r="291" spans="3:5">
      <c r="C291">
        <f t="shared" si="10"/>
        <v>276</v>
      </c>
      <c r="D291">
        <f t="shared" si="9"/>
        <v>0</v>
      </c>
      <c r="E291">
        <f>1-SUM($D$16:D291)</f>
        <v>0</v>
      </c>
    </row>
    <row r="292" spans="3:5">
      <c r="C292">
        <f t="shared" si="10"/>
        <v>277</v>
      </c>
      <c r="D292">
        <f t="shared" si="9"/>
        <v>0</v>
      </c>
      <c r="E292">
        <f>1-SUM($D$16:D292)</f>
        <v>0</v>
      </c>
    </row>
    <row r="293" spans="3:5">
      <c r="C293">
        <f t="shared" si="10"/>
        <v>278</v>
      </c>
      <c r="D293">
        <f t="shared" si="9"/>
        <v>0</v>
      </c>
      <c r="E293">
        <f>1-SUM($D$16:D293)</f>
        <v>0</v>
      </c>
    </row>
    <row r="294" spans="3:5">
      <c r="C294">
        <f t="shared" si="10"/>
        <v>279</v>
      </c>
      <c r="D294">
        <f t="shared" si="9"/>
        <v>0</v>
      </c>
      <c r="E294">
        <f>1-SUM($D$16:D294)</f>
        <v>0</v>
      </c>
    </row>
    <row r="295" spans="3:5">
      <c r="C295">
        <f t="shared" si="10"/>
        <v>280</v>
      </c>
      <c r="D295">
        <f t="shared" si="9"/>
        <v>0</v>
      </c>
      <c r="E295">
        <f>1-SUM($D$16:D295)</f>
        <v>0</v>
      </c>
    </row>
    <row r="296" spans="3:5">
      <c r="C296">
        <f t="shared" si="10"/>
        <v>281</v>
      </c>
      <c r="D296">
        <f t="shared" si="9"/>
        <v>0</v>
      </c>
      <c r="E296">
        <f>1-SUM($D$16:D296)</f>
        <v>0</v>
      </c>
    </row>
    <row r="297" spans="3:5">
      <c r="C297">
        <f t="shared" si="10"/>
        <v>282</v>
      </c>
      <c r="D297">
        <f t="shared" si="9"/>
        <v>0</v>
      </c>
      <c r="E297">
        <f>1-SUM($D$16:D297)</f>
        <v>0</v>
      </c>
    </row>
    <row r="298" spans="3:5">
      <c r="C298">
        <f t="shared" si="10"/>
        <v>283</v>
      </c>
      <c r="D298">
        <f t="shared" si="9"/>
        <v>0</v>
      </c>
      <c r="E298">
        <f>1-SUM($D$16:D298)</f>
        <v>0</v>
      </c>
    </row>
    <row r="299" spans="3:5">
      <c r="C299">
        <f t="shared" si="10"/>
        <v>284</v>
      </c>
      <c r="D299">
        <f t="shared" si="9"/>
        <v>0</v>
      </c>
      <c r="E299">
        <f>1-SUM($D$16:D299)</f>
        <v>0</v>
      </c>
    </row>
    <row r="300" spans="3:5">
      <c r="C300">
        <f t="shared" si="10"/>
        <v>285</v>
      </c>
      <c r="D300">
        <f t="shared" si="9"/>
        <v>0</v>
      </c>
      <c r="E300">
        <f>1-SUM($D$16:D300)</f>
        <v>0</v>
      </c>
    </row>
    <row r="301" spans="3:5">
      <c r="C301">
        <f t="shared" si="10"/>
        <v>286</v>
      </c>
      <c r="D301">
        <f t="shared" si="9"/>
        <v>0</v>
      </c>
      <c r="E301">
        <f>1-SUM($D$16:D301)</f>
        <v>0</v>
      </c>
    </row>
    <row r="302" spans="3:5">
      <c r="C302">
        <f t="shared" si="10"/>
        <v>287</v>
      </c>
      <c r="D302">
        <f t="shared" si="9"/>
        <v>0</v>
      </c>
      <c r="E302">
        <f>1-SUM($D$16:D302)</f>
        <v>0</v>
      </c>
    </row>
    <row r="303" spans="3:5">
      <c r="C303">
        <f t="shared" si="10"/>
        <v>288</v>
      </c>
      <c r="D303">
        <f t="shared" si="9"/>
        <v>0</v>
      </c>
      <c r="E303">
        <f>1-SUM($D$16:D303)</f>
        <v>0</v>
      </c>
    </row>
    <row r="304" spans="3:5">
      <c r="C304">
        <f t="shared" si="10"/>
        <v>289</v>
      </c>
      <c r="D304">
        <f t="shared" si="9"/>
        <v>0</v>
      </c>
      <c r="E304">
        <f>1-SUM($D$16:D304)</f>
        <v>0</v>
      </c>
    </row>
    <row r="305" spans="3:5">
      <c r="C305">
        <f t="shared" si="10"/>
        <v>290</v>
      </c>
      <c r="D305">
        <f t="shared" si="9"/>
        <v>0</v>
      </c>
      <c r="E305">
        <f>1-SUM($D$16:D305)</f>
        <v>0</v>
      </c>
    </row>
    <row r="306" spans="3:5">
      <c r="C306">
        <f t="shared" si="10"/>
        <v>291</v>
      </c>
      <c r="D306">
        <f t="shared" si="9"/>
        <v>0</v>
      </c>
      <c r="E306">
        <f>1-SUM($D$16:D306)</f>
        <v>0</v>
      </c>
    </row>
    <row r="307" spans="3:5">
      <c r="C307">
        <f t="shared" si="10"/>
        <v>292</v>
      </c>
      <c r="D307">
        <f t="shared" si="9"/>
        <v>0</v>
      </c>
      <c r="E307">
        <f>1-SUM($D$16:D307)</f>
        <v>0</v>
      </c>
    </row>
    <row r="308" spans="3:5">
      <c r="C308">
        <f t="shared" si="10"/>
        <v>293</v>
      </c>
      <c r="D308">
        <f t="shared" si="9"/>
        <v>0</v>
      </c>
      <c r="E308">
        <f>1-SUM($D$16:D308)</f>
        <v>0</v>
      </c>
    </row>
    <row r="309" spans="3:5">
      <c r="C309">
        <f t="shared" si="10"/>
        <v>294</v>
      </c>
      <c r="D309">
        <f t="shared" si="9"/>
        <v>0</v>
      </c>
      <c r="E309">
        <f>1-SUM($D$16:D309)</f>
        <v>0</v>
      </c>
    </row>
    <row r="310" spans="3:5">
      <c r="C310">
        <f t="shared" si="10"/>
        <v>295</v>
      </c>
      <c r="D310">
        <f t="shared" si="9"/>
        <v>0</v>
      </c>
      <c r="E310">
        <f>1-SUM($D$16:D310)</f>
        <v>0</v>
      </c>
    </row>
    <row r="311" spans="3:5">
      <c r="C311">
        <f t="shared" si="10"/>
        <v>296</v>
      </c>
      <c r="D311">
        <f t="shared" si="9"/>
        <v>0</v>
      </c>
      <c r="E311">
        <f>1-SUM($D$16:D311)</f>
        <v>0</v>
      </c>
    </row>
    <row r="312" spans="3:5">
      <c r="C312">
        <f t="shared" si="10"/>
        <v>297</v>
      </c>
      <c r="D312">
        <f t="shared" si="9"/>
        <v>0</v>
      </c>
      <c r="E312">
        <f>1-SUM($D$16:D312)</f>
        <v>0</v>
      </c>
    </row>
    <row r="313" spans="3:5">
      <c r="C313">
        <f t="shared" si="10"/>
        <v>298</v>
      </c>
      <c r="D313">
        <f t="shared" si="9"/>
        <v>0</v>
      </c>
      <c r="E313">
        <f>1-SUM($D$16:D313)</f>
        <v>0</v>
      </c>
    </row>
    <row r="314" spans="3:5">
      <c r="C314">
        <f t="shared" si="10"/>
        <v>299</v>
      </c>
      <c r="D314">
        <f t="shared" si="9"/>
        <v>0</v>
      </c>
      <c r="E314">
        <f>1-SUM($D$16:D314)</f>
        <v>0</v>
      </c>
    </row>
    <row r="315" spans="3:5">
      <c r="C315">
        <f t="shared" si="10"/>
        <v>300</v>
      </c>
      <c r="D315">
        <f t="shared" si="9"/>
        <v>0</v>
      </c>
      <c r="E315">
        <f>1-SUM($D$16:D315)</f>
        <v>0</v>
      </c>
    </row>
    <row r="316" spans="3:5">
      <c r="C316">
        <f t="shared" si="10"/>
        <v>301</v>
      </c>
      <c r="D316">
        <f t="shared" si="9"/>
        <v>0</v>
      </c>
      <c r="E316">
        <f>1-SUM($D$16:D316)</f>
        <v>0</v>
      </c>
    </row>
    <row r="317" spans="3:5">
      <c r="C317">
        <f t="shared" si="10"/>
        <v>302</v>
      </c>
      <c r="D317">
        <f t="shared" si="9"/>
        <v>0</v>
      </c>
      <c r="E317">
        <f>1-SUM($D$16:D317)</f>
        <v>0</v>
      </c>
    </row>
    <row r="318" spans="3:5">
      <c r="C318">
        <f t="shared" si="10"/>
        <v>303</v>
      </c>
      <c r="D318">
        <f t="shared" si="9"/>
        <v>0</v>
      </c>
      <c r="E318">
        <f>1-SUM($D$16:D318)</f>
        <v>0</v>
      </c>
    </row>
    <row r="319" spans="3:5">
      <c r="C319">
        <f t="shared" si="10"/>
        <v>304</v>
      </c>
      <c r="D319">
        <f t="shared" si="9"/>
        <v>0</v>
      </c>
      <c r="E319">
        <f>1-SUM($D$16:D319)</f>
        <v>0</v>
      </c>
    </row>
    <row r="320" spans="3:5">
      <c r="C320">
        <f t="shared" si="10"/>
        <v>305</v>
      </c>
      <c r="D320">
        <f t="shared" si="9"/>
        <v>0</v>
      </c>
      <c r="E320">
        <f>1-SUM($D$16:D320)</f>
        <v>0</v>
      </c>
    </row>
    <row r="321" spans="3:5">
      <c r="C321">
        <f t="shared" si="10"/>
        <v>306</v>
      </c>
      <c r="D321">
        <f t="shared" si="9"/>
        <v>0</v>
      </c>
      <c r="E321">
        <f>1-SUM($D$16:D321)</f>
        <v>0</v>
      </c>
    </row>
    <row r="322" spans="3:5">
      <c r="C322">
        <f t="shared" si="10"/>
        <v>307</v>
      </c>
      <c r="D322">
        <f t="shared" si="9"/>
        <v>0</v>
      </c>
      <c r="E322">
        <f>1-SUM($D$16:D322)</f>
        <v>0</v>
      </c>
    </row>
    <row r="323" spans="3:5">
      <c r="C323">
        <f t="shared" si="10"/>
        <v>308</v>
      </c>
      <c r="D323">
        <f t="shared" si="9"/>
        <v>0</v>
      </c>
      <c r="E323">
        <f>1-SUM($D$16:D323)</f>
        <v>0</v>
      </c>
    </row>
    <row r="324" spans="3:5">
      <c r="C324">
        <f t="shared" si="10"/>
        <v>309</v>
      </c>
      <c r="D324">
        <f t="shared" si="9"/>
        <v>0</v>
      </c>
      <c r="E324">
        <f>1-SUM($D$16:D324)</f>
        <v>0</v>
      </c>
    </row>
    <row r="325" spans="3:5">
      <c r="C325">
        <f t="shared" si="10"/>
        <v>310</v>
      </c>
      <c r="D325">
        <f t="shared" si="9"/>
        <v>0</v>
      </c>
      <c r="E325">
        <f>1-SUM($D$16:D325)</f>
        <v>0</v>
      </c>
    </row>
    <row r="326" spans="3:5">
      <c r="C326">
        <f t="shared" si="10"/>
        <v>311</v>
      </c>
      <c r="D326">
        <f t="shared" si="9"/>
        <v>0</v>
      </c>
      <c r="E326">
        <f>1-SUM($D$16:D326)</f>
        <v>0</v>
      </c>
    </row>
    <row r="327" spans="3:5">
      <c r="C327">
        <f t="shared" si="10"/>
        <v>312</v>
      </c>
      <c r="D327">
        <f t="shared" si="9"/>
        <v>0</v>
      </c>
      <c r="E327">
        <f>1-SUM($D$16:D327)</f>
        <v>0</v>
      </c>
    </row>
    <row r="328" spans="3:5">
      <c r="C328">
        <f t="shared" si="10"/>
        <v>313</v>
      </c>
      <c r="D328">
        <f t="shared" si="9"/>
        <v>0</v>
      </c>
      <c r="E328">
        <f>1-SUM($D$16:D328)</f>
        <v>0</v>
      </c>
    </row>
    <row r="329" spans="3:5">
      <c r="C329">
        <f t="shared" si="10"/>
        <v>314</v>
      </c>
      <c r="D329">
        <f t="shared" si="9"/>
        <v>0</v>
      </c>
      <c r="E329">
        <f>1-SUM($D$16:D329)</f>
        <v>0</v>
      </c>
    </row>
    <row r="330" spans="3:5">
      <c r="C330">
        <f t="shared" si="10"/>
        <v>315</v>
      </c>
      <c r="D330">
        <f t="shared" si="9"/>
        <v>0</v>
      </c>
      <c r="E330">
        <f>1-SUM($D$16:D330)</f>
        <v>0</v>
      </c>
    </row>
    <row r="331" spans="3:5">
      <c r="C331">
        <f t="shared" si="10"/>
        <v>316</v>
      </c>
      <c r="D331">
        <f t="shared" si="9"/>
        <v>0</v>
      </c>
      <c r="E331">
        <f>1-SUM($D$16:D331)</f>
        <v>0</v>
      </c>
    </row>
    <row r="332" spans="3:5">
      <c r="C332">
        <f t="shared" si="10"/>
        <v>317</v>
      </c>
      <c r="D332">
        <f t="shared" si="9"/>
        <v>0</v>
      </c>
      <c r="E332">
        <f>1-SUM($D$16:D332)</f>
        <v>0</v>
      </c>
    </row>
    <row r="333" spans="3:5">
      <c r="C333">
        <f t="shared" si="10"/>
        <v>318</v>
      </c>
      <c r="D333">
        <f t="shared" si="9"/>
        <v>0</v>
      </c>
      <c r="E333">
        <f>1-SUM($D$16:D333)</f>
        <v>0</v>
      </c>
    </row>
    <row r="334" spans="3:5">
      <c r="C334">
        <f t="shared" si="10"/>
        <v>319</v>
      </c>
      <c r="D334">
        <f t="shared" si="9"/>
        <v>0</v>
      </c>
      <c r="E334">
        <f>1-SUM($D$16:D334)</f>
        <v>0</v>
      </c>
    </row>
    <row r="335" spans="3:5">
      <c r="C335">
        <f t="shared" si="10"/>
        <v>320</v>
      </c>
      <c r="D335">
        <f t="shared" si="9"/>
        <v>0</v>
      </c>
      <c r="E335">
        <f>1-SUM($D$16:D335)</f>
        <v>0</v>
      </c>
    </row>
    <row r="336" spans="3:5">
      <c r="C336">
        <f t="shared" si="10"/>
        <v>321</v>
      </c>
      <c r="D336">
        <f t="shared" si="9"/>
        <v>0</v>
      </c>
      <c r="E336">
        <f>1-SUM($D$16:D336)</f>
        <v>0</v>
      </c>
    </row>
    <row r="337" spans="3:5">
      <c r="C337">
        <f t="shared" si="10"/>
        <v>322</v>
      </c>
      <c r="D337">
        <f t="shared" si="9"/>
        <v>0</v>
      </c>
      <c r="E337">
        <f>1-SUM($D$16:D337)</f>
        <v>0</v>
      </c>
    </row>
    <row r="338" spans="3:5">
      <c r="C338">
        <f t="shared" si="10"/>
        <v>323</v>
      </c>
      <c r="D338">
        <f t="shared" ref="D338:D401" si="11">IF(C338=$E$14,E337,E337*$D$14)</f>
        <v>0</v>
      </c>
      <c r="E338">
        <f>1-SUM($D$16:D338)</f>
        <v>0</v>
      </c>
    </row>
    <row r="339" spans="3:5">
      <c r="C339">
        <f t="shared" si="10"/>
        <v>324</v>
      </c>
      <c r="D339">
        <f t="shared" si="11"/>
        <v>0</v>
      </c>
      <c r="E339">
        <f>1-SUM($D$16:D339)</f>
        <v>0</v>
      </c>
    </row>
    <row r="340" spans="3:5">
      <c r="C340">
        <f t="shared" si="10"/>
        <v>325</v>
      </c>
      <c r="D340">
        <f t="shared" si="11"/>
        <v>0</v>
      </c>
      <c r="E340">
        <f>1-SUM($D$16:D340)</f>
        <v>0</v>
      </c>
    </row>
    <row r="341" spans="3:5">
      <c r="C341">
        <f t="shared" si="10"/>
        <v>326</v>
      </c>
      <c r="D341">
        <f t="shared" si="11"/>
        <v>0</v>
      </c>
      <c r="E341">
        <f>1-SUM($D$16:D341)</f>
        <v>0</v>
      </c>
    </row>
    <row r="342" spans="3:5">
      <c r="C342">
        <f t="shared" ref="C342:C405" si="12">C341+1</f>
        <v>327</v>
      </c>
      <c r="D342">
        <f t="shared" si="11"/>
        <v>0</v>
      </c>
      <c r="E342">
        <f>1-SUM($D$16:D342)</f>
        <v>0</v>
      </c>
    </row>
    <row r="343" spans="3:5">
      <c r="C343">
        <f t="shared" si="12"/>
        <v>328</v>
      </c>
      <c r="D343">
        <f t="shared" si="11"/>
        <v>0</v>
      </c>
      <c r="E343">
        <f>1-SUM($D$16:D343)</f>
        <v>0</v>
      </c>
    </row>
    <row r="344" spans="3:5">
      <c r="C344">
        <f t="shared" si="12"/>
        <v>329</v>
      </c>
      <c r="D344">
        <f t="shared" si="11"/>
        <v>0</v>
      </c>
      <c r="E344">
        <f>1-SUM($D$16:D344)</f>
        <v>0</v>
      </c>
    </row>
    <row r="345" spans="3:5">
      <c r="C345">
        <f t="shared" si="12"/>
        <v>330</v>
      </c>
      <c r="D345">
        <f t="shared" si="11"/>
        <v>0</v>
      </c>
      <c r="E345">
        <f>1-SUM($D$16:D345)</f>
        <v>0</v>
      </c>
    </row>
    <row r="346" spans="3:5">
      <c r="C346">
        <f t="shared" si="12"/>
        <v>331</v>
      </c>
      <c r="D346">
        <f t="shared" si="11"/>
        <v>0</v>
      </c>
      <c r="E346">
        <f>1-SUM($D$16:D346)</f>
        <v>0</v>
      </c>
    </row>
    <row r="347" spans="3:5">
      <c r="C347">
        <f t="shared" si="12"/>
        <v>332</v>
      </c>
      <c r="D347">
        <f t="shared" si="11"/>
        <v>0</v>
      </c>
      <c r="E347">
        <f>1-SUM($D$16:D347)</f>
        <v>0</v>
      </c>
    </row>
    <row r="348" spans="3:5">
      <c r="C348">
        <f t="shared" si="12"/>
        <v>333</v>
      </c>
      <c r="D348">
        <f t="shared" si="11"/>
        <v>0</v>
      </c>
      <c r="E348">
        <f>1-SUM($D$16:D348)</f>
        <v>0</v>
      </c>
    </row>
    <row r="349" spans="3:5">
      <c r="C349">
        <f t="shared" si="12"/>
        <v>334</v>
      </c>
      <c r="D349">
        <f t="shared" si="11"/>
        <v>0</v>
      </c>
      <c r="E349">
        <f>1-SUM($D$16:D349)</f>
        <v>0</v>
      </c>
    </row>
    <row r="350" spans="3:5">
      <c r="C350">
        <f t="shared" si="12"/>
        <v>335</v>
      </c>
      <c r="D350">
        <f t="shared" si="11"/>
        <v>0</v>
      </c>
      <c r="E350">
        <f>1-SUM($D$16:D350)</f>
        <v>0</v>
      </c>
    </row>
    <row r="351" spans="3:5">
      <c r="C351">
        <f t="shared" si="12"/>
        <v>336</v>
      </c>
      <c r="D351">
        <f t="shared" si="11"/>
        <v>0</v>
      </c>
      <c r="E351">
        <f>1-SUM($D$16:D351)</f>
        <v>0</v>
      </c>
    </row>
    <row r="352" spans="3:5">
      <c r="C352">
        <f t="shared" si="12"/>
        <v>337</v>
      </c>
      <c r="D352">
        <f t="shared" si="11"/>
        <v>0</v>
      </c>
      <c r="E352">
        <f>1-SUM($D$16:D352)</f>
        <v>0</v>
      </c>
    </row>
    <row r="353" spans="3:5">
      <c r="C353">
        <f t="shared" si="12"/>
        <v>338</v>
      </c>
      <c r="D353">
        <f t="shared" si="11"/>
        <v>0</v>
      </c>
      <c r="E353">
        <f>1-SUM($D$16:D353)</f>
        <v>0</v>
      </c>
    </row>
    <row r="354" spans="3:5">
      <c r="C354">
        <f t="shared" si="12"/>
        <v>339</v>
      </c>
      <c r="D354">
        <f t="shared" si="11"/>
        <v>0</v>
      </c>
      <c r="E354">
        <f>1-SUM($D$16:D354)</f>
        <v>0</v>
      </c>
    </row>
    <row r="355" spans="3:5">
      <c r="C355">
        <f t="shared" si="12"/>
        <v>340</v>
      </c>
      <c r="D355">
        <f t="shared" si="11"/>
        <v>0</v>
      </c>
      <c r="E355">
        <f>1-SUM($D$16:D355)</f>
        <v>0</v>
      </c>
    </row>
    <row r="356" spans="3:5">
      <c r="C356">
        <f t="shared" si="12"/>
        <v>341</v>
      </c>
      <c r="D356">
        <f t="shared" si="11"/>
        <v>0</v>
      </c>
      <c r="E356">
        <f>1-SUM($D$16:D356)</f>
        <v>0</v>
      </c>
    </row>
    <row r="357" spans="3:5">
      <c r="C357">
        <f t="shared" si="12"/>
        <v>342</v>
      </c>
      <c r="D357">
        <f t="shared" si="11"/>
        <v>0</v>
      </c>
      <c r="E357">
        <f>1-SUM($D$16:D357)</f>
        <v>0</v>
      </c>
    </row>
    <row r="358" spans="3:5">
      <c r="C358">
        <f t="shared" si="12"/>
        <v>343</v>
      </c>
      <c r="D358">
        <f t="shared" si="11"/>
        <v>0</v>
      </c>
      <c r="E358">
        <f>1-SUM($D$16:D358)</f>
        <v>0</v>
      </c>
    </row>
    <row r="359" spans="3:5">
      <c r="C359">
        <f t="shared" si="12"/>
        <v>344</v>
      </c>
      <c r="D359">
        <f t="shared" si="11"/>
        <v>0</v>
      </c>
      <c r="E359">
        <f>1-SUM($D$16:D359)</f>
        <v>0</v>
      </c>
    </row>
    <row r="360" spans="3:5">
      <c r="C360">
        <f t="shared" si="12"/>
        <v>345</v>
      </c>
      <c r="D360">
        <f t="shared" si="11"/>
        <v>0</v>
      </c>
      <c r="E360">
        <f>1-SUM($D$16:D360)</f>
        <v>0</v>
      </c>
    </row>
    <row r="361" spans="3:5">
      <c r="C361">
        <f t="shared" si="12"/>
        <v>346</v>
      </c>
      <c r="D361">
        <f t="shared" si="11"/>
        <v>0</v>
      </c>
      <c r="E361">
        <f>1-SUM($D$16:D361)</f>
        <v>0</v>
      </c>
    </row>
    <row r="362" spans="3:5">
      <c r="C362">
        <f t="shared" si="12"/>
        <v>347</v>
      </c>
      <c r="D362">
        <f t="shared" si="11"/>
        <v>0</v>
      </c>
      <c r="E362">
        <f>1-SUM($D$16:D362)</f>
        <v>0</v>
      </c>
    </row>
    <row r="363" spans="3:5">
      <c r="C363">
        <f t="shared" si="12"/>
        <v>348</v>
      </c>
      <c r="D363">
        <f t="shared" si="11"/>
        <v>0</v>
      </c>
      <c r="E363">
        <f>1-SUM($D$16:D363)</f>
        <v>0</v>
      </c>
    </row>
    <row r="364" spans="3:5">
      <c r="C364">
        <f t="shared" si="12"/>
        <v>349</v>
      </c>
      <c r="D364">
        <f t="shared" si="11"/>
        <v>0</v>
      </c>
      <c r="E364">
        <f>1-SUM($D$16:D364)</f>
        <v>0</v>
      </c>
    </row>
    <row r="365" spans="3:5">
      <c r="C365">
        <f t="shared" si="12"/>
        <v>350</v>
      </c>
      <c r="D365">
        <f t="shared" si="11"/>
        <v>0</v>
      </c>
      <c r="E365">
        <f>1-SUM($D$16:D365)</f>
        <v>0</v>
      </c>
    </row>
    <row r="366" spans="3:5">
      <c r="C366">
        <f t="shared" si="12"/>
        <v>351</v>
      </c>
      <c r="D366">
        <f t="shared" si="11"/>
        <v>0</v>
      </c>
      <c r="E366">
        <f>1-SUM($D$16:D366)</f>
        <v>0</v>
      </c>
    </row>
    <row r="367" spans="3:5">
      <c r="C367">
        <f t="shared" si="12"/>
        <v>352</v>
      </c>
      <c r="D367">
        <f t="shared" si="11"/>
        <v>0</v>
      </c>
      <c r="E367">
        <f>1-SUM($D$16:D367)</f>
        <v>0</v>
      </c>
    </row>
    <row r="368" spans="3:5">
      <c r="C368">
        <f t="shared" si="12"/>
        <v>353</v>
      </c>
      <c r="D368">
        <f t="shared" si="11"/>
        <v>0</v>
      </c>
      <c r="E368">
        <f>1-SUM($D$16:D368)</f>
        <v>0</v>
      </c>
    </row>
    <row r="369" spans="3:5">
      <c r="C369">
        <f t="shared" si="12"/>
        <v>354</v>
      </c>
      <c r="D369">
        <f t="shared" si="11"/>
        <v>0</v>
      </c>
      <c r="E369">
        <f>1-SUM($D$16:D369)</f>
        <v>0</v>
      </c>
    </row>
    <row r="370" spans="3:5">
      <c r="C370">
        <f t="shared" si="12"/>
        <v>355</v>
      </c>
      <c r="D370">
        <f t="shared" si="11"/>
        <v>0</v>
      </c>
      <c r="E370">
        <f>1-SUM($D$16:D370)</f>
        <v>0</v>
      </c>
    </row>
    <row r="371" spans="3:5">
      <c r="C371">
        <f t="shared" si="12"/>
        <v>356</v>
      </c>
      <c r="D371">
        <f t="shared" si="11"/>
        <v>0</v>
      </c>
      <c r="E371">
        <f>1-SUM($D$16:D371)</f>
        <v>0</v>
      </c>
    </row>
    <row r="372" spans="3:5">
      <c r="C372">
        <f t="shared" si="12"/>
        <v>357</v>
      </c>
      <c r="D372">
        <f t="shared" si="11"/>
        <v>0</v>
      </c>
      <c r="E372">
        <f>1-SUM($D$16:D372)</f>
        <v>0</v>
      </c>
    </row>
    <row r="373" spans="3:5">
      <c r="C373">
        <f t="shared" si="12"/>
        <v>358</v>
      </c>
      <c r="D373">
        <f t="shared" si="11"/>
        <v>0</v>
      </c>
      <c r="E373">
        <f>1-SUM($D$16:D373)</f>
        <v>0</v>
      </c>
    </row>
    <row r="374" spans="3:5">
      <c r="C374">
        <f t="shared" si="12"/>
        <v>359</v>
      </c>
      <c r="D374">
        <f t="shared" si="11"/>
        <v>0</v>
      </c>
      <c r="E374">
        <f>1-SUM($D$16:D374)</f>
        <v>0</v>
      </c>
    </row>
    <row r="375" spans="3:5">
      <c r="C375">
        <f t="shared" si="12"/>
        <v>360</v>
      </c>
      <c r="D375">
        <f t="shared" si="11"/>
        <v>0</v>
      </c>
      <c r="E375">
        <f>1-SUM($D$16:D375)</f>
        <v>0</v>
      </c>
    </row>
    <row r="376" spans="3:5">
      <c r="C376">
        <f t="shared" si="12"/>
        <v>361</v>
      </c>
      <c r="D376">
        <f t="shared" si="11"/>
        <v>0</v>
      </c>
      <c r="E376">
        <f>1-SUM($D$16:D376)</f>
        <v>0</v>
      </c>
    </row>
    <row r="377" spans="3:5">
      <c r="C377">
        <f t="shared" si="12"/>
        <v>362</v>
      </c>
      <c r="D377">
        <f t="shared" si="11"/>
        <v>0</v>
      </c>
      <c r="E377">
        <f>1-SUM($D$16:D377)</f>
        <v>0</v>
      </c>
    </row>
    <row r="378" spans="3:5">
      <c r="C378">
        <f t="shared" si="12"/>
        <v>363</v>
      </c>
      <c r="D378">
        <f t="shared" si="11"/>
        <v>0</v>
      </c>
      <c r="E378">
        <f>1-SUM($D$16:D378)</f>
        <v>0</v>
      </c>
    </row>
    <row r="379" spans="3:5">
      <c r="C379">
        <f t="shared" si="12"/>
        <v>364</v>
      </c>
      <c r="D379">
        <f t="shared" si="11"/>
        <v>0</v>
      </c>
      <c r="E379">
        <f>1-SUM($D$16:D379)</f>
        <v>0</v>
      </c>
    </row>
    <row r="380" spans="3:5">
      <c r="C380">
        <f t="shared" si="12"/>
        <v>365</v>
      </c>
      <c r="D380">
        <f t="shared" si="11"/>
        <v>0</v>
      </c>
      <c r="E380">
        <f>1-SUM($D$16:D380)</f>
        <v>0</v>
      </c>
    </row>
    <row r="381" spans="3:5">
      <c r="C381">
        <f t="shared" si="12"/>
        <v>366</v>
      </c>
      <c r="D381">
        <f t="shared" si="11"/>
        <v>0</v>
      </c>
      <c r="E381">
        <f>1-SUM($D$16:D381)</f>
        <v>0</v>
      </c>
    </row>
    <row r="382" spans="3:5">
      <c r="C382">
        <f t="shared" si="12"/>
        <v>367</v>
      </c>
      <c r="D382">
        <f t="shared" si="11"/>
        <v>0</v>
      </c>
      <c r="E382">
        <f>1-SUM($D$16:D382)</f>
        <v>0</v>
      </c>
    </row>
    <row r="383" spans="3:5">
      <c r="C383">
        <f t="shared" si="12"/>
        <v>368</v>
      </c>
      <c r="D383">
        <f t="shared" si="11"/>
        <v>0</v>
      </c>
      <c r="E383">
        <f>1-SUM($D$16:D383)</f>
        <v>0</v>
      </c>
    </row>
    <row r="384" spans="3:5">
      <c r="C384">
        <f t="shared" si="12"/>
        <v>369</v>
      </c>
      <c r="D384">
        <f t="shared" si="11"/>
        <v>0</v>
      </c>
      <c r="E384">
        <f>1-SUM($D$16:D384)</f>
        <v>0</v>
      </c>
    </row>
    <row r="385" spans="3:5">
      <c r="C385">
        <f t="shared" si="12"/>
        <v>370</v>
      </c>
      <c r="D385">
        <f t="shared" si="11"/>
        <v>0</v>
      </c>
      <c r="E385">
        <f>1-SUM($D$16:D385)</f>
        <v>0</v>
      </c>
    </row>
    <row r="386" spans="3:5">
      <c r="C386">
        <f t="shared" si="12"/>
        <v>371</v>
      </c>
      <c r="D386">
        <f t="shared" si="11"/>
        <v>0</v>
      </c>
      <c r="E386">
        <f>1-SUM($D$16:D386)</f>
        <v>0</v>
      </c>
    </row>
    <row r="387" spans="3:5">
      <c r="C387">
        <f t="shared" si="12"/>
        <v>372</v>
      </c>
      <c r="D387">
        <f t="shared" si="11"/>
        <v>0</v>
      </c>
      <c r="E387">
        <f>1-SUM($D$16:D387)</f>
        <v>0</v>
      </c>
    </row>
    <row r="388" spans="3:5">
      <c r="C388">
        <f t="shared" si="12"/>
        <v>373</v>
      </c>
      <c r="D388">
        <f t="shared" si="11"/>
        <v>0</v>
      </c>
      <c r="E388">
        <f>1-SUM($D$16:D388)</f>
        <v>0</v>
      </c>
    </row>
    <row r="389" spans="3:5">
      <c r="C389">
        <f t="shared" si="12"/>
        <v>374</v>
      </c>
      <c r="D389">
        <f t="shared" si="11"/>
        <v>0</v>
      </c>
      <c r="E389">
        <f>1-SUM($D$16:D389)</f>
        <v>0</v>
      </c>
    </row>
    <row r="390" spans="3:5">
      <c r="C390">
        <f t="shared" si="12"/>
        <v>375</v>
      </c>
      <c r="D390">
        <f t="shared" si="11"/>
        <v>0</v>
      </c>
      <c r="E390">
        <f>1-SUM($D$16:D390)</f>
        <v>0</v>
      </c>
    </row>
    <row r="391" spans="3:5">
      <c r="C391">
        <f t="shared" si="12"/>
        <v>376</v>
      </c>
      <c r="D391">
        <f t="shared" si="11"/>
        <v>0</v>
      </c>
      <c r="E391">
        <f>1-SUM($D$16:D391)</f>
        <v>0</v>
      </c>
    </row>
    <row r="392" spans="3:5">
      <c r="C392">
        <f t="shared" si="12"/>
        <v>377</v>
      </c>
      <c r="D392">
        <f t="shared" si="11"/>
        <v>0</v>
      </c>
      <c r="E392">
        <f>1-SUM($D$16:D392)</f>
        <v>0</v>
      </c>
    </row>
    <row r="393" spans="3:5">
      <c r="C393">
        <f t="shared" si="12"/>
        <v>378</v>
      </c>
      <c r="D393">
        <f t="shared" si="11"/>
        <v>0</v>
      </c>
      <c r="E393">
        <f>1-SUM($D$16:D393)</f>
        <v>0</v>
      </c>
    </row>
    <row r="394" spans="3:5">
      <c r="C394">
        <f t="shared" si="12"/>
        <v>379</v>
      </c>
      <c r="D394">
        <f t="shared" si="11"/>
        <v>0</v>
      </c>
      <c r="E394">
        <f>1-SUM($D$16:D394)</f>
        <v>0</v>
      </c>
    </row>
    <row r="395" spans="3:5">
      <c r="C395">
        <f t="shared" si="12"/>
        <v>380</v>
      </c>
      <c r="D395">
        <f t="shared" si="11"/>
        <v>0</v>
      </c>
      <c r="E395">
        <f>1-SUM($D$16:D395)</f>
        <v>0</v>
      </c>
    </row>
    <row r="396" spans="3:5">
      <c r="C396">
        <f t="shared" si="12"/>
        <v>381</v>
      </c>
      <c r="D396">
        <f t="shared" si="11"/>
        <v>0</v>
      </c>
      <c r="E396">
        <f>1-SUM($D$16:D396)</f>
        <v>0</v>
      </c>
    </row>
    <row r="397" spans="3:5">
      <c r="C397">
        <f t="shared" si="12"/>
        <v>382</v>
      </c>
      <c r="D397">
        <f t="shared" si="11"/>
        <v>0</v>
      </c>
      <c r="E397">
        <f>1-SUM($D$16:D397)</f>
        <v>0</v>
      </c>
    </row>
    <row r="398" spans="3:5">
      <c r="C398">
        <f t="shared" si="12"/>
        <v>383</v>
      </c>
      <c r="D398">
        <f t="shared" si="11"/>
        <v>0</v>
      </c>
      <c r="E398">
        <f>1-SUM($D$16:D398)</f>
        <v>0</v>
      </c>
    </row>
    <row r="399" spans="3:5">
      <c r="C399">
        <f t="shared" si="12"/>
        <v>384</v>
      </c>
      <c r="D399">
        <f t="shared" si="11"/>
        <v>0</v>
      </c>
      <c r="E399">
        <f>1-SUM($D$16:D399)</f>
        <v>0</v>
      </c>
    </row>
    <row r="400" spans="3:5">
      <c r="C400">
        <f t="shared" si="12"/>
        <v>385</v>
      </c>
      <c r="D400">
        <f t="shared" si="11"/>
        <v>0</v>
      </c>
      <c r="E400">
        <f>1-SUM($D$16:D400)</f>
        <v>0</v>
      </c>
    </row>
    <row r="401" spans="3:5">
      <c r="C401">
        <f t="shared" si="12"/>
        <v>386</v>
      </c>
      <c r="D401">
        <f t="shared" si="11"/>
        <v>0</v>
      </c>
      <c r="E401">
        <f>1-SUM($D$16:D401)</f>
        <v>0</v>
      </c>
    </row>
    <row r="402" spans="3:5">
      <c r="C402">
        <f t="shared" si="12"/>
        <v>387</v>
      </c>
      <c r="D402">
        <f t="shared" ref="D402:D465" si="13">IF(C402=$E$14,E401,E401*$D$14)</f>
        <v>0</v>
      </c>
      <c r="E402">
        <f>1-SUM($D$16:D402)</f>
        <v>0</v>
      </c>
    </row>
    <row r="403" spans="3:5">
      <c r="C403">
        <f t="shared" si="12"/>
        <v>388</v>
      </c>
      <c r="D403">
        <f t="shared" si="13"/>
        <v>0</v>
      </c>
      <c r="E403">
        <f>1-SUM($D$16:D403)</f>
        <v>0</v>
      </c>
    </row>
    <row r="404" spans="3:5">
      <c r="C404">
        <f t="shared" si="12"/>
        <v>389</v>
      </c>
      <c r="D404">
        <f t="shared" si="13"/>
        <v>0</v>
      </c>
      <c r="E404">
        <f>1-SUM($D$16:D404)</f>
        <v>0</v>
      </c>
    </row>
    <row r="405" spans="3:5">
      <c r="C405">
        <f t="shared" si="12"/>
        <v>390</v>
      </c>
      <c r="D405">
        <f t="shared" si="13"/>
        <v>0</v>
      </c>
      <c r="E405">
        <f>1-SUM($D$16:D405)</f>
        <v>0</v>
      </c>
    </row>
    <row r="406" spans="3:5">
      <c r="C406">
        <f t="shared" ref="C406:C469" si="14">C405+1</f>
        <v>391</v>
      </c>
      <c r="D406">
        <f t="shared" si="13"/>
        <v>0</v>
      </c>
      <c r="E406">
        <f>1-SUM($D$16:D406)</f>
        <v>0</v>
      </c>
    </row>
    <row r="407" spans="3:5">
      <c r="C407">
        <f t="shared" si="14"/>
        <v>392</v>
      </c>
      <c r="D407">
        <f t="shared" si="13"/>
        <v>0</v>
      </c>
      <c r="E407">
        <f>1-SUM($D$16:D407)</f>
        <v>0</v>
      </c>
    </row>
    <row r="408" spans="3:5">
      <c r="C408">
        <f t="shared" si="14"/>
        <v>393</v>
      </c>
      <c r="D408">
        <f t="shared" si="13"/>
        <v>0</v>
      </c>
      <c r="E408">
        <f>1-SUM($D$16:D408)</f>
        <v>0</v>
      </c>
    </row>
    <row r="409" spans="3:5">
      <c r="C409">
        <f t="shared" si="14"/>
        <v>394</v>
      </c>
      <c r="D409">
        <f t="shared" si="13"/>
        <v>0</v>
      </c>
      <c r="E409">
        <f>1-SUM($D$16:D409)</f>
        <v>0</v>
      </c>
    </row>
    <row r="410" spans="3:5">
      <c r="C410">
        <f t="shared" si="14"/>
        <v>395</v>
      </c>
      <c r="D410">
        <f t="shared" si="13"/>
        <v>0</v>
      </c>
      <c r="E410">
        <f>1-SUM($D$16:D410)</f>
        <v>0</v>
      </c>
    </row>
    <row r="411" spans="3:5">
      <c r="C411">
        <f t="shared" si="14"/>
        <v>396</v>
      </c>
      <c r="D411">
        <f t="shared" si="13"/>
        <v>0</v>
      </c>
      <c r="E411">
        <f>1-SUM($D$16:D411)</f>
        <v>0</v>
      </c>
    </row>
    <row r="412" spans="3:5">
      <c r="C412">
        <f t="shared" si="14"/>
        <v>397</v>
      </c>
      <c r="D412">
        <f t="shared" si="13"/>
        <v>0</v>
      </c>
      <c r="E412">
        <f>1-SUM($D$16:D412)</f>
        <v>0</v>
      </c>
    </row>
    <row r="413" spans="3:5">
      <c r="C413">
        <f t="shared" si="14"/>
        <v>398</v>
      </c>
      <c r="D413">
        <f t="shared" si="13"/>
        <v>0</v>
      </c>
      <c r="E413">
        <f>1-SUM($D$16:D413)</f>
        <v>0</v>
      </c>
    </row>
    <row r="414" spans="3:5">
      <c r="C414">
        <f t="shared" si="14"/>
        <v>399</v>
      </c>
      <c r="D414">
        <f t="shared" si="13"/>
        <v>0</v>
      </c>
      <c r="E414">
        <f>1-SUM($D$16:D414)</f>
        <v>0</v>
      </c>
    </row>
    <row r="415" spans="3:5">
      <c r="C415">
        <f t="shared" si="14"/>
        <v>400</v>
      </c>
      <c r="D415">
        <f t="shared" si="13"/>
        <v>0</v>
      </c>
      <c r="E415">
        <f>1-SUM($D$16:D415)</f>
        <v>0</v>
      </c>
    </row>
    <row r="416" spans="3:5">
      <c r="C416">
        <f t="shared" si="14"/>
        <v>401</v>
      </c>
      <c r="D416">
        <f t="shared" si="13"/>
        <v>0</v>
      </c>
      <c r="E416">
        <f>1-SUM($D$16:D416)</f>
        <v>0</v>
      </c>
    </row>
    <row r="417" spans="3:5">
      <c r="C417">
        <f t="shared" si="14"/>
        <v>402</v>
      </c>
      <c r="D417">
        <f t="shared" si="13"/>
        <v>0</v>
      </c>
      <c r="E417">
        <f>1-SUM($D$16:D417)</f>
        <v>0</v>
      </c>
    </row>
    <row r="418" spans="3:5">
      <c r="C418">
        <f t="shared" si="14"/>
        <v>403</v>
      </c>
      <c r="D418">
        <f t="shared" si="13"/>
        <v>0</v>
      </c>
      <c r="E418">
        <f>1-SUM($D$16:D418)</f>
        <v>0</v>
      </c>
    </row>
    <row r="419" spans="3:5">
      <c r="C419">
        <f t="shared" si="14"/>
        <v>404</v>
      </c>
      <c r="D419">
        <f t="shared" si="13"/>
        <v>0</v>
      </c>
      <c r="E419">
        <f>1-SUM($D$16:D419)</f>
        <v>0</v>
      </c>
    </row>
    <row r="420" spans="3:5">
      <c r="C420">
        <f t="shared" si="14"/>
        <v>405</v>
      </c>
      <c r="D420">
        <f t="shared" si="13"/>
        <v>0</v>
      </c>
      <c r="E420">
        <f>1-SUM($D$16:D420)</f>
        <v>0</v>
      </c>
    </row>
    <row r="421" spans="3:5">
      <c r="C421">
        <f t="shared" si="14"/>
        <v>406</v>
      </c>
      <c r="D421">
        <f t="shared" si="13"/>
        <v>0</v>
      </c>
      <c r="E421">
        <f>1-SUM($D$16:D421)</f>
        <v>0</v>
      </c>
    </row>
    <row r="422" spans="3:5">
      <c r="C422">
        <f t="shared" si="14"/>
        <v>407</v>
      </c>
      <c r="D422">
        <f t="shared" si="13"/>
        <v>0</v>
      </c>
      <c r="E422">
        <f>1-SUM($D$16:D422)</f>
        <v>0</v>
      </c>
    </row>
    <row r="423" spans="3:5">
      <c r="C423">
        <f t="shared" si="14"/>
        <v>408</v>
      </c>
      <c r="D423">
        <f t="shared" si="13"/>
        <v>0</v>
      </c>
      <c r="E423">
        <f>1-SUM($D$16:D423)</f>
        <v>0</v>
      </c>
    </row>
    <row r="424" spans="3:5">
      <c r="C424">
        <f t="shared" si="14"/>
        <v>409</v>
      </c>
      <c r="D424">
        <f t="shared" si="13"/>
        <v>0</v>
      </c>
      <c r="E424">
        <f>1-SUM($D$16:D424)</f>
        <v>0</v>
      </c>
    </row>
    <row r="425" spans="3:5">
      <c r="C425">
        <f t="shared" si="14"/>
        <v>410</v>
      </c>
      <c r="D425">
        <f t="shared" si="13"/>
        <v>0</v>
      </c>
      <c r="E425">
        <f>1-SUM($D$16:D425)</f>
        <v>0</v>
      </c>
    </row>
    <row r="426" spans="3:5">
      <c r="C426">
        <f t="shared" si="14"/>
        <v>411</v>
      </c>
      <c r="D426">
        <f t="shared" si="13"/>
        <v>0</v>
      </c>
      <c r="E426">
        <f>1-SUM($D$16:D426)</f>
        <v>0</v>
      </c>
    </row>
    <row r="427" spans="3:5">
      <c r="C427">
        <f t="shared" si="14"/>
        <v>412</v>
      </c>
      <c r="D427">
        <f t="shared" si="13"/>
        <v>0</v>
      </c>
      <c r="E427">
        <f>1-SUM($D$16:D427)</f>
        <v>0</v>
      </c>
    </row>
    <row r="428" spans="3:5">
      <c r="C428">
        <f t="shared" si="14"/>
        <v>413</v>
      </c>
      <c r="D428">
        <f t="shared" si="13"/>
        <v>0</v>
      </c>
      <c r="E428">
        <f>1-SUM($D$16:D428)</f>
        <v>0</v>
      </c>
    </row>
    <row r="429" spans="3:5">
      <c r="C429">
        <f t="shared" si="14"/>
        <v>414</v>
      </c>
      <c r="D429">
        <f t="shared" si="13"/>
        <v>0</v>
      </c>
      <c r="E429">
        <f>1-SUM($D$16:D429)</f>
        <v>0</v>
      </c>
    </row>
    <row r="430" spans="3:5">
      <c r="C430">
        <f t="shared" si="14"/>
        <v>415</v>
      </c>
      <c r="D430">
        <f t="shared" si="13"/>
        <v>0</v>
      </c>
      <c r="E430">
        <f>1-SUM($D$16:D430)</f>
        <v>0</v>
      </c>
    </row>
    <row r="431" spans="3:5">
      <c r="C431">
        <f t="shared" si="14"/>
        <v>416</v>
      </c>
      <c r="D431">
        <f t="shared" si="13"/>
        <v>0</v>
      </c>
      <c r="E431">
        <f>1-SUM($D$16:D431)</f>
        <v>0</v>
      </c>
    </row>
    <row r="432" spans="3:5">
      <c r="C432">
        <f t="shared" si="14"/>
        <v>417</v>
      </c>
      <c r="D432">
        <f t="shared" si="13"/>
        <v>0</v>
      </c>
      <c r="E432">
        <f>1-SUM($D$16:D432)</f>
        <v>0</v>
      </c>
    </row>
    <row r="433" spans="3:5">
      <c r="C433">
        <f t="shared" si="14"/>
        <v>418</v>
      </c>
      <c r="D433">
        <f t="shared" si="13"/>
        <v>0</v>
      </c>
      <c r="E433">
        <f>1-SUM($D$16:D433)</f>
        <v>0</v>
      </c>
    </row>
    <row r="434" spans="3:5">
      <c r="C434">
        <f t="shared" si="14"/>
        <v>419</v>
      </c>
      <c r="D434">
        <f t="shared" si="13"/>
        <v>0</v>
      </c>
      <c r="E434">
        <f>1-SUM($D$16:D434)</f>
        <v>0</v>
      </c>
    </row>
    <row r="435" spans="3:5">
      <c r="C435">
        <f t="shared" si="14"/>
        <v>420</v>
      </c>
      <c r="D435">
        <f t="shared" si="13"/>
        <v>0</v>
      </c>
      <c r="E435">
        <f>1-SUM($D$16:D435)</f>
        <v>0</v>
      </c>
    </row>
    <row r="436" spans="3:5">
      <c r="C436">
        <f t="shared" si="14"/>
        <v>421</v>
      </c>
      <c r="D436">
        <f t="shared" si="13"/>
        <v>0</v>
      </c>
      <c r="E436">
        <f>1-SUM($D$16:D436)</f>
        <v>0</v>
      </c>
    </row>
    <row r="437" spans="3:5">
      <c r="C437">
        <f t="shared" si="14"/>
        <v>422</v>
      </c>
      <c r="D437">
        <f t="shared" si="13"/>
        <v>0</v>
      </c>
      <c r="E437">
        <f>1-SUM($D$16:D437)</f>
        <v>0</v>
      </c>
    </row>
    <row r="438" spans="3:5">
      <c r="C438">
        <f t="shared" si="14"/>
        <v>423</v>
      </c>
      <c r="D438">
        <f t="shared" si="13"/>
        <v>0</v>
      </c>
      <c r="E438">
        <f>1-SUM($D$16:D438)</f>
        <v>0</v>
      </c>
    </row>
    <row r="439" spans="3:5">
      <c r="C439">
        <f t="shared" si="14"/>
        <v>424</v>
      </c>
      <c r="D439">
        <f t="shared" si="13"/>
        <v>0</v>
      </c>
      <c r="E439">
        <f>1-SUM($D$16:D439)</f>
        <v>0</v>
      </c>
    </row>
    <row r="440" spans="3:5">
      <c r="C440">
        <f t="shared" si="14"/>
        <v>425</v>
      </c>
      <c r="D440">
        <f t="shared" si="13"/>
        <v>0</v>
      </c>
      <c r="E440">
        <f>1-SUM($D$16:D440)</f>
        <v>0</v>
      </c>
    </row>
    <row r="441" spans="3:5">
      <c r="C441">
        <f t="shared" si="14"/>
        <v>426</v>
      </c>
      <c r="D441">
        <f t="shared" si="13"/>
        <v>0</v>
      </c>
      <c r="E441">
        <f>1-SUM($D$16:D441)</f>
        <v>0</v>
      </c>
    </row>
    <row r="442" spans="3:5">
      <c r="C442">
        <f t="shared" si="14"/>
        <v>427</v>
      </c>
      <c r="D442">
        <f t="shared" si="13"/>
        <v>0</v>
      </c>
      <c r="E442">
        <f>1-SUM($D$16:D442)</f>
        <v>0</v>
      </c>
    </row>
    <row r="443" spans="3:5">
      <c r="C443">
        <f t="shared" si="14"/>
        <v>428</v>
      </c>
      <c r="D443">
        <f t="shared" si="13"/>
        <v>0</v>
      </c>
      <c r="E443">
        <f>1-SUM($D$16:D443)</f>
        <v>0</v>
      </c>
    </row>
    <row r="444" spans="3:5">
      <c r="C444">
        <f t="shared" si="14"/>
        <v>429</v>
      </c>
      <c r="D444">
        <f t="shared" si="13"/>
        <v>0</v>
      </c>
      <c r="E444">
        <f>1-SUM($D$16:D444)</f>
        <v>0</v>
      </c>
    </row>
    <row r="445" spans="3:5">
      <c r="C445">
        <f t="shared" si="14"/>
        <v>430</v>
      </c>
      <c r="D445">
        <f t="shared" si="13"/>
        <v>0</v>
      </c>
      <c r="E445">
        <f>1-SUM($D$16:D445)</f>
        <v>0</v>
      </c>
    </row>
    <row r="446" spans="3:5">
      <c r="C446">
        <f t="shared" si="14"/>
        <v>431</v>
      </c>
      <c r="D446">
        <f t="shared" si="13"/>
        <v>0</v>
      </c>
      <c r="E446">
        <f>1-SUM($D$16:D446)</f>
        <v>0</v>
      </c>
    </row>
    <row r="447" spans="3:5">
      <c r="C447">
        <f t="shared" si="14"/>
        <v>432</v>
      </c>
      <c r="D447">
        <f t="shared" si="13"/>
        <v>0</v>
      </c>
      <c r="E447">
        <f>1-SUM($D$16:D447)</f>
        <v>0</v>
      </c>
    </row>
    <row r="448" spans="3:5">
      <c r="C448">
        <f t="shared" si="14"/>
        <v>433</v>
      </c>
      <c r="D448">
        <f t="shared" si="13"/>
        <v>0</v>
      </c>
      <c r="E448">
        <f>1-SUM($D$16:D448)</f>
        <v>0</v>
      </c>
    </row>
    <row r="449" spans="3:5">
      <c r="C449">
        <f t="shared" si="14"/>
        <v>434</v>
      </c>
      <c r="D449">
        <f t="shared" si="13"/>
        <v>0</v>
      </c>
      <c r="E449">
        <f>1-SUM($D$16:D449)</f>
        <v>0</v>
      </c>
    </row>
    <row r="450" spans="3:5">
      <c r="C450">
        <f t="shared" si="14"/>
        <v>435</v>
      </c>
      <c r="D450">
        <f t="shared" si="13"/>
        <v>0</v>
      </c>
      <c r="E450">
        <f>1-SUM($D$16:D450)</f>
        <v>0</v>
      </c>
    </row>
    <row r="451" spans="3:5">
      <c r="C451">
        <f t="shared" si="14"/>
        <v>436</v>
      </c>
      <c r="D451">
        <f t="shared" si="13"/>
        <v>0</v>
      </c>
      <c r="E451">
        <f>1-SUM($D$16:D451)</f>
        <v>0</v>
      </c>
    </row>
    <row r="452" spans="3:5">
      <c r="C452">
        <f t="shared" si="14"/>
        <v>437</v>
      </c>
      <c r="D452">
        <f t="shared" si="13"/>
        <v>0</v>
      </c>
      <c r="E452">
        <f>1-SUM($D$16:D452)</f>
        <v>0</v>
      </c>
    </row>
    <row r="453" spans="3:5">
      <c r="C453">
        <f t="shared" si="14"/>
        <v>438</v>
      </c>
      <c r="D453">
        <f t="shared" si="13"/>
        <v>0</v>
      </c>
      <c r="E453">
        <f>1-SUM($D$16:D453)</f>
        <v>0</v>
      </c>
    </row>
    <row r="454" spans="3:5">
      <c r="C454">
        <f t="shared" si="14"/>
        <v>439</v>
      </c>
      <c r="D454">
        <f t="shared" si="13"/>
        <v>0</v>
      </c>
      <c r="E454">
        <f>1-SUM($D$16:D454)</f>
        <v>0</v>
      </c>
    </row>
    <row r="455" spans="3:5">
      <c r="C455">
        <f t="shared" si="14"/>
        <v>440</v>
      </c>
      <c r="D455">
        <f t="shared" si="13"/>
        <v>0</v>
      </c>
      <c r="E455">
        <f>1-SUM($D$16:D455)</f>
        <v>0</v>
      </c>
    </row>
    <row r="456" spans="3:5">
      <c r="C456">
        <f t="shared" si="14"/>
        <v>441</v>
      </c>
      <c r="D456">
        <f t="shared" si="13"/>
        <v>0</v>
      </c>
      <c r="E456">
        <f>1-SUM($D$16:D456)</f>
        <v>0</v>
      </c>
    </row>
    <row r="457" spans="3:5">
      <c r="C457">
        <f t="shared" si="14"/>
        <v>442</v>
      </c>
      <c r="D457">
        <f t="shared" si="13"/>
        <v>0</v>
      </c>
      <c r="E457">
        <f>1-SUM($D$16:D457)</f>
        <v>0</v>
      </c>
    </row>
    <row r="458" spans="3:5">
      <c r="C458">
        <f t="shared" si="14"/>
        <v>443</v>
      </c>
      <c r="D458">
        <f t="shared" si="13"/>
        <v>0</v>
      </c>
      <c r="E458">
        <f>1-SUM($D$16:D458)</f>
        <v>0</v>
      </c>
    </row>
    <row r="459" spans="3:5">
      <c r="C459">
        <f t="shared" si="14"/>
        <v>444</v>
      </c>
      <c r="D459">
        <f t="shared" si="13"/>
        <v>0</v>
      </c>
      <c r="E459">
        <f>1-SUM($D$16:D459)</f>
        <v>0</v>
      </c>
    </row>
    <row r="460" spans="3:5">
      <c r="C460">
        <f t="shared" si="14"/>
        <v>445</v>
      </c>
      <c r="D460">
        <f t="shared" si="13"/>
        <v>0</v>
      </c>
      <c r="E460">
        <f>1-SUM($D$16:D460)</f>
        <v>0</v>
      </c>
    </row>
    <row r="461" spans="3:5">
      <c r="C461">
        <f t="shared" si="14"/>
        <v>446</v>
      </c>
      <c r="D461">
        <f t="shared" si="13"/>
        <v>0</v>
      </c>
      <c r="E461">
        <f>1-SUM($D$16:D461)</f>
        <v>0</v>
      </c>
    </row>
    <row r="462" spans="3:5">
      <c r="C462">
        <f t="shared" si="14"/>
        <v>447</v>
      </c>
      <c r="D462">
        <f t="shared" si="13"/>
        <v>0</v>
      </c>
      <c r="E462">
        <f>1-SUM($D$16:D462)</f>
        <v>0</v>
      </c>
    </row>
    <row r="463" spans="3:5">
      <c r="C463">
        <f t="shared" si="14"/>
        <v>448</v>
      </c>
      <c r="D463">
        <f t="shared" si="13"/>
        <v>0</v>
      </c>
      <c r="E463">
        <f>1-SUM($D$16:D463)</f>
        <v>0</v>
      </c>
    </row>
    <row r="464" spans="3:5">
      <c r="C464">
        <f t="shared" si="14"/>
        <v>449</v>
      </c>
      <c r="D464">
        <f t="shared" si="13"/>
        <v>0</v>
      </c>
      <c r="E464">
        <f>1-SUM($D$16:D464)</f>
        <v>0</v>
      </c>
    </row>
    <row r="465" spans="3:5">
      <c r="C465">
        <f t="shared" si="14"/>
        <v>450</v>
      </c>
      <c r="D465">
        <f t="shared" si="13"/>
        <v>0</v>
      </c>
      <c r="E465">
        <f>1-SUM($D$16:D465)</f>
        <v>0</v>
      </c>
    </row>
    <row r="466" spans="3:5">
      <c r="C466">
        <f t="shared" si="14"/>
        <v>451</v>
      </c>
      <c r="D466">
        <f t="shared" ref="D466:D529" si="15">IF(C466=$E$14,E465,E465*$D$14)</f>
        <v>0</v>
      </c>
      <c r="E466">
        <f>1-SUM($D$16:D466)</f>
        <v>0</v>
      </c>
    </row>
    <row r="467" spans="3:5">
      <c r="C467">
        <f t="shared" si="14"/>
        <v>452</v>
      </c>
      <c r="D467">
        <f t="shared" si="15"/>
        <v>0</v>
      </c>
      <c r="E467">
        <f>1-SUM($D$16:D467)</f>
        <v>0</v>
      </c>
    </row>
    <row r="468" spans="3:5">
      <c r="C468">
        <f t="shared" si="14"/>
        <v>453</v>
      </c>
      <c r="D468">
        <f t="shared" si="15"/>
        <v>0</v>
      </c>
      <c r="E468">
        <f>1-SUM($D$16:D468)</f>
        <v>0</v>
      </c>
    </row>
    <row r="469" spans="3:5">
      <c r="C469">
        <f t="shared" si="14"/>
        <v>454</v>
      </c>
      <c r="D469">
        <f t="shared" si="15"/>
        <v>0</v>
      </c>
      <c r="E469">
        <f>1-SUM($D$16:D469)</f>
        <v>0</v>
      </c>
    </row>
    <row r="470" spans="3:5">
      <c r="C470">
        <f t="shared" ref="C470:C533" si="16">C469+1</f>
        <v>455</v>
      </c>
      <c r="D470">
        <f t="shared" si="15"/>
        <v>0</v>
      </c>
      <c r="E470">
        <f>1-SUM($D$16:D470)</f>
        <v>0</v>
      </c>
    </row>
    <row r="471" spans="3:5">
      <c r="C471">
        <f t="shared" si="16"/>
        <v>456</v>
      </c>
      <c r="D471">
        <f t="shared" si="15"/>
        <v>0</v>
      </c>
      <c r="E471">
        <f>1-SUM($D$16:D471)</f>
        <v>0</v>
      </c>
    </row>
    <row r="472" spans="3:5">
      <c r="C472">
        <f t="shared" si="16"/>
        <v>457</v>
      </c>
      <c r="D472">
        <f t="shared" si="15"/>
        <v>0</v>
      </c>
      <c r="E472">
        <f>1-SUM($D$16:D472)</f>
        <v>0</v>
      </c>
    </row>
    <row r="473" spans="3:5">
      <c r="C473">
        <f t="shared" si="16"/>
        <v>458</v>
      </c>
      <c r="D473">
        <f t="shared" si="15"/>
        <v>0</v>
      </c>
      <c r="E473">
        <f>1-SUM($D$16:D473)</f>
        <v>0</v>
      </c>
    </row>
    <row r="474" spans="3:5">
      <c r="C474">
        <f t="shared" si="16"/>
        <v>459</v>
      </c>
      <c r="D474">
        <f t="shared" si="15"/>
        <v>0</v>
      </c>
      <c r="E474">
        <f>1-SUM($D$16:D474)</f>
        <v>0</v>
      </c>
    </row>
    <row r="475" spans="3:5">
      <c r="C475">
        <f t="shared" si="16"/>
        <v>460</v>
      </c>
      <c r="D475">
        <f t="shared" si="15"/>
        <v>0</v>
      </c>
      <c r="E475">
        <f>1-SUM($D$16:D475)</f>
        <v>0</v>
      </c>
    </row>
    <row r="476" spans="3:5">
      <c r="C476">
        <f t="shared" si="16"/>
        <v>461</v>
      </c>
      <c r="D476">
        <f t="shared" si="15"/>
        <v>0</v>
      </c>
      <c r="E476">
        <f>1-SUM($D$16:D476)</f>
        <v>0</v>
      </c>
    </row>
    <row r="477" spans="3:5">
      <c r="C477">
        <f t="shared" si="16"/>
        <v>462</v>
      </c>
      <c r="D477">
        <f t="shared" si="15"/>
        <v>0</v>
      </c>
      <c r="E477">
        <f>1-SUM($D$16:D477)</f>
        <v>0</v>
      </c>
    </row>
    <row r="478" spans="3:5">
      <c r="C478">
        <f t="shared" si="16"/>
        <v>463</v>
      </c>
      <c r="D478">
        <f t="shared" si="15"/>
        <v>0</v>
      </c>
      <c r="E478">
        <f>1-SUM($D$16:D478)</f>
        <v>0</v>
      </c>
    </row>
    <row r="479" spans="3:5">
      <c r="C479">
        <f t="shared" si="16"/>
        <v>464</v>
      </c>
      <c r="D479">
        <f t="shared" si="15"/>
        <v>0</v>
      </c>
      <c r="E479">
        <f>1-SUM($D$16:D479)</f>
        <v>0</v>
      </c>
    </row>
    <row r="480" spans="3:5">
      <c r="C480">
        <f t="shared" si="16"/>
        <v>465</v>
      </c>
      <c r="D480">
        <f t="shared" si="15"/>
        <v>0</v>
      </c>
      <c r="E480">
        <f>1-SUM($D$16:D480)</f>
        <v>0</v>
      </c>
    </row>
    <row r="481" spans="3:5">
      <c r="C481">
        <f t="shared" si="16"/>
        <v>466</v>
      </c>
      <c r="D481">
        <f t="shared" si="15"/>
        <v>0</v>
      </c>
      <c r="E481">
        <f>1-SUM($D$16:D481)</f>
        <v>0</v>
      </c>
    </row>
    <row r="482" spans="3:5">
      <c r="C482">
        <f t="shared" si="16"/>
        <v>467</v>
      </c>
      <c r="D482">
        <f t="shared" si="15"/>
        <v>0</v>
      </c>
      <c r="E482">
        <f>1-SUM($D$16:D482)</f>
        <v>0</v>
      </c>
    </row>
    <row r="483" spans="3:5">
      <c r="C483">
        <f t="shared" si="16"/>
        <v>468</v>
      </c>
      <c r="D483">
        <f t="shared" si="15"/>
        <v>0</v>
      </c>
      <c r="E483">
        <f>1-SUM($D$16:D483)</f>
        <v>0</v>
      </c>
    </row>
    <row r="484" spans="3:5">
      <c r="C484">
        <f t="shared" si="16"/>
        <v>469</v>
      </c>
      <c r="D484">
        <f t="shared" si="15"/>
        <v>0</v>
      </c>
      <c r="E484">
        <f>1-SUM($D$16:D484)</f>
        <v>0</v>
      </c>
    </row>
    <row r="485" spans="3:5">
      <c r="C485">
        <f t="shared" si="16"/>
        <v>470</v>
      </c>
      <c r="D485">
        <f t="shared" si="15"/>
        <v>0</v>
      </c>
      <c r="E485">
        <f>1-SUM($D$16:D485)</f>
        <v>0</v>
      </c>
    </row>
    <row r="486" spans="3:5">
      <c r="C486">
        <f t="shared" si="16"/>
        <v>471</v>
      </c>
      <c r="D486">
        <f t="shared" si="15"/>
        <v>0</v>
      </c>
      <c r="E486">
        <f>1-SUM($D$16:D486)</f>
        <v>0</v>
      </c>
    </row>
    <row r="487" spans="3:5">
      <c r="C487">
        <f t="shared" si="16"/>
        <v>472</v>
      </c>
      <c r="D487">
        <f t="shared" si="15"/>
        <v>0</v>
      </c>
      <c r="E487">
        <f>1-SUM($D$16:D487)</f>
        <v>0</v>
      </c>
    </row>
    <row r="488" spans="3:5">
      <c r="C488">
        <f t="shared" si="16"/>
        <v>473</v>
      </c>
      <c r="D488">
        <f t="shared" si="15"/>
        <v>0</v>
      </c>
      <c r="E488">
        <f>1-SUM($D$16:D488)</f>
        <v>0</v>
      </c>
    </row>
    <row r="489" spans="3:5">
      <c r="C489">
        <f t="shared" si="16"/>
        <v>474</v>
      </c>
      <c r="D489">
        <f t="shared" si="15"/>
        <v>0</v>
      </c>
      <c r="E489">
        <f>1-SUM($D$16:D489)</f>
        <v>0</v>
      </c>
    </row>
    <row r="490" spans="3:5">
      <c r="C490">
        <f t="shared" si="16"/>
        <v>475</v>
      </c>
      <c r="D490">
        <f t="shared" si="15"/>
        <v>0</v>
      </c>
      <c r="E490">
        <f>1-SUM($D$16:D490)</f>
        <v>0</v>
      </c>
    </row>
    <row r="491" spans="3:5">
      <c r="C491">
        <f t="shared" si="16"/>
        <v>476</v>
      </c>
      <c r="D491">
        <f t="shared" si="15"/>
        <v>0</v>
      </c>
      <c r="E491">
        <f>1-SUM($D$16:D491)</f>
        <v>0</v>
      </c>
    </row>
    <row r="492" spans="3:5">
      <c r="C492">
        <f t="shared" si="16"/>
        <v>477</v>
      </c>
      <c r="D492">
        <f t="shared" si="15"/>
        <v>0</v>
      </c>
      <c r="E492">
        <f>1-SUM($D$16:D492)</f>
        <v>0</v>
      </c>
    </row>
    <row r="493" spans="3:5">
      <c r="C493">
        <f t="shared" si="16"/>
        <v>478</v>
      </c>
      <c r="D493">
        <f t="shared" si="15"/>
        <v>0</v>
      </c>
      <c r="E493">
        <f>1-SUM($D$16:D493)</f>
        <v>0</v>
      </c>
    </row>
    <row r="494" spans="3:5">
      <c r="C494">
        <f t="shared" si="16"/>
        <v>479</v>
      </c>
      <c r="D494">
        <f t="shared" si="15"/>
        <v>0</v>
      </c>
      <c r="E494">
        <f>1-SUM($D$16:D494)</f>
        <v>0</v>
      </c>
    </row>
    <row r="495" spans="3:5">
      <c r="C495">
        <f t="shared" si="16"/>
        <v>480</v>
      </c>
      <c r="D495">
        <f t="shared" si="15"/>
        <v>0</v>
      </c>
      <c r="E495">
        <f>1-SUM($D$16:D495)</f>
        <v>0</v>
      </c>
    </row>
    <row r="496" spans="3:5">
      <c r="C496">
        <f t="shared" si="16"/>
        <v>481</v>
      </c>
      <c r="D496">
        <f t="shared" si="15"/>
        <v>0</v>
      </c>
      <c r="E496">
        <f>1-SUM($D$16:D496)</f>
        <v>0</v>
      </c>
    </row>
    <row r="497" spans="3:5">
      <c r="C497">
        <f t="shared" si="16"/>
        <v>482</v>
      </c>
      <c r="D497">
        <f t="shared" si="15"/>
        <v>0</v>
      </c>
      <c r="E497">
        <f>1-SUM($D$16:D497)</f>
        <v>0</v>
      </c>
    </row>
    <row r="498" spans="3:5">
      <c r="C498">
        <f t="shared" si="16"/>
        <v>483</v>
      </c>
      <c r="D498">
        <f t="shared" si="15"/>
        <v>0</v>
      </c>
      <c r="E498">
        <f>1-SUM($D$16:D498)</f>
        <v>0</v>
      </c>
    </row>
    <row r="499" spans="3:5">
      <c r="C499">
        <f t="shared" si="16"/>
        <v>484</v>
      </c>
      <c r="D499">
        <f t="shared" si="15"/>
        <v>0</v>
      </c>
      <c r="E499">
        <f>1-SUM($D$16:D499)</f>
        <v>0</v>
      </c>
    </row>
    <row r="500" spans="3:5">
      <c r="C500">
        <f t="shared" si="16"/>
        <v>485</v>
      </c>
      <c r="D500">
        <f t="shared" si="15"/>
        <v>0</v>
      </c>
      <c r="E500">
        <f>1-SUM($D$16:D500)</f>
        <v>0</v>
      </c>
    </row>
    <row r="501" spans="3:5">
      <c r="C501">
        <f t="shared" si="16"/>
        <v>486</v>
      </c>
      <c r="D501">
        <f t="shared" si="15"/>
        <v>0</v>
      </c>
      <c r="E501">
        <f>1-SUM($D$16:D501)</f>
        <v>0</v>
      </c>
    </row>
    <row r="502" spans="3:5">
      <c r="C502">
        <f t="shared" si="16"/>
        <v>487</v>
      </c>
      <c r="D502">
        <f t="shared" si="15"/>
        <v>0</v>
      </c>
      <c r="E502">
        <f>1-SUM($D$16:D502)</f>
        <v>0</v>
      </c>
    </row>
    <row r="503" spans="3:5">
      <c r="C503">
        <f t="shared" si="16"/>
        <v>488</v>
      </c>
      <c r="D503">
        <f t="shared" si="15"/>
        <v>0</v>
      </c>
      <c r="E503">
        <f>1-SUM($D$16:D503)</f>
        <v>0</v>
      </c>
    </row>
    <row r="504" spans="3:5">
      <c r="C504">
        <f t="shared" si="16"/>
        <v>489</v>
      </c>
      <c r="D504">
        <f t="shared" si="15"/>
        <v>0</v>
      </c>
      <c r="E504">
        <f>1-SUM($D$16:D504)</f>
        <v>0</v>
      </c>
    </row>
    <row r="505" spans="3:5">
      <c r="C505">
        <f t="shared" si="16"/>
        <v>490</v>
      </c>
      <c r="D505">
        <f t="shared" si="15"/>
        <v>0</v>
      </c>
      <c r="E505">
        <f>1-SUM($D$16:D505)</f>
        <v>0</v>
      </c>
    </row>
    <row r="506" spans="3:5">
      <c r="C506">
        <f t="shared" si="16"/>
        <v>491</v>
      </c>
      <c r="D506">
        <f t="shared" si="15"/>
        <v>0</v>
      </c>
      <c r="E506">
        <f>1-SUM($D$16:D506)</f>
        <v>0</v>
      </c>
    </row>
    <row r="507" spans="3:5">
      <c r="C507">
        <f t="shared" si="16"/>
        <v>492</v>
      </c>
      <c r="D507">
        <f t="shared" si="15"/>
        <v>0</v>
      </c>
      <c r="E507">
        <f>1-SUM($D$16:D507)</f>
        <v>0</v>
      </c>
    </row>
    <row r="508" spans="3:5">
      <c r="C508">
        <f t="shared" si="16"/>
        <v>493</v>
      </c>
      <c r="D508">
        <f t="shared" si="15"/>
        <v>0</v>
      </c>
      <c r="E508">
        <f>1-SUM($D$16:D508)</f>
        <v>0</v>
      </c>
    </row>
    <row r="509" spans="3:5">
      <c r="C509">
        <f t="shared" si="16"/>
        <v>494</v>
      </c>
      <c r="D509">
        <f t="shared" si="15"/>
        <v>0</v>
      </c>
      <c r="E509">
        <f>1-SUM($D$16:D509)</f>
        <v>0</v>
      </c>
    </row>
    <row r="510" spans="3:5">
      <c r="C510">
        <f t="shared" si="16"/>
        <v>495</v>
      </c>
      <c r="D510">
        <f t="shared" si="15"/>
        <v>0</v>
      </c>
      <c r="E510">
        <f>1-SUM($D$16:D510)</f>
        <v>0</v>
      </c>
    </row>
    <row r="511" spans="3:5">
      <c r="C511">
        <f t="shared" si="16"/>
        <v>496</v>
      </c>
      <c r="D511">
        <f t="shared" si="15"/>
        <v>0</v>
      </c>
      <c r="E511">
        <f>1-SUM($D$16:D511)</f>
        <v>0</v>
      </c>
    </row>
    <row r="512" spans="3:5">
      <c r="C512">
        <f t="shared" si="16"/>
        <v>497</v>
      </c>
      <c r="D512">
        <f t="shared" si="15"/>
        <v>0</v>
      </c>
      <c r="E512">
        <f>1-SUM($D$16:D512)</f>
        <v>0</v>
      </c>
    </row>
    <row r="513" spans="3:5">
      <c r="C513">
        <f t="shared" si="16"/>
        <v>498</v>
      </c>
      <c r="D513">
        <f t="shared" si="15"/>
        <v>0</v>
      </c>
      <c r="E513">
        <f>1-SUM($D$16:D513)</f>
        <v>0</v>
      </c>
    </row>
    <row r="514" spans="3:5">
      <c r="C514">
        <f t="shared" si="16"/>
        <v>499</v>
      </c>
      <c r="D514">
        <f t="shared" si="15"/>
        <v>0</v>
      </c>
      <c r="E514">
        <f>1-SUM($D$16:D514)</f>
        <v>0</v>
      </c>
    </row>
    <row r="515" spans="3:5">
      <c r="C515">
        <f t="shared" si="16"/>
        <v>500</v>
      </c>
      <c r="D515">
        <f t="shared" si="15"/>
        <v>0</v>
      </c>
      <c r="E515">
        <f>1-SUM($D$16:D515)</f>
        <v>0</v>
      </c>
    </row>
    <row r="516" spans="3:5">
      <c r="C516">
        <f t="shared" si="16"/>
        <v>501</v>
      </c>
      <c r="D516">
        <f t="shared" si="15"/>
        <v>0</v>
      </c>
      <c r="E516">
        <f>1-SUM($D$16:D516)</f>
        <v>0</v>
      </c>
    </row>
    <row r="517" spans="3:5">
      <c r="C517">
        <f t="shared" si="16"/>
        <v>502</v>
      </c>
      <c r="D517">
        <f t="shared" si="15"/>
        <v>0</v>
      </c>
      <c r="E517">
        <f>1-SUM($D$16:D517)</f>
        <v>0</v>
      </c>
    </row>
    <row r="518" spans="3:5">
      <c r="C518">
        <f t="shared" si="16"/>
        <v>503</v>
      </c>
      <c r="D518">
        <f t="shared" si="15"/>
        <v>0</v>
      </c>
      <c r="E518">
        <f>1-SUM($D$16:D518)</f>
        <v>0</v>
      </c>
    </row>
    <row r="519" spans="3:5">
      <c r="C519">
        <f t="shared" si="16"/>
        <v>504</v>
      </c>
      <c r="D519">
        <f t="shared" si="15"/>
        <v>0</v>
      </c>
      <c r="E519">
        <f>1-SUM($D$16:D519)</f>
        <v>0</v>
      </c>
    </row>
    <row r="520" spans="3:5">
      <c r="C520">
        <f t="shared" si="16"/>
        <v>505</v>
      </c>
      <c r="D520">
        <f t="shared" si="15"/>
        <v>0</v>
      </c>
      <c r="E520">
        <f>1-SUM($D$16:D520)</f>
        <v>0</v>
      </c>
    </row>
    <row r="521" spans="3:5">
      <c r="C521">
        <f t="shared" si="16"/>
        <v>506</v>
      </c>
      <c r="D521">
        <f t="shared" si="15"/>
        <v>0</v>
      </c>
      <c r="E521">
        <f>1-SUM($D$16:D521)</f>
        <v>0</v>
      </c>
    </row>
    <row r="522" spans="3:5">
      <c r="C522">
        <f t="shared" si="16"/>
        <v>507</v>
      </c>
      <c r="D522">
        <f t="shared" si="15"/>
        <v>0</v>
      </c>
      <c r="E522">
        <f>1-SUM($D$16:D522)</f>
        <v>0</v>
      </c>
    </row>
    <row r="523" spans="3:5">
      <c r="C523">
        <f t="shared" si="16"/>
        <v>508</v>
      </c>
      <c r="D523">
        <f t="shared" si="15"/>
        <v>0</v>
      </c>
      <c r="E523">
        <f>1-SUM($D$16:D523)</f>
        <v>0</v>
      </c>
    </row>
    <row r="524" spans="3:5">
      <c r="C524">
        <f t="shared" si="16"/>
        <v>509</v>
      </c>
      <c r="D524">
        <f t="shared" si="15"/>
        <v>0</v>
      </c>
      <c r="E524">
        <f>1-SUM($D$16:D524)</f>
        <v>0</v>
      </c>
    </row>
    <row r="525" spans="3:5">
      <c r="C525">
        <f t="shared" si="16"/>
        <v>510</v>
      </c>
      <c r="D525">
        <f t="shared" si="15"/>
        <v>0</v>
      </c>
      <c r="E525">
        <f>1-SUM($D$16:D525)</f>
        <v>0</v>
      </c>
    </row>
    <row r="526" spans="3:5">
      <c r="C526">
        <f t="shared" si="16"/>
        <v>511</v>
      </c>
      <c r="D526">
        <f t="shared" si="15"/>
        <v>0</v>
      </c>
      <c r="E526">
        <f>1-SUM($D$16:D526)</f>
        <v>0</v>
      </c>
    </row>
    <row r="527" spans="3:5">
      <c r="C527">
        <f t="shared" si="16"/>
        <v>512</v>
      </c>
      <c r="D527">
        <f t="shared" si="15"/>
        <v>0</v>
      </c>
      <c r="E527">
        <f>1-SUM($D$16:D527)</f>
        <v>0</v>
      </c>
    </row>
    <row r="528" spans="3:5">
      <c r="C528">
        <f t="shared" si="16"/>
        <v>513</v>
      </c>
      <c r="D528">
        <f t="shared" si="15"/>
        <v>0</v>
      </c>
      <c r="E528">
        <f>1-SUM($D$16:D528)</f>
        <v>0</v>
      </c>
    </row>
    <row r="529" spans="3:5">
      <c r="C529">
        <f t="shared" si="16"/>
        <v>514</v>
      </c>
      <c r="D529">
        <f t="shared" si="15"/>
        <v>0</v>
      </c>
      <c r="E529">
        <f>1-SUM($D$16:D529)</f>
        <v>0</v>
      </c>
    </row>
    <row r="530" spans="3:5">
      <c r="C530">
        <f t="shared" si="16"/>
        <v>515</v>
      </c>
      <c r="D530">
        <f t="shared" ref="D530:D593" si="17">IF(C530=$E$14,E529,E529*$D$14)</f>
        <v>0</v>
      </c>
      <c r="E530">
        <f>1-SUM($D$16:D530)</f>
        <v>0</v>
      </c>
    </row>
    <row r="531" spans="3:5">
      <c r="C531">
        <f t="shared" si="16"/>
        <v>516</v>
      </c>
      <c r="D531">
        <f t="shared" si="17"/>
        <v>0</v>
      </c>
      <c r="E531">
        <f>1-SUM($D$16:D531)</f>
        <v>0</v>
      </c>
    </row>
    <row r="532" spans="3:5">
      <c r="C532">
        <f t="shared" si="16"/>
        <v>517</v>
      </c>
      <c r="D532">
        <f t="shared" si="17"/>
        <v>0</v>
      </c>
      <c r="E532">
        <f>1-SUM($D$16:D532)</f>
        <v>0</v>
      </c>
    </row>
    <row r="533" spans="3:5">
      <c r="C533">
        <f t="shared" si="16"/>
        <v>518</v>
      </c>
      <c r="D533">
        <f t="shared" si="17"/>
        <v>0</v>
      </c>
      <c r="E533">
        <f>1-SUM($D$16:D533)</f>
        <v>0</v>
      </c>
    </row>
    <row r="534" spans="3:5">
      <c r="C534">
        <f t="shared" ref="C534:C597" si="18">C533+1</f>
        <v>519</v>
      </c>
      <c r="D534">
        <f t="shared" si="17"/>
        <v>0</v>
      </c>
      <c r="E534">
        <f>1-SUM($D$16:D534)</f>
        <v>0</v>
      </c>
    </row>
    <row r="535" spans="3:5">
      <c r="C535">
        <f t="shared" si="18"/>
        <v>520</v>
      </c>
      <c r="D535">
        <f t="shared" si="17"/>
        <v>0</v>
      </c>
      <c r="E535">
        <f>1-SUM($D$16:D535)</f>
        <v>0</v>
      </c>
    </row>
    <row r="536" spans="3:5">
      <c r="C536">
        <f t="shared" si="18"/>
        <v>521</v>
      </c>
      <c r="D536">
        <f t="shared" si="17"/>
        <v>0</v>
      </c>
      <c r="E536">
        <f>1-SUM($D$16:D536)</f>
        <v>0</v>
      </c>
    </row>
    <row r="537" spans="3:5">
      <c r="C537">
        <f t="shared" si="18"/>
        <v>522</v>
      </c>
      <c r="D537">
        <f t="shared" si="17"/>
        <v>0</v>
      </c>
      <c r="E537">
        <f>1-SUM($D$16:D537)</f>
        <v>0</v>
      </c>
    </row>
    <row r="538" spans="3:5">
      <c r="C538">
        <f t="shared" si="18"/>
        <v>523</v>
      </c>
      <c r="D538">
        <f t="shared" si="17"/>
        <v>0</v>
      </c>
      <c r="E538">
        <f>1-SUM($D$16:D538)</f>
        <v>0</v>
      </c>
    </row>
    <row r="539" spans="3:5">
      <c r="C539">
        <f t="shared" si="18"/>
        <v>524</v>
      </c>
      <c r="D539">
        <f t="shared" si="17"/>
        <v>0</v>
      </c>
      <c r="E539">
        <f>1-SUM($D$16:D539)</f>
        <v>0</v>
      </c>
    </row>
    <row r="540" spans="3:5">
      <c r="C540">
        <f t="shared" si="18"/>
        <v>525</v>
      </c>
      <c r="D540">
        <f t="shared" si="17"/>
        <v>0</v>
      </c>
      <c r="E540">
        <f>1-SUM($D$16:D540)</f>
        <v>0</v>
      </c>
    </row>
    <row r="541" spans="3:5">
      <c r="C541">
        <f t="shared" si="18"/>
        <v>526</v>
      </c>
      <c r="D541">
        <f t="shared" si="17"/>
        <v>0</v>
      </c>
      <c r="E541">
        <f>1-SUM($D$16:D541)</f>
        <v>0</v>
      </c>
    </row>
    <row r="542" spans="3:5">
      <c r="C542">
        <f t="shared" si="18"/>
        <v>527</v>
      </c>
      <c r="D542">
        <f t="shared" si="17"/>
        <v>0</v>
      </c>
      <c r="E542">
        <f>1-SUM($D$16:D542)</f>
        <v>0</v>
      </c>
    </row>
    <row r="543" spans="3:5">
      <c r="C543">
        <f t="shared" si="18"/>
        <v>528</v>
      </c>
      <c r="D543">
        <f t="shared" si="17"/>
        <v>0</v>
      </c>
      <c r="E543">
        <f>1-SUM($D$16:D543)</f>
        <v>0</v>
      </c>
    </row>
    <row r="544" spans="3:5">
      <c r="C544">
        <f t="shared" si="18"/>
        <v>529</v>
      </c>
      <c r="D544">
        <f t="shared" si="17"/>
        <v>0</v>
      </c>
      <c r="E544">
        <f>1-SUM($D$16:D544)</f>
        <v>0</v>
      </c>
    </row>
    <row r="545" spans="3:5">
      <c r="C545">
        <f t="shared" si="18"/>
        <v>530</v>
      </c>
      <c r="D545">
        <f t="shared" si="17"/>
        <v>0</v>
      </c>
      <c r="E545">
        <f>1-SUM($D$16:D545)</f>
        <v>0</v>
      </c>
    </row>
    <row r="546" spans="3:5">
      <c r="C546">
        <f t="shared" si="18"/>
        <v>531</v>
      </c>
      <c r="D546">
        <f t="shared" si="17"/>
        <v>0</v>
      </c>
      <c r="E546">
        <f>1-SUM($D$16:D546)</f>
        <v>0</v>
      </c>
    </row>
    <row r="547" spans="3:5">
      <c r="C547">
        <f t="shared" si="18"/>
        <v>532</v>
      </c>
      <c r="D547">
        <f t="shared" si="17"/>
        <v>0</v>
      </c>
      <c r="E547">
        <f>1-SUM($D$16:D547)</f>
        <v>0</v>
      </c>
    </row>
    <row r="548" spans="3:5">
      <c r="C548">
        <f t="shared" si="18"/>
        <v>533</v>
      </c>
      <c r="D548">
        <f t="shared" si="17"/>
        <v>0</v>
      </c>
      <c r="E548">
        <f>1-SUM($D$16:D548)</f>
        <v>0</v>
      </c>
    </row>
    <row r="549" spans="3:5">
      <c r="C549">
        <f t="shared" si="18"/>
        <v>534</v>
      </c>
      <c r="D549">
        <f t="shared" si="17"/>
        <v>0</v>
      </c>
      <c r="E549">
        <f>1-SUM($D$16:D549)</f>
        <v>0</v>
      </c>
    </row>
    <row r="550" spans="3:5">
      <c r="C550">
        <f t="shared" si="18"/>
        <v>535</v>
      </c>
      <c r="D550">
        <f t="shared" si="17"/>
        <v>0</v>
      </c>
      <c r="E550">
        <f>1-SUM($D$16:D550)</f>
        <v>0</v>
      </c>
    </row>
    <row r="551" spans="3:5">
      <c r="C551">
        <f t="shared" si="18"/>
        <v>536</v>
      </c>
      <c r="D551">
        <f t="shared" si="17"/>
        <v>0</v>
      </c>
      <c r="E551">
        <f>1-SUM($D$16:D551)</f>
        <v>0</v>
      </c>
    </row>
    <row r="552" spans="3:5">
      <c r="C552">
        <f t="shared" si="18"/>
        <v>537</v>
      </c>
      <c r="D552">
        <f t="shared" si="17"/>
        <v>0</v>
      </c>
      <c r="E552">
        <f>1-SUM($D$16:D552)</f>
        <v>0</v>
      </c>
    </row>
    <row r="553" spans="3:5">
      <c r="C553">
        <f t="shared" si="18"/>
        <v>538</v>
      </c>
      <c r="D553">
        <f t="shared" si="17"/>
        <v>0</v>
      </c>
      <c r="E553">
        <f>1-SUM($D$16:D553)</f>
        <v>0</v>
      </c>
    </row>
    <row r="554" spans="3:5">
      <c r="C554">
        <f t="shared" si="18"/>
        <v>539</v>
      </c>
      <c r="D554">
        <f t="shared" si="17"/>
        <v>0</v>
      </c>
      <c r="E554">
        <f>1-SUM($D$16:D554)</f>
        <v>0</v>
      </c>
    </row>
    <row r="555" spans="3:5">
      <c r="C555">
        <f t="shared" si="18"/>
        <v>540</v>
      </c>
      <c r="D555">
        <f t="shared" si="17"/>
        <v>0</v>
      </c>
      <c r="E555">
        <f>1-SUM($D$16:D555)</f>
        <v>0</v>
      </c>
    </row>
    <row r="556" spans="3:5">
      <c r="C556">
        <f t="shared" si="18"/>
        <v>541</v>
      </c>
      <c r="D556">
        <f t="shared" si="17"/>
        <v>0</v>
      </c>
      <c r="E556">
        <f>1-SUM($D$16:D556)</f>
        <v>0</v>
      </c>
    </row>
    <row r="557" spans="3:5">
      <c r="C557">
        <f t="shared" si="18"/>
        <v>542</v>
      </c>
      <c r="D557">
        <f t="shared" si="17"/>
        <v>0</v>
      </c>
      <c r="E557">
        <f>1-SUM($D$16:D557)</f>
        <v>0</v>
      </c>
    </row>
    <row r="558" spans="3:5">
      <c r="C558">
        <f t="shared" si="18"/>
        <v>543</v>
      </c>
      <c r="D558">
        <f t="shared" si="17"/>
        <v>0</v>
      </c>
      <c r="E558">
        <f>1-SUM($D$16:D558)</f>
        <v>0</v>
      </c>
    </row>
    <row r="559" spans="3:5">
      <c r="C559">
        <f t="shared" si="18"/>
        <v>544</v>
      </c>
      <c r="D559">
        <f t="shared" si="17"/>
        <v>0</v>
      </c>
      <c r="E559">
        <f>1-SUM($D$16:D559)</f>
        <v>0</v>
      </c>
    </row>
    <row r="560" spans="3:5">
      <c r="C560">
        <f t="shared" si="18"/>
        <v>545</v>
      </c>
      <c r="D560">
        <f t="shared" si="17"/>
        <v>0</v>
      </c>
      <c r="E560">
        <f>1-SUM($D$16:D560)</f>
        <v>0</v>
      </c>
    </row>
    <row r="561" spans="3:5">
      <c r="C561">
        <f t="shared" si="18"/>
        <v>546</v>
      </c>
      <c r="D561">
        <f t="shared" si="17"/>
        <v>0</v>
      </c>
      <c r="E561">
        <f>1-SUM($D$16:D561)</f>
        <v>0</v>
      </c>
    </row>
    <row r="562" spans="3:5">
      <c r="C562">
        <f t="shared" si="18"/>
        <v>547</v>
      </c>
      <c r="D562">
        <f t="shared" si="17"/>
        <v>0</v>
      </c>
      <c r="E562">
        <f>1-SUM($D$16:D562)</f>
        <v>0</v>
      </c>
    </row>
    <row r="563" spans="3:5">
      <c r="C563">
        <f t="shared" si="18"/>
        <v>548</v>
      </c>
      <c r="D563">
        <f t="shared" si="17"/>
        <v>0</v>
      </c>
      <c r="E563">
        <f>1-SUM($D$16:D563)</f>
        <v>0</v>
      </c>
    </row>
    <row r="564" spans="3:5">
      <c r="C564">
        <f t="shared" si="18"/>
        <v>549</v>
      </c>
      <c r="D564">
        <f t="shared" si="17"/>
        <v>0</v>
      </c>
      <c r="E564">
        <f>1-SUM($D$16:D564)</f>
        <v>0</v>
      </c>
    </row>
    <row r="565" spans="3:5">
      <c r="C565">
        <f t="shared" si="18"/>
        <v>550</v>
      </c>
      <c r="D565">
        <f t="shared" si="17"/>
        <v>0</v>
      </c>
      <c r="E565">
        <f>1-SUM($D$16:D565)</f>
        <v>0</v>
      </c>
    </row>
    <row r="566" spans="3:5">
      <c r="C566">
        <f t="shared" si="18"/>
        <v>551</v>
      </c>
      <c r="D566">
        <f t="shared" si="17"/>
        <v>0</v>
      </c>
      <c r="E566">
        <f>1-SUM($D$16:D566)</f>
        <v>0</v>
      </c>
    </row>
    <row r="567" spans="3:5">
      <c r="C567">
        <f t="shared" si="18"/>
        <v>552</v>
      </c>
      <c r="D567">
        <f t="shared" si="17"/>
        <v>0</v>
      </c>
      <c r="E567">
        <f>1-SUM($D$16:D567)</f>
        <v>0</v>
      </c>
    </row>
    <row r="568" spans="3:5">
      <c r="C568">
        <f t="shared" si="18"/>
        <v>553</v>
      </c>
      <c r="D568">
        <f t="shared" si="17"/>
        <v>0</v>
      </c>
      <c r="E568">
        <f>1-SUM($D$16:D568)</f>
        <v>0</v>
      </c>
    </row>
    <row r="569" spans="3:5">
      <c r="C569">
        <f t="shared" si="18"/>
        <v>554</v>
      </c>
      <c r="D569">
        <f t="shared" si="17"/>
        <v>0</v>
      </c>
      <c r="E569">
        <f>1-SUM($D$16:D569)</f>
        <v>0</v>
      </c>
    </row>
    <row r="570" spans="3:5">
      <c r="C570">
        <f t="shared" si="18"/>
        <v>555</v>
      </c>
      <c r="D570">
        <f t="shared" si="17"/>
        <v>0</v>
      </c>
      <c r="E570">
        <f>1-SUM($D$16:D570)</f>
        <v>0</v>
      </c>
    </row>
    <row r="571" spans="3:5">
      <c r="C571">
        <f t="shared" si="18"/>
        <v>556</v>
      </c>
      <c r="D571">
        <f t="shared" si="17"/>
        <v>0</v>
      </c>
      <c r="E571">
        <f>1-SUM($D$16:D571)</f>
        <v>0</v>
      </c>
    </row>
    <row r="572" spans="3:5">
      <c r="C572">
        <f t="shared" si="18"/>
        <v>557</v>
      </c>
      <c r="D572">
        <f t="shared" si="17"/>
        <v>0</v>
      </c>
      <c r="E572">
        <f>1-SUM($D$16:D572)</f>
        <v>0</v>
      </c>
    </row>
    <row r="573" spans="3:5">
      <c r="C573">
        <f t="shared" si="18"/>
        <v>558</v>
      </c>
      <c r="D573">
        <f t="shared" si="17"/>
        <v>0</v>
      </c>
      <c r="E573">
        <f>1-SUM($D$16:D573)</f>
        <v>0</v>
      </c>
    </row>
    <row r="574" spans="3:5">
      <c r="C574">
        <f t="shared" si="18"/>
        <v>559</v>
      </c>
      <c r="D574">
        <f t="shared" si="17"/>
        <v>0</v>
      </c>
      <c r="E574">
        <f>1-SUM($D$16:D574)</f>
        <v>0</v>
      </c>
    </row>
    <row r="575" spans="3:5">
      <c r="C575">
        <f t="shared" si="18"/>
        <v>560</v>
      </c>
      <c r="D575">
        <f t="shared" si="17"/>
        <v>0</v>
      </c>
      <c r="E575">
        <f>1-SUM($D$16:D575)</f>
        <v>0</v>
      </c>
    </row>
    <row r="576" spans="3:5">
      <c r="C576">
        <f t="shared" si="18"/>
        <v>561</v>
      </c>
      <c r="D576">
        <f t="shared" si="17"/>
        <v>0</v>
      </c>
      <c r="E576">
        <f>1-SUM($D$16:D576)</f>
        <v>0</v>
      </c>
    </row>
    <row r="577" spans="3:5">
      <c r="C577">
        <f t="shared" si="18"/>
        <v>562</v>
      </c>
      <c r="D577">
        <f t="shared" si="17"/>
        <v>0</v>
      </c>
      <c r="E577">
        <f>1-SUM($D$16:D577)</f>
        <v>0</v>
      </c>
    </row>
    <row r="578" spans="3:5">
      <c r="C578">
        <f t="shared" si="18"/>
        <v>563</v>
      </c>
      <c r="D578">
        <f t="shared" si="17"/>
        <v>0</v>
      </c>
      <c r="E578">
        <f>1-SUM($D$16:D578)</f>
        <v>0</v>
      </c>
    </row>
    <row r="579" spans="3:5">
      <c r="C579">
        <f t="shared" si="18"/>
        <v>564</v>
      </c>
      <c r="D579">
        <f t="shared" si="17"/>
        <v>0</v>
      </c>
      <c r="E579">
        <f>1-SUM($D$16:D579)</f>
        <v>0</v>
      </c>
    </row>
    <row r="580" spans="3:5">
      <c r="C580">
        <f t="shared" si="18"/>
        <v>565</v>
      </c>
      <c r="D580">
        <f t="shared" si="17"/>
        <v>0</v>
      </c>
      <c r="E580">
        <f>1-SUM($D$16:D580)</f>
        <v>0</v>
      </c>
    </row>
    <row r="581" spans="3:5">
      <c r="C581">
        <f t="shared" si="18"/>
        <v>566</v>
      </c>
      <c r="D581">
        <f t="shared" si="17"/>
        <v>0</v>
      </c>
      <c r="E581">
        <f>1-SUM($D$16:D581)</f>
        <v>0</v>
      </c>
    </row>
    <row r="582" spans="3:5">
      <c r="C582">
        <f t="shared" si="18"/>
        <v>567</v>
      </c>
      <c r="D582">
        <f t="shared" si="17"/>
        <v>0</v>
      </c>
      <c r="E582">
        <f>1-SUM($D$16:D582)</f>
        <v>0</v>
      </c>
    </row>
    <row r="583" spans="3:5">
      <c r="C583">
        <f t="shared" si="18"/>
        <v>568</v>
      </c>
      <c r="D583">
        <f t="shared" si="17"/>
        <v>0</v>
      </c>
      <c r="E583">
        <f>1-SUM($D$16:D583)</f>
        <v>0</v>
      </c>
    </row>
    <row r="584" spans="3:5">
      <c r="C584">
        <f t="shared" si="18"/>
        <v>569</v>
      </c>
      <c r="D584">
        <f t="shared" si="17"/>
        <v>0</v>
      </c>
      <c r="E584">
        <f>1-SUM($D$16:D584)</f>
        <v>0</v>
      </c>
    </row>
    <row r="585" spans="3:5">
      <c r="C585">
        <f t="shared" si="18"/>
        <v>570</v>
      </c>
      <c r="D585">
        <f t="shared" si="17"/>
        <v>0</v>
      </c>
      <c r="E585">
        <f>1-SUM($D$16:D585)</f>
        <v>0</v>
      </c>
    </row>
    <row r="586" spans="3:5">
      <c r="C586">
        <f t="shared" si="18"/>
        <v>571</v>
      </c>
      <c r="D586">
        <f t="shared" si="17"/>
        <v>0</v>
      </c>
      <c r="E586">
        <f>1-SUM($D$16:D586)</f>
        <v>0</v>
      </c>
    </row>
    <row r="587" spans="3:5">
      <c r="C587">
        <f t="shared" si="18"/>
        <v>572</v>
      </c>
      <c r="D587">
        <f t="shared" si="17"/>
        <v>0</v>
      </c>
      <c r="E587">
        <f>1-SUM($D$16:D587)</f>
        <v>0</v>
      </c>
    </row>
    <row r="588" spans="3:5">
      <c r="C588">
        <f t="shared" si="18"/>
        <v>573</v>
      </c>
      <c r="D588">
        <f t="shared" si="17"/>
        <v>0</v>
      </c>
      <c r="E588">
        <f>1-SUM($D$16:D588)</f>
        <v>0</v>
      </c>
    </row>
    <row r="589" spans="3:5">
      <c r="C589">
        <f t="shared" si="18"/>
        <v>574</v>
      </c>
      <c r="D589">
        <f t="shared" si="17"/>
        <v>0</v>
      </c>
      <c r="E589">
        <f>1-SUM($D$16:D589)</f>
        <v>0</v>
      </c>
    </row>
    <row r="590" spans="3:5">
      <c r="C590">
        <f t="shared" si="18"/>
        <v>575</v>
      </c>
      <c r="D590">
        <f t="shared" si="17"/>
        <v>0</v>
      </c>
      <c r="E590">
        <f>1-SUM($D$16:D590)</f>
        <v>0</v>
      </c>
    </row>
    <row r="591" spans="3:5">
      <c r="C591">
        <f t="shared" si="18"/>
        <v>576</v>
      </c>
      <c r="D591">
        <f t="shared" si="17"/>
        <v>0</v>
      </c>
      <c r="E591">
        <f>1-SUM($D$16:D591)</f>
        <v>0</v>
      </c>
    </row>
    <row r="592" spans="3:5">
      <c r="C592">
        <f t="shared" si="18"/>
        <v>577</v>
      </c>
      <c r="D592">
        <f t="shared" si="17"/>
        <v>0</v>
      </c>
      <c r="E592">
        <f>1-SUM($D$16:D592)</f>
        <v>0</v>
      </c>
    </row>
    <row r="593" spans="3:5">
      <c r="C593">
        <f t="shared" si="18"/>
        <v>578</v>
      </c>
      <c r="D593">
        <f t="shared" si="17"/>
        <v>0</v>
      </c>
      <c r="E593">
        <f>1-SUM($D$16:D593)</f>
        <v>0</v>
      </c>
    </row>
    <row r="594" spans="3:5">
      <c r="C594">
        <f t="shared" si="18"/>
        <v>579</v>
      </c>
      <c r="D594">
        <f t="shared" ref="D594:D657" si="19">IF(C594=$E$14,E593,E593*$D$14)</f>
        <v>0</v>
      </c>
      <c r="E594">
        <f>1-SUM($D$16:D594)</f>
        <v>0</v>
      </c>
    </row>
    <row r="595" spans="3:5">
      <c r="C595">
        <f t="shared" si="18"/>
        <v>580</v>
      </c>
      <c r="D595">
        <f t="shared" si="19"/>
        <v>0</v>
      </c>
      <c r="E595">
        <f>1-SUM($D$16:D595)</f>
        <v>0</v>
      </c>
    </row>
    <row r="596" spans="3:5">
      <c r="C596">
        <f t="shared" si="18"/>
        <v>581</v>
      </c>
      <c r="D596">
        <f t="shared" si="19"/>
        <v>0</v>
      </c>
      <c r="E596">
        <f>1-SUM($D$16:D596)</f>
        <v>0</v>
      </c>
    </row>
    <row r="597" spans="3:5">
      <c r="C597">
        <f t="shared" si="18"/>
        <v>582</v>
      </c>
      <c r="D597">
        <f t="shared" si="19"/>
        <v>0</v>
      </c>
      <c r="E597">
        <f>1-SUM($D$16:D597)</f>
        <v>0</v>
      </c>
    </row>
    <row r="598" spans="3:5">
      <c r="C598">
        <f t="shared" ref="C598:C661" si="20">C597+1</f>
        <v>583</v>
      </c>
      <c r="D598">
        <f t="shared" si="19"/>
        <v>0</v>
      </c>
      <c r="E598">
        <f>1-SUM($D$16:D598)</f>
        <v>0</v>
      </c>
    </row>
    <row r="599" spans="3:5">
      <c r="C599">
        <f t="shared" si="20"/>
        <v>584</v>
      </c>
      <c r="D599">
        <f t="shared" si="19"/>
        <v>0</v>
      </c>
      <c r="E599">
        <f>1-SUM($D$16:D599)</f>
        <v>0</v>
      </c>
    </row>
    <row r="600" spans="3:5">
      <c r="C600">
        <f t="shared" si="20"/>
        <v>585</v>
      </c>
      <c r="D600">
        <f t="shared" si="19"/>
        <v>0</v>
      </c>
      <c r="E600">
        <f>1-SUM($D$16:D600)</f>
        <v>0</v>
      </c>
    </row>
    <row r="601" spans="3:5">
      <c r="C601">
        <f t="shared" si="20"/>
        <v>586</v>
      </c>
      <c r="D601">
        <f t="shared" si="19"/>
        <v>0</v>
      </c>
      <c r="E601">
        <f>1-SUM($D$16:D601)</f>
        <v>0</v>
      </c>
    </row>
    <row r="602" spans="3:5">
      <c r="C602">
        <f t="shared" si="20"/>
        <v>587</v>
      </c>
      <c r="D602">
        <f t="shared" si="19"/>
        <v>0</v>
      </c>
      <c r="E602">
        <f>1-SUM($D$16:D602)</f>
        <v>0</v>
      </c>
    </row>
    <row r="603" spans="3:5">
      <c r="C603">
        <f t="shared" si="20"/>
        <v>588</v>
      </c>
      <c r="D603">
        <f t="shared" si="19"/>
        <v>0</v>
      </c>
      <c r="E603">
        <f>1-SUM($D$16:D603)</f>
        <v>0</v>
      </c>
    </row>
    <row r="604" spans="3:5">
      <c r="C604">
        <f t="shared" si="20"/>
        <v>589</v>
      </c>
      <c r="D604">
        <f t="shared" si="19"/>
        <v>0</v>
      </c>
      <c r="E604">
        <f>1-SUM($D$16:D604)</f>
        <v>0</v>
      </c>
    </row>
    <row r="605" spans="3:5">
      <c r="C605">
        <f t="shared" si="20"/>
        <v>590</v>
      </c>
      <c r="D605">
        <f t="shared" si="19"/>
        <v>0</v>
      </c>
      <c r="E605">
        <f>1-SUM($D$16:D605)</f>
        <v>0</v>
      </c>
    </row>
    <row r="606" spans="3:5">
      <c r="C606">
        <f t="shared" si="20"/>
        <v>591</v>
      </c>
      <c r="D606">
        <f t="shared" si="19"/>
        <v>0</v>
      </c>
      <c r="E606">
        <f>1-SUM($D$16:D606)</f>
        <v>0</v>
      </c>
    </row>
    <row r="607" spans="3:5">
      <c r="C607">
        <f t="shared" si="20"/>
        <v>592</v>
      </c>
      <c r="D607">
        <f t="shared" si="19"/>
        <v>0</v>
      </c>
      <c r="E607">
        <f>1-SUM($D$16:D607)</f>
        <v>0</v>
      </c>
    </row>
    <row r="608" spans="3:5">
      <c r="C608">
        <f t="shared" si="20"/>
        <v>593</v>
      </c>
      <c r="D608">
        <f t="shared" si="19"/>
        <v>0</v>
      </c>
      <c r="E608">
        <f>1-SUM($D$16:D608)</f>
        <v>0</v>
      </c>
    </row>
    <row r="609" spans="3:5">
      <c r="C609">
        <f t="shared" si="20"/>
        <v>594</v>
      </c>
      <c r="D609">
        <f t="shared" si="19"/>
        <v>0</v>
      </c>
      <c r="E609">
        <f>1-SUM($D$16:D609)</f>
        <v>0</v>
      </c>
    </row>
    <row r="610" spans="3:5">
      <c r="C610">
        <f t="shared" si="20"/>
        <v>595</v>
      </c>
      <c r="D610">
        <f t="shared" si="19"/>
        <v>0</v>
      </c>
      <c r="E610">
        <f>1-SUM($D$16:D610)</f>
        <v>0</v>
      </c>
    </row>
    <row r="611" spans="3:5">
      <c r="C611">
        <f t="shared" si="20"/>
        <v>596</v>
      </c>
      <c r="D611">
        <f t="shared" si="19"/>
        <v>0</v>
      </c>
      <c r="E611">
        <f>1-SUM($D$16:D611)</f>
        <v>0</v>
      </c>
    </row>
    <row r="612" spans="3:5">
      <c r="C612">
        <f t="shared" si="20"/>
        <v>597</v>
      </c>
      <c r="D612">
        <f t="shared" si="19"/>
        <v>0</v>
      </c>
      <c r="E612">
        <f>1-SUM($D$16:D612)</f>
        <v>0</v>
      </c>
    </row>
    <row r="613" spans="3:5">
      <c r="C613">
        <f t="shared" si="20"/>
        <v>598</v>
      </c>
      <c r="D613">
        <f t="shared" si="19"/>
        <v>0</v>
      </c>
      <c r="E613">
        <f>1-SUM($D$16:D613)</f>
        <v>0</v>
      </c>
    </row>
    <row r="614" spans="3:5">
      <c r="C614">
        <f t="shared" si="20"/>
        <v>599</v>
      </c>
      <c r="D614">
        <f t="shared" si="19"/>
        <v>0</v>
      </c>
      <c r="E614">
        <f>1-SUM($D$16:D614)</f>
        <v>0</v>
      </c>
    </row>
    <row r="615" spans="3:5">
      <c r="C615">
        <f t="shared" si="20"/>
        <v>600</v>
      </c>
      <c r="D615">
        <f t="shared" si="19"/>
        <v>0</v>
      </c>
      <c r="E615">
        <f>1-SUM($D$16:D615)</f>
        <v>0</v>
      </c>
    </row>
    <row r="616" spans="3:5">
      <c r="C616">
        <f t="shared" si="20"/>
        <v>601</v>
      </c>
      <c r="D616">
        <f t="shared" si="19"/>
        <v>0</v>
      </c>
      <c r="E616">
        <f>1-SUM($D$16:D616)</f>
        <v>0</v>
      </c>
    </row>
    <row r="617" spans="3:5">
      <c r="C617">
        <f t="shared" si="20"/>
        <v>602</v>
      </c>
      <c r="D617">
        <f t="shared" si="19"/>
        <v>0</v>
      </c>
      <c r="E617">
        <f>1-SUM($D$16:D617)</f>
        <v>0</v>
      </c>
    </row>
    <row r="618" spans="3:5">
      <c r="C618">
        <f t="shared" si="20"/>
        <v>603</v>
      </c>
      <c r="D618">
        <f t="shared" si="19"/>
        <v>0</v>
      </c>
      <c r="E618">
        <f>1-SUM($D$16:D618)</f>
        <v>0</v>
      </c>
    </row>
    <row r="619" spans="3:5">
      <c r="C619">
        <f t="shared" si="20"/>
        <v>604</v>
      </c>
      <c r="D619">
        <f t="shared" si="19"/>
        <v>0</v>
      </c>
      <c r="E619">
        <f>1-SUM($D$16:D619)</f>
        <v>0</v>
      </c>
    </row>
    <row r="620" spans="3:5">
      <c r="C620">
        <f t="shared" si="20"/>
        <v>605</v>
      </c>
      <c r="D620">
        <f t="shared" si="19"/>
        <v>0</v>
      </c>
      <c r="E620">
        <f>1-SUM($D$16:D620)</f>
        <v>0</v>
      </c>
    </row>
    <row r="621" spans="3:5">
      <c r="C621">
        <f t="shared" si="20"/>
        <v>606</v>
      </c>
      <c r="D621">
        <f t="shared" si="19"/>
        <v>0</v>
      </c>
      <c r="E621">
        <f>1-SUM($D$16:D621)</f>
        <v>0</v>
      </c>
    </row>
    <row r="622" spans="3:5">
      <c r="C622">
        <f t="shared" si="20"/>
        <v>607</v>
      </c>
      <c r="D622">
        <f t="shared" si="19"/>
        <v>0</v>
      </c>
      <c r="E622">
        <f>1-SUM($D$16:D622)</f>
        <v>0</v>
      </c>
    </row>
    <row r="623" spans="3:5">
      <c r="C623">
        <f t="shared" si="20"/>
        <v>608</v>
      </c>
      <c r="D623">
        <f t="shared" si="19"/>
        <v>0</v>
      </c>
      <c r="E623">
        <f>1-SUM($D$16:D623)</f>
        <v>0</v>
      </c>
    </row>
    <row r="624" spans="3:5">
      <c r="C624">
        <f t="shared" si="20"/>
        <v>609</v>
      </c>
      <c r="D624">
        <f t="shared" si="19"/>
        <v>0</v>
      </c>
      <c r="E624">
        <f>1-SUM($D$16:D624)</f>
        <v>0</v>
      </c>
    </row>
    <row r="625" spans="3:5">
      <c r="C625">
        <f t="shared" si="20"/>
        <v>610</v>
      </c>
      <c r="D625">
        <f t="shared" si="19"/>
        <v>0</v>
      </c>
      <c r="E625">
        <f>1-SUM($D$16:D625)</f>
        <v>0</v>
      </c>
    </row>
    <row r="626" spans="3:5">
      <c r="C626">
        <f t="shared" si="20"/>
        <v>611</v>
      </c>
      <c r="D626">
        <f t="shared" si="19"/>
        <v>0</v>
      </c>
      <c r="E626">
        <f>1-SUM($D$16:D626)</f>
        <v>0</v>
      </c>
    </row>
    <row r="627" spans="3:5">
      <c r="C627">
        <f t="shared" si="20"/>
        <v>612</v>
      </c>
      <c r="D627">
        <f t="shared" si="19"/>
        <v>0</v>
      </c>
      <c r="E627">
        <f>1-SUM($D$16:D627)</f>
        <v>0</v>
      </c>
    </row>
    <row r="628" spans="3:5">
      <c r="C628">
        <f t="shared" si="20"/>
        <v>613</v>
      </c>
      <c r="D628">
        <f t="shared" si="19"/>
        <v>0</v>
      </c>
      <c r="E628">
        <f>1-SUM($D$16:D628)</f>
        <v>0</v>
      </c>
    </row>
    <row r="629" spans="3:5">
      <c r="C629">
        <f t="shared" si="20"/>
        <v>614</v>
      </c>
      <c r="D629">
        <f t="shared" si="19"/>
        <v>0</v>
      </c>
      <c r="E629">
        <f>1-SUM($D$16:D629)</f>
        <v>0</v>
      </c>
    </row>
    <row r="630" spans="3:5">
      <c r="C630">
        <f t="shared" si="20"/>
        <v>615</v>
      </c>
      <c r="D630">
        <f t="shared" si="19"/>
        <v>0</v>
      </c>
      <c r="E630">
        <f>1-SUM($D$16:D630)</f>
        <v>0</v>
      </c>
    </row>
    <row r="631" spans="3:5">
      <c r="C631">
        <f t="shared" si="20"/>
        <v>616</v>
      </c>
      <c r="D631">
        <f t="shared" si="19"/>
        <v>0</v>
      </c>
      <c r="E631">
        <f>1-SUM($D$16:D631)</f>
        <v>0</v>
      </c>
    </row>
    <row r="632" spans="3:5">
      <c r="C632">
        <f t="shared" si="20"/>
        <v>617</v>
      </c>
      <c r="D632">
        <f t="shared" si="19"/>
        <v>0</v>
      </c>
      <c r="E632">
        <f>1-SUM($D$16:D632)</f>
        <v>0</v>
      </c>
    </row>
    <row r="633" spans="3:5">
      <c r="C633">
        <f t="shared" si="20"/>
        <v>618</v>
      </c>
      <c r="D633">
        <f t="shared" si="19"/>
        <v>0</v>
      </c>
      <c r="E633">
        <f>1-SUM($D$16:D633)</f>
        <v>0</v>
      </c>
    </row>
    <row r="634" spans="3:5">
      <c r="C634">
        <f t="shared" si="20"/>
        <v>619</v>
      </c>
      <c r="D634">
        <f t="shared" si="19"/>
        <v>0</v>
      </c>
      <c r="E634">
        <f>1-SUM($D$16:D634)</f>
        <v>0</v>
      </c>
    </row>
    <row r="635" spans="3:5">
      <c r="C635">
        <f t="shared" si="20"/>
        <v>620</v>
      </c>
      <c r="D635">
        <f t="shared" si="19"/>
        <v>0</v>
      </c>
      <c r="E635">
        <f>1-SUM($D$16:D635)</f>
        <v>0</v>
      </c>
    </row>
    <row r="636" spans="3:5">
      <c r="C636">
        <f t="shared" si="20"/>
        <v>621</v>
      </c>
      <c r="D636">
        <f t="shared" si="19"/>
        <v>0</v>
      </c>
      <c r="E636">
        <f>1-SUM($D$16:D636)</f>
        <v>0</v>
      </c>
    </row>
    <row r="637" spans="3:5">
      <c r="C637">
        <f t="shared" si="20"/>
        <v>622</v>
      </c>
      <c r="D637">
        <f t="shared" si="19"/>
        <v>0</v>
      </c>
      <c r="E637">
        <f>1-SUM($D$16:D637)</f>
        <v>0</v>
      </c>
    </row>
    <row r="638" spans="3:5">
      <c r="C638">
        <f t="shared" si="20"/>
        <v>623</v>
      </c>
      <c r="D638">
        <f t="shared" si="19"/>
        <v>0</v>
      </c>
      <c r="E638">
        <f>1-SUM($D$16:D638)</f>
        <v>0</v>
      </c>
    </row>
    <row r="639" spans="3:5">
      <c r="C639">
        <f t="shared" si="20"/>
        <v>624</v>
      </c>
      <c r="D639">
        <f t="shared" si="19"/>
        <v>0</v>
      </c>
      <c r="E639">
        <f>1-SUM($D$16:D639)</f>
        <v>0</v>
      </c>
    </row>
    <row r="640" spans="3:5">
      <c r="C640">
        <f t="shared" si="20"/>
        <v>625</v>
      </c>
      <c r="D640">
        <f t="shared" si="19"/>
        <v>0</v>
      </c>
      <c r="E640">
        <f>1-SUM($D$16:D640)</f>
        <v>0</v>
      </c>
    </row>
    <row r="641" spans="3:5">
      <c r="C641">
        <f t="shared" si="20"/>
        <v>626</v>
      </c>
      <c r="D641">
        <f t="shared" si="19"/>
        <v>0</v>
      </c>
      <c r="E641">
        <f>1-SUM($D$16:D641)</f>
        <v>0</v>
      </c>
    </row>
    <row r="642" spans="3:5">
      <c r="C642">
        <f t="shared" si="20"/>
        <v>627</v>
      </c>
      <c r="D642">
        <f t="shared" si="19"/>
        <v>0</v>
      </c>
      <c r="E642">
        <f>1-SUM($D$16:D642)</f>
        <v>0</v>
      </c>
    </row>
    <row r="643" spans="3:5">
      <c r="C643">
        <f t="shared" si="20"/>
        <v>628</v>
      </c>
      <c r="D643">
        <f t="shared" si="19"/>
        <v>0</v>
      </c>
      <c r="E643">
        <f>1-SUM($D$16:D643)</f>
        <v>0</v>
      </c>
    </row>
    <row r="644" spans="3:5">
      <c r="C644">
        <f t="shared" si="20"/>
        <v>629</v>
      </c>
      <c r="D644">
        <f t="shared" si="19"/>
        <v>0</v>
      </c>
      <c r="E644">
        <f>1-SUM($D$16:D644)</f>
        <v>0</v>
      </c>
    </row>
    <row r="645" spans="3:5">
      <c r="C645">
        <f t="shared" si="20"/>
        <v>630</v>
      </c>
      <c r="D645">
        <f t="shared" si="19"/>
        <v>0</v>
      </c>
      <c r="E645">
        <f>1-SUM($D$16:D645)</f>
        <v>0</v>
      </c>
    </row>
    <row r="646" spans="3:5">
      <c r="C646">
        <f t="shared" si="20"/>
        <v>631</v>
      </c>
      <c r="D646">
        <f t="shared" si="19"/>
        <v>0</v>
      </c>
      <c r="E646">
        <f>1-SUM($D$16:D646)</f>
        <v>0</v>
      </c>
    </row>
    <row r="647" spans="3:5">
      <c r="C647">
        <f t="shared" si="20"/>
        <v>632</v>
      </c>
      <c r="D647">
        <f t="shared" si="19"/>
        <v>0</v>
      </c>
      <c r="E647">
        <f>1-SUM($D$16:D647)</f>
        <v>0</v>
      </c>
    </row>
    <row r="648" spans="3:5">
      <c r="C648">
        <f t="shared" si="20"/>
        <v>633</v>
      </c>
      <c r="D648">
        <f t="shared" si="19"/>
        <v>0</v>
      </c>
      <c r="E648">
        <f>1-SUM($D$16:D648)</f>
        <v>0</v>
      </c>
    </row>
    <row r="649" spans="3:5">
      <c r="C649">
        <f t="shared" si="20"/>
        <v>634</v>
      </c>
      <c r="D649">
        <f t="shared" si="19"/>
        <v>0</v>
      </c>
      <c r="E649">
        <f>1-SUM($D$16:D649)</f>
        <v>0</v>
      </c>
    </row>
    <row r="650" spans="3:5">
      <c r="C650">
        <f t="shared" si="20"/>
        <v>635</v>
      </c>
      <c r="D650">
        <f t="shared" si="19"/>
        <v>0</v>
      </c>
      <c r="E650">
        <f>1-SUM($D$16:D650)</f>
        <v>0</v>
      </c>
    </row>
    <row r="651" spans="3:5">
      <c r="C651">
        <f t="shared" si="20"/>
        <v>636</v>
      </c>
      <c r="D651">
        <f t="shared" si="19"/>
        <v>0</v>
      </c>
      <c r="E651">
        <f>1-SUM($D$16:D651)</f>
        <v>0</v>
      </c>
    </row>
    <row r="652" spans="3:5">
      <c r="C652">
        <f t="shared" si="20"/>
        <v>637</v>
      </c>
      <c r="D652">
        <f t="shared" si="19"/>
        <v>0</v>
      </c>
      <c r="E652">
        <f>1-SUM($D$16:D652)</f>
        <v>0</v>
      </c>
    </row>
    <row r="653" spans="3:5">
      <c r="C653">
        <f t="shared" si="20"/>
        <v>638</v>
      </c>
      <c r="D653">
        <f t="shared" si="19"/>
        <v>0</v>
      </c>
      <c r="E653">
        <f>1-SUM($D$16:D653)</f>
        <v>0</v>
      </c>
    </row>
    <row r="654" spans="3:5">
      <c r="C654">
        <f t="shared" si="20"/>
        <v>639</v>
      </c>
      <c r="D654">
        <f t="shared" si="19"/>
        <v>0</v>
      </c>
      <c r="E654">
        <f>1-SUM($D$16:D654)</f>
        <v>0</v>
      </c>
    </row>
    <row r="655" spans="3:5">
      <c r="C655">
        <f t="shared" si="20"/>
        <v>640</v>
      </c>
      <c r="D655">
        <f t="shared" si="19"/>
        <v>0</v>
      </c>
      <c r="E655">
        <f>1-SUM($D$16:D655)</f>
        <v>0</v>
      </c>
    </row>
    <row r="656" spans="3:5">
      <c r="C656">
        <f t="shared" si="20"/>
        <v>641</v>
      </c>
      <c r="D656">
        <f t="shared" si="19"/>
        <v>0</v>
      </c>
      <c r="E656">
        <f>1-SUM($D$16:D656)</f>
        <v>0</v>
      </c>
    </row>
    <row r="657" spans="3:5">
      <c r="C657">
        <f t="shared" si="20"/>
        <v>642</v>
      </c>
      <c r="D657">
        <f t="shared" si="19"/>
        <v>0</v>
      </c>
      <c r="E657">
        <f>1-SUM($D$16:D657)</f>
        <v>0</v>
      </c>
    </row>
    <row r="658" spans="3:5">
      <c r="C658">
        <f t="shared" si="20"/>
        <v>643</v>
      </c>
      <c r="D658">
        <f t="shared" ref="D658:D721" si="21">IF(C658=$E$14,E657,E657*$D$14)</f>
        <v>0</v>
      </c>
      <c r="E658">
        <f>1-SUM($D$16:D658)</f>
        <v>0</v>
      </c>
    </row>
    <row r="659" spans="3:5">
      <c r="C659">
        <f t="shared" si="20"/>
        <v>644</v>
      </c>
      <c r="D659">
        <f t="shared" si="21"/>
        <v>0</v>
      </c>
      <c r="E659">
        <f>1-SUM($D$16:D659)</f>
        <v>0</v>
      </c>
    </row>
    <row r="660" spans="3:5">
      <c r="C660">
        <f t="shared" si="20"/>
        <v>645</v>
      </c>
      <c r="D660">
        <f t="shared" si="21"/>
        <v>0</v>
      </c>
      <c r="E660">
        <f>1-SUM($D$16:D660)</f>
        <v>0</v>
      </c>
    </row>
    <row r="661" spans="3:5">
      <c r="C661">
        <f t="shared" si="20"/>
        <v>646</v>
      </c>
      <c r="D661">
        <f t="shared" si="21"/>
        <v>0</v>
      </c>
      <c r="E661">
        <f>1-SUM($D$16:D661)</f>
        <v>0</v>
      </c>
    </row>
    <row r="662" spans="3:5">
      <c r="C662">
        <f t="shared" ref="C662:C711" si="22">C661+1</f>
        <v>647</v>
      </c>
      <c r="D662">
        <f t="shared" si="21"/>
        <v>0</v>
      </c>
      <c r="E662">
        <f>1-SUM($D$16:D662)</f>
        <v>0</v>
      </c>
    </row>
    <row r="663" spans="3:5">
      <c r="C663">
        <f t="shared" si="22"/>
        <v>648</v>
      </c>
      <c r="D663">
        <f t="shared" si="21"/>
        <v>0</v>
      </c>
      <c r="E663">
        <f>1-SUM($D$16:D663)</f>
        <v>0</v>
      </c>
    </row>
    <row r="664" spans="3:5">
      <c r="C664">
        <f t="shared" si="22"/>
        <v>649</v>
      </c>
      <c r="D664">
        <f t="shared" si="21"/>
        <v>0</v>
      </c>
      <c r="E664">
        <f>1-SUM($D$16:D664)</f>
        <v>0</v>
      </c>
    </row>
    <row r="665" spans="3:5">
      <c r="C665">
        <f t="shared" si="22"/>
        <v>650</v>
      </c>
      <c r="D665">
        <f t="shared" si="21"/>
        <v>0</v>
      </c>
      <c r="E665">
        <f>1-SUM($D$16:D665)</f>
        <v>0</v>
      </c>
    </row>
    <row r="666" spans="3:5">
      <c r="C666">
        <f t="shared" si="22"/>
        <v>651</v>
      </c>
      <c r="D666">
        <f t="shared" si="21"/>
        <v>0</v>
      </c>
      <c r="E666">
        <f>1-SUM($D$16:D666)</f>
        <v>0</v>
      </c>
    </row>
    <row r="667" spans="3:5">
      <c r="C667">
        <f t="shared" si="22"/>
        <v>652</v>
      </c>
      <c r="D667">
        <f t="shared" si="21"/>
        <v>0</v>
      </c>
      <c r="E667">
        <f>1-SUM($D$16:D667)</f>
        <v>0</v>
      </c>
    </row>
    <row r="668" spans="3:5">
      <c r="C668">
        <f t="shared" si="22"/>
        <v>653</v>
      </c>
      <c r="D668">
        <f t="shared" si="21"/>
        <v>0</v>
      </c>
      <c r="E668">
        <f>1-SUM($D$16:D668)</f>
        <v>0</v>
      </c>
    </row>
    <row r="669" spans="3:5">
      <c r="C669">
        <f t="shared" si="22"/>
        <v>654</v>
      </c>
      <c r="D669">
        <f t="shared" si="21"/>
        <v>0</v>
      </c>
      <c r="E669">
        <f>1-SUM($D$16:D669)</f>
        <v>0</v>
      </c>
    </row>
    <row r="670" spans="3:5">
      <c r="C670">
        <f t="shared" si="22"/>
        <v>655</v>
      </c>
      <c r="D670">
        <f t="shared" si="21"/>
        <v>0</v>
      </c>
      <c r="E670">
        <f>1-SUM($D$16:D670)</f>
        <v>0</v>
      </c>
    </row>
    <row r="671" spans="3:5">
      <c r="C671">
        <f t="shared" si="22"/>
        <v>656</v>
      </c>
      <c r="D671">
        <f t="shared" si="21"/>
        <v>0</v>
      </c>
      <c r="E671">
        <f>1-SUM($D$16:D671)</f>
        <v>0</v>
      </c>
    </row>
    <row r="672" spans="3:5">
      <c r="C672">
        <f t="shared" si="22"/>
        <v>657</v>
      </c>
      <c r="D672">
        <f t="shared" si="21"/>
        <v>0</v>
      </c>
      <c r="E672">
        <f>1-SUM($D$16:D672)</f>
        <v>0</v>
      </c>
    </row>
    <row r="673" spans="3:5">
      <c r="C673">
        <f t="shared" si="22"/>
        <v>658</v>
      </c>
      <c r="D673">
        <f t="shared" si="21"/>
        <v>0</v>
      </c>
      <c r="E673">
        <f>1-SUM($D$16:D673)</f>
        <v>0</v>
      </c>
    </row>
    <row r="674" spans="3:5">
      <c r="C674">
        <f t="shared" si="22"/>
        <v>659</v>
      </c>
      <c r="D674">
        <f t="shared" si="21"/>
        <v>0</v>
      </c>
      <c r="E674">
        <f>1-SUM($D$16:D674)</f>
        <v>0</v>
      </c>
    </row>
    <row r="675" spans="3:5">
      <c r="C675">
        <f t="shared" si="22"/>
        <v>660</v>
      </c>
      <c r="D675">
        <f t="shared" si="21"/>
        <v>0</v>
      </c>
      <c r="E675">
        <f>1-SUM($D$16:D675)</f>
        <v>0</v>
      </c>
    </row>
    <row r="676" spans="3:5">
      <c r="C676">
        <f t="shared" si="22"/>
        <v>661</v>
      </c>
      <c r="D676">
        <f t="shared" si="21"/>
        <v>0</v>
      </c>
      <c r="E676">
        <f>1-SUM($D$16:D676)</f>
        <v>0</v>
      </c>
    </row>
    <row r="677" spans="3:5">
      <c r="C677">
        <f t="shared" si="22"/>
        <v>662</v>
      </c>
      <c r="D677">
        <f t="shared" si="21"/>
        <v>0</v>
      </c>
      <c r="E677">
        <f>1-SUM($D$16:D677)</f>
        <v>0</v>
      </c>
    </row>
    <row r="678" spans="3:5">
      <c r="C678">
        <f t="shared" si="22"/>
        <v>663</v>
      </c>
      <c r="D678">
        <f t="shared" si="21"/>
        <v>0</v>
      </c>
      <c r="E678">
        <f>1-SUM($D$16:D678)</f>
        <v>0</v>
      </c>
    </row>
    <row r="679" spans="3:5">
      <c r="C679">
        <f t="shared" si="22"/>
        <v>664</v>
      </c>
      <c r="D679">
        <f t="shared" si="21"/>
        <v>0</v>
      </c>
      <c r="E679">
        <f>1-SUM($D$16:D679)</f>
        <v>0</v>
      </c>
    </row>
    <row r="680" spans="3:5">
      <c r="C680">
        <f t="shared" si="22"/>
        <v>665</v>
      </c>
      <c r="D680">
        <f t="shared" si="21"/>
        <v>0</v>
      </c>
      <c r="E680">
        <f>1-SUM($D$16:D680)</f>
        <v>0</v>
      </c>
    </row>
    <row r="681" spans="3:5">
      <c r="C681">
        <f t="shared" si="22"/>
        <v>666</v>
      </c>
      <c r="D681">
        <f t="shared" si="21"/>
        <v>0</v>
      </c>
      <c r="E681">
        <f>1-SUM($D$16:D681)</f>
        <v>0</v>
      </c>
    </row>
    <row r="682" spans="3:5">
      <c r="C682">
        <f t="shared" si="22"/>
        <v>667</v>
      </c>
      <c r="D682">
        <f t="shared" si="21"/>
        <v>0</v>
      </c>
      <c r="E682">
        <f>1-SUM($D$16:D682)</f>
        <v>0</v>
      </c>
    </row>
    <row r="683" spans="3:5">
      <c r="C683">
        <f t="shared" si="22"/>
        <v>668</v>
      </c>
      <c r="D683">
        <f t="shared" si="21"/>
        <v>0</v>
      </c>
      <c r="E683">
        <f>1-SUM($D$16:D683)</f>
        <v>0</v>
      </c>
    </row>
    <row r="684" spans="3:5">
      <c r="C684">
        <f t="shared" si="22"/>
        <v>669</v>
      </c>
      <c r="D684">
        <f t="shared" si="21"/>
        <v>0</v>
      </c>
      <c r="E684">
        <f>1-SUM($D$16:D684)</f>
        <v>0</v>
      </c>
    </row>
    <row r="685" spans="3:5">
      <c r="C685">
        <f t="shared" si="22"/>
        <v>670</v>
      </c>
      <c r="D685">
        <f t="shared" si="21"/>
        <v>0</v>
      </c>
      <c r="E685">
        <f>1-SUM($D$16:D685)</f>
        <v>0</v>
      </c>
    </row>
    <row r="686" spans="3:5">
      <c r="C686">
        <f t="shared" si="22"/>
        <v>671</v>
      </c>
      <c r="D686">
        <f t="shared" si="21"/>
        <v>0</v>
      </c>
      <c r="E686">
        <f>1-SUM($D$16:D686)</f>
        <v>0</v>
      </c>
    </row>
    <row r="687" spans="3:5">
      <c r="C687">
        <f t="shared" si="22"/>
        <v>672</v>
      </c>
      <c r="D687">
        <f t="shared" si="21"/>
        <v>0</v>
      </c>
      <c r="E687">
        <f>1-SUM($D$16:D687)</f>
        <v>0</v>
      </c>
    </row>
    <row r="688" spans="3:5">
      <c r="C688">
        <f t="shared" si="22"/>
        <v>673</v>
      </c>
      <c r="D688">
        <f t="shared" si="21"/>
        <v>0</v>
      </c>
      <c r="E688">
        <f>1-SUM($D$16:D688)</f>
        <v>0</v>
      </c>
    </row>
    <row r="689" spans="3:5">
      <c r="C689">
        <f t="shared" si="22"/>
        <v>674</v>
      </c>
      <c r="D689">
        <f t="shared" si="21"/>
        <v>0</v>
      </c>
      <c r="E689">
        <f>1-SUM($D$16:D689)</f>
        <v>0</v>
      </c>
    </row>
    <row r="690" spans="3:5">
      <c r="C690">
        <f t="shared" si="22"/>
        <v>675</v>
      </c>
      <c r="D690">
        <f t="shared" si="21"/>
        <v>0</v>
      </c>
      <c r="E690">
        <f>1-SUM($D$16:D690)</f>
        <v>0</v>
      </c>
    </row>
    <row r="691" spans="3:5">
      <c r="C691">
        <f t="shared" si="22"/>
        <v>676</v>
      </c>
      <c r="D691">
        <f t="shared" si="21"/>
        <v>0</v>
      </c>
      <c r="E691">
        <f>1-SUM($D$16:D691)</f>
        <v>0</v>
      </c>
    </row>
    <row r="692" spans="3:5">
      <c r="C692">
        <f t="shared" si="22"/>
        <v>677</v>
      </c>
      <c r="D692">
        <f t="shared" si="21"/>
        <v>0</v>
      </c>
      <c r="E692">
        <f>1-SUM($D$16:D692)</f>
        <v>0</v>
      </c>
    </row>
    <row r="693" spans="3:5">
      <c r="C693">
        <f t="shared" si="22"/>
        <v>678</v>
      </c>
      <c r="D693">
        <f t="shared" si="21"/>
        <v>0</v>
      </c>
      <c r="E693">
        <f>1-SUM($D$16:D693)</f>
        <v>0</v>
      </c>
    </row>
    <row r="694" spans="3:5">
      <c r="C694">
        <f t="shared" si="22"/>
        <v>679</v>
      </c>
      <c r="D694">
        <f t="shared" si="21"/>
        <v>0</v>
      </c>
      <c r="E694">
        <f>1-SUM($D$16:D694)</f>
        <v>0</v>
      </c>
    </row>
    <row r="695" spans="3:5">
      <c r="C695">
        <f t="shared" si="22"/>
        <v>680</v>
      </c>
      <c r="D695">
        <f t="shared" si="21"/>
        <v>0</v>
      </c>
      <c r="E695">
        <f>1-SUM($D$16:D695)</f>
        <v>0</v>
      </c>
    </row>
    <row r="696" spans="3:5">
      <c r="C696">
        <f t="shared" si="22"/>
        <v>681</v>
      </c>
      <c r="D696">
        <f t="shared" si="21"/>
        <v>0</v>
      </c>
      <c r="E696">
        <f>1-SUM($D$16:D696)</f>
        <v>0</v>
      </c>
    </row>
    <row r="697" spans="3:5">
      <c r="C697">
        <f t="shared" si="22"/>
        <v>682</v>
      </c>
      <c r="D697">
        <f t="shared" si="21"/>
        <v>0</v>
      </c>
      <c r="E697">
        <f>1-SUM($D$16:D697)</f>
        <v>0</v>
      </c>
    </row>
    <row r="698" spans="3:5">
      <c r="C698">
        <f t="shared" si="22"/>
        <v>683</v>
      </c>
      <c r="D698">
        <f t="shared" si="21"/>
        <v>0</v>
      </c>
      <c r="E698">
        <f>1-SUM($D$16:D698)</f>
        <v>0</v>
      </c>
    </row>
    <row r="699" spans="3:5">
      <c r="C699">
        <f t="shared" si="22"/>
        <v>684</v>
      </c>
      <c r="D699">
        <f t="shared" si="21"/>
        <v>0</v>
      </c>
      <c r="E699">
        <f>1-SUM($D$16:D699)</f>
        <v>0</v>
      </c>
    </row>
    <row r="700" spans="3:5">
      <c r="C700">
        <f t="shared" si="22"/>
        <v>685</v>
      </c>
      <c r="D700">
        <f t="shared" si="21"/>
        <v>0</v>
      </c>
      <c r="E700">
        <f>1-SUM($D$16:D700)</f>
        <v>0</v>
      </c>
    </row>
    <row r="701" spans="3:5">
      <c r="C701">
        <f t="shared" si="22"/>
        <v>686</v>
      </c>
      <c r="D701">
        <f t="shared" si="21"/>
        <v>0</v>
      </c>
      <c r="E701">
        <f>1-SUM($D$16:D701)</f>
        <v>0</v>
      </c>
    </row>
    <row r="702" spans="3:5">
      <c r="C702">
        <f t="shared" si="22"/>
        <v>687</v>
      </c>
      <c r="D702">
        <f t="shared" si="21"/>
        <v>0</v>
      </c>
      <c r="E702">
        <f>1-SUM($D$16:D702)</f>
        <v>0</v>
      </c>
    </row>
    <row r="703" spans="3:5">
      <c r="C703">
        <f t="shared" si="22"/>
        <v>688</v>
      </c>
      <c r="D703">
        <f t="shared" si="21"/>
        <v>0</v>
      </c>
      <c r="E703">
        <f>1-SUM($D$16:D703)</f>
        <v>0</v>
      </c>
    </row>
    <row r="704" spans="3:5">
      <c r="C704">
        <f t="shared" si="22"/>
        <v>689</v>
      </c>
      <c r="D704">
        <f t="shared" si="21"/>
        <v>0</v>
      </c>
      <c r="E704">
        <f>1-SUM($D$16:D704)</f>
        <v>0</v>
      </c>
    </row>
    <row r="705" spans="3:5">
      <c r="C705">
        <f t="shared" si="22"/>
        <v>690</v>
      </c>
      <c r="D705">
        <f t="shared" si="21"/>
        <v>0</v>
      </c>
      <c r="E705">
        <f>1-SUM($D$16:D705)</f>
        <v>0</v>
      </c>
    </row>
    <row r="706" spans="3:5">
      <c r="C706">
        <f t="shared" si="22"/>
        <v>691</v>
      </c>
      <c r="D706">
        <f t="shared" si="21"/>
        <v>0</v>
      </c>
      <c r="E706">
        <f>1-SUM($D$16:D706)</f>
        <v>0</v>
      </c>
    </row>
    <row r="707" spans="3:5">
      <c r="C707">
        <f t="shared" si="22"/>
        <v>692</v>
      </c>
      <c r="D707">
        <f t="shared" si="21"/>
        <v>0</v>
      </c>
      <c r="E707">
        <f>1-SUM($D$16:D707)</f>
        <v>0</v>
      </c>
    </row>
    <row r="708" spans="3:5">
      <c r="C708">
        <f t="shared" si="22"/>
        <v>693</v>
      </c>
      <c r="D708">
        <f t="shared" si="21"/>
        <v>0</v>
      </c>
      <c r="E708">
        <f>1-SUM($D$16:D708)</f>
        <v>0</v>
      </c>
    </row>
    <row r="709" spans="3:5">
      <c r="C709">
        <f t="shared" si="22"/>
        <v>694</v>
      </c>
      <c r="D709">
        <f t="shared" si="21"/>
        <v>0</v>
      </c>
      <c r="E709">
        <f>1-SUM($D$16:D709)</f>
        <v>0</v>
      </c>
    </row>
    <row r="710" spans="3:5">
      <c r="C710">
        <f t="shared" si="22"/>
        <v>695</v>
      </c>
      <c r="D710">
        <f t="shared" si="21"/>
        <v>0</v>
      </c>
      <c r="E710">
        <f>1-SUM($D$16:D710)</f>
        <v>0</v>
      </c>
    </row>
    <row r="711" spans="3:5">
      <c r="C711">
        <f t="shared" si="22"/>
        <v>696</v>
      </c>
      <c r="D711">
        <f t="shared" si="21"/>
        <v>0</v>
      </c>
      <c r="E711">
        <f>1-SUM($D$16:D711)</f>
        <v>0</v>
      </c>
    </row>
    <row r="712" spans="3:5">
      <c r="C712">
        <f t="shared" ref="C712:C775" si="23">C711+1</f>
        <v>697</v>
      </c>
      <c r="D712">
        <f t="shared" si="21"/>
        <v>0</v>
      </c>
      <c r="E712">
        <f>1-SUM($D$16:D712)</f>
        <v>0</v>
      </c>
    </row>
    <row r="713" spans="3:5">
      <c r="C713">
        <f t="shared" si="23"/>
        <v>698</v>
      </c>
      <c r="D713">
        <f t="shared" si="21"/>
        <v>0</v>
      </c>
      <c r="E713">
        <f>1-SUM($D$16:D713)</f>
        <v>0</v>
      </c>
    </row>
    <row r="714" spans="3:5">
      <c r="C714">
        <f t="shared" si="23"/>
        <v>699</v>
      </c>
      <c r="D714">
        <f t="shared" si="21"/>
        <v>0</v>
      </c>
      <c r="E714">
        <f>1-SUM($D$16:D714)</f>
        <v>0</v>
      </c>
    </row>
    <row r="715" spans="3:5">
      <c r="C715">
        <f t="shared" si="23"/>
        <v>700</v>
      </c>
      <c r="D715">
        <f t="shared" si="21"/>
        <v>0</v>
      </c>
      <c r="E715">
        <f>1-SUM($D$16:D715)</f>
        <v>0</v>
      </c>
    </row>
    <row r="716" spans="3:5">
      <c r="C716">
        <f t="shared" si="23"/>
        <v>701</v>
      </c>
      <c r="D716">
        <f t="shared" si="21"/>
        <v>0</v>
      </c>
      <c r="E716">
        <f>1-SUM($D$16:D716)</f>
        <v>0</v>
      </c>
    </row>
    <row r="717" spans="3:5">
      <c r="C717">
        <f t="shared" si="23"/>
        <v>702</v>
      </c>
      <c r="D717">
        <f t="shared" si="21"/>
        <v>0</v>
      </c>
      <c r="E717">
        <f>1-SUM($D$16:D717)</f>
        <v>0</v>
      </c>
    </row>
    <row r="718" spans="3:5">
      <c r="C718">
        <f t="shared" si="23"/>
        <v>703</v>
      </c>
      <c r="D718">
        <f t="shared" si="21"/>
        <v>0</v>
      </c>
      <c r="E718">
        <f>1-SUM($D$16:D718)</f>
        <v>0</v>
      </c>
    </row>
    <row r="719" spans="3:5">
      <c r="C719">
        <f t="shared" si="23"/>
        <v>704</v>
      </c>
      <c r="D719">
        <f t="shared" si="21"/>
        <v>0</v>
      </c>
      <c r="E719">
        <f>1-SUM($D$16:D719)</f>
        <v>0</v>
      </c>
    </row>
    <row r="720" spans="3:5">
      <c r="C720">
        <f t="shared" si="23"/>
        <v>705</v>
      </c>
      <c r="D720">
        <f t="shared" si="21"/>
        <v>0</v>
      </c>
      <c r="E720">
        <f>1-SUM($D$16:D720)</f>
        <v>0</v>
      </c>
    </row>
    <row r="721" spans="3:5">
      <c r="C721">
        <f t="shared" si="23"/>
        <v>706</v>
      </c>
      <c r="D721">
        <f t="shared" si="21"/>
        <v>0</v>
      </c>
      <c r="E721">
        <f>1-SUM($D$16:D721)</f>
        <v>0</v>
      </c>
    </row>
    <row r="722" spans="3:5">
      <c r="C722">
        <f t="shared" si="23"/>
        <v>707</v>
      </c>
      <c r="D722">
        <f t="shared" ref="D722:D785" si="24">IF(C722=$E$14,E721,E721*$D$14)</f>
        <v>0</v>
      </c>
      <c r="E722">
        <f>1-SUM($D$16:D722)</f>
        <v>0</v>
      </c>
    </row>
    <row r="723" spans="3:5">
      <c r="C723">
        <f t="shared" si="23"/>
        <v>708</v>
      </c>
      <c r="D723">
        <f t="shared" si="24"/>
        <v>0</v>
      </c>
      <c r="E723">
        <f>1-SUM($D$16:D723)</f>
        <v>0</v>
      </c>
    </row>
    <row r="724" spans="3:5">
      <c r="C724">
        <f t="shared" si="23"/>
        <v>709</v>
      </c>
      <c r="D724">
        <f t="shared" si="24"/>
        <v>0</v>
      </c>
      <c r="E724">
        <f>1-SUM($D$16:D724)</f>
        <v>0</v>
      </c>
    </row>
    <row r="725" spans="3:5">
      <c r="C725">
        <f t="shared" si="23"/>
        <v>710</v>
      </c>
      <c r="D725">
        <f t="shared" si="24"/>
        <v>0</v>
      </c>
      <c r="E725">
        <f>1-SUM($D$16:D725)</f>
        <v>0</v>
      </c>
    </row>
    <row r="726" spans="3:5">
      <c r="C726">
        <f t="shared" si="23"/>
        <v>711</v>
      </c>
      <c r="D726">
        <f t="shared" si="24"/>
        <v>0</v>
      </c>
      <c r="E726">
        <f>1-SUM($D$16:D726)</f>
        <v>0</v>
      </c>
    </row>
    <row r="727" spans="3:5">
      <c r="C727">
        <f t="shared" si="23"/>
        <v>712</v>
      </c>
      <c r="D727">
        <f t="shared" si="24"/>
        <v>0</v>
      </c>
      <c r="E727">
        <f>1-SUM($D$16:D727)</f>
        <v>0</v>
      </c>
    </row>
    <row r="728" spans="3:5">
      <c r="C728">
        <f t="shared" si="23"/>
        <v>713</v>
      </c>
      <c r="D728">
        <f t="shared" si="24"/>
        <v>0</v>
      </c>
      <c r="E728">
        <f>1-SUM($D$16:D728)</f>
        <v>0</v>
      </c>
    </row>
    <row r="729" spans="3:5">
      <c r="C729">
        <f t="shared" si="23"/>
        <v>714</v>
      </c>
      <c r="D729">
        <f t="shared" si="24"/>
        <v>0</v>
      </c>
      <c r="E729">
        <f>1-SUM($D$16:D729)</f>
        <v>0</v>
      </c>
    </row>
    <row r="730" spans="3:5">
      <c r="C730">
        <f t="shared" si="23"/>
        <v>715</v>
      </c>
      <c r="D730">
        <f t="shared" si="24"/>
        <v>0</v>
      </c>
      <c r="E730">
        <f>1-SUM($D$16:D730)</f>
        <v>0</v>
      </c>
    </row>
    <row r="731" spans="3:5">
      <c r="C731">
        <f t="shared" si="23"/>
        <v>716</v>
      </c>
      <c r="D731">
        <f t="shared" si="24"/>
        <v>0</v>
      </c>
      <c r="E731">
        <f>1-SUM($D$16:D731)</f>
        <v>0</v>
      </c>
    </row>
    <row r="732" spans="3:5">
      <c r="C732">
        <f t="shared" si="23"/>
        <v>717</v>
      </c>
      <c r="D732">
        <f t="shared" si="24"/>
        <v>0</v>
      </c>
      <c r="E732">
        <f>1-SUM($D$16:D732)</f>
        <v>0</v>
      </c>
    </row>
    <row r="733" spans="3:5">
      <c r="C733">
        <f t="shared" si="23"/>
        <v>718</v>
      </c>
      <c r="D733">
        <f t="shared" si="24"/>
        <v>0</v>
      </c>
      <c r="E733">
        <f>1-SUM($D$16:D733)</f>
        <v>0</v>
      </c>
    </row>
    <row r="734" spans="3:5">
      <c r="C734">
        <f t="shared" si="23"/>
        <v>719</v>
      </c>
      <c r="D734">
        <f t="shared" si="24"/>
        <v>0</v>
      </c>
      <c r="E734">
        <f>1-SUM($D$16:D734)</f>
        <v>0</v>
      </c>
    </row>
    <row r="735" spans="3:5">
      <c r="C735">
        <f t="shared" si="23"/>
        <v>720</v>
      </c>
      <c r="D735">
        <f t="shared" si="24"/>
        <v>0</v>
      </c>
      <c r="E735">
        <f>1-SUM($D$16:D735)</f>
        <v>0</v>
      </c>
    </row>
    <row r="736" spans="3:5">
      <c r="C736">
        <f t="shared" si="23"/>
        <v>721</v>
      </c>
      <c r="D736">
        <f t="shared" si="24"/>
        <v>0</v>
      </c>
      <c r="E736">
        <f>1-SUM($D$16:D736)</f>
        <v>0</v>
      </c>
    </row>
    <row r="737" spans="3:5">
      <c r="C737">
        <f t="shared" si="23"/>
        <v>722</v>
      </c>
      <c r="D737">
        <f t="shared" si="24"/>
        <v>0</v>
      </c>
      <c r="E737">
        <f>1-SUM($D$16:D737)</f>
        <v>0</v>
      </c>
    </row>
    <row r="738" spans="3:5">
      <c r="C738">
        <f t="shared" si="23"/>
        <v>723</v>
      </c>
      <c r="D738">
        <f t="shared" si="24"/>
        <v>0</v>
      </c>
      <c r="E738">
        <f>1-SUM($D$16:D738)</f>
        <v>0</v>
      </c>
    </row>
    <row r="739" spans="3:5">
      <c r="C739">
        <f t="shared" si="23"/>
        <v>724</v>
      </c>
      <c r="D739">
        <f t="shared" si="24"/>
        <v>0</v>
      </c>
      <c r="E739">
        <f>1-SUM($D$16:D739)</f>
        <v>0</v>
      </c>
    </row>
    <row r="740" spans="3:5">
      <c r="C740">
        <f t="shared" si="23"/>
        <v>725</v>
      </c>
      <c r="D740">
        <f t="shared" si="24"/>
        <v>0</v>
      </c>
      <c r="E740">
        <f>1-SUM($D$16:D740)</f>
        <v>0</v>
      </c>
    </row>
    <row r="741" spans="3:5">
      <c r="C741">
        <f t="shared" si="23"/>
        <v>726</v>
      </c>
      <c r="D741">
        <f t="shared" si="24"/>
        <v>0</v>
      </c>
      <c r="E741">
        <f>1-SUM($D$16:D741)</f>
        <v>0</v>
      </c>
    </row>
    <row r="742" spans="3:5">
      <c r="C742">
        <f t="shared" si="23"/>
        <v>727</v>
      </c>
      <c r="D742">
        <f t="shared" si="24"/>
        <v>0</v>
      </c>
      <c r="E742">
        <f>1-SUM($D$16:D742)</f>
        <v>0</v>
      </c>
    </row>
    <row r="743" spans="3:5">
      <c r="C743">
        <f t="shared" si="23"/>
        <v>728</v>
      </c>
      <c r="D743">
        <f t="shared" si="24"/>
        <v>0</v>
      </c>
      <c r="E743">
        <f>1-SUM($D$16:D743)</f>
        <v>0</v>
      </c>
    </row>
    <row r="744" spans="3:5">
      <c r="C744">
        <f t="shared" si="23"/>
        <v>729</v>
      </c>
      <c r="D744">
        <f t="shared" si="24"/>
        <v>0</v>
      </c>
      <c r="E744">
        <f>1-SUM($D$16:D744)</f>
        <v>0</v>
      </c>
    </row>
    <row r="745" spans="3:5">
      <c r="C745">
        <f t="shared" si="23"/>
        <v>730</v>
      </c>
      <c r="D745">
        <f t="shared" si="24"/>
        <v>0</v>
      </c>
      <c r="E745">
        <f>1-SUM($D$16:D745)</f>
        <v>0</v>
      </c>
    </row>
    <row r="746" spans="3:5">
      <c r="C746">
        <f t="shared" si="23"/>
        <v>731</v>
      </c>
      <c r="D746">
        <f t="shared" si="24"/>
        <v>0</v>
      </c>
      <c r="E746">
        <f>1-SUM($D$16:D746)</f>
        <v>0</v>
      </c>
    </row>
    <row r="747" spans="3:5">
      <c r="C747">
        <f t="shared" si="23"/>
        <v>732</v>
      </c>
      <c r="D747">
        <f t="shared" si="24"/>
        <v>0</v>
      </c>
      <c r="E747">
        <f>1-SUM($D$16:D747)</f>
        <v>0</v>
      </c>
    </row>
    <row r="748" spans="3:5">
      <c r="C748">
        <f t="shared" si="23"/>
        <v>733</v>
      </c>
      <c r="D748">
        <f t="shared" si="24"/>
        <v>0</v>
      </c>
      <c r="E748">
        <f>1-SUM($D$16:D748)</f>
        <v>0</v>
      </c>
    </row>
    <row r="749" spans="3:5">
      <c r="C749">
        <f t="shared" si="23"/>
        <v>734</v>
      </c>
      <c r="D749">
        <f t="shared" si="24"/>
        <v>0</v>
      </c>
      <c r="E749">
        <f>1-SUM($D$16:D749)</f>
        <v>0</v>
      </c>
    </row>
    <row r="750" spans="3:5">
      <c r="C750">
        <f t="shared" si="23"/>
        <v>735</v>
      </c>
      <c r="D750">
        <f t="shared" si="24"/>
        <v>0</v>
      </c>
      <c r="E750">
        <f>1-SUM($D$16:D750)</f>
        <v>0</v>
      </c>
    </row>
    <row r="751" spans="3:5">
      <c r="C751">
        <f t="shared" si="23"/>
        <v>736</v>
      </c>
      <c r="D751">
        <f t="shared" si="24"/>
        <v>0</v>
      </c>
      <c r="E751">
        <f>1-SUM($D$16:D751)</f>
        <v>0</v>
      </c>
    </row>
    <row r="752" spans="3:5">
      <c r="C752">
        <f t="shared" si="23"/>
        <v>737</v>
      </c>
      <c r="D752">
        <f t="shared" si="24"/>
        <v>0</v>
      </c>
      <c r="E752">
        <f>1-SUM($D$16:D752)</f>
        <v>0</v>
      </c>
    </row>
    <row r="753" spans="3:5">
      <c r="C753">
        <f t="shared" si="23"/>
        <v>738</v>
      </c>
      <c r="D753">
        <f t="shared" si="24"/>
        <v>0</v>
      </c>
      <c r="E753">
        <f>1-SUM($D$16:D753)</f>
        <v>0</v>
      </c>
    </row>
    <row r="754" spans="3:5">
      <c r="C754">
        <f t="shared" si="23"/>
        <v>739</v>
      </c>
      <c r="D754">
        <f t="shared" si="24"/>
        <v>0</v>
      </c>
      <c r="E754">
        <f>1-SUM($D$16:D754)</f>
        <v>0</v>
      </c>
    </row>
    <row r="755" spans="3:5">
      <c r="C755">
        <f t="shared" si="23"/>
        <v>740</v>
      </c>
      <c r="D755">
        <f t="shared" si="24"/>
        <v>0</v>
      </c>
      <c r="E755">
        <f>1-SUM($D$16:D755)</f>
        <v>0</v>
      </c>
    </row>
    <row r="756" spans="3:5">
      <c r="C756">
        <f t="shared" si="23"/>
        <v>741</v>
      </c>
      <c r="D756">
        <f t="shared" si="24"/>
        <v>0</v>
      </c>
      <c r="E756">
        <f>1-SUM($D$16:D756)</f>
        <v>0</v>
      </c>
    </row>
    <row r="757" spans="3:5">
      <c r="C757">
        <f t="shared" si="23"/>
        <v>742</v>
      </c>
      <c r="D757">
        <f t="shared" si="24"/>
        <v>0</v>
      </c>
      <c r="E757">
        <f>1-SUM($D$16:D757)</f>
        <v>0</v>
      </c>
    </row>
    <row r="758" spans="3:5">
      <c r="C758">
        <f t="shared" si="23"/>
        <v>743</v>
      </c>
      <c r="D758">
        <f t="shared" si="24"/>
        <v>0</v>
      </c>
      <c r="E758">
        <f>1-SUM($D$16:D758)</f>
        <v>0</v>
      </c>
    </row>
    <row r="759" spans="3:5">
      <c r="C759">
        <f t="shared" si="23"/>
        <v>744</v>
      </c>
      <c r="D759">
        <f t="shared" si="24"/>
        <v>0</v>
      </c>
      <c r="E759">
        <f>1-SUM($D$16:D759)</f>
        <v>0</v>
      </c>
    </row>
    <row r="760" spans="3:5">
      <c r="C760">
        <f t="shared" si="23"/>
        <v>745</v>
      </c>
      <c r="D760">
        <f t="shared" si="24"/>
        <v>0</v>
      </c>
      <c r="E760">
        <f>1-SUM($D$16:D760)</f>
        <v>0</v>
      </c>
    </row>
    <row r="761" spans="3:5">
      <c r="C761">
        <f t="shared" si="23"/>
        <v>746</v>
      </c>
      <c r="D761">
        <f t="shared" si="24"/>
        <v>0</v>
      </c>
      <c r="E761">
        <f>1-SUM($D$16:D761)</f>
        <v>0</v>
      </c>
    </row>
    <row r="762" spans="3:5">
      <c r="C762">
        <f t="shared" si="23"/>
        <v>747</v>
      </c>
      <c r="D762">
        <f t="shared" si="24"/>
        <v>0</v>
      </c>
      <c r="E762">
        <f>1-SUM($D$16:D762)</f>
        <v>0</v>
      </c>
    </row>
    <row r="763" spans="3:5">
      <c r="C763">
        <f t="shared" si="23"/>
        <v>748</v>
      </c>
      <c r="D763">
        <f t="shared" si="24"/>
        <v>0</v>
      </c>
      <c r="E763">
        <f>1-SUM($D$16:D763)</f>
        <v>0</v>
      </c>
    </row>
    <row r="764" spans="3:5">
      <c r="C764">
        <f t="shared" si="23"/>
        <v>749</v>
      </c>
      <c r="D764">
        <f t="shared" si="24"/>
        <v>0</v>
      </c>
      <c r="E764">
        <f>1-SUM($D$16:D764)</f>
        <v>0</v>
      </c>
    </row>
    <row r="765" spans="3:5">
      <c r="C765">
        <f t="shared" si="23"/>
        <v>750</v>
      </c>
      <c r="D765">
        <f t="shared" si="24"/>
        <v>0</v>
      </c>
      <c r="E765">
        <f>1-SUM($D$16:D765)</f>
        <v>0</v>
      </c>
    </row>
    <row r="766" spans="3:5">
      <c r="C766">
        <f t="shared" si="23"/>
        <v>751</v>
      </c>
      <c r="D766">
        <f t="shared" si="24"/>
        <v>0</v>
      </c>
      <c r="E766">
        <f>1-SUM($D$16:D766)</f>
        <v>0</v>
      </c>
    </row>
    <row r="767" spans="3:5">
      <c r="C767">
        <f t="shared" si="23"/>
        <v>752</v>
      </c>
      <c r="D767">
        <f t="shared" si="24"/>
        <v>0</v>
      </c>
      <c r="E767">
        <f>1-SUM($D$16:D767)</f>
        <v>0</v>
      </c>
    </row>
    <row r="768" spans="3:5">
      <c r="C768">
        <f t="shared" si="23"/>
        <v>753</v>
      </c>
      <c r="D768">
        <f t="shared" si="24"/>
        <v>0</v>
      </c>
      <c r="E768">
        <f>1-SUM($D$16:D768)</f>
        <v>0</v>
      </c>
    </row>
    <row r="769" spans="3:5">
      <c r="C769">
        <f t="shared" si="23"/>
        <v>754</v>
      </c>
      <c r="D769">
        <f t="shared" si="24"/>
        <v>0</v>
      </c>
      <c r="E769">
        <f>1-SUM($D$16:D769)</f>
        <v>0</v>
      </c>
    </row>
    <row r="770" spans="3:5">
      <c r="C770">
        <f t="shared" si="23"/>
        <v>755</v>
      </c>
      <c r="D770">
        <f t="shared" si="24"/>
        <v>0</v>
      </c>
      <c r="E770">
        <f>1-SUM($D$16:D770)</f>
        <v>0</v>
      </c>
    </row>
    <row r="771" spans="3:5">
      <c r="C771">
        <f t="shared" si="23"/>
        <v>756</v>
      </c>
      <c r="D771">
        <f t="shared" si="24"/>
        <v>0</v>
      </c>
      <c r="E771">
        <f>1-SUM($D$16:D771)</f>
        <v>0</v>
      </c>
    </row>
    <row r="772" spans="3:5">
      <c r="C772">
        <f t="shared" si="23"/>
        <v>757</v>
      </c>
      <c r="D772">
        <f t="shared" si="24"/>
        <v>0</v>
      </c>
      <c r="E772">
        <f>1-SUM($D$16:D772)</f>
        <v>0</v>
      </c>
    </row>
    <row r="773" spans="3:5">
      <c r="C773">
        <f t="shared" si="23"/>
        <v>758</v>
      </c>
      <c r="D773">
        <f t="shared" si="24"/>
        <v>0</v>
      </c>
      <c r="E773">
        <f>1-SUM($D$16:D773)</f>
        <v>0</v>
      </c>
    </row>
    <row r="774" spans="3:5">
      <c r="C774">
        <f t="shared" si="23"/>
        <v>759</v>
      </c>
      <c r="D774">
        <f t="shared" si="24"/>
        <v>0</v>
      </c>
      <c r="E774">
        <f>1-SUM($D$16:D774)</f>
        <v>0</v>
      </c>
    </row>
    <row r="775" spans="3:5">
      <c r="C775">
        <f t="shared" si="23"/>
        <v>760</v>
      </c>
      <c r="D775">
        <f t="shared" si="24"/>
        <v>0</v>
      </c>
      <c r="E775">
        <f>1-SUM($D$16:D775)</f>
        <v>0</v>
      </c>
    </row>
    <row r="776" spans="3:5">
      <c r="C776">
        <f t="shared" ref="C776:C839" si="25">C775+1</f>
        <v>761</v>
      </c>
      <c r="D776">
        <f t="shared" si="24"/>
        <v>0</v>
      </c>
      <c r="E776">
        <f>1-SUM($D$16:D776)</f>
        <v>0</v>
      </c>
    </row>
    <row r="777" spans="3:5">
      <c r="C777">
        <f t="shared" si="25"/>
        <v>762</v>
      </c>
      <c r="D777">
        <f t="shared" si="24"/>
        <v>0</v>
      </c>
      <c r="E777">
        <f>1-SUM($D$16:D777)</f>
        <v>0</v>
      </c>
    </row>
    <row r="778" spans="3:5">
      <c r="C778">
        <f t="shared" si="25"/>
        <v>763</v>
      </c>
      <c r="D778">
        <f t="shared" si="24"/>
        <v>0</v>
      </c>
      <c r="E778">
        <f>1-SUM($D$16:D778)</f>
        <v>0</v>
      </c>
    </row>
    <row r="779" spans="3:5">
      <c r="C779">
        <f t="shared" si="25"/>
        <v>764</v>
      </c>
      <c r="D779">
        <f t="shared" si="24"/>
        <v>0</v>
      </c>
      <c r="E779">
        <f>1-SUM($D$16:D779)</f>
        <v>0</v>
      </c>
    </row>
    <row r="780" spans="3:5">
      <c r="C780">
        <f t="shared" si="25"/>
        <v>765</v>
      </c>
      <c r="D780">
        <f t="shared" si="24"/>
        <v>0</v>
      </c>
      <c r="E780">
        <f>1-SUM($D$16:D780)</f>
        <v>0</v>
      </c>
    </row>
    <row r="781" spans="3:5">
      <c r="C781">
        <f t="shared" si="25"/>
        <v>766</v>
      </c>
      <c r="D781">
        <f t="shared" si="24"/>
        <v>0</v>
      </c>
      <c r="E781">
        <f>1-SUM($D$16:D781)</f>
        <v>0</v>
      </c>
    </row>
    <row r="782" spans="3:5">
      <c r="C782">
        <f t="shared" si="25"/>
        <v>767</v>
      </c>
      <c r="D782">
        <f t="shared" si="24"/>
        <v>0</v>
      </c>
      <c r="E782">
        <f>1-SUM($D$16:D782)</f>
        <v>0</v>
      </c>
    </row>
    <row r="783" spans="3:5">
      <c r="C783">
        <f t="shared" si="25"/>
        <v>768</v>
      </c>
      <c r="D783">
        <f t="shared" si="24"/>
        <v>0</v>
      </c>
      <c r="E783">
        <f>1-SUM($D$16:D783)</f>
        <v>0</v>
      </c>
    </row>
    <row r="784" spans="3:5">
      <c r="C784">
        <f t="shared" si="25"/>
        <v>769</v>
      </c>
      <c r="D784">
        <f t="shared" si="24"/>
        <v>0</v>
      </c>
      <c r="E784">
        <f>1-SUM($D$16:D784)</f>
        <v>0</v>
      </c>
    </row>
    <row r="785" spans="3:5">
      <c r="C785">
        <f t="shared" si="25"/>
        <v>770</v>
      </c>
      <c r="D785">
        <f t="shared" si="24"/>
        <v>0</v>
      </c>
      <c r="E785">
        <f>1-SUM($D$16:D785)</f>
        <v>0</v>
      </c>
    </row>
    <row r="786" spans="3:5">
      <c r="C786">
        <f t="shared" si="25"/>
        <v>771</v>
      </c>
      <c r="D786">
        <f t="shared" ref="D786:D849" si="26">IF(C786=$E$14,E785,E785*$D$14)</f>
        <v>0</v>
      </c>
      <c r="E786">
        <f>1-SUM($D$16:D786)</f>
        <v>0</v>
      </c>
    </row>
    <row r="787" spans="3:5">
      <c r="C787">
        <f t="shared" si="25"/>
        <v>772</v>
      </c>
      <c r="D787">
        <f t="shared" si="26"/>
        <v>0</v>
      </c>
      <c r="E787">
        <f>1-SUM($D$16:D787)</f>
        <v>0</v>
      </c>
    </row>
    <row r="788" spans="3:5">
      <c r="C788">
        <f t="shared" si="25"/>
        <v>773</v>
      </c>
      <c r="D788">
        <f t="shared" si="26"/>
        <v>0</v>
      </c>
      <c r="E788">
        <f>1-SUM($D$16:D788)</f>
        <v>0</v>
      </c>
    </row>
    <row r="789" spans="3:5">
      <c r="C789">
        <f t="shared" si="25"/>
        <v>774</v>
      </c>
      <c r="D789">
        <f t="shared" si="26"/>
        <v>0</v>
      </c>
      <c r="E789">
        <f>1-SUM($D$16:D789)</f>
        <v>0</v>
      </c>
    </row>
    <row r="790" spans="3:5">
      <c r="C790">
        <f t="shared" si="25"/>
        <v>775</v>
      </c>
      <c r="D790">
        <f t="shared" si="26"/>
        <v>0</v>
      </c>
      <c r="E790">
        <f>1-SUM($D$16:D790)</f>
        <v>0</v>
      </c>
    </row>
    <row r="791" spans="3:5">
      <c r="C791">
        <f t="shared" si="25"/>
        <v>776</v>
      </c>
      <c r="D791">
        <f t="shared" si="26"/>
        <v>0</v>
      </c>
      <c r="E791">
        <f>1-SUM($D$16:D791)</f>
        <v>0</v>
      </c>
    </row>
    <row r="792" spans="3:5">
      <c r="C792">
        <f t="shared" si="25"/>
        <v>777</v>
      </c>
      <c r="D792">
        <f t="shared" si="26"/>
        <v>0</v>
      </c>
      <c r="E792">
        <f>1-SUM($D$16:D792)</f>
        <v>0</v>
      </c>
    </row>
    <row r="793" spans="3:5">
      <c r="C793">
        <f t="shared" si="25"/>
        <v>778</v>
      </c>
      <c r="D793">
        <f t="shared" si="26"/>
        <v>0</v>
      </c>
      <c r="E793">
        <f>1-SUM($D$16:D793)</f>
        <v>0</v>
      </c>
    </row>
    <row r="794" spans="3:5">
      <c r="C794">
        <f t="shared" si="25"/>
        <v>779</v>
      </c>
      <c r="D794">
        <f t="shared" si="26"/>
        <v>0</v>
      </c>
      <c r="E794">
        <f>1-SUM($D$16:D794)</f>
        <v>0</v>
      </c>
    </row>
    <row r="795" spans="3:5">
      <c r="C795">
        <f t="shared" si="25"/>
        <v>780</v>
      </c>
      <c r="D795">
        <f t="shared" si="26"/>
        <v>0</v>
      </c>
      <c r="E795">
        <f>1-SUM($D$16:D795)</f>
        <v>0</v>
      </c>
    </row>
    <row r="796" spans="3:5">
      <c r="C796">
        <f t="shared" si="25"/>
        <v>781</v>
      </c>
      <c r="D796">
        <f t="shared" si="26"/>
        <v>0</v>
      </c>
      <c r="E796">
        <f>1-SUM($D$16:D796)</f>
        <v>0</v>
      </c>
    </row>
    <row r="797" spans="3:5">
      <c r="C797">
        <f t="shared" si="25"/>
        <v>782</v>
      </c>
      <c r="D797">
        <f t="shared" si="26"/>
        <v>0</v>
      </c>
      <c r="E797">
        <f>1-SUM($D$16:D797)</f>
        <v>0</v>
      </c>
    </row>
    <row r="798" spans="3:5">
      <c r="C798">
        <f t="shared" si="25"/>
        <v>783</v>
      </c>
      <c r="D798">
        <f t="shared" si="26"/>
        <v>0</v>
      </c>
      <c r="E798">
        <f>1-SUM($D$16:D798)</f>
        <v>0</v>
      </c>
    </row>
    <row r="799" spans="3:5">
      <c r="C799">
        <f t="shared" si="25"/>
        <v>784</v>
      </c>
      <c r="D799">
        <f t="shared" si="26"/>
        <v>0</v>
      </c>
      <c r="E799">
        <f>1-SUM($D$16:D799)</f>
        <v>0</v>
      </c>
    </row>
    <row r="800" spans="3:5">
      <c r="C800">
        <f t="shared" si="25"/>
        <v>785</v>
      </c>
      <c r="D800">
        <f t="shared" si="26"/>
        <v>0</v>
      </c>
      <c r="E800">
        <f>1-SUM($D$16:D800)</f>
        <v>0</v>
      </c>
    </row>
    <row r="801" spans="3:5">
      <c r="C801">
        <f t="shared" si="25"/>
        <v>786</v>
      </c>
      <c r="D801">
        <f t="shared" si="26"/>
        <v>0</v>
      </c>
      <c r="E801">
        <f>1-SUM($D$16:D801)</f>
        <v>0</v>
      </c>
    </row>
    <row r="802" spans="3:5">
      <c r="C802">
        <f t="shared" si="25"/>
        <v>787</v>
      </c>
      <c r="D802">
        <f t="shared" si="26"/>
        <v>0</v>
      </c>
      <c r="E802">
        <f>1-SUM($D$16:D802)</f>
        <v>0</v>
      </c>
    </row>
    <row r="803" spans="3:5">
      <c r="C803">
        <f t="shared" si="25"/>
        <v>788</v>
      </c>
      <c r="D803">
        <f t="shared" si="26"/>
        <v>0</v>
      </c>
      <c r="E803">
        <f>1-SUM($D$16:D803)</f>
        <v>0</v>
      </c>
    </row>
    <row r="804" spans="3:5">
      <c r="C804">
        <f t="shared" si="25"/>
        <v>789</v>
      </c>
      <c r="D804">
        <f t="shared" si="26"/>
        <v>0</v>
      </c>
      <c r="E804">
        <f>1-SUM($D$16:D804)</f>
        <v>0</v>
      </c>
    </row>
    <row r="805" spans="3:5">
      <c r="C805">
        <f t="shared" si="25"/>
        <v>790</v>
      </c>
      <c r="D805">
        <f t="shared" si="26"/>
        <v>0</v>
      </c>
      <c r="E805">
        <f>1-SUM($D$16:D805)</f>
        <v>0</v>
      </c>
    </row>
    <row r="806" spans="3:5">
      <c r="C806">
        <f t="shared" si="25"/>
        <v>791</v>
      </c>
      <c r="D806">
        <f t="shared" si="26"/>
        <v>0</v>
      </c>
      <c r="E806">
        <f>1-SUM($D$16:D806)</f>
        <v>0</v>
      </c>
    </row>
    <row r="807" spans="3:5">
      <c r="C807">
        <f t="shared" si="25"/>
        <v>792</v>
      </c>
      <c r="D807">
        <f t="shared" si="26"/>
        <v>0</v>
      </c>
      <c r="E807">
        <f>1-SUM($D$16:D807)</f>
        <v>0</v>
      </c>
    </row>
    <row r="808" spans="3:5">
      <c r="C808">
        <f t="shared" si="25"/>
        <v>793</v>
      </c>
      <c r="D808">
        <f t="shared" si="26"/>
        <v>0</v>
      </c>
      <c r="E808">
        <f>1-SUM($D$16:D808)</f>
        <v>0</v>
      </c>
    </row>
    <row r="809" spans="3:5">
      <c r="C809">
        <f t="shared" si="25"/>
        <v>794</v>
      </c>
      <c r="D809">
        <f t="shared" si="26"/>
        <v>0</v>
      </c>
      <c r="E809">
        <f>1-SUM($D$16:D809)</f>
        <v>0</v>
      </c>
    </row>
    <row r="810" spans="3:5">
      <c r="C810">
        <f t="shared" si="25"/>
        <v>795</v>
      </c>
      <c r="D810">
        <f t="shared" si="26"/>
        <v>0</v>
      </c>
      <c r="E810">
        <f>1-SUM($D$16:D810)</f>
        <v>0</v>
      </c>
    </row>
    <row r="811" spans="3:5">
      <c r="C811">
        <f t="shared" si="25"/>
        <v>796</v>
      </c>
      <c r="D811">
        <f t="shared" si="26"/>
        <v>0</v>
      </c>
      <c r="E811">
        <f>1-SUM($D$16:D811)</f>
        <v>0</v>
      </c>
    </row>
    <row r="812" spans="3:5">
      <c r="C812">
        <f t="shared" si="25"/>
        <v>797</v>
      </c>
      <c r="D812">
        <f t="shared" si="26"/>
        <v>0</v>
      </c>
      <c r="E812">
        <f>1-SUM($D$16:D812)</f>
        <v>0</v>
      </c>
    </row>
    <row r="813" spans="3:5">
      <c r="C813">
        <f t="shared" si="25"/>
        <v>798</v>
      </c>
      <c r="D813">
        <f t="shared" si="26"/>
        <v>0</v>
      </c>
      <c r="E813">
        <f>1-SUM($D$16:D813)</f>
        <v>0</v>
      </c>
    </row>
    <row r="814" spans="3:5">
      <c r="C814">
        <f t="shared" si="25"/>
        <v>799</v>
      </c>
      <c r="D814">
        <f t="shared" si="26"/>
        <v>0</v>
      </c>
      <c r="E814">
        <f>1-SUM($D$16:D814)</f>
        <v>0</v>
      </c>
    </row>
    <row r="815" spans="3:5">
      <c r="C815">
        <f t="shared" si="25"/>
        <v>800</v>
      </c>
      <c r="D815">
        <f t="shared" si="26"/>
        <v>0</v>
      </c>
      <c r="E815">
        <f>1-SUM($D$16:D815)</f>
        <v>0</v>
      </c>
    </row>
    <row r="816" spans="3:5">
      <c r="C816">
        <f t="shared" si="25"/>
        <v>801</v>
      </c>
      <c r="D816">
        <f t="shared" si="26"/>
        <v>0</v>
      </c>
      <c r="E816">
        <f>1-SUM($D$16:D816)</f>
        <v>0</v>
      </c>
    </row>
    <row r="817" spans="3:5">
      <c r="C817">
        <f t="shared" si="25"/>
        <v>802</v>
      </c>
      <c r="D817">
        <f t="shared" si="26"/>
        <v>0</v>
      </c>
      <c r="E817">
        <f>1-SUM($D$16:D817)</f>
        <v>0</v>
      </c>
    </row>
    <row r="818" spans="3:5">
      <c r="C818">
        <f t="shared" si="25"/>
        <v>803</v>
      </c>
      <c r="D818">
        <f t="shared" si="26"/>
        <v>0</v>
      </c>
      <c r="E818">
        <f>1-SUM($D$16:D818)</f>
        <v>0</v>
      </c>
    </row>
    <row r="819" spans="3:5">
      <c r="C819">
        <f t="shared" si="25"/>
        <v>804</v>
      </c>
      <c r="D819">
        <f t="shared" si="26"/>
        <v>0</v>
      </c>
      <c r="E819">
        <f>1-SUM($D$16:D819)</f>
        <v>0</v>
      </c>
    </row>
    <row r="820" spans="3:5">
      <c r="C820">
        <f t="shared" si="25"/>
        <v>805</v>
      </c>
      <c r="D820">
        <f t="shared" si="26"/>
        <v>0</v>
      </c>
      <c r="E820">
        <f>1-SUM($D$16:D820)</f>
        <v>0</v>
      </c>
    </row>
    <row r="821" spans="3:5">
      <c r="C821">
        <f t="shared" si="25"/>
        <v>806</v>
      </c>
      <c r="D821">
        <f t="shared" si="26"/>
        <v>0</v>
      </c>
      <c r="E821">
        <f>1-SUM($D$16:D821)</f>
        <v>0</v>
      </c>
    </row>
    <row r="822" spans="3:5">
      <c r="C822">
        <f t="shared" si="25"/>
        <v>807</v>
      </c>
      <c r="D822">
        <f t="shared" si="26"/>
        <v>0</v>
      </c>
      <c r="E822">
        <f>1-SUM($D$16:D822)</f>
        <v>0</v>
      </c>
    </row>
    <row r="823" spans="3:5">
      <c r="C823">
        <f t="shared" si="25"/>
        <v>808</v>
      </c>
      <c r="D823">
        <f t="shared" si="26"/>
        <v>0</v>
      </c>
      <c r="E823">
        <f>1-SUM($D$16:D823)</f>
        <v>0</v>
      </c>
    </row>
    <row r="824" spans="3:5">
      <c r="C824">
        <f t="shared" si="25"/>
        <v>809</v>
      </c>
      <c r="D824">
        <f t="shared" si="26"/>
        <v>0</v>
      </c>
      <c r="E824">
        <f>1-SUM($D$16:D824)</f>
        <v>0</v>
      </c>
    </row>
    <row r="825" spans="3:5">
      <c r="C825">
        <f t="shared" si="25"/>
        <v>810</v>
      </c>
      <c r="D825">
        <f t="shared" si="26"/>
        <v>0</v>
      </c>
      <c r="E825">
        <f>1-SUM($D$16:D825)</f>
        <v>0</v>
      </c>
    </row>
    <row r="826" spans="3:5">
      <c r="C826">
        <f t="shared" si="25"/>
        <v>811</v>
      </c>
      <c r="D826">
        <f t="shared" si="26"/>
        <v>0</v>
      </c>
      <c r="E826">
        <f>1-SUM($D$16:D826)</f>
        <v>0</v>
      </c>
    </row>
    <row r="827" spans="3:5">
      <c r="C827">
        <f t="shared" si="25"/>
        <v>812</v>
      </c>
      <c r="D827">
        <f t="shared" si="26"/>
        <v>0</v>
      </c>
      <c r="E827">
        <f>1-SUM($D$16:D827)</f>
        <v>0</v>
      </c>
    </row>
    <row r="828" spans="3:5">
      <c r="C828">
        <f t="shared" si="25"/>
        <v>813</v>
      </c>
      <c r="D828">
        <f t="shared" si="26"/>
        <v>0</v>
      </c>
      <c r="E828">
        <f>1-SUM($D$16:D828)</f>
        <v>0</v>
      </c>
    </row>
    <row r="829" spans="3:5">
      <c r="C829">
        <f t="shared" si="25"/>
        <v>814</v>
      </c>
      <c r="D829">
        <f t="shared" si="26"/>
        <v>0</v>
      </c>
      <c r="E829">
        <f>1-SUM($D$16:D829)</f>
        <v>0</v>
      </c>
    </row>
    <row r="830" spans="3:5">
      <c r="C830">
        <f t="shared" si="25"/>
        <v>815</v>
      </c>
      <c r="D830">
        <f t="shared" si="26"/>
        <v>0</v>
      </c>
      <c r="E830">
        <f>1-SUM($D$16:D830)</f>
        <v>0</v>
      </c>
    </row>
    <row r="831" spans="3:5">
      <c r="C831">
        <f t="shared" si="25"/>
        <v>816</v>
      </c>
      <c r="D831">
        <f t="shared" si="26"/>
        <v>0</v>
      </c>
      <c r="E831">
        <f>1-SUM($D$16:D831)</f>
        <v>0</v>
      </c>
    </row>
    <row r="832" spans="3:5">
      <c r="C832">
        <f t="shared" si="25"/>
        <v>817</v>
      </c>
      <c r="D832">
        <f t="shared" si="26"/>
        <v>0</v>
      </c>
      <c r="E832">
        <f>1-SUM($D$16:D832)</f>
        <v>0</v>
      </c>
    </row>
    <row r="833" spans="3:5">
      <c r="C833">
        <f t="shared" si="25"/>
        <v>818</v>
      </c>
      <c r="D833">
        <f t="shared" si="26"/>
        <v>0</v>
      </c>
      <c r="E833">
        <f>1-SUM($D$16:D833)</f>
        <v>0</v>
      </c>
    </row>
    <row r="834" spans="3:5">
      <c r="C834">
        <f t="shared" si="25"/>
        <v>819</v>
      </c>
      <c r="D834">
        <f t="shared" si="26"/>
        <v>0</v>
      </c>
      <c r="E834">
        <f>1-SUM($D$16:D834)</f>
        <v>0</v>
      </c>
    </row>
    <row r="835" spans="3:5">
      <c r="C835">
        <f t="shared" si="25"/>
        <v>820</v>
      </c>
      <c r="D835">
        <f t="shared" si="26"/>
        <v>0</v>
      </c>
      <c r="E835">
        <f>1-SUM($D$16:D835)</f>
        <v>0</v>
      </c>
    </row>
    <row r="836" spans="3:5">
      <c r="C836">
        <f t="shared" si="25"/>
        <v>821</v>
      </c>
      <c r="D836">
        <f t="shared" si="26"/>
        <v>0</v>
      </c>
      <c r="E836">
        <f>1-SUM($D$16:D836)</f>
        <v>0</v>
      </c>
    </row>
    <row r="837" spans="3:5">
      <c r="C837">
        <f t="shared" si="25"/>
        <v>822</v>
      </c>
      <c r="D837">
        <f t="shared" si="26"/>
        <v>0</v>
      </c>
      <c r="E837">
        <f>1-SUM($D$16:D837)</f>
        <v>0</v>
      </c>
    </row>
    <row r="838" spans="3:5">
      <c r="C838">
        <f t="shared" si="25"/>
        <v>823</v>
      </c>
      <c r="D838">
        <f t="shared" si="26"/>
        <v>0</v>
      </c>
      <c r="E838">
        <f>1-SUM($D$16:D838)</f>
        <v>0</v>
      </c>
    </row>
    <row r="839" spans="3:5">
      <c r="C839">
        <f t="shared" si="25"/>
        <v>824</v>
      </c>
      <c r="D839">
        <f t="shared" si="26"/>
        <v>0</v>
      </c>
      <c r="E839">
        <f>1-SUM($D$16:D839)</f>
        <v>0</v>
      </c>
    </row>
    <row r="840" spans="3:5">
      <c r="C840">
        <f t="shared" ref="C840:C903" si="27">C839+1</f>
        <v>825</v>
      </c>
      <c r="D840">
        <f t="shared" si="26"/>
        <v>0</v>
      </c>
      <c r="E840">
        <f>1-SUM($D$16:D840)</f>
        <v>0</v>
      </c>
    </row>
    <row r="841" spans="3:5">
      <c r="C841">
        <f t="shared" si="27"/>
        <v>826</v>
      </c>
      <c r="D841">
        <f t="shared" si="26"/>
        <v>0</v>
      </c>
      <c r="E841">
        <f>1-SUM($D$16:D841)</f>
        <v>0</v>
      </c>
    </row>
    <row r="842" spans="3:5">
      <c r="C842">
        <f t="shared" si="27"/>
        <v>827</v>
      </c>
      <c r="D842">
        <f t="shared" si="26"/>
        <v>0</v>
      </c>
      <c r="E842">
        <f>1-SUM($D$16:D842)</f>
        <v>0</v>
      </c>
    </row>
    <row r="843" spans="3:5">
      <c r="C843">
        <f t="shared" si="27"/>
        <v>828</v>
      </c>
      <c r="D843">
        <f t="shared" si="26"/>
        <v>0</v>
      </c>
      <c r="E843">
        <f>1-SUM($D$16:D843)</f>
        <v>0</v>
      </c>
    </row>
    <row r="844" spans="3:5">
      <c r="C844">
        <f t="shared" si="27"/>
        <v>829</v>
      </c>
      <c r="D844">
        <f t="shared" si="26"/>
        <v>0</v>
      </c>
      <c r="E844">
        <f>1-SUM($D$16:D844)</f>
        <v>0</v>
      </c>
    </row>
    <row r="845" spans="3:5">
      <c r="C845">
        <f t="shared" si="27"/>
        <v>830</v>
      </c>
      <c r="D845">
        <f t="shared" si="26"/>
        <v>0</v>
      </c>
      <c r="E845">
        <f>1-SUM($D$16:D845)</f>
        <v>0</v>
      </c>
    </row>
    <row r="846" spans="3:5">
      <c r="C846">
        <f t="shared" si="27"/>
        <v>831</v>
      </c>
      <c r="D846">
        <f t="shared" si="26"/>
        <v>0</v>
      </c>
      <c r="E846">
        <f>1-SUM($D$16:D846)</f>
        <v>0</v>
      </c>
    </row>
    <row r="847" spans="3:5">
      <c r="C847">
        <f t="shared" si="27"/>
        <v>832</v>
      </c>
      <c r="D847">
        <f t="shared" si="26"/>
        <v>0</v>
      </c>
      <c r="E847">
        <f>1-SUM($D$16:D847)</f>
        <v>0</v>
      </c>
    </row>
    <row r="848" spans="3:5">
      <c r="C848">
        <f t="shared" si="27"/>
        <v>833</v>
      </c>
      <c r="D848">
        <f t="shared" si="26"/>
        <v>0</v>
      </c>
      <c r="E848">
        <f>1-SUM($D$16:D848)</f>
        <v>0</v>
      </c>
    </row>
    <row r="849" spans="3:5">
      <c r="C849">
        <f t="shared" si="27"/>
        <v>834</v>
      </c>
      <c r="D849">
        <f t="shared" si="26"/>
        <v>0</v>
      </c>
      <c r="E849">
        <f>1-SUM($D$16:D849)</f>
        <v>0</v>
      </c>
    </row>
    <row r="850" spans="3:5">
      <c r="C850">
        <f t="shared" si="27"/>
        <v>835</v>
      </c>
      <c r="D850">
        <f t="shared" ref="D850:D913" si="28">IF(C850=$E$14,E849,E849*$D$14)</f>
        <v>0</v>
      </c>
      <c r="E850">
        <f>1-SUM($D$16:D850)</f>
        <v>0</v>
      </c>
    </row>
    <row r="851" spans="3:5">
      <c r="C851">
        <f t="shared" si="27"/>
        <v>836</v>
      </c>
      <c r="D851">
        <f t="shared" si="28"/>
        <v>0</v>
      </c>
      <c r="E851">
        <f>1-SUM($D$16:D851)</f>
        <v>0</v>
      </c>
    </row>
    <row r="852" spans="3:5">
      <c r="C852">
        <f t="shared" si="27"/>
        <v>837</v>
      </c>
      <c r="D852">
        <f t="shared" si="28"/>
        <v>0</v>
      </c>
      <c r="E852">
        <f>1-SUM($D$16:D852)</f>
        <v>0</v>
      </c>
    </row>
    <row r="853" spans="3:5">
      <c r="C853">
        <f t="shared" si="27"/>
        <v>838</v>
      </c>
      <c r="D853">
        <f t="shared" si="28"/>
        <v>0</v>
      </c>
      <c r="E853">
        <f>1-SUM($D$16:D853)</f>
        <v>0</v>
      </c>
    </row>
    <row r="854" spans="3:5">
      <c r="C854">
        <f t="shared" si="27"/>
        <v>839</v>
      </c>
      <c r="D854">
        <f t="shared" si="28"/>
        <v>0</v>
      </c>
      <c r="E854">
        <f>1-SUM($D$16:D854)</f>
        <v>0</v>
      </c>
    </row>
    <row r="855" spans="3:5">
      <c r="C855">
        <f t="shared" si="27"/>
        <v>840</v>
      </c>
      <c r="D855">
        <f t="shared" si="28"/>
        <v>0</v>
      </c>
      <c r="E855">
        <f>1-SUM($D$16:D855)</f>
        <v>0</v>
      </c>
    </row>
    <row r="856" spans="3:5">
      <c r="C856">
        <f t="shared" si="27"/>
        <v>841</v>
      </c>
      <c r="D856">
        <f t="shared" si="28"/>
        <v>0</v>
      </c>
      <c r="E856">
        <f>1-SUM($D$16:D856)</f>
        <v>0</v>
      </c>
    </row>
    <row r="857" spans="3:5">
      <c r="C857">
        <f t="shared" si="27"/>
        <v>842</v>
      </c>
      <c r="D857">
        <f t="shared" si="28"/>
        <v>0</v>
      </c>
      <c r="E857">
        <f>1-SUM($D$16:D857)</f>
        <v>0</v>
      </c>
    </row>
    <row r="858" spans="3:5">
      <c r="C858">
        <f t="shared" si="27"/>
        <v>843</v>
      </c>
      <c r="D858">
        <f t="shared" si="28"/>
        <v>0</v>
      </c>
      <c r="E858">
        <f>1-SUM($D$16:D858)</f>
        <v>0</v>
      </c>
    </row>
    <row r="859" spans="3:5">
      <c r="C859">
        <f t="shared" si="27"/>
        <v>844</v>
      </c>
      <c r="D859">
        <f t="shared" si="28"/>
        <v>0</v>
      </c>
      <c r="E859">
        <f>1-SUM($D$16:D859)</f>
        <v>0</v>
      </c>
    </row>
    <row r="860" spans="3:5">
      <c r="C860">
        <f t="shared" si="27"/>
        <v>845</v>
      </c>
      <c r="D860">
        <f t="shared" si="28"/>
        <v>0</v>
      </c>
      <c r="E860">
        <f>1-SUM($D$16:D860)</f>
        <v>0</v>
      </c>
    </row>
    <row r="861" spans="3:5">
      <c r="C861">
        <f t="shared" si="27"/>
        <v>846</v>
      </c>
      <c r="D861">
        <f t="shared" si="28"/>
        <v>0</v>
      </c>
      <c r="E861">
        <f>1-SUM($D$16:D861)</f>
        <v>0</v>
      </c>
    </row>
    <row r="862" spans="3:5">
      <c r="C862">
        <f t="shared" si="27"/>
        <v>847</v>
      </c>
      <c r="D862">
        <f t="shared" si="28"/>
        <v>0</v>
      </c>
      <c r="E862">
        <f>1-SUM($D$16:D862)</f>
        <v>0</v>
      </c>
    </row>
    <row r="863" spans="3:5">
      <c r="C863">
        <f t="shared" si="27"/>
        <v>848</v>
      </c>
      <c r="D863">
        <f t="shared" si="28"/>
        <v>0</v>
      </c>
      <c r="E863">
        <f>1-SUM($D$16:D863)</f>
        <v>0</v>
      </c>
    </row>
    <row r="864" spans="3:5">
      <c r="C864">
        <f t="shared" si="27"/>
        <v>849</v>
      </c>
      <c r="D864">
        <f t="shared" si="28"/>
        <v>0</v>
      </c>
      <c r="E864">
        <f>1-SUM($D$16:D864)</f>
        <v>0</v>
      </c>
    </row>
    <row r="865" spans="3:5">
      <c r="C865">
        <f t="shared" si="27"/>
        <v>850</v>
      </c>
      <c r="D865">
        <f t="shared" si="28"/>
        <v>0</v>
      </c>
      <c r="E865">
        <f>1-SUM($D$16:D865)</f>
        <v>0</v>
      </c>
    </row>
    <row r="866" spans="3:5">
      <c r="C866">
        <f t="shared" si="27"/>
        <v>851</v>
      </c>
      <c r="D866">
        <f t="shared" si="28"/>
        <v>0</v>
      </c>
      <c r="E866">
        <f>1-SUM($D$16:D866)</f>
        <v>0</v>
      </c>
    </row>
    <row r="867" spans="3:5">
      <c r="C867">
        <f t="shared" si="27"/>
        <v>852</v>
      </c>
      <c r="D867">
        <f t="shared" si="28"/>
        <v>0</v>
      </c>
      <c r="E867">
        <f>1-SUM($D$16:D867)</f>
        <v>0</v>
      </c>
    </row>
    <row r="868" spans="3:5">
      <c r="C868">
        <f t="shared" si="27"/>
        <v>853</v>
      </c>
      <c r="D868">
        <f t="shared" si="28"/>
        <v>0</v>
      </c>
      <c r="E868">
        <f>1-SUM($D$16:D868)</f>
        <v>0</v>
      </c>
    </row>
    <row r="869" spans="3:5">
      <c r="C869">
        <f t="shared" si="27"/>
        <v>854</v>
      </c>
      <c r="D869">
        <f t="shared" si="28"/>
        <v>0</v>
      </c>
      <c r="E869">
        <f>1-SUM($D$16:D869)</f>
        <v>0</v>
      </c>
    </row>
    <row r="870" spans="3:5">
      <c r="C870">
        <f t="shared" si="27"/>
        <v>855</v>
      </c>
      <c r="D870">
        <f t="shared" si="28"/>
        <v>0</v>
      </c>
      <c r="E870">
        <f>1-SUM($D$16:D870)</f>
        <v>0</v>
      </c>
    </row>
    <row r="871" spans="3:5">
      <c r="C871">
        <f t="shared" si="27"/>
        <v>856</v>
      </c>
      <c r="D871">
        <f t="shared" si="28"/>
        <v>0</v>
      </c>
      <c r="E871">
        <f>1-SUM($D$16:D871)</f>
        <v>0</v>
      </c>
    </row>
    <row r="872" spans="3:5">
      <c r="C872">
        <f t="shared" si="27"/>
        <v>857</v>
      </c>
      <c r="D872">
        <f t="shared" si="28"/>
        <v>0</v>
      </c>
      <c r="E872">
        <f>1-SUM($D$16:D872)</f>
        <v>0</v>
      </c>
    </row>
    <row r="873" spans="3:5">
      <c r="C873">
        <f t="shared" si="27"/>
        <v>858</v>
      </c>
      <c r="D873">
        <f t="shared" si="28"/>
        <v>0</v>
      </c>
      <c r="E873">
        <f>1-SUM($D$16:D873)</f>
        <v>0</v>
      </c>
    </row>
    <row r="874" spans="3:5">
      <c r="C874">
        <f t="shared" si="27"/>
        <v>859</v>
      </c>
      <c r="D874">
        <f t="shared" si="28"/>
        <v>0</v>
      </c>
      <c r="E874">
        <f>1-SUM($D$16:D874)</f>
        <v>0</v>
      </c>
    </row>
    <row r="875" spans="3:5">
      <c r="C875">
        <f t="shared" si="27"/>
        <v>860</v>
      </c>
      <c r="D875">
        <f t="shared" si="28"/>
        <v>0</v>
      </c>
      <c r="E875">
        <f>1-SUM($D$16:D875)</f>
        <v>0</v>
      </c>
    </row>
    <row r="876" spans="3:5">
      <c r="C876">
        <f t="shared" si="27"/>
        <v>861</v>
      </c>
      <c r="D876">
        <f t="shared" si="28"/>
        <v>0</v>
      </c>
      <c r="E876">
        <f>1-SUM($D$16:D876)</f>
        <v>0</v>
      </c>
    </row>
    <row r="877" spans="3:5">
      <c r="C877">
        <f t="shared" si="27"/>
        <v>862</v>
      </c>
      <c r="D877">
        <f t="shared" si="28"/>
        <v>0</v>
      </c>
      <c r="E877">
        <f>1-SUM($D$16:D877)</f>
        <v>0</v>
      </c>
    </row>
    <row r="878" spans="3:5">
      <c r="C878">
        <f t="shared" si="27"/>
        <v>863</v>
      </c>
      <c r="D878">
        <f t="shared" si="28"/>
        <v>0</v>
      </c>
      <c r="E878">
        <f>1-SUM($D$16:D878)</f>
        <v>0</v>
      </c>
    </row>
    <row r="879" spans="3:5">
      <c r="C879">
        <f t="shared" si="27"/>
        <v>864</v>
      </c>
      <c r="D879">
        <f t="shared" si="28"/>
        <v>0</v>
      </c>
      <c r="E879">
        <f>1-SUM($D$16:D879)</f>
        <v>0</v>
      </c>
    </row>
    <row r="880" spans="3:5">
      <c r="C880">
        <f t="shared" si="27"/>
        <v>865</v>
      </c>
      <c r="D880">
        <f t="shared" si="28"/>
        <v>0</v>
      </c>
      <c r="E880">
        <f>1-SUM($D$16:D880)</f>
        <v>0</v>
      </c>
    </row>
    <row r="881" spans="3:5">
      <c r="C881">
        <f t="shared" si="27"/>
        <v>866</v>
      </c>
      <c r="D881">
        <f t="shared" si="28"/>
        <v>0</v>
      </c>
      <c r="E881">
        <f>1-SUM($D$16:D881)</f>
        <v>0</v>
      </c>
    </row>
    <row r="882" spans="3:5">
      <c r="C882">
        <f t="shared" si="27"/>
        <v>867</v>
      </c>
      <c r="D882">
        <f t="shared" si="28"/>
        <v>0</v>
      </c>
      <c r="E882">
        <f>1-SUM($D$16:D882)</f>
        <v>0</v>
      </c>
    </row>
    <row r="883" spans="3:5">
      <c r="C883">
        <f t="shared" si="27"/>
        <v>868</v>
      </c>
      <c r="D883">
        <f t="shared" si="28"/>
        <v>0</v>
      </c>
      <c r="E883">
        <f>1-SUM($D$16:D883)</f>
        <v>0</v>
      </c>
    </row>
    <row r="884" spans="3:5">
      <c r="C884">
        <f t="shared" si="27"/>
        <v>869</v>
      </c>
      <c r="D884">
        <f t="shared" si="28"/>
        <v>0</v>
      </c>
      <c r="E884">
        <f>1-SUM($D$16:D884)</f>
        <v>0</v>
      </c>
    </row>
    <row r="885" spans="3:5">
      <c r="C885">
        <f t="shared" si="27"/>
        <v>870</v>
      </c>
      <c r="D885">
        <f t="shared" si="28"/>
        <v>0</v>
      </c>
      <c r="E885">
        <f>1-SUM($D$16:D885)</f>
        <v>0</v>
      </c>
    </row>
    <row r="886" spans="3:5">
      <c r="C886">
        <f t="shared" si="27"/>
        <v>871</v>
      </c>
      <c r="D886">
        <f t="shared" si="28"/>
        <v>0</v>
      </c>
      <c r="E886">
        <f>1-SUM($D$16:D886)</f>
        <v>0</v>
      </c>
    </row>
    <row r="887" spans="3:5">
      <c r="C887">
        <f t="shared" si="27"/>
        <v>872</v>
      </c>
      <c r="D887">
        <f t="shared" si="28"/>
        <v>0</v>
      </c>
      <c r="E887">
        <f>1-SUM($D$16:D887)</f>
        <v>0</v>
      </c>
    </row>
    <row r="888" spans="3:5">
      <c r="C888">
        <f t="shared" si="27"/>
        <v>873</v>
      </c>
      <c r="D888">
        <f t="shared" si="28"/>
        <v>0</v>
      </c>
      <c r="E888">
        <f>1-SUM($D$16:D888)</f>
        <v>0</v>
      </c>
    </row>
    <row r="889" spans="3:5">
      <c r="C889">
        <f t="shared" si="27"/>
        <v>874</v>
      </c>
      <c r="D889">
        <f t="shared" si="28"/>
        <v>0</v>
      </c>
      <c r="E889">
        <f>1-SUM($D$16:D889)</f>
        <v>0</v>
      </c>
    </row>
    <row r="890" spans="3:5">
      <c r="C890">
        <f t="shared" si="27"/>
        <v>875</v>
      </c>
      <c r="D890">
        <f t="shared" si="28"/>
        <v>0</v>
      </c>
      <c r="E890">
        <f>1-SUM($D$16:D890)</f>
        <v>0</v>
      </c>
    </row>
    <row r="891" spans="3:5">
      <c r="C891">
        <f t="shared" si="27"/>
        <v>876</v>
      </c>
      <c r="D891">
        <f t="shared" si="28"/>
        <v>0</v>
      </c>
      <c r="E891">
        <f>1-SUM($D$16:D891)</f>
        <v>0</v>
      </c>
    </row>
    <row r="892" spans="3:5">
      <c r="C892">
        <f t="shared" si="27"/>
        <v>877</v>
      </c>
      <c r="D892">
        <f t="shared" si="28"/>
        <v>0</v>
      </c>
      <c r="E892">
        <f>1-SUM($D$16:D892)</f>
        <v>0</v>
      </c>
    </row>
    <row r="893" spans="3:5">
      <c r="C893">
        <f t="shared" si="27"/>
        <v>878</v>
      </c>
      <c r="D893">
        <f t="shared" si="28"/>
        <v>0</v>
      </c>
      <c r="E893">
        <f>1-SUM($D$16:D893)</f>
        <v>0</v>
      </c>
    </row>
    <row r="894" spans="3:5">
      <c r="C894">
        <f t="shared" si="27"/>
        <v>879</v>
      </c>
      <c r="D894">
        <f t="shared" si="28"/>
        <v>0</v>
      </c>
      <c r="E894">
        <f>1-SUM($D$16:D894)</f>
        <v>0</v>
      </c>
    </row>
    <row r="895" spans="3:5">
      <c r="C895">
        <f t="shared" si="27"/>
        <v>880</v>
      </c>
      <c r="D895">
        <f t="shared" si="28"/>
        <v>0</v>
      </c>
      <c r="E895">
        <f>1-SUM($D$16:D895)</f>
        <v>0</v>
      </c>
    </row>
    <row r="896" spans="3:5">
      <c r="C896">
        <f t="shared" si="27"/>
        <v>881</v>
      </c>
      <c r="D896">
        <f t="shared" si="28"/>
        <v>0</v>
      </c>
      <c r="E896">
        <f>1-SUM($D$16:D896)</f>
        <v>0</v>
      </c>
    </row>
    <row r="897" spans="3:5">
      <c r="C897">
        <f t="shared" si="27"/>
        <v>882</v>
      </c>
      <c r="D897">
        <f t="shared" si="28"/>
        <v>0</v>
      </c>
      <c r="E897">
        <f>1-SUM($D$16:D897)</f>
        <v>0</v>
      </c>
    </row>
    <row r="898" spans="3:5">
      <c r="C898">
        <f t="shared" si="27"/>
        <v>883</v>
      </c>
      <c r="D898">
        <f t="shared" si="28"/>
        <v>0</v>
      </c>
      <c r="E898">
        <f>1-SUM($D$16:D898)</f>
        <v>0</v>
      </c>
    </row>
    <row r="899" spans="3:5">
      <c r="C899">
        <f t="shared" si="27"/>
        <v>884</v>
      </c>
      <c r="D899">
        <f t="shared" si="28"/>
        <v>0</v>
      </c>
      <c r="E899">
        <f>1-SUM($D$16:D899)</f>
        <v>0</v>
      </c>
    </row>
    <row r="900" spans="3:5">
      <c r="C900">
        <f t="shared" si="27"/>
        <v>885</v>
      </c>
      <c r="D900">
        <f t="shared" si="28"/>
        <v>0</v>
      </c>
      <c r="E900">
        <f>1-SUM($D$16:D900)</f>
        <v>0</v>
      </c>
    </row>
    <row r="901" spans="3:5">
      <c r="C901">
        <f t="shared" si="27"/>
        <v>886</v>
      </c>
      <c r="D901">
        <f t="shared" si="28"/>
        <v>0</v>
      </c>
      <c r="E901">
        <f>1-SUM($D$16:D901)</f>
        <v>0</v>
      </c>
    </row>
    <row r="902" spans="3:5">
      <c r="C902">
        <f t="shared" si="27"/>
        <v>887</v>
      </c>
      <c r="D902">
        <f t="shared" si="28"/>
        <v>0</v>
      </c>
      <c r="E902">
        <f>1-SUM($D$16:D902)</f>
        <v>0</v>
      </c>
    </row>
    <row r="903" spans="3:5">
      <c r="C903">
        <f t="shared" si="27"/>
        <v>888</v>
      </c>
      <c r="D903">
        <f t="shared" si="28"/>
        <v>0</v>
      </c>
      <c r="E903">
        <f>1-SUM($D$16:D903)</f>
        <v>0</v>
      </c>
    </row>
    <row r="904" spans="3:5">
      <c r="C904">
        <f t="shared" ref="C904:C967" si="29">C903+1</f>
        <v>889</v>
      </c>
      <c r="D904">
        <f t="shared" si="28"/>
        <v>0</v>
      </c>
      <c r="E904">
        <f>1-SUM($D$16:D904)</f>
        <v>0</v>
      </c>
    </row>
    <row r="905" spans="3:5">
      <c r="C905">
        <f t="shared" si="29"/>
        <v>890</v>
      </c>
      <c r="D905">
        <f t="shared" si="28"/>
        <v>0</v>
      </c>
      <c r="E905">
        <f>1-SUM($D$16:D905)</f>
        <v>0</v>
      </c>
    </row>
    <row r="906" spans="3:5">
      <c r="C906">
        <f t="shared" si="29"/>
        <v>891</v>
      </c>
      <c r="D906">
        <f t="shared" si="28"/>
        <v>0</v>
      </c>
      <c r="E906">
        <f>1-SUM($D$16:D906)</f>
        <v>0</v>
      </c>
    </row>
    <row r="907" spans="3:5">
      <c r="C907">
        <f t="shared" si="29"/>
        <v>892</v>
      </c>
      <c r="D907">
        <f t="shared" si="28"/>
        <v>0</v>
      </c>
      <c r="E907">
        <f>1-SUM($D$16:D907)</f>
        <v>0</v>
      </c>
    </row>
    <row r="908" spans="3:5">
      <c r="C908">
        <f t="shared" si="29"/>
        <v>893</v>
      </c>
      <c r="D908">
        <f t="shared" si="28"/>
        <v>0</v>
      </c>
      <c r="E908">
        <f>1-SUM($D$16:D908)</f>
        <v>0</v>
      </c>
    </row>
    <row r="909" spans="3:5">
      <c r="C909">
        <f t="shared" si="29"/>
        <v>894</v>
      </c>
      <c r="D909">
        <f t="shared" si="28"/>
        <v>0</v>
      </c>
      <c r="E909">
        <f>1-SUM($D$16:D909)</f>
        <v>0</v>
      </c>
    </row>
    <row r="910" spans="3:5">
      <c r="C910">
        <f t="shared" si="29"/>
        <v>895</v>
      </c>
      <c r="D910">
        <f t="shared" si="28"/>
        <v>0</v>
      </c>
      <c r="E910">
        <f>1-SUM($D$16:D910)</f>
        <v>0</v>
      </c>
    </row>
    <row r="911" spans="3:5">
      <c r="C911">
        <f t="shared" si="29"/>
        <v>896</v>
      </c>
      <c r="D911">
        <f t="shared" si="28"/>
        <v>0</v>
      </c>
      <c r="E911">
        <f>1-SUM($D$16:D911)</f>
        <v>0</v>
      </c>
    </row>
    <row r="912" spans="3:5">
      <c r="C912">
        <f t="shared" si="29"/>
        <v>897</v>
      </c>
      <c r="D912">
        <f t="shared" si="28"/>
        <v>0</v>
      </c>
      <c r="E912">
        <f>1-SUM($D$16:D912)</f>
        <v>0</v>
      </c>
    </row>
    <row r="913" spans="3:5">
      <c r="C913">
        <f t="shared" si="29"/>
        <v>898</v>
      </c>
      <c r="D913">
        <f t="shared" si="28"/>
        <v>0</v>
      </c>
      <c r="E913">
        <f>1-SUM($D$16:D913)</f>
        <v>0</v>
      </c>
    </row>
    <row r="914" spans="3:5">
      <c r="C914">
        <f t="shared" si="29"/>
        <v>899</v>
      </c>
      <c r="D914">
        <f t="shared" ref="D914:D977" si="30">IF(C914=$E$14,E913,E913*$D$14)</f>
        <v>0</v>
      </c>
      <c r="E914">
        <f>1-SUM($D$16:D914)</f>
        <v>0</v>
      </c>
    </row>
    <row r="915" spans="3:5">
      <c r="C915">
        <f t="shared" si="29"/>
        <v>900</v>
      </c>
      <c r="D915">
        <f t="shared" si="30"/>
        <v>0</v>
      </c>
      <c r="E915">
        <f>1-SUM($D$16:D915)</f>
        <v>0</v>
      </c>
    </row>
    <row r="916" spans="3:5">
      <c r="C916">
        <f t="shared" si="29"/>
        <v>901</v>
      </c>
      <c r="D916">
        <f t="shared" si="30"/>
        <v>0</v>
      </c>
      <c r="E916">
        <f>1-SUM($D$16:D916)</f>
        <v>0</v>
      </c>
    </row>
    <row r="917" spans="3:5">
      <c r="C917">
        <f t="shared" si="29"/>
        <v>902</v>
      </c>
      <c r="D917">
        <f t="shared" si="30"/>
        <v>0</v>
      </c>
      <c r="E917">
        <f>1-SUM($D$16:D917)</f>
        <v>0</v>
      </c>
    </row>
    <row r="918" spans="3:5">
      <c r="C918">
        <f t="shared" si="29"/>
        <v>903</v>
      </c>
      <c r="D918">
        <f t="shared" si="30"/>
        <v>0</v>
      </c>
      <c r="E918">
        <f>1-SUM($D$16:D918)</f>
        <v>0</v>
      </c>
    </row>
    <row r="919" spans="3:5">
      <c r="C919">
        <f t="shared" si="29"/>
        <v>904</v>
      </c>
      <c r="D919">
        <f t="shared" si="30"/>
        <v>0</v>
      </c>
      <c r="E919">
        <f>1-SUM($D$16:D919)</f>
        <v>0</v>
      </c>
    </row>
    <row r="920" spans="3:5">
      <c r="C920">
        <f t="shared" si="29"/>
        <v>905</v>
      </c>
      <c r="D920">
        <f t="shared" si="30"/>
        <v>0</v>
      </c>
      <c r="E920">
        <f>1-SUM($D$16:D920)</f>
        <v>0</v>
      </c>
    </row>
    <row r="921" spans="3:5">
      <c r="C921">
        <f t="shared" si="29"/>
        <v>906</v>
      </c>
      <c r="D921">
        <f t="shared" si="30"/>
        <v>0</v>
      </c>
      <c r="E921">
        <f>1-SUM($D$16:D921)</f>
        <v>0</v>
      </c>
    </row>
    <row r="922" spans="3:5">
      <c r="C922">
        <f t="shared" si="29"/>
        <v>907</v>
      </c>
      <c r="D922">
        <f t="shared" si="30"/>
        <v>0</v>
      </c>
      <c r="E922">
        <f>1-SUM($D$16:D922)</f>
        <v>0</v>
      </c>
    </row>
    <row r="923" spans="3:5">
      <c r="C923">
        <f t="shared" si="29"/>
        <v>908</v>
      </c>
      <c r="D923">
        <f t="shared" si="30"/>
        <v>0</v>
      </c>
      <c r="E923">
        <f>1-SUM($D$16:D923)</f>
        <v>0</v>
      </c>
    </row>
    <row r="924" spans="3:5">
      <c r="C924">
        <f t="shared" si="29"/>
        <v>909</v>
      </c>
      <c r="D924">
        <f t="shared" si="30"/>
        <v>0</v>
      </c>
      <c r="E924">
        <f>1-SUM($D$16:D924)</f>
        <v>0</v>
      </c>
    </row>
    <row r="925" spans="3:5">
      <c r="C925">
        <f t="shared" si="29"/>
        <v>910</v>
      </c>
      <c r="D925">
        <f t="shared" si="30"/>
        <v>0</v>
      </c>
      <c r="E925">
        <f>1-SUM($D$16:D925)</f>
        <v>0</v>
      </c>
    </row>
    <row r="926" spans="3:5">
      <c r="C926">
        <f t="shared" si="29"/>
        <v>911</v>
      </c>
      <c r="D926">
        <f t="shared" si="30"/>
        <v>0</v>
      </c>
      <c r="E926">
        <f>1-SUM($D$16:D926)</f>
        <v>0</v>
      </c>
    </row>
    <row r="927" spans="3:5">
      <c r="C927">
        <f t="shared" si="29"/>
        <v>912</v>
      </c>
      <c r="D927">
        <f t="shared" si="30"/>
        <v>0</v>
      </c>
      <c r="E927">
        <f>1-SUM($D$16:D927)</f>
        <v>0</v>
      </c>
    </row>
    <row r="928" spans="3:5">
      <c r="C928">
        <f t="shared" si="29"/>
        <v>913</v>
      </c>
      <c r="D928">
        <f t="shared" si="30"/>
        <v>0</v>
      </c>
      <c r="E928">
        <f>1-SUM($D$16:D928)</f>
        <v>0</v>
      </c>
    </row>
    <row r="929" spans="3:5">
      <c r="C929">
        <f t="shared" si="29"/>
        <v>914</v>
      </c>
      <c r="D929">
        <f t="shared" si="30"/>
        <v>0</v>
      </c>
      <c r="E929">
        <f>1-SUM($D$16:D929)</f>
        <v>0</v>
      </c>
    </row>
    <row r="930" spans="3:5">
      <c r="C930">
        <f t="shared" si="29"/>
        <v>915</v>
      </c>
      <c r="D930">
        <f t="shared" si="30"/>
        <v>0</v>
      </c>
      <c r="E930">
        <f>1-SUM($D$16:D930)</f>
        <v>0</v>
      </c>
    </row>
    <row r="931" spans="3:5">
      <c r="C931">
        <f t="shared" si="29"/>
        <v>916</v>
      </c>
      <c r="D931">
        <f t="shared" si="30"/>
        <v>0</v>
      </c>
      <c r="E931">
        <f>1-SUM($D$16:D931)</f>
        <v>0</v>
      </c>
    </row>
    <row r="932" spans="3:5">
      <c r="C932">
        <f t="shared" si="29"/>
        <v>917</v>
      </c>
      <c r="D932">
        <f t="shared" si="30"/>
        <v>0</v>
      </c>
      <c r="E932">
        <f>1-SUM($D$16:D932)</f>
        <v>0</v>
      </c>
    </row>
    <row r="933" spans="3:5">
      <c r="C933">
        <f t="shared" si="29"/>
        <v>918</v>
      </c>
      <c r="D933">
        <f t="shared" si="30"/>
        <v>0</v>
      </c>
      <c r="E933">
        <f>1-SUM($D$16:D933)</f>
        <v>0</v>
      </c>
    </row>
    <row r="934" spans="3:5">
      <c r="C934">
        <f t="shared" si="29"/>
        <v>919</v>
      </c>
      <c r="D934">
        <f t="shared" si="30"/>
        <v>0</v>
      </c>
      <c r="E934">
        <f>1-SUM($D$16:D934)</f>
        <v>0</v>
      </c>
    </row>
    <row r="935" spans="3:5">
      <c r="C935">
        <f t="shared" si="29"/>
        <v>920</v>
      </c>
      <c r="D935">
        <f t="shared" si="30"/>
        <v>0</v>
      </c>
      <c r="E935">
        <f>1-SUM($D$16:D935)</f>
        <v>0</v>
      </c>
    </row>
    <row r="936" spans="3:5">
      <c r="C936">
        <f t="shared" si="29"/>
        <v>921</v>
      </c>
      <c r="D936">
        <f t="shared" si="30"/>
        <v>0</v>
      </c>
      <c r="E936">
        <f>1-SUM($D$16:D936)</f>
        <v>0</v>
      </c>
    </row>
    <row r="937" spans="3:5">
      <c r="C937">
        <f t="shared" si="29"/>
        <v>922</v>
      </c>
      <c r="D937">
        <f t="shared" si="30"/>
        <v>0</v>
      </c>
      <c r="E937">
        <f>1-SUM($D$16:D937)</f>
        <v>0</v>
      </c>
    </row>
    <row r="938" spans="3:5">
      <c r="C938">
        <f t="shared" si="29"/>
        <v>923</v>
      </c>
      <c r="D938">
        <f t="shared" si="30"/>
        <v>0</v>
      </c>
      <c r="E938">
        <f>1-SUM($D$16:D938)</f>
        <v>0</v>
      </c>
    </row>
    <row r="939" spans="3:5">
      <c r="C939">
        <f t="shared" si="29"/>
        <v>924</v>
      </c>
      <c r="D939">
        <f t="shared" si="30"/>
        <v>0</v>
      </c>
      <c r="E939">
        <f>1-SUM($D$16:D939)</f>
        <v>0</v>
      </c>
    </row>
    <row r="940" spans="3:5">
      <c r="C940">
        <f t="shared" si="29"/>
        <v>925</v>
      </c>
      <c r="D940">
        <f t="shared" si="30"/>
        <v>0</v>
      </c>
      <c r="E940">
        <f>1-SUM($D$16:D940)</f>
        <v>0</v>
      </c>
    </row>
    <row r="941" spans="3:5">
      <c r="C941">
        <f t="shared" si="29"/>
        <v>926</v>
      </c>
      <c r="D941">
        <f t="shared" si="30"/>
        <v>0</v>
      </c>
      <c r="E941">
        <f>1-SUM($D$16:D941)</f>
        <v>0</v>
      </c>
    </row>
    <row r="942" spans="3:5">
      <c r="C942">
        <f t="shared" si="29"/>
        <v>927</v>
      </c>
      <c r="D942">
        <f t="shared" si="30"/>
        <v>0</v>
      </c>
      <c r="E942">
        <f>1-SUM($D$16:D942)</f>
        <v>0</v>
      </c>
    </row>
    <row r="943" spans="3:5">
      <c r="C943">
        <f t="shared" si="29"/>
        <v>928</v>
      </c>
      <c r="D943">
        <f t="shared" si="30"/>
        <v>0</v>
      </c>
      <c r="E943">
        <f>1-SUM($D$16:D943)</f>
        <v>0</v>
      </c>
    </row>
    <row r="944" spans="3:5">
      <c r="C944">
        <f t="shared" si="29"/>
        <v>929</v>
      </c>
      <c r="D944">
        <f t="shared" si="30"/>
        <v>0</v>
      </c>
      <c r="E944">
        <f>1-SUM($D$16:D944)</f>
        <v>0</v>
      </c>
    </row>
    <row r="945" spans="3:5">
      <c r="C945">
        <f t="shared" si="29"/>
        <v>930</v>
      </c>
      <c r="D945">
        <f t="shared" si="30"/>
        <v>0</v>
      </c>
      <c r="E945">
        <f>1-SUM($D$16:D945)</f>
        <v>0</v>
      </c>
    </row>
    <row r="946" spans="3:5">
      <c r="C946">
        <f t="shared" si="29"/>
        <v>931</v>
      </c>
      <c r="D946">
        <f t="shared" si="30"/>
        <v>0</v>
      </c>
      <c r="E946">
        <f>1-SUM($D$16:D946)</f>
        <v>0</v>
      </c>
    </row>
    <row r="947" spans="3:5">
      <c r="C947">
        <f t="shared" si="29"/>
        <v>932</v>
      </c>
      <c r="D947">
        <f t="shared" si="30"/>
        <v>0</v>
      </c>
      <c r="E947">
        <f>1-SUM($D$16:D947)</f>
        <v>0</v>
      </c>
    </row>
    <row r="948" spans="3:5">
      <c r="C948">
        <f t="shared" si="29"/>
        <v>933</v>
      </c>
      <c r="D948">
        <f t="shared" si="30"/>
        <v>0</v>
      </c>
      <c r="E948">
        <f>1-SUM($D$16:D948)</f>
        <v>0</v>
      </c>
    </row>
    <row r="949" spans="3:5">
      <c r="C949">
        <f t="shared" si="29"/>
        <v>934</v>
      </c>
      <c r="D949">
        <f t="shared" si="30"/>
        <v>0</v>
      </c>
      <c r="E949">
        <f>1-SUM($D$16:D949)</f>
        <v>0</v>
      </c>
    </row>
    <row r="950" spans="3:5">
      <c r="C950">
        <f t="shared" si="29"/>
        <v>935</v>
      </c>
      <c r="D950">
        <f t="shared" si="30"/>
        <v>0</v>
      </c>
      <c r="E950">
        <f>1-SUM($D$16:D950)</f>
        <v>0</v>
      </c>
    </row>
    <row r="951" spans="3:5">
      <c r="C951">
        <f t="shared" si="29"/>
        <v>936</v>
      </c>
      <c r="D951">
        <f t="shared" si="30"/>
        <v>0</v>
      </c>
      <c r="E951">
        <f>1-SUM($D$16:D951)</f>
        <v>0</v>
      </c>
    </row>
    <row r="952" spans="3:5">
      <c r="C952">
        <f t="shared" si="29"/>
        <v>937</v>
      </c>
      <c r="D952">
        <f t="shared" si="30"/>
        <v>0</v>
      </c>
      <c r="E952">
        <f>1-SUM($D$16:D952)</f>
        <v>0</v>
      </c>
    </row>
    <row r="953" spans="3:5">
      <c r="C953">
        <f t="shared" si="29"/>
        <v>938</v>
      </c>
      <c r="D953">
        <f t="shared" si="30"/>
        <v>0</v>
      </c>
      <c r="E953">
        <f>1-SUM($D$16:D953)</f>
        <v>0</v>
      </c>
    </row>
    <row r="954" spans="3:5">
      <c r="C954">
        <f t="shared" si="29"/>
        <v>939</v>
      </c>
      <c r="D954">
        <f t="shared" si="30"/>
        <v>0</v>
      </c>
      <c r="E954">
        <f>1-SUM($D$16:D954)</f>
        <v>0</v>
      </c>
    </row>
    <row r="955" spans="3:5">
      <c r="C955">
        <f t="shared" si="29"/>
        <v>940</v>
      </c>
      <c r="D955">
        <f t="shared" si="30"/>
        <v>0</v>
      </c>
      <c r="E955">
        <f>1-SUM($D$16:D955)</f>
        <v>0</v>
      </c>
    </row>
    <row r="956" spans="3:5">
      <c r="C956">
        <f t="shared" si="29"/>
        <v>941</v>
      </c>
      <c r="D956">
        <f t="shared" si="30"/>
        <v>0</v>
      </c>
      <c r="E956">
        <f>1-SUM($D$16:D956)</f>
        <v>0</v>
      </c>
    </row>
    <row r="957" spans="3:5">
      <c r="C957">
        <f t="shared" si="29"/>
        <v>942</v>
      </c>
      <c r="D957">
        <f t="shared" si="30"/>
        <v>0</v>
      </c>
      <c r="E957">
        <f>1-SUM($D$16:D957)</f>
        <v>0</v>
      </c>
    </row>
    <row r="958" spans="3:5">
      <c r="C958">
        <f t="shared" si="29"/>
        <v>943</v>
      </c>
      <c r="D958">
        <f t="shared" si="30"/>
        <v>0</v>
      </c>
      <c r="E958">
        <f>1-SUM($D$16:D958)</f>
        <v>0</v>
      </c>
    </row>
    <row r="959" spans="3:5">
      <c r="C959">
        <f t="shared" si="29"/>
        <v>944</v>
      </c>
      <c r="D959">
        <f t="shared" si="30"/>
        <v>0</v>
      </c>
      <c r="E959">
        <f>1-SUM($D$16:D959)</f>
        <v>0</v>
      </c>
    </row>
    <row r="960" spans="3:5">
      <c r="C960">
        <f t="shared" si="29"/>
        <v>945</v>
      </c>
      <c r="D960">
        <f t="shared" si="30"/>
        <v>0</v>
      </c>
      <c r="E960">
        <f>1-SUM($D$16:D960)</f>
        <v>0</v>
      </c>
    </row>
    <row r="961" spans="3:5">
      <c r="C961">
        <f t="shared" si="29"/>
        <v>946</v>
      </c>
      <c r="D961">
        <f t="shared" si="30"/>
        <v>0</v>
      </c>
      <c r="E961">
        <f>1-SUM($D$16:D961)</f>
        <v>0</v>
      </c>
    </row>
    <row r="962" spans="3:5">
      <c r="C962">
        <f t="shared" si="29"/>
        <v>947</v>
      </c>
      <c r="D962">
        <f t="shared" si="30"/>
        <v>0</v>
      </c>
      <c r="E962">
        <f>1-SUM($D$16:D962)</f>
        <v>0</v>
      </c>
    </row>
    <row r="963" spans="3:5">
      <c r="C963">
        <f t="shared" si="29"/>
        <v>948</v>
      </c>
      <c r="D963">
        <f t="shared" si="30"/>
        <v>0</v>
      </c>
      <c r="E963">
        <f>1-SUM($D$16:D963)</f>
        <v>0</v>
      </c>
    </row>
    <row r="964" spans="3:5">
      <c r="C964">
        <f t="shared" si="29"/>
        <v>949</v>
      </c>
      <c r="D964">
        <f t="shared" si="30"/>
        <v>0</v>
      </c>
      <c r="E964">
        <f>1-SUM($D$16:D964)</f>
        <v>0</v>
      </c>
    </row>
    <row r="965" spans="3:5">
      <c r="C965">
        <f t="shared" si="29"/>
        <v>950</v>
      </c>
      <c r="D965">
        <f t="shared" si="30"/>
        <v>0</v>
      </c>
      <c r="E965">
        <f>1-SUM($D$16:D965)</f>
        <v>0</v>
      </c>
    </row>
    <row r="966" spans="3:5">
      <c r="C966">
        <f t="shared" si="29"/>
        <v>951</v>
      </c>
      <c r="D966">
        <f t="shared" si="30"/>
        <v>0</v>
      </c>
      <c r="E966">
        <f>1-SUM($D$16:D966)</f>
        <v>0</v>
      </c>
    </row>
    <row r="967" spans="3:5">
      <c r="C967">
        <f t="shared" si="29"/>
        <v>952</v>
      </c>
      <c r="D967">
        <f t="shared" si="30"/>
        <v>0</v>
      </c>
      <c r="E967">
        <f>1-SUM($D$16:D967)</f>
        <v>0</v>
      </c>
    </row>
    <row r="968" spans="3:5">
      <c r="C968">
        <f t="shared" ref="C968:C1015" si="31">C967+1</f>
        <v>953</v>
      </c>
      <c r="D968">
        <f t="shared" si="30"/>
        <v>0</v>
      </c>
      <c r="E968">
        <f>1-SUM($D$16:D968)</f>
        <v>0</v>
      </c>
    </row>
    <row r="969" spans="3:5">
      <c r="C969">
        <f t="shared" si="31"/>
        <v>954</v>
      </c>
      <c r="D969">
        <f t="shared" si="30"/>
        <v>0</v>
      </c>
      <c r="E969">
        <f>1-SUM($D$16:D969)</f>
        <v>0</v>
      </c>
    </row>
    <row r="970" spans="3:5">
      <c r="C970">
        <f t="shared" si="31"/>
        <v>955</v>
      </c>
      <c r="D970">
        <f t="shared" si="30"/>
        <v>0</v>
      </c>
      <c r="E970">
        <f>1-SUM($D$16:D970)</f>
        <v>0</v>
      </c>
    </row>
    <row r="971" spans="3:5">
      <c r="C971">
        <f t="shared" si="31"/>
        <v>956</v>
      </c>
      <c r="D971">
        <f t="shared" si="30"/>
        <v>0</v>
      </c>
      <c r="E971">
        <f>1-SUM($D$16:D971)</f>
        <v>0</v>
      </c>
    </row>
    <row r="972" spans="3:5">
      <c r="C972">
        <f t="shared" si="31"/>
        <v>957</v>
      </c>
      <c r="D972">
        <f t="shared" si="30"/>
        <v>0</v>
      </c>
      <c r="E972">
        <f>1-SUM($D$16:D972)</f>
        <v>0</v>
      </c>
    </row>
    <row r="973" spans="3:5">
      <c r="C973">
        <f t="shared" si="31"/>
        <v>958</v>
      </c>
      <c r="D973">
        <f t="shared" si="30"/>
        <v>0</v>
      </c>
      <c r="E973">
        <f>1-SUM($D$16:D973)</f>
        <v>0</v>
      </c>
    </row>
    <row r="974" spans="3:5">
      <c r="C974">
        <f t="shared" si="31"/>
        <v>959</v>
      </c>
      <c r="D974">
        <f t="shared" si="30"/>
        <v>0</v>
      </c>
      <c r="E974">
        <f>1-SUM($D$16:D974)</f>
        <v>0</v>
      </c>
    </row>
    <row r="975" spans="3:5">
      <c r="C975">
        <f t="shared" si="31"/>
        <v>960</v>
      </c>
      <c r="D975">
        <f t="shared" si="30"/>
        <v>0</v>
      </c>
      <c r="E975">
        <f>1-SUM($D$16:D975)</f>
        <v>0</v>
      </c>
    </row>
    <row r="976" spans="3:5">
      <c r="C976">
        <f t="shared" si="31"/>
        <v>961</v>
      </c>
      <c r="D976">
        <f t="shared" si="30"/>
        <v>0</v>
      </c>
      <c r="E976">
        <f>1-SUM($D$16:D976)</f>
        <v>0</v>
      </c>
    </row>
    <row r="977" spans="3:5">
      <c r="C977">
        <f t="shared" si="31"/>
        <v>962</v>
      </c>
      <c r="D977">
        <f t="shared" si="30"/>
        <v>0</v>
      </c>
      <c r="E977">
        <f>1-SUM($D$16:D977)</f>
        <v>0</v>
      </c>
    </row>
    <row r="978" spans="3:5">
      <c r="C978">
        <f t="shared" si="31"/>
        <v>963</v>
      </c>
      <c r="D978">
        <f t="shared" ref="D978:D1014" si="32">IF(C978=$E$14,E977,E977*$D$14)</f>
        <v>0</v>
      </c>
      <c r="E978">
        <f>1-SUM($D$16:D978)</f>
        <v>0</v>
      </c>
    </row>
    <row r="979" spans="3:5">
      <c r="C979">
        <f t="shared" si="31"/>
        <v>964</v>
      </c>
      <c r="D979">
        <f t="shared" si="32"/>
        <v>0</v>
      </c>
      <c r="E979">
        <f>1-SUM($D$16:D979)</f>
        <v>0</v>
      </c>
    </row>
    <row r="980" spans="3:5">
      <c r="C980">
        <f t="shared" si="31"/>
        <v>965</v>
      </c>
      <c r="D980">
        <f t="shared" si="32"/>
        <v>0</v>
      </c>
      <c r="E980">
        <f>1-SUM($D$16:D980)</f>
        <v>0</v>
      </c>
    </row>
    <row r="981" spans="3:5">
      <c r="C981">
        <f t="shared" si="31"/>
        <v>966</v>
      </c>
      <c r="D981">
        <f t="shared" si="32"/>
        <v>0</v>
      </c>
      <c r="E981">
        <f>1-SUM($D$16:D981)</f>
        <v>0</v>
      </c>
    </row>
    <row r="982" spans="3:5">
      <c r="C982">
        <f t="shared" si="31"/>
        <v>967</v>
      </c>
      <c r="D982">
        <f t="shared" si="32"/>
        <v>0</v>
      </c>
      <c r="E982">
        <f>1-SUM($D$16:D982)</f>
        <v>0</v>
      </c>
    </row>
    <row r="983" spans="3:5">
      <c r="C983">
        <f t="shared" si="31"/>
        <v>968</v>
      </c>
      <c r="D983">
        <f t="shared" si="32"/>
        <v>0</v>
      </c>
      <c r="E983">
        <f>1-SUM($D$16:D983)</f>
        <v>0</v>
      </c>
    </row>
    <row r="984" spans="3:5">
      <c r="C984">
        <f t="shared" si="31"/>
        <v>969</v>
      </c>
      <c r="D984">
        <f t="shared" si="32"/>
        <v>0</v>
      </c>
      <c r="E984">
        <f>1-SUM($D$16:D984)</f>
        <v>0</v>
      </c>
    </row>
    <row r="985" spans="3:5">
      <c r="C985">
        <f t="shared" si="31"/>
        <v>970</v>
      </c>
      <c r="D985">
        <f t="shared" si="32"/>
        <v>0</v>
      </c>
      <c r="E985">
        <f>1-SUM($D$16:D985)</f>
        <v>0</v>
      </c>
    </row>
    <row r="986" spans="3:5">
      <c r="C986">
        <f t="shared" si="31"/>
        <v>971</v>
      </c>
      <c r="D986">
        <f t="shared" si="32"/>
        <v>0</v>
      </c>
      <c r="E986">
        <f>1-SUM($D$16:D986)</f>
        <v>0</v>
      </c>
    </row>
    <row r="987" spans="3:5">
      <c r="C987">
        <f t="shared" si="31"/>
        <v>972</v>
      </c>
      <c r="D987">
        <f t="shared" si="32"/>
        <v>0</v>
      </c>
      <c r="E987">
        <f>1-SUM($D$16:D987)</f>
        <v>0</v>
      </c>
    </row>
    <row r="988" spans="3:5">
      <c r="C988">
        <f t="shared" si="31"/>
        <v>973</v>
      </c>
      <c r="D988">
        <f t="shared" si="32"/>
        <v>0</v>
      </c>
      <c r="E988">
        <f>1-SUM($D$16:D988)</f>
        <v>0</v>
      </c>
    </row>
    <row r="989" spans="3:5">
      <c r="C989">
        <f t="shared" si="31"/>
        <v>974</v>
      </c>
      <c r="D989">
        <f t="shared" si="32"/>
        <v>0</v>
      </c>
      <c r="E989">
        <f>1-SUM($D$16:D989)</f>
        <v>0</v>
      </c>
    </row>
    <row r="990" spans="3:5">
      <c r="C990">
        <f t="shared" si="31"/>
        <v>975</v>
      </c>
      <c r="D990">
        <f t="shared" si="32"/>
        <v>0</v>
      </c>
      <c r="E990">
        <f>1-SUM($D$16:D990)</f>
        <v>0</v>
      </c>
    </row>
    <row r="991" spans="3:5">
      <c r="C991">
        <f t="shared" si="31"/>
        <v>976</v>
      </c>
      <c r="D991">
        <f t="shared" si="32"/>
        <v>0</v>
      </c>
      <c r="E991">
        <f>1-SUM($D$16:D991)</f>
        <v>0</v>
      </c>
    </row>
    <row r="992" spans="3:5">
      <c r="C992">
        <f t="shared" si="31"/>
        <v>977</v>
      </c>
      <c r="D992">
        <f t="shared" si="32"/>
        <v>0</v>
      </c>
      <c r="E992">
        <f>1-SUM($D$16:D992)</f>
        <v>0</v>
      </c>
    </row>
    <row r="993" spans="3:5">
      <c r="C993">
        <f t="shared" si="31"/>
        <v>978</v>
      </c>
      <c r="D993">
        <f t="shared" si="32"/>
        <v>0</v>
      </c>
      <c r="E993">
        <f>1-SUM($D$16:D993)</f>
        <v>0</v>
      </c>
    </row>
    <row r="994" spans="3:5">
      <c r="C994">
        <f t="shared" si="31"/>
        <v>979</v>
      </c>
      <c r="D994">
        <f t="shared" si="32"/>
        <v>0</v>
      </c>
      <c r="E994">
        <f>1-SUM($D$16:D994)</f>
        <v>0</v>
      </c>
    </row>
    <row r="995" spans="3:5">
      <c r="C995">
        <f t="shared" si="31"/>
        <v>980</v>
      </c>
      <c r="D995">
        <f t="shared" si="32"/>
        <v>0</v>
      </c>
      <c r="E995">
        <f>1-SUM($D$16:D995)</f>
        <v>0</v>
      </c>
    </row>
    <row r="996" spans="3:5">
      <c r="C996">
        <f t="shared" si="31"/>
        <v>981</v>
      </c>
      <c r="D996">
        <f t="shared" si="32"/>
        <v>0</v>
      </c>
      <c r="E996">
        <f>1-SUM($D$16:D996)</f>
        <v>0</v>
      </c>
    </row>
    <row r="997" spans="3:5">
      <c r="C997">
        <f t="shared" si="31"/>
        <v>982</v>
      </c>
      <c r="D997">
        <f t="shared" si="32"/>
        <v>0</v>
      </c>
      <c r="E997">
        <f>1-SUM($D$16:D997)</f>
        <v>0</v>
      </c>
    </row>
    <row r="998" spans="3:5">
      <c r="C998">
        <f t="shared" si="31"/>
        <v>983</v>
      </c>
      <c r="D998">
        <f t="shared" si="32"/>
        <v>0</v>
      </c>
      <c r="E998">
        <f>1-SUM($D$16:D998)</f>
        <v>0</v>
      </c>
    </row>
    <row r="999" spans="3:5">
      <c r="C999">
        <f t="shared" si="31"/>
        <v>984</v>
      </c>
      <c r="D999">
        <f t="shared" si="32"/>
        <v>0</v>
      </c>
      <c r="E999">
        <f>1-SUM($D$16:D999)</f>
        <v>0</v>
      </c>
    </row>
    <row r="1000" spans="3:5">
      <c r="C1000">
        <f t="shared" si="31"/>
        <v>985</v>
      </c>
      <c r="D1000">
        <f t="shared" si="32"/>
        <v>0</v>
      </c>
      <c r="E1000">
        <f>1-SUM($D$16:D1000)</f>
        <v>0</v>
      </c>
    </row>
    <row r="1001" spans="3:5">
      <c r="C1001">
        <f t="shared" si="31"/>
        <v>986</v>
      </c>
      <c r="D1001">
        <f t="shared" si="32"/>
        <v>0</v>
      </c>
      <c r="E1001">
        <f>1-SUM($D$16:D1001)</f>
        <v>0</v>
      </c>
    </row>
    <row r="1002" spans="3:5">
      <c r="C1002">
        <f t="shared" si="31"/>
        <v>987</v>
      </c>
      <c r="D1002">
        <f t="shared" si="32"/>
        <v>0</v>
      </c>
      <c r="E1002">
        <f>1-SUM($D$16:D1002)</f>
        <v>0</v>
      </c>
    </row>
    <row r="1003" spans="3:5">
      <c r="C1003">
        <f t="shared" si="31"/>
        <v>988</v>
      </c>
      <c r="D1003">
        <f t="shared" si="32"/>
        <v>0</v>
      </c>
      <c r="E1003">
        <f>1-SUM($D$16:D1003)</f>
        <v>0</v>
      </c>
    </row>
    <row r="1004" spans="3:5">
      <c r="C1004">
        <f t="shared" si="31"/>
        <v>989</v>
      </c>
      <c r="D1004">
        <f t="shared" si="32"/>
        <v>0</v>
      </c>
      <c r="E1004">
        <f>1-SUM($D$16:D1004)</f>
        <v>0</v>
      </c>
    </row>
    <row r="1005" spans="3:5">
      <c r="C1005">
        <f t="shared" si="31"/>
        <v>990</v>
      </c>
      <c r="D1005">
        <f t="shared" si="32"/>
        <v>0</v>
      </c>
      <c r="E1005">
        <f>1-SUM($D$16:D1005)</f>
        <v>0</v>
      </c>
    </row>
    <row r="1006" spans="3:5">
      <c r="C1006">
        <f t="shared" si="31"/>
        <v>991</v>
      </c>
      <c r="D1006">
        <f t="shared" si="32"/>
        <v>0</v>
      </c>
      <c r="E1006">
        <f>1-SUM($D$16:D1006)</f>
        <v>0</v>
      </c>
    </row>
    <row r="1007" spans="3:5">
      <c r="C1007">
        <f t="shared" si="31"/>
        <v>992</v>
      </c>
      <c r="D1007">
        <f t="shared" si="32"/>
        <v>0</v>
      </c>
      <c r="E1007">
        <f>1-SUM($D$16:D1007)</f>
        <v>0</v>
      </c>
    </row>
    <row r="1008" spans="3:5">
      <c r="C1008">
        <f t="shared" si="31"/>
        <v>993</v>
      </c>
      <c r="D1008">
        <f t="shared" si="32"/>
        <v>0</v>
      </c>
      <c r="E1008">
        <f>1-SUM($D$16:D1008)</f>
        <v>0</v>
      </c>
    </row>
    <row r="1009" spans="3:5">
      <c r="C1009">
        <f t="shared" si="31"/>
        <v>994</v>
      </c>
      <c r="D1009">
        <f t="shared" si="32"/>
        <v>0</v>
      </c>
      <c r="E1009">
        <f>1-SUM($D$16:D1009)</f>
        <v>0</v>
      </c>
    </row>
    <row r="1010" spans="3:5">
      <c r="C1010">
        <f t="shared" si="31"/>
        <v>995</v>
      </c>
      <c r="D1010">
        <f t="shared" si="32"/>
        <v>0</v>
      </c>
      <c r="E1010">
        <f>1-SUM($D$16:D1010)</f>
        <v>0</v>
      </c>
    </row>
    <row r="1011" spans="3:5">
      <c r="C1011">
        <f t="shared" si="31"/>
        <v>996</v>
      </c>
      <c r="D1011">
        <f t="shared" si="32"/>
        <v>0</v>
      </c>
      <c r="E1011">
        <f>1-SUM($D$16:D1011)</f>
        <v>0</v>
      </c>
    </row>
    <row r="1012" spans="3:5">
      <c r="C1012">
        <f t="shared" si="31"/>
        <v>997</v>
      </c>
      <c r="D1012">
        <f t="shared" si="32"/>
        <v>0</v>
      </c>
      <c r="E1012">
        <f>1-SUM($D$16:D1012)</f>
        <v>0</v>
      </c>
    </row>
    <row r="1013" spans="3:5">
      <c r="C1013">
        <f t="shared" si="31"/>
        <v>998</v>
      </c>
      <c r="D1013">
        <f t="shared" si="32"/>
        <v>0</v>
      </c>
      <c r="E1013">
        <f>1-SUM($D$16:D1013)</f>
        <v>0</v>
      </c>
    </row>
    <row r="1014" spans="3:5">
      <c r="C1014">
        <f t="shared" si="31"/>
        <v>999</v>
      </c>
      <c r="D1014">
        <f t="shared" si="32"/>
        <v>0</v>
      </c>
      <c r="E1014">
        <f>1-SUM($D$16:D1014)</f>
        <v>0</v>
      </c>
    </row>
    <row r="1015" spans="3:5">
      <c r="C1015">
        <f t="shared" si="31"/>
        <v>1000</v>
      </c>
      <c r="D1015">
        <f>E1014</f>
        <v>0</v>
      </c>
      <c r="E1015">
        <f>1-SUM($D$16:D1015)</f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O101"/>
  <sheetViews>
    <sheetView zoomScale="85" zoomScaleNormal="85" workbookViewId="0">
      <selection activeCell="M81" sqref="M81"/>
    </sheetView>
  </sheetViews>
  <sheetFormatPr defaultColWidth="9.14285714285714" defaultRowHeight="12.75"/>
  <cols>
    <col min="5" max="5" width="11.4285714285714" customWidth="1"/>
    <col min="6" max="6" width="13.5714285714286" customWidth="1"/>
    <col min="7" max="7" width="13.2857142857143" customWidth="1"/>
    <col min="14" max="15" width="12.8571428571429"/>
    <col min="19" max="19" width="9.57142857142857"/>
  </cols>
  <sheetData>
    <row r="1" spans="1:15">
      <c r="A1" t="s">
        <v>623</v>
      </c>
      <c r="B1" t="s">
        <v>624</v>
      </c>
      <c r="C1" t="s">
        <v>625</v>
      </c>
      <c r="D1" t="s">
        <v>626</v>
      </c>
      <c r="E1" t="s">
        <v>627</v>
      </c>
      <c r="F1" t="s">
        <v>628</v>
      </c>
      <c r="G1" t="s">
        <v>629</v>
      </c>
      <c r="H1" t="s">
        <v>630</v>
      </c>
      <c r="I1" t="s">
        <v>630</v>
      </c>
      <c r="M1" t="s">
        <v>623</v>
      </c>
      <c r="N1" t="s">
        <v>631</v>
      </c>
      <c r="O1" t="s">
        <v>632</v>
      </c>
    </row>
    <row r="2" spans="1:15">
      <c r="A2">
        <v>100</v>
      </c>
      <c r="B2">
        <f>IF(A2&gt;=4000,4000,A2)</f>
        <v>100</v>
      </c>
      <c r="C2">
        <f>IF(A2&gt;=4000,A2-4000,0)</f>
        <v>0</v>
      </c>
      <c r="D2">
        <f>B2*(Sheet1!$G$8-Sheet1!$K$8)+C2*(Sheet1!$G$9-Sheet1!$K$9)</f>
        <v>2</v>
      </c>
      <c r="E2" s="1">
        <f>ROUNDUP(B2*(Sheet1!$H$8-Sheet1!$J$8)+C2*(Sheet1!$H$9-Sheet1!$J$9),0)</f>
        <v>1</v>
      </c>
      <c r="F2">
        <f ca="1">OFFSET(梦灵本体产出!$M$146,MATCH(A2+SUM(梦灵本体产出!$C$34:$C$37),梦灵本体产出!$H$147:$H$206,1),0)</f>
        <v>16</v>
      </c>
      <c r="G2">
        <f ca="1">OFFSET(梦灵本体产出!$N$146,MATCH(B2+SUM(梦灵本体产出!$C$34:$C$37),梦灵本体产出!$H$147:$H$206,1),0)</f>
        <v>9</v>
      </c>
      <c r="H2">
        <f ca="1">MATCH(_xlfn.XLOOKUP(F2,梦灵属性!$E$156:$E$205,梦灵属性!$K$156:$K$205)+D2*10/6,梦灵属性!$K$156:$K$205,1)</f>
        <v>16</v>
      </c>
      <c r="I2">
        <f ca="1">MATCH(_xlfn.XLOOKUP(G2,梦灵属性!$E$206:$E$255,梦灵属性!$K$206:$K$255)+E2*10/3,梦灵属性!$K$206:$K$255,1)</f>
        <v>9</v>
      </c>
      <c r="J2" t="str">
        <f>"[{5600005,"&amp;D2&amp;"},{5600006,"&amp;E2&amp;"}]"</f>
        <v>[{5600005,2},{5600006,1}]</v>
      </c>
      <c r="M2">
        <v>100</v>
      </c>
      <c r="N2">
        <f ca="1">I2-G2</f>
        <v>0</v>
      </c>
      <c r="O2">
        <f ca="1">H2-F2</f>
        <v>0</v>
      </c>
    </row>
    <row r="3" spans="1:15">
      <c r="A3">
        <v>200</v>
      </c>
      <c r="B3">
        <f t="shared" ref="B3:B34" si="0">IF(A3&gt;=4000,4000,A3)</f>
        <v>200</v>
      </c>
      <c r="C3">
        <f t="shared" ref="C3:C34" si="1">IF(A3&gt;=4000,A3-4000,0)</f>
        <v>0</v>
      </c>
      <c r="D3">
        <f>B3*(Sheet1!$G$8-Sheet1!$K$8)+C3*(Sheet1!$G$9-Sheet1!$K$9)</f>
        <v>4</v>
      </c>
      <c r="E3" s="1">
        <f>ROUNDUP(B3*(Sheet1!$H$8-Sheet1!$J$8)+C3*(Sheet1!$H$9-Sheet1!$J$9),0)</f>
        <v>1</v>
      </c>
      <c r="F3">
        <f ca="1">OFFSET(梦灵本体产出!$M$146,MATCH(A3+SUM(梦灵本体产出!$C$34:$C$37),梦灵本体产出!$H$147:$H$206,1),0)</f>
        <v>16</v>
      </c>
      <c r="G3">
        <f ca="1">OFFSET(梦灵本体产出!$N$146,MATCH(B3+SUM(梦灵本体产出!$C$34:$C$37),梦灵本体产出!$H$147:$H$206,1),0)</f>
        <v>9</v>
      </c>
      <c r="H3">
        <f ca="1">MATCH(_xlfn.XLOOKUP(F3,梦灵属性!$E$156:$E$205,梦灵属性!$K$156:$K$205)+D3*10/6,梦灵属性!$K$156:$K$205,1)</f>
        <v>16</v>
      </c>
      <c r="I3">
        <f ca="1">MATCH(_xlfn.XLOOKUP(G3,梦灵属性!$E$206:$E$255,梦灵属性!$K$206:$K$255)+E3*10/3,梦灵属性!$K$206:$K$255,1)</f>
        <v>9</v>
      </c>
      <c r="J3" t="str">
        <f t="shared" ref="J3:J34" si="2">"[{5600005,"&amp;D3&amp;"},{5600006,"&amp;E3&amp;"}]"</f>
        <v>[{5600005,4},{5600006,1}]</v>
      </c>
      <c r="M3">
        <v>200</v>
      </c>
      <c r="N3">
        <f ca="1" t="shared" ref="N3:N34" si="3">I3-G3</f>
        <v>0</v>
      </c>
      <c r="O3">
        <f ca="1" t="shared" ref="O3:O34" si="4">H3-F3</f>
        <v>0</v>
      </c>
    </row>
    <row r="4" spans="1:15">
      <c r="A4">
        <v>300</v>
      </c>
      <c r="B4">
        <f t="shared" si="0"/>
        <v>300</v>
      </c>
      <c r="C4">
        <f t="shared" si="1"/>
        <v>0</v>
      </c>
      <c r="D4">
        <f>B4*(Sheet1!$G$8-Sheet1!$K$8)+C4*(Sheet1!$G$9-Sheet1!$K$9)</f>
        <v>6</v>
      </c>
      <c r="E4" s="1">
        <f>ROUNDUP(B4*(Sheet1!$H$8-Sheet1!$J$8)+C4*(Sheet1!$H$9-Sheet1!$J$9),0)</f>
        <v>2</v>
      </c>
      <c r="F4">
        <f ca="1">OFFSET(梦灵本体产出!$M$146,MATCH(A4+SUM(梦灵本体产出!$C$34:$C$37),梦灵本体产出!$H$147:$H$206,1),0)</f>
        <v>16</v>
      </c>
      <c r="G4">
        <f ca="1">OFFSET(梦灵本体产出!$N$146,MATCH(B4+SUM(梦灵本体产出!$C$34:$C$37),梦灵本体产出!$H$147:$H$206,1),0)</f>
        <v>9</v>
      </c>
      <c r="H4">
        <f ca="1">MATCH(_xlfn.XLOOKUP(F4,梦灵属性!$E$156:$E$205,梦灵属性!$K$156:$K$205)+D4*10/6,梦灵属性!$K$156:$K$205,1)</f>
        <v>16</v>
      </c>
      <c r="I4">
        <f ca="1">MATCH(_xlfn.XLOOKUP(G4,梦灵属性!$E$206:$E$255,梦灵属性!$K$206:$K$255)+E4*10/3,梦灵属性!$K$206:$K$255,1)</f>
        <v>9</v>
      </c>
      <c r="J4" t="str">
        <f t="shared" si="2"/>
        <v>[{5600005,6},{5600006,2}]</v>
      </c>
      <c r="M4">
        <v>300</v>
      </c>
      <c r="N4">
        <f ca="1" t="shared" si="3"/>
        <v>0</v>
      </c>
      <c r="O4">
        <f ca="1" t="shared" si="4"/>
        <v>0</v>
      </c>
    </row>
    <row r="5" spans="1:15">
      <c r="A5">
        <v>400</v>
      </c>
      <c r="B5">
        <f t="shared" si="0"/>
        <v>400</v>
      </c>
      <c r="C5">
        <f t="shared" si="1"/>
        <v>0</v>
      </c>
      <c r="D5">
        <f>B5*(Sheet1!$G$8-Sheet1!$K$8)+C5*(Sheet1!$G$9-Sheet1!$K$9)</f>
        <v>8</v>
      </c>
      <c r="E5" s="1">
        <f>ROUNDUP(B5*(Sheet1!$H$8-Sheet1!$J$8)+C5*(Sheet1!$H$9-Sheet1!$J$9),0)</f>
        <v>2</v>
      </c>
      <c r="F5">
        <f ca="1">OFFSET(梦灵本体产出!$M$146,MATCH(A5+SUM(梦灵本体产出!$C$34:$C$37),梦灵本体产出!$H$147:$H$206,1),0)</f>
        <v>16</v>
      </c>
      <c r="G5">
        <f ca="1">OFFSET(梦灵本体产出!$N$146,MATCH(B5+SUM(梦灵本体产出!$C$34:$C$37),梦灵本体产出!$H$147:$H$206,1),0)</f>
        <v>9</v>
      </c>
      <c r="H5">
        <f ca="1">MATCH(_xlfn.XLOOKUP(F5,梦灵属性!$E$156:$E$205,梦灵属性!$K$156:$K$205)+D5*10/6,梦灵属性!$K$156:$K$205,1)</f>
        <v>16</v>
      </c>
      <c r="I5">
        <f ca="1">MATCH(_xlfn.XLOOKUP(G5,梦灵属性!$E$206:$E$255,梦灵属性!$K$206:$K$255)+E5*10/3,梦灵属性!$K$206:$K$255,1)</f>
        <v>9</v>
      </c>
      <c r="J5" t="str">
        <f t="shared" si="2"/>
        <v>[{5600005,8},{5600006,2}]</v>
      </c>
      <c r="M5">
        <v>400</v>
      </c>
      <c r="N5">
        <f ca="1" t="shared" si="3"/>
        <v>0</v>
      </c>
      <c r="O5">
        <f ca="1" t="shared" si="4"/>
        <v>0</v>
      </c>
    </row>
    <row r="6" spans="1:15">
      <c r="A6">
        <v>500</v>
      </c>
      <c r="B6">
        <f t="shared" si="0"/>
        <v>500</v>
      </c>
      <c r="C6">
        <f t="shared" si="1"/>
        <v>0</v>
      </c>
      <c r="D6">
        <f>B6*(Sheet1!$G$8-Sheet1!$K$8)+C6*(Sheet1!$G$9-Sheet1!$K$9)</f>
        <v>10</v>
      </c>
      <c r="E6" s="1">
        <f>ROUNDUP(B6*(Sheet1!$H$8-Sheet1!$J$8)+C6*(Sheet1!$H$9-Sheet1!$J$9),0)</f>
        <v>3</v>
      </c>
      <c r="F6">
        <f ca="1">OFFSET(梦灵本体产出!$M$146,MATCH(A6+SUM(梦灵本体产出!$C$34:$C$37),梦灵本体产出!$H$147:$H$206,1),0)</f>
        <v>16</v>
      </c>
      <c r="G6">
        <f ca="1">OFFSET(梦灵本体产出!$N$146,MATCH(B6+SUM(梦灵本体产出!$C$34:$C$37),梦灵本体产出!$H$147:$H$206,1),0)</f>
        <v>9</v>
      </c>
      <c r="H6">
        <f ca="1">MATCH(_xlfn.XLOOKUP(F6,梦灵属性!$E$156:$E$205,梦灵属性!$K$156:$K$205)+D6*10/6,梦灵属性!$K$156:$K$205,1)</f>
        <v>16</v>
      </c>
      <c r="I6">
        <f ca="1">MATCH(_xlfn.XLOOKUP(G6,梦灵属性!$E$206:$E$255,梦灵属性!$K$206:$K$255)+E6*10/3,梦灵属性!$K$206:$K$255,1)</f>
        <v>9</v>
      </c>
      <c r="J6" t="str">
        <f t="shared" si="2"/>
        <v>[{5600005,10},{5600006,3}]</v>
      </c>
      <c r="M6">
        <v>500</v>
      </c>
      <c r="N6">
        <f ca="1" t="shared" si="3"/>
        <v>0</v>
      </c>
      <c r="O6">
        <f ca="1" t="shared" si="4"/>
        <v>0</v>
      </c>
    </row>
    <row r="7" spans="1:15">
      <c r="A7">
        <v>600</v>
      </c>
      <c r="B7">
        <f t="shared" si="0"/>
        <v>600</v>
      </c>
      <c r="C7">
        <f t="shared" si="1"/>
        <v>0</v>
      </c>
      <c r="D7">
        <f>B7*(Sheet1!$G$8-Sheet1!$K$8)+C7*(Sheet1!$G$9-Sheet1!$K$9)</f>
        <v>12</v>
      </c>
      <c r="E7" s="1">
        <f>ROUNDUP(B7*(Sheet1!$H$8-Sheet1!$J$8)+C7*(Sheet1!$H$9-Sheet1!$J$9),0)</f>
        <v>3</v>
      </c>
      <c r="F7">
        <f ca="1">OFFSET(梦灵本体产出!$M$146,MATCH(A7+SUM(梦灵本体产出!$C$34:$C$37),梦灵本体产出!$H$147:$H$206,1),0)</f>
        <v>16</v>
      </c>
      <c r="G7">
        <f ca="1">OFFSET(梦灵本体产出!$N$146,MATCH(B7+SUM(梦灵本体产出!$C$34:$C$37),梦灵本体产出!$H$147:$H$206,1),0)</f>
        <v>9</v>
      </c>
      <c r="H7">
        <f ca="1">MATCH(_xlfn.XLOOKUP(F7,梦灵属性!$E$156:$E$205,梦灵属性!$K$156:$K$205)+D7*10/6,梦灵属性!$K$156:$K$205,1)</f>
        <v>16</v>
      </c>
      <c r="I7">
        <f ca="1">MATCH(_xlfn.XLOOKUP(G7,梦灵属性!$E$206:$E$255,梦灵属性!$K$206:$K$255)+E7*10/3,梦灵属性!$K$206:$K$255,1)</f>
        <v>9</v>
      </c>
      <c r="J7" t="str">
        <f t="shared" si="2"/>
        <v>[{5600005,12},{5600006,3}]</v>
      </c>
      <c r="M7">
        <v>600</v>
      </c>
      <c r="N7">
        <f ca="1" t="shared" si="3"/>
        <v>0</v>
      </c>
      <c r="O7">
        <f ca="1" t="shared" si="4"/>
        <v>0</v>
      </c>
    </row>
    <row r="8" spans="1:15">
      <c r="A8">
        <v>700</v>
      </c>
      <c r="B8">
        <f t="shared" si="0"/>
        <v>700</v>
      </c>
      <c r="C8">
        <f t="shared" si="1"/>
        <v>0</v>
      </c>
      <c r="D8">
        <f>B8*(Sheet1!$G$8-Sheet1!$K$8)+C8*(Sheet1!$G$9-Sheet1!$K$9)</f>
        <v>14</v>
      </c>
      <c r="E8" s="1">
        <f>ROUNDUP(B8*(Sheet1!$H$8-Sheet1!$J$8)+C8*(Sheet1!$H$9-Sheet1!$J$9),0)</f>
        <v>3</v>
      </c>
      <c r="F8">
        <f ca="1">OFFSET(梦灵本体产出!$M$146,MATCH(A8+SUM(梦灵本体产出!$C$34:$C$37),梦灵本体产出!$H$147:$H$206,1),0)</f>
        <v>17</v>
      </c>
      <c r="G8">
        <f ca="1">OFFSET(梦灵本体产出!$N$146,MATCH(B8+SUM(梦灵本体产出!$C$34:$C$37),梦灵本体产出!$H$147:$H$206,1),0)</f>
        <v>11</v>
      </c>
      <c r="H8">
        <f ca="1">MATCH(_xlfn.XLOOKUP(F8,梦灵属性!$E$156:$E$205,梦灵属性!$K$156:$K$205)+D8*10/6,梦灵属性!$K$156:$K$205,1)</f>
        <v>17</v>
      </c>
      <c r="I8">
        <f ca="1">MATCH(_xlfn.XLOOKUP(G8,梦灵属性!$E$206:$E$255,梦灵属性!$K$206:$K$255)+E8*10/3,梦灵属性!$K$206:$K$255,1)</f>
        <v>11</v>
      </c>
      <c r="J8" t="str">
        <f t="shared" si="2"/>
        <v>[{5600005,14},{5600006,3}]</v>
      </c>
      <c r="M8">
        <v>700</v>
      </c>
      <c r="N8">
        <f ca="1" t="shared" si="3"/>
        <v>0</v>
      </c>
      <c r="O8">
        <f ca="1" t="shared" si="4"/>
        <v>0</v>
      </c>
    </row>
    <row r="9" spans="1:15">
      <c r="A9">
        <v>800</v>
      </c>
      <c r="B9">
        <f t="shared" si="0"/>
        <v>800</v>
      </c>
      <c r="C9">
        <f t="shared" si="1"/>
        <v>0</v>
      </c>
      <c r="D9">
        <f>B9*(Sheet1!$G$8-Sheet1!$K$8)+C9*(Sheet1!$G$9-Sheet1!$K$9)</f>
        <v>16</v>
      </c>
      <c r="E9" s="1">
        <f>ROUNDUP(B9*(Sheet1!$H$8-Sheet1!$J$8)+C9*(Sheet1!$H$9-Sheet1!$J$9),0)</f>
        <v>4</v>
      </c>
      <c r="F9">
        <f ca="1">OFFSET(梦灵本体产出!$M$146,MATCH(A9+SUM(梦灵本体产出!$C$34:$C$37),梦灵本体产出!$H$147:$H$206,1),0)</f>
        <v>17</v>
      </c>
      <c r="G9">
        <f ca="1">OFFSET(梦灵本体产出!$N$146,MATCH(B9+SUM(梦灵本体产出!$C$34:$C$37),梦灵本体产出!$H$147:$H$206,1),0)</f>
        <v>11</v>
      </c>
      <c r="H9">
        <f ca="1">MATCH(_xlfn.XLOOKUP(F9,梦灵属性!$E$156:$E$205,梦灵属性!$K$156:$K$205)+D9*10/6,梦灵属性!$K$156:$K$205,1)</f>
        <v>17</v>
      </c>
      <c r="I9">
        <f ca="1">MATCH(_xlfn.XLOOKUP(G9,梦灵属性!$E$206:$E$255,梦灵属性!$K$206:$K$255)+E9*10/3,梦灵属性!$K$206:$K$255,1)</f>
        <v>11</v>
      </c>
      <c r="J9" t="str">
        <f t="shared" si="2"/>
        <v>[{5600005,16},{5600006,4}]</v>
      </c>
      <c r="M9">
        <v>800</v>
      </c>
      <c r="N9">
        <f ca="1" t="shared" si="3"/>
        <v>0</v>
      </c>
      <c r="O9">
        <f ca="1" t="shared" si="4"/>
        <v>0</v>
      </c>
    </row>
    <row r="10" spans="1:15">
      <c r="A10">
        <v>900</v>
      </c>
      <c r="B10">
        <f t="shared" si="0"/>
        <v>900</v>
      </c>
      <c r="C10">
        <f t="shared" si="1"/>
        <v>0</v>
      </c>
      <c r="D10">
        <f>B10*(Sheet1!$G$8-Sheet1!$K$8)+C10*(Sheet1!$G$9-Sheet1!$K$9)</f>
        <v>18</v>
      </c>
      <c r="E10" s="1">
        <f>ROUNDUP(B10*(Sheet1!$H$8-Sheet1!$J$8)+C10*(Sheet1!$H$9-Sheet1!$J$9),0)</f>
        <v>4</v>
      </c>
      <c r="F10">
        <f ca="1">OFFSET(梦灵本体产出!$M$146,MATCH(A10+SUM(梦灵本体产出!$C$34:$C$37),梦灵本体产出!$H$147:$H$206,1),0)</f>
        <v>17</v>
      </c>
      <c r="G10">
        <f ca="1">OFFSET(梦灵本体产出!$N$146,MATCH(B10+SUM(梦灵本体产出!$C$34:$C$37),梦灵本体产出!$H$147:$H$206,1),0)</f>
        <v>11</v>
      </c>
      <c r="H10">
        <f ca="1">MATCH(_xlfn.XLOOKUP(F10,梦灵属性!$E$156:$E$205,梦灵属性!$K$156:$K$205)+D10*10/6,梦灵属性!$K$156:$K$205,1)</f>
        <v>17</v>
      </c>
      <c r="I10">
        <f ca="1">MATCH(_xlfn.XLOOKUP(G10,梦灵属性!$E$206:$E$255,梦灵属性!$K$206:$K$255)+E10*10/3,梦灵属性!$K$206:$K$255,1)</f>
        <v>11</v>
      </c>
      <c r="J10" t="str">
        <f t="shared" si="2"/>
        <v>[{5600005,18},{5600006,4}]</v>
      </c>
      <c r="M10">
        <v>900</v>
      </c>
      <c r="N10">
        <f ca="1" t="shared" si="3"/>
        <v>0</v>
      </c>
      <c r="O10">
        <f ca="1" t="shared" si="4"/>
        <v>0</v>
      </c>
    </row>
    <row r="11" spans="1:15">
      <c r="A11">
        <v>1000</v>
      </c>
      <c r="B11">
        <f t="shared" si="0"/>
        <v>1000</v>
      </c>
      <c r="C11">
        <f t="shared" si="1"/>
        <v>0</v>
      </c>
      <c r="D11">
        <f>B11*(Sheet1!$G$8-Sheet1!$K$8)+C11*(Sheet1!$G$9-Sheet1!$K$9)</f>
        <v>20</v>
      </c>
      <c r="E11" s="1">
        <f>ROUNDUP(B11*(Sheet1!$H$8-Sheet1!$J$8)+C11*(Sheet1!$H$9-Sheet1!$J$9),0)</f>
        <v>5</v>
      </c>
      <c r="F11">
        <f ca="1">OFFSET(梦灵本体产出!$M$146,MATCH(A11+SUM(梦灵本体产出!$C$34:$C$37),梦灵本体产出!$H$147:$H$206,1),0)</f>
        <v>17</v>
      </c>
      <c r="G11">
        <f ca="1">OFFSET(梦灵本体产出!$N$146,MATCH(B11+SUM(梦灵本体产出!$C$34:$C$37),梦灵本体产出!$H$147:$H$206,1),0)</f>
        <v>11</v>
      </c>
      <c r="H11">
        <f ca="1">MATCH(_xlfn.XLOOKUP(F11,梦灵属性!$E$156:$E$205,梦灵属性!$K$156:$K$205)+D11*10/6,梦灵属性!$K$156:$K$205,1)</f>
        <v>17</v>
      </c>
      <c r="I11">
        <f ca="1">MATCH(_xlfn.XLOOKUP(G11,梦灵属性!$E$206:$E$255,梦灵属性!$K$206:$K$255)+E11*10/3,梦灵属性!$K$206:$K$255,1)</f>
        <v>11</v>
      </c>
      <c r="J11" t="str">
        <f t="shared" si="2"/>
        <v>[{5600005,20},{5600006,5}]</v>
      </c>
      <c r="M11">
        <v>1000</v>
      </c>
      <c r="N11">
        <f ca="1" t="shared" si="3"/>
        <v>0</v>
      </c>
      <c r="O11">
        <f ca="1" t="shared" si="4"/>
        <v>0</v>
      </c>
    </row>
    <row r="12" spans="1:15">
      <c r="A12">
        <v>1100</v>
      </c>
      <c r="B12">
        <f t="shared" si="0"/>
        <v>1100</v>
      </c>
      <c r="C12">
        <f t="shared" si="1"/>
        <v>0</v>
      </c>
      <c r="D12">
        <f>B12*(Sheet1!$G$8-Sheet1!$K$8)+C12*(Sheet1!$G$9-Sheet1!$K$9)</f>
        <v>22</v>
      </c>
      <c r="E12" s="1">
        <f>ROUNDUP(B12*(Sheet1!$H$8-Sheet1!$J$8)+C12*(Sheet1!$H$9-Sheet1!$J$9),0)</f>
        <v>5</v>
      </c>
      <c r="F12">
        <f ca="1">OFFSET(梦灵本体产出!$M$146,MATCH(A12+SUM(梦灵本体产出!$C$34:$C$37),梦灵本体产出!$H$147:$H$206,1),0)</f>
        <v>17</v>
      </c>
      <c r="G12">
        <f ca="1">OFFSET(梦灵本体产出!$N$146,MATCH(B12+SUM(梦灵本体产出!$C$34:$C$37),梦灵本体产出!$H$147:$H$206,1),0)</f>
        <v>11</v>
      </c>
      <c r="H12">
        <f ca="1">MATCH(_xlfn.XLOOKUP(F12,梦灵属性!$E$156:$E$205,梦灵属性!$K$156:$K$205)+D12*10/6,梦灵属性!$K$156:$K$205,1)</f>
        <v>17</v>
      </c>
      <c r="I12">
        <f ca="1">MATCH(_xlfn.XLOOKUP(G12,梦灵属性!$E$206:$E$255,梦灵属性!$K$206:$K$255)+E12*10/3,梦灵属性!$K$206:$K$255,1)</f>
        <v>11</v>
      </c>
      <c r="J12" t="str">
        <f t="shared" si="2"/>
        <v>[{5600005,22},{5600006,5}]</v>
      </c>
      <c r="M12">
        <v>1100</v>
      </c>
      <c r="N12">
        <f ca="1" t="shared" si="3"/>
        <v>0</v>
      </c>
      <c r="O12">
        <f ca="1" t="shared" si="4"/>
        <v>0</v>
      </c>
    </row>
    <row r="13" spans="1:15">
      <c r="A13">
        <v>1200</v>
      </c>
      <c r="B13">
        <f t="shared" si="0"/>
        <v>1200</v>
      </c>
      <c r="C13">
        <f t="shared" si="1"/>
        <v>0</v>
      </c>
      <c r="D13">
        <f>B13*(Sheet1!$G$8-Sheet1!$K$8)+C13*(Sheet1!$G$9-Sheet1!$K$9)</f>
        <v>24</v>
      </c>
      <c r="E13" s="1">
        <f>ROUNDUP(B13*(Sheet1!$H$8-Sheet1!$J$8)+C13*(Sheet1!$H$9-Sheet1!$J$9),0)</f>
        <v>5</v>
      </c>
      <c r="F13">
        <f ca="1">OFFSET(梦灵本体产出!$M$146,MATCH(A13+SUM(梦灵本体产出!$C$34:$C$37),梦灵本体产出!$H$147:$H$206,1),0)</f>
        <v>17</v>
      </c>
      <c r="G13">
        <f ca="1">OFFSET(梦灵本体产出!$N$146,MATCH(B13+SUM(梦灵本体产出!$C$34:$C$37),梦灵本体产出!$H$147:$H$206,1),0)</f>
        <v>11</v>
      </c>
      <c r="H13">
        <f ca="1">MATCH(_xlfn.XLOOKUP(F13,梦灵属性!$E$156:$E$205,梦灵属性!$K$156:$K$205)+D13*10/6,梦灵属性!$K$156:$K$205,1)</f>
        <v>17</v>
      </c>
      <c r="I13">
        <f ca="1">MATCH(_xlfn.XLOOKUP(G13,梦灵属性!$E$206:$E$255,梦灵属性!$K$206:$K$255)+E13*10/3,梦灵属性!$K$206:$K$255,1)</f>
        <v>11</v>
      </c>
      <c r="J13" t="str">
        <f t="shared" si="2"/>
        <v>[{5600005,24},{5600006,5}]</v>
      </c>
      <c r="M13">
        <v>1200</v>
      </c>
      <c r="N13">
        <f ca="1" t="shared" si="3"/>
        <v>0</v>
      </c>
      <c r="O13">
        <f ca="1" t="shared" si="4"/>
        <v>0</v>
      </c>
    </row>
    <row r="14" spans="1:15">
      <c r="A14">
        <v>1300</v>
      </c>
      <c r="B14">
        <f t="shared" si="0"/>
        <v>1300</v>
      </c>
      <c r="C14">
        <f t="shared" si="1"/>
        <v>0</v>
      </c>
      <c r="D14">
        <f>B14*(Sheet1!$G$8-Sheet1!$K$8)+C14*(Sheet1!$G$9-Sheet1!$K$9)</f>
        <v>26</v>
      </c>
      <c r="E14" s="1">
        <f>ROUNDUP(B14*(Sheet1!$H$8-Sheet1!$J$8)+C14*(Sheet1!$H$9-Sheet1!$J$9),0)</f>
        <v>6</v>
      </c>
      <c r="F14">
        <f ca="1">OFFSET(梦灵本体产出!$M$146,MATCH(A14+SUM(梦灵本体产出!$C$34:$C$37),梦灵本体产出!$H$147:$H$206,1),0)</f>
        <v>18</v>
      </c>
      <c r="G14">
        <f ca="1">OFFSET(梦灵本体产出!$N$146,MATCH(B14+SUM(梦灵本体产出!$C$34:$C$37),梦灵本体产出!$H$147:$H$206,1),0)</f>
        <v>11</v>
      </c>
      <c r="H14">
        <f ca="1">MATCH(_xlfn.XLOOKUP(F14,梦灵属性!$E$156:$E$205,梦灵属性!$K$156:$K$205)+D14*10/6,梦灵属性!$K$156:$K$205,1)</f>
        <v>18</v>
      </c>
      <c r="I14">
        <f ca="1">MATCH(_xlfn.XLOOKUP(G14,梦灵属性!$E$206:$E$255,梦灵属性!$K$206:$K$255)+E14*10/3,梦灵属性!$K$206:$K$255,1)</f>
        <v>11</v>
      </c>
      <c r="J14" t="str">
        <f t="shared" si="2"/>
        <v>[{5600005,26},{5600006,6}]</v>
      </c>
      <c r="M14">
        <v>1300</v>
      </c>
      <c r="N14">
        <f ca="1" t="shared" si="3"/>
        <v>0</v>
      </c>
      <c r="O14">
        <f ca="1" t="shared" si="4"/>
        <v>0</v>
      </c>
    </row>
    <row r="15" spans="1:15">
      <c r="A15">
        <v>1400</v>
      </c>
      <c r="B15">
        <f t="shared" si="0"/>
        <v>1400</v>
      </c>
      <c r="C15">
        <f t="shared" si="1"/>
        <v>0</v>
      </c>
      <c r="D15">
        <f>B15*(Sheet1!$G$8-Sheet1!$K$8)+C15*(Sheet1!$G$9-Sheet1!$K$9)</f>
        <v>28</v>
      </c>
      <c r="E15" s="1">
        <f>ROUNDUP(B15*(Sheet1!$H$8-Sheet1!$J$8)+C15*(Sheet1!$H$9-Sheet1!$J$9),0)</f>
        <v>6</v>
      </c>
      <c r="F15">
        <f ca="1">OFFSET(梦灵本体产出!$M$146,MATCH(A15+SUM(梦灵本体产出!$C$34:$C$37),梦灵本体产出!$H$147:$H$206,1),0)</f>
        <v>18</v>
      </c>
      <c r="G15">
        <f ca="1">OFFSET(梦灵本体产出!$N$146,MATCH(B15+SUM(梦灵本体产出!$C$34:$C$37),梦灵本体产出!$H$147:$H$206,1),0)</f>
        <v>11</v>
      </c>
      <c r="H15">
        <f ca="1">MATCH(_xlfn.XLOOKUP(F15,梦灵属性!$E$156:$E$205,梦灵属性!$K$156:$K$205)+D15*10/6,梦灵属性!$K$156:$K$205,1)</f>
        <v>18</v>
      </c>
      <c r="I15">
        <f ca="1">MATCH(_xlfn.XLOOKUP(G15,梦灵属性!$E$206:$E$255,梦灵属性!$K$206:$K$255)+E15*10/3,梦灵属性!$K$206:$K$255,1)</f>
        <v>11</v>
      </c>
      <c r="J15" t="str">
        <f t="shared" si="2"/>
        <v>[{5600005,28},{5600006,6}]</v>
      </c>
      <c r="M15">
        <v>1400</v>
      </c>
      <c r="N15">
        <f ca="1" t="shared" si="3"/>
        <v>0</v>
      </c>
      <c r="O15">
        <f ca="1" t="shared" si="4"/>
        <v>0</v>
      </c>
    </row>
    <row r="16" spans="1:15">
      <c r="A16">
        <v>1500</v>
      </c>
      <c r="B16">
        <f t="shared" si="0"/>
        <v>1500</v>
      </c>
      <c r="C16">
        <f t="shared" si="1"/>
        <v>0</v>
      </c>
      <c r="D16">
        <f>B16*(Sheet1!$G$8-Sheet1!$K$8)+C16*(Sheet1!$G$9-Sheet1!$K$9)</f>
        <v>30</v>
      </c>
      <c r="E16" s="1">
        <f>ROUNDUP(B16*(Sheet1!$H$8-Sheet1!$J$8)+C16*(Sheet1!$H$9-Sheet1!$J$9),0)</f>
        <v>7</v>
      </c>
      <c r="F16">
        <f ca="1">OFFSET(梦灵本体产出!$M$146,MATCH(A16+SUM(梦灵本体产出!$C$34:$C$37),梦灵本体产出!$H$147:$H$206,1),0)</f>
        <v>18</v>
      </c>
      <c r="G16">
        <f ca="1">OFFSET(梦灵本体产出!$N$146,MATCH(B16+SUM(梦灵本体产出!$C$34:$C$37),梦灵本体产出!$H$147:$H$206,1),0)</f>
        <v>11</v>
      </c>
      <c r="H16">
        <f ca="1">MATCH(_xlfn.XLOOKUP(F16,梦灵属性!$E$156:$E$205,梦灵属性!$K$156:$K$205)+D16*10/6,梦灵属性!$K$156:$K$205,1)</f>
        <v>18</v>
      </c>
      <c r="I16">
        <f ca="1">MATCH(_xlfn.XLOOKUP(G16,梦灵属性!$E$206:$E$255,梦灵属性!$K$206:$K$255)+E16*10/3,梦灵属性!$K$206:$K$255,1)</f>
        <v>11</v>
      </c>
      <c r="J16" t="str">
        <f t="shared" si="2"/>
        <v>[{5600005,30},{5600006,7}]</v>
      </c>
      <c r="M16">
        <v>1500</v>
      </c>
      <c r="N16">
        <f ca="1" t="shared" si="3"/>
        <v>0</v>
      </c>
      <c r="O16">
        <f ca="1" t="shared" si="4"/>
        <v>0</v>
      </c>
    </row>
    <row r="17" spans="1:15">
      <c r="A17">
        <v>1600</v>
      </c>
      <c r="B17">
        <f t="shared" si="0"/>
        <v>1600</v>
      </c>
      <c r="C17">
        <f t="shared" si="1"/>
        <v>0</v>
      </c>
      <c r="D17">
        <f>B17*(Sheet1!$G$8-Sheet1!$K$8)+C17*(Sheet1!$G$9-Sheet1!$K$9)</f>
        <v>32</v>
      </c>
      <c r="E17" s="1">
        <f>ROUNDUP(B17*(Sheet1!$H$8-Sheet1!$J$8)+C17*(Sheet1!$H$9-Sheet1!$J$9),0)</f>
        <v>7</v>
      </c>
      <c r="F17">
        <f ca="1">OFFSET(梦灵本体产出!$M$146,MATCH(A17+SUM(梦灵本体产出!$C$34:$C$37),梦灵本体产出!$H$147:$H$206,1),0)</f>
        <v>18</v>
      </c>
      <c r="G17">
        <f ca="1">OFFSET(梦灵本体产出!$N$146,MATCH(B17+SUM(梦灵本体产出!$C$34:$C$37),梦灵本体产出!$H$147:$H$206,1),0)</f>
        <v>12</v>
      </c>
      <c r="H17">
        <f ca="1">MATCH(_xlfn.XLOOKUP(F17,梦灵属性!$E$156:$E$205,梦灵属性!$K$156:$K$205)+D17*10/6,梦灵属性!$K$156:$K$205,1)</f>
        <v>18</v>
      </c>
      <c r="I17">
        <f ca="1">MATCH(_xlfn.XLOOKUP(G17,梦灵属性!$E$206:$E$255,梦灵属性!$K$206:$K$255)+E17*10/3,梦灵属性!$K$206:$K$255,1)</f>
        <v>12</v>
      </c>
      <c r="J17" t="str">
        <f t="shared" si="2"/>
        <v>[{5600005,32},{5600006,7}]</v>
      </c>
      <c r="M17">
        <v>1600</v>
      </c>
      <c r="N17">
        <f ca="1" t="shared" si="3"/>
        <v>0</v>
      </c>
      <c r="O17">
        <f ca="1" t="shared" si="4"/>
        <v>0</v>
      </c>
    </row>
    <row r="18" spans="1:15">
      <c r="A18">
        <v>1700</v>
      </c>
      <c r="B18">
        <f t="shared" si="0"/>
        <v>1700</v>
      </c>
      <c r="C18">
        <f t="shared" si="1"/>
        <v>0</v>
      </c>
      <c r="D18">
        <f>B18*(Sheet1!$G$8-Sheet1!$K$8)+C18*(Sheet1!$G$9-Sheet1!$K$9)</f>
        <v>34</v>
      </c>
      <c r="E18" s="1">
        <f>ROUNDUP(B18*(Sheet1!$H$8-Sheet1!$J$8)+C18*(Sheet1!$H$9-Sheet1!$J$9),0)</f>
        <v>7</v>
      </c>
      <c r="F18">
        <f ca="1">OFFSET(梦灵本体产出!$M$146,MATCH(A18+SUM(梦灵本体产出!$C$34:$C$37),梦灵本体产出!$H$147:$H$206,1),0)</f>
        <v>18</v>
      </c>
      <c r="G18">
        <f ca="1">OFFSET(梦灵本体产出!$N$146,MATCH(B18+SUM(梦灵本体产出!$C$34:$C$37),梦灵本体产出!$H$147:$H$206,1),0)</f>
        <v>12</v>
      </c>
      <c r="H18">
        <f ca="1">MATCH(_xlfn.XLOOKUP(F18,梦灵属性!$E$156:$E$205,梦灵属性!$K$156:$K$205)+D18*10/6,梦灵属性!$K$156:$K$205,1)</f>
        <v>18</v>
      </c>
      <c r="I18">
        <f ca="1">MATCH(_xlfn.XLOOKUP(G18,梦灵属性!$E$206:$E$255,梦灵属性!$K$206:$K$255)+E18*10/3,梦灵属性!$K$206:$K$255,1)</f>
        <v>12</v>
      </c>
      <c r="J18" t="str">
        <f t="shared" si="2"/>
        <v>[{5600005,34},{5600006,7}]</v>
      </c>
      <c r="M18">
        <v>1700</v>
      </c>
      <c r="N18">
        <f ca="1" t="shared" si="3"/>
        <v>0</v>
      </c>
      <c r="O18">
        <f ca="1" t="shared" si="4"/>
        <v>0</v>
      </c>
    </row>
    <row r="19" spans="1:15">
      <c r="A19">
        <v>1800</v>
      </c>
      <c r="B19">
        <f t="shared" si="0"/>
        <v>1800</v>
      </c>
      <c r="C19">
        <f t="shared" si="1"/>
        <v>0</v>
      </c>
      <c r="D19">
        <f>B19*(Sheet1!$G$8-Sheet1!$K$8)+C19*(Sheet1!$G$9-Sheet1!$K$9)</f>
        <v>36</v>
      </c>
      <c r="E19" s="1">
        <f>ROUNDUP(B19*(Sheet1!$H$8-Sheet1!$J$8)+C19*(Sheet1!$H$9-Sheet1!$J$9),0)</f>
        <v>8</v>
      </c>
      <c r="F19">
        <f ca="1">OFFSET(梦灵本体产出!$M$146,MATCH(A19+SUM(梦灵本体产出!$C$34:$C$37),梦灵本体产出!$H$147:$H$206,1),0)</f>
        <v>18</v>
      </c>
      <c r="G19">
        <f ca="1">OFFSET(梦灵本体产出!$N$146,MATCH(B19+SUM(梦灵本体产出!$C$34:$C$37),梦灵本体产出!$H$147:$H$206,1),0)</f>
        <v>12</v>
      </c>
      <c r="H19">
        <f ca="1">MATCH(_xlfn.XLOOKUP(F19,梦灵属性!$E$156:$E$205,梦灵属性!$K$156:$K$205)+D19*10/6,梦灵属性!$K$156:$K$205,1)</f>
        <v>18</v>
      </c>
      <c r="I19">
        <f ca="1">MATCH(_xlfn.XLOOKUP(G19,梦灵属性!$E$206:$E$255,梦灵属性!$K$206:$K$255)+E19*10/3,梦灵属性!$K$206:$K$255,1)</f>
        <v>12</v>
      </c>
      <c r="J19" t="str">
        <f t="shared" si="2"/>
        <v>[{5600005,36},{5600006,8}]</v>
      </c>
      <c r="M19">
        <v>1800</v>
      </c>
      <c r="N19">
        <f ca="1" t="shared" si="3"/>
        <v>0</v>
      </c>
      <c r="O19">
        <f ca="1" t="shared" si="4"/>
        <v>0</v>
      </c>
    </row>
    <row r="20" spans="1:15">
      <c r="A20">
        <v>1900</v>
      </c>
      <c r="B20">
        <f t="shared" si="0"/>
        <v>1900</v>
      </c>
      <c r="C20">
        <f t="shared" si="1"/>
        <v>0</v>
      </c>
      <c r="D20">
        <f>B20*(Sheet1!$G$8-Sheet1!$K$8)+C20*(Sheet1!$G$9-Sheet1!$K$9)</f>
        <v>38</v>
      </c>
      <c r="E20" s="1">
        <f>ROUNDUP(B20*(Sheet1!$H$8-Sheet1!$J$8)+C20*(Sheet1!$H$9-Sheet1!$J$9),0)</f>
        <v>8</v>
      </c>
      <c r="F20">
        <f ca="1">OFFSET(梦灵本体产出!$M$146,MATCH(A20+SUM(梦灵本体产出!$C$34:$C$37),梦灵本体产出!$H$147:$H$206,1),0)</f>
        <v>18</v>
      </c>
      <c r="G20">
        <f ca="1">OFFSET(梦灵本体产出!$N$146,MATCH(B20+SUM(梦灵本体产出!$C$34:$C$37),梦灵本体产出!$H$147:$H$206,1),0)</f>
        <v>12</v>
      </c>
      <c r="H20">
        <f ca="1">MATCH(_xlfn.XLOOKUP(F20,梦灵属性!$E$156:$E$205,梦灵属性!$K$156:$K$205)+D20*10/6,梦灵属性!$K$156:$K$205,1)</f>
        <v>18</v>
      </c>
      <c r="I20">
        <f ca="1">MATCH(_xlfn.XLOOKUP(G20,梦灵属性!$E$206:$E$255,梦灵属性!$K$206:$K$255)+E20*10/3,梦灵属性!$K$206:$K$255,1)</f>
        <v>12</v>
      </c>
      <c r="J20" t="str">
        <f t="shared" si="2"/>
        <v>[{5600005,38},{5600006,8}]</v>
      </c>
      <c r="M20">
        <v>1900</v>
      </c>
      <c r="N20">
        <f ca="1" t="shared" si="3"/>
        <v>0</v>
      </c>
      <c r="O20">
        <f ca="1" t="shared" si="4"/>
        <v>0</v>
      </c>
    </row>
    <row r="21" spans="1:15">
      <c r="A21">
        <v>2000</v>
      </c>
      <c r="B21">
        <f t="shared" si="0"/>
        <v>2000</v>
      </c>
      <c r="C21">
        <f t="shared" si="1"/>
        <v>0</v>
      </c>
      <c r="D21">
        <f>B21*(Sheet1!$G$8-Sheet1!$K$8)+C21*(Sheet1!$G$9-Sheet1!$K$9)</f>
        <v>40</v>
      </c>
      <c r="E21" s="1">
        <f>ROUNDUP(B21*(Sheet1!$H$8-Sheet1!$J$8)+C21*(Sheet1!$H$9-Sheet1!$J$9),0)</f>
        <v>9</v>
      </c>
      <c r="F21">
        <f ca="1">OFFSET(梦灵本体产出!$M$146,MATCH(A21+SUM(梦灵本体产出!$C$34:$C$37),梦灵本体产出!$H$147:$H$206,1),0)</f>
        <v>18</v>
      </c>
      <c r="G21">
        <f ca="1">OFFSET(梦灵本体产出!$N$146,MATCH(B21+SUM(梦灵本体产出!$C$34:$C$37),梦灵本体产出!$H$147:$H$206,1),0)</f>
        <v>12</v>
      </c>
      <c r="H21">
        <f ca="1">MATCH(_xlfn.XLOOKUP(F21,梦灵属性!$E$156:$E$205,梦灵属性!$K$156:$K$205)+D21*10/6,梦灵属性!$K$156:$K$205,1)</f>
        <v>18</v>
      </c>
      <c r="I21">
        <f ca="1">MATCH(_xlfn.XLOOKUP(G21,梦灵属性!$E$206:$E$255,梦灵属性!$K$206:$K$255)+E21*10/3,梦灵属性!$K$206:$K$255,1)</f>
        <v>12</v>
      </c>
      <c r="J21" t="str">
        <f t="shared" si="2"/>
        <v>[{5600005,40},{5600006,9}]</v>
      </c>
      <c r="M21">
        <v>2000</v>
      </c>
      <c r="N21">
        <f ca="1" t="shared" si="3"/>
        <v>0</v>
      </c>
      <c r="O21">
        <f ca="1" t="shared" si="4"/>
        <v>0</v>
      </c>
    </row>
    <row r="22" spans="1:15">
      <c r="A22">
        <v>2100</v>
      </c>
      <c r="B22">
        <f t="shared" si="0"/>
        <v>2100</v>
      </c>
      <c r="C22">
        <f t="shared" si="1"/>
        <v>0</v>
      </c>
      <c r="D22">
        <f>B22*(Sheet1!$G$8-Sheet1!$K$8)+C22*(Sheet1!$G$9-Sheet1!$K$9)</f>
        <v>42</v>
      </c>
      <c r="E22" s="1">
        <f>ROUNDUP(B22*(Sheet1!$H$8-Sheet1!$J$8)+C22*(Sheet1!$H$9-Sheet1!$J$9),0)</f>
        <v>9</v>
      </c>
      <c r="F22">
        <f ca="1">OFFSET(梦灵本体产出!$M$146,MATCH(A22+SUM(梦灵本体产出!$C$34:$C$37),梦灵本体产出!$H$147:$H$206,1),0)</f>
        <v>18</v>
      </c>
      <c r="G22">
        <f ca="1">OFFSET(梦灵本体产出!$N$146,MATCH(B22+SUM(梦灵本体产出!$C$34:$C$37),梦灵本体产出!$H$147:$H$206,1),0)</f>
        <v>12</v>
      </c>
      <c r="H22">
        <f ca="1">MATCH(_xlfn.XLOOKUP(F22,梦灵属性!$E$156:$E$205,梦灵属性!$K$156:$K$205)+D22*10/6,梦灵属性!$K$156:$K$205,1)</f>
        <v>18</v>
      </c>
      <c r="I22">
        <f ca="1">MATCH(_xlfn.XLOOKUP(G22,梦灵属性!$E$206:$E$255,梦灵属性!$K$206:$K$255)+E22*10/3,梦灵属性!$K$206:$K$255,1)</f>
        <v>12</v>
      </c>
      <c r="J22" t="str">
        <f t="shared" si="2"/>
        <v>[{5600005,42},{5600006,9}]</v>
      </c>
      <c r="M22">
        <v>2100</v>
      </c>
      <c r="N22">
        <f ca="1" t="shared" si="3"/>
        <v>0</v>
      </c>
      <c r="O22">
        <f ca="1" t="shared" si="4"/>
        <v>0</v>
      </c>
    </row>
    <row r="23" spans="1:15">
      <c r="A23">
        <v>2200</v>
      </c>
      <c r="B23">
        <f t="shared" si="0"/>
        <v>2200</v>
      </c>
      <c r="C23">
        <f t="shared" si="1"/>
        <v>0</v>
      </c>
      <c r="D23">
        <f>B23*(Sheet1!$G$8-Sheet1!$K$8)+C23*(Sheet1!$G$9-Sheet1!$K$9)</f>
        <v>44</v>
      </c>
      <c r="E23" s="1">
        <f>ROUNDUP(B23*(Sheet1!$H$8-Sheet1!$J$8)+C23*(Sheet1!$H$9-Sheet1!$J$9),0)</f>
        <v>9</v>
      </c>
      <c r="F23">
        <f ca="1">OFFSET(梦灵本体产出!$M$146,MATCH(A23+SUM(梦灵本体产出!$C$34:$C$37),梦灵本体产出!$H$147:$H$206,1),0)</f>
        <v>19</v>
      </c>
      <c r="G23">
        <f ca="1">OFFSET(梦灵本体产出!$N$146,MATCH(B23+SUM(梦灵本体产出!$C$34:$C$37),梦灵本体产出!$H$147:$H$206,1),0)</f>
        <v>12</v>
      </c>
      <c r="H23">
        <f ca="1">MATCH(_xlfn.XLOOKUP(F23,梦灵属性!$E$156:$E$205,梦灵属性!$K$156:$K$205)+D23*10/6,梦灵属性!$K$156:$K$205,1)</f>
        <v>19</v>
      </c>
      <c r="I23">
        <f ca="1">MATCH(_xlfn.XLOOKUP(G23,梦灵属性!$E$206:$E$255,梦灵属性!$K$206:$K$255)+E23*10/3,梦灵属性!$K$206:$K$255,1)</f>
        <v>12</v>
      </c>
      <c r="J23" t="str">
        <f t="shared" si="2"/>
        <v>[{5600005,44},{5600006,9}]</v>
      </c>
      <c r="M23">
        <v>2200</v>
      </c>
      <c r="N23">
        <f ca="1" t="shared" si="3"/>
        <v>0</v>
      </c>
      <c r="O23">
        <f ca="1" t="shared" si="4"/>
        <v>0</v>
      </c>
    </row>
    <row r="24" spans="1:15">
      <c r="A24">
        <v>2300</v>
      </c>
      <c r="B24">
        <f t="shared" si="0"/>
        <v>2300</v>
      </c>
      <c r="C24">
        <f t="shared" si="1"/>
        <v>0</v>
      </c>
      <c r="D24">
        <f>B24*(Sheet1!$G$8-Sheet1!$K$8)+C24*(Sheet1!$G$9-Sheet1!$K$9)</f>
        <v>46</v>
      </c>
      <c r="E24" s="1">
        <f>ROUNDUP(B24*(Sheet1!$H$8-Sheet1!$J$8)+C24*(Sheet1!$H$9-Sheet1!$J$9),0)</f>
        <v>10</v>
      </c>
      <c r="F24">
        <f ca="1">OFFSET(梦灵本体产出!$M$146,MATCH(A24+SUM(梦灵本体产出!$C$34:$C$37),梦灵本体产出!$H$147:$H$206,1),0)</f>
        <v>19</v>
      </c>
      <c r="G24">
        <f ca="1">OFFSET(梦灵本体产出!$N$146,MATCH(B24+SUM(梦灵本体产出!$C$34:$C$37),梦灵本体产出!$H$147:$H$206,1),0)</f>
        <v>12</v>
      </c>
      <c r="H24">
        <f ca="1">MATCH(_xlfn.XLOOKUP(F24,梦灵属性!$E$156:$E$205,梦灵属性!$K$156:$K$205)+D24*10/6,梦灵属性!$K$156:$K$205,1)</f>
        <v>19</v>
      </c>
      <c r="I24">
        <f ca="1">MATCH(_xlfn.XLOOKUP(G24,梦灵属性!$E$206:$E$255,梦灵属性!$K$206:$K$255)+E24*10/3,梦灵属性!$K$206:$K$255,1)</f>
        <v>12</v>
      </c>
      <c r="J24" t="str">
        <f t="shared" si="2"/>
        <v>[{5600005,46},{5600006,10}]</v>
      </c>
      <c r="M24">
        <v>2300</v>
      </c>
      <c r="N24">
        <f ca="1" t="shared" si="3"/>
        <v>0</v>
      </c>
      <c r="O24">
        <f ca="1" t="shared" si="4"/>
        <v>0</v>
      </c>
    </row>
    <row r="25" spans="1:15">
      <c r="A25">
        <v>2400</v>
      </c>
      <c r="B25">
        <f t="shared" si="0"/>
        <v>2400</v>
      </c>
      <c r="C25">
        <f t="shared" si="1"/>
        <v>0</v>
      </c>
      <c r="D25">
        <f>B25*(Sheet1!$G$8-Sheet1!$K$8)+C25*(Sheet1!$G$9-Sheet1!$K$9)</f>
        <v>48</v>
      </c>
      <c r="E25" s="1">
        <f>ROUNDUP(B25*(Sheet1!$H$8-Sheet1!$J$8)+C25*(Sheet1!$H$9-Sheet1!$J$9),0)</f>
        <v>10</v>
      </c>
      <c r="F25">
        <f ca="1">OFFSET(梦灵本体产出!$M$146,MATCH(A25+SUM(梦灵本体产出!$C$34:$C$37),梦灵本体产出!$H$147:$H$206,1),0)</f>
        <v>19</v>
      </c>
      <c r="G25">
        <f ca="1">OFFSET(梦灵本体产出!$N$146,MATCH(B25+SUM(梦灵本体产出!$C$34:$C$37),梦灵本体产出!$H$147:$H$206,1),0)</f>
        <v>12</v>
      </c>
      <c r="H25">
        <f ca="1">MATCH(_xlfn.XLOOKUP(F25,梦灵属性!$E$156:$E$205,梦灵属性!$K$156:$K$205)+D25*10/6,梦灵属性!$K$156:$K$205,1)</f>
        <v>19</v>
      </c>
      <c r="I25">
        <f ca="1">MATCH(_xlfn.XLOOKUP(G25,梦灵属性!$E$206:$E$255,梦灵属性!$K$206:$K$255)+E25*10/3,梦灵属性!$K$206:$K$255,1)</f>
        <v>12</v>
      </c>
      <c r="J25" t="str">
        <f t="shared" si="2"/>
        <v>[{5600005,48},{5600006,10}]</v>
      </c>
      <c r="M25">
        <v>2400</v>
      </c>
      <c r="N25">
        <f ca="1" t="shared" si="3"/>
        <v>0</v>
      </c>
      <c r="O25">
        <f ca="1" t="shared" si="4"/>
        <v>0</v>
      </c>
    </row>
    <row r="26" spans="1:15">
      <c r="A26">
        <v>2500</v>
      </c>
      <c r="B26">
        <f t="shared" si="0"/>
        <v>2500</v>
      </c>
      <c r="C26">
        <f t="shared" si="1"/>
        <v>0</v>
      </c>
      <c r="D26">
        <f>B26*(Sheet1!$G$8-Sheet1!$K$8)+C26*(Sheet1!$G$9-Sheet1!$K$9)</f>
        <v>50</v>
      </c>
      <c r="E26" s="1">
        <f>ROUNDUP(B26*(Sheet1!$H$8-Sheet1!$J$8)+C26*(Sheet1!$H$9-Sheet1!$J$9),0)</f>
        <v>11</v>
      </c>
      <c r="F26">
        <f ca="1">OFFSET(梦灵本体产出!$M$146,MATCH(A26+SUM(梦灵本体产出!$C$34:$C$37),梦灵本体产出!$H$147:$H$206,1),0)</f>
        <v>19</v>
      </c>
      <c r="G26">
        <f ca="1">OFFSET(梦灵本体产出!$N$146,MATCH(B26+SUM(梦灵本体产出!$C$34:$C$37),梦灵本体产出!$H$147:$H$206,1),0)</f>
        <v>12</v>
      </c>
      <c r="H26">
        <f ca="1">MATCH(_xlfn.XLOOKUP(F26,梦灵属性!$E$156:$E$205,梦灵属性!$K$156:$K$205)+D26*10/6,梦灵属性!$K$156:$K$205,1)</f>
        <v>19</v>
      </c>
      <c r="I26">
        <f ca="1">MATCH(_xlfn.XLOOKUP(G26,梦灵属性!$E$206:$E$255,梦灵属性!$K$206:$K$255)+E26*10/3,梦灵属性!$K$206:$K$255,1)</f>
        <v>12</v>
      </c>
      <c r="J26" t="str">
        <f t="shared" si="2"/>
        <v>[{5600005,50},{5600006,11}]</v>
      </c>
      <c r="M26">
        <v>2500</v>
      </c>
      <c r="N26">
        <f ca="1" t="shared" si="3"/>
        <v>0</v>
      </c>
      <c r="O26">
        <f ca="1" t="shared" si="4"/>
        <v>0</v>
      </c>
    </row>
    <row r="27" spans="1:15">
      <c r="A27">
        <v>2600</v>
      </c>
      <c r="B27">
        <f t="shared" si="0"/>
        <v>2600</v>
      </c>
      <c r="C27">
        <f t="shared" si="1"/>
        <v>0</v>
      </c>
      <c r="D27">
        <f>B27*(Sheet1!$G$8-Sheet1!$K$8)+C27*(Sheet1!$G$9-Sheet1!$K$9)</f>
        <v>52</v>
      </c>
      <c r="E27" s="1">
        <f>ROUNDUP(B27*(Sheet1!$H$8-Sheet1!$J$8)+C27*(Sheet1!$H$9-Sheet1!$J$9),0)</f>
        <v>11</v>
      </c>
      <c r="F27">
        <f ca="1">OFFSET(梦灵本体产出!$M$146,MATCH(A27+SUM(梦灵本体产出!$C$34:$C$37),梦灵本体产出!$H$147:$H$206,1),0)</f>
        <v>19</v>
      </c>
      <c r="G27">
        <f ca="1">OFFSET(梦灵本体产出!$N$146,MATCH(B27+SUM(梦灵本体产出!$C$34:$C$37),梦灵本体产出!$H$147:$H$206,1),0)</f>
        <v>12</v>
      </c>
      <c r="H27">
        <f ca="1">MATCH(_xlfn.XLOOKUP(F27,梦灵属性!$E$156:$E$205,梦灵属性!$K$156:$K$205)+D27*10/6,梦灵属性!$K$156:$K$205,1)</f>
        <v>19</v>
      </c>
      <c r="I27">
        <f ca="1">MATCH(_xlfn.XLOOKUP(G27,梦灵属性!$E$206:$E$255,梦灵属性!$K$206:$K$255)+E27*10/3,梦灵属性!$K$206:$K$255,1)</f>
        <v>12</v>
      </c>
      <c r="J27" t="str">
        <f t="shared" si="2"/>
        <v>[{5600005,52},{5600006,11}]</v>
      </c>
      <c r="M27">
        <v>2600</v>
      </c>
      <c r="N27">
        <f ca="1" t="shared" si="3"/>
        <v>0</v>
      </c>
      <c r="O27">
        <f ca="1" t="shared" si="4"/>
        <v>0</v>
      </c>
    </row>
    <row r="28" spans="1:15">
      <c r="A28">
        <v>2700</v>
      </c>
      <c r="B28">
        <f t="shared" si="0"/>
        <v>2700</v>
      </c>
      <c r="C28">
        <f t="shared" si="1"/>
        <v>0</v>
      </c>
      <c r="D28">
        <f>B28*(Sheet1!$G$8-Sheet1!$K$8)+C28*(Sheet1!$G$9-Sheet1!$K$9)</f>
        <v>54</v>
      </c>
      <c r="E28" s="1">
        <f>ROUNDUP(B28*(Sheet1!$H$8-Sheet1!$J$8)+C28*(Sheet1!$H$9-Sheet1!$J$9),0)</f>
        <v>11</v>
      </c>
      <c r="F28">
        <f ca="1">OFFSET(梦灵本体产出!$M$146,MATCH(A28+SUM(梦灵本体产出!$C$34:$C$37),梦灵本体产出!$H$147:$H$206,1),0)</f>
        <v>19</v>
      </c>
      <c r="G28">
        <f ca="1">OFFSET(梦灵本体产出!$N$146,MATCH(B28+SUM(梦灵本体产出!$C$34:$C$37),梦灵本体产出!$H$147:$H$206,1),0)</f>
        <v>12</v>
      </c>
      <c r="H28">
        <f ca="1">MATCH(_xlfn.XLOOKUP(F28,梦灵属性!$E$156:$E$205,梦灵属性!$K$156:$K$205)+D28*10/6,梦灵属性!$K$156:$K$205,1)</f>
        <v>19</v>
      </c>
      <c r="I28">
        <f ca="1">MATCH(_xlfn.XLOOKUP(G28,梦灵属性!$E$206:$E$255,梦灵属性!$K$206:$K$255)+E28*10/3,梦灵属性!$K$206:$K$255,1)</f>
        <v>12</v>
      </c>
      <c r="J28" t="str">
        <f t="shared" si="2"/>
        <v>[{5600005,54},{5600006,11}]</v>
      </c>
      <c r="M28">
        <v>2700</v>
      </c>
      <c r="N28">
        <f ca="1" t="shared" si="3"/>
        <v>0</v>
      </c>
      <c r="O28">
        <f ca="1" t="shared" si="4"/>
        <v>0</v>
      </c>
    </row>
    <row r="29" spans="1:15">
      <c r="A29">
        <v>2800</v>
      </c>
      <c r="B29">
        <f t="shared" si="0"/>
        <v>2800</v>
      </c>
      <c r="C29">
        <f t="shared" si="1"/>
        <v>0</v>
      </c>
      <c r="D29">
        <f>B29*(Sheet1!$G$8-Sheet1!$K$8)+C29*(Sheet1!$G$9-Sheet1!$K$9)</f>
        <v>56</v>
      </c>
      <c r="E29" s="1">
        <f>ROUNDUP(B29*(Sheet1!$H$8-Sheet1!$J$8)+C29*(Sheet1!$H$9-Sheet1!$J$9),0)</f>
        <v>12</v>
      </c>
      <c r="F29">
        <f ca="1">OFFSET(梦灵本体产出!$M$146,MATCH(A29+SUM(梦灵本体产出!$C$34:$C$37),梦灵本体产出!$H$147:$H$206,1),0)</f>
        <v>20</v>
      </c>
      <c r="G29">
        <f ca="1">OFFSET(梦灵本体产出!$N$146,MATCH(B29+SUM(梦灵本体产出!$C$34:$C$37),梦灵本体产出!$H$147:$H$206,1),0)</f>
        <v>14</v>
      </c>
      <c r="H29">
        <f ca="1">MATCH(_xlfn.XLOOKUP(F29,梦灵属性!$E$156:$E$205,梦灵属性!$K$156:$K$205)+D29*10/6,梦灵属性!$K$156:$K$205,1)</f>
        <v>20</v>
      </c>
      <c r="I29">
        <f ca="1">MATCH(_xlfn.XLOOKUP(G29,梦灵属性!$E$206:$E$255,梦灵属性!$K$206:$K$255)+E29*10/3,梦灵属性!$K$206:$K$255,1)</f>
        <v>14</v>
      </c>
      <c r="J29" t="str">
        <f t="shared" si="2"/>
        <v>[{5600005,56},{5600006,12}]</v>
      </c>
      <c r="M29">
        <v>2800</v>
      </c>
      <c r="N29">
        <f ca="1" t="shared" si="3"/>
        <v>0</v>
      </c>
      <c r="O29">
        <f ca="1" t="shared" si="4"/>
        <v>0</v>
      </c>
    </row>
    <row r="30" spans="1:15">
      <c r="A30">
        <v>2900</v>
      </c>
      <c r="B30">
        <f t="shared" si="0"/>
        <v>2900</v>
      </c>
      <c r="C30">
        <f t="shared" si="1"/>
        <v>0</v>
      </c>
      <c r="D30">
        <f>B30*(Sheet1!$G$8-Sheet1!$K$8)+C30*(Sheet1!$G$9-Sheet1!$K$9)</f>
        <v>58</v>
      </c>
      <c r="E30" s="1">
        <f>ROUNDUP(B30*(Sheet1!$H$8-Sheet1!$J$8)+C30*(Sheet1!$H$9-Sheet1!$J$9),0)</f>
        <v>12</v>
      </c>
      <c r="F30">
        <f ca="1">OFFSET(梦灵本体产出!$M$146,MATCH(A30+SUM(梦灵本体产出!$C$34:$C$37),梦灵本体产出!$H$147:$H$206,1),0)</f>
        <v>20</v>
      </c>
      <c r="G30">
        <f ca="1">OFFSET(梦灵本体产出!$N$146,MATCH(B30+SUM(梦灵本体产出!$C$34:$C$37),梦灵本体产出!$H$147:$H$206,1),0)</f>
        <v>14</v>
      </c>
      <c r="H30">
        <f ca="1">MATCH(_xlfn.XLOOKUP(F30,梦灵属性!$E$156:$E$205,梦灵属性!$K$156:$K$205)+D30*10/6,梦灵属性!$K$156:$K$205,1)</f>
        <v>20</v>
      </c>
      <c r="I30">
        <f ca="1">MATCH(_xlfn.XLOOKUP(G30,梦灵属性!$E$206:$E$255,梦灵属性!$K$206:$K$255)+E30*10/3,梦灵属性!$K$206:$K$255,1)</f>
        <v>14</v>
      </c>
      <c r="J30" t="str">
        <f t="shared" si="2"/>
        <v>[{5600005,58},{5600006,12}]</v>
      </c>
      <c r="M30">
        <v>2900</v>
      </c>
      <c r="N30">
        <f ca="1" t="shared" si="3"/>
        <v>0</v>
      </c>
      <c r="O30">
        <f ca="1" t="shared" si="4"/>
        <v>0</v>
      </c>
    </row>
    <row r="31" spans="1:15">
      <c r="A31">
        <v>3000</v>
      </c>
      <c r="B31">
        <f t="shared" si="0"/>
        <v>3000</v>
      </c>
      <c r="C31">
        <f t="shared" si="1"/>
        <v>0</v>
      </c>
      <c r="D31">
        <f>B31*(Sheet1!$G$8-Sheet1!$K$8)+C31*(Sheet1!$G$9-Sheet1!$K$9)</f>
        <v>60</v>
      </c>
      <c r="E31" s="1">
        <f>ROUNDUP(B31*(Sheet1!$H$8-Sheet1!$J$8)+C31*(Sheet1!$H$9-Sheet1!$J$9),0)</f>
        <v>13</v>
      </c>
      <c r="F31">
        <f ca="1">OFFSET(梦灵本体产出!$M$146,MATCH(A31+SUM(梦灵本体产出!$C$34:$C$37),梦灵本体产出!$H$147:$H$206,1),0)</f>
        <v>20</v>
      </c>
      <c r="G31">
        <f ca="1">OFFSET(梦灵本体产出!$N$146,MATCH(B31+SUM(梦灵本体产出!$C$34:$C$37),梦灵本体产出!$H$147:$H$206,1),0)</f>
        <v>14</v>
      </c>
      <c r="H31">
        <f ca="1">MATCH(_xlfn.XLOOKUP(F31,梦灵属性!$E$156:$E$205,梦灵属性!$K$156:$K$205)+D31*10/6,梦灵属性!$K$156:$K$205,1)</f>
        <v>20</v>
      </c>
      <c r="I31">
        <f ca="1">MATCH(_xlfn.XLOOKUP(G31,梦灵属性!$E$206:$E$255,梦灵属性!$K$206:$K$255)+E31*10/3,梦灵属性!$K$206:$K$255,1)</f>
        <v>14</v>
      </c>
      <c r="J31" t="str">
        <f t="shared" si="2"/>
        <v>[{5600005,60},{5600006,13}]</v>
      </c>
      <c r="M31">
        <v>3000</v>
      </c>
      <c r="N31">
        <f ca="1" t="shared" si="3"/>
        <v>0</v>
      </c>
      <c r="O31">
        <f ca="1" t="shared" si="4"/>
        <v>0</v>
      </c>
    </row>
    <row r="32" spans="1:15">
      <c r="A32">
        <v>3100</v>
      </c>
      <c r="B32">
        <f t="shared" si="0"/>
        <v>3100</v>
      </c>
      <c r="C32">
        <f t="shared" si="1"/>
        <v>0</v>
      </c>
      <c r="D32">
        <f>B32*(Sheet1!$G$8-Sheet1!$K$8)+C32*(Sheet1!$G$9-Sheet1!$K$9)</f>
        <v>62</v>
      </c>
      <c r="E32" s="1">
        <f>ROUNDUP(B32*(Sheet1!$H$8-Sheet1!$J$8)+C32*(Sheet1!$H$9-Sheet1!$J$9),0)</f>
        <v>13</v>
      </c>
      <c r="F32">
        <f ca="1">OFFSET(梦灵本体产出!$M$146,MATCH(A32+SUM(梦灵本体产出!$C$34:$C$37),梦灵本体产出!$H$147:$H$206,1),0)</f>
        <v>20</v>
      </c>
      <c r="G32">
        <f ca="1">OFFSET(梦灵本体产出!$N$146,MATCH(B32+SUM(梦灵本体产出!$C$34:$C$37),梦灵本体产出!$H$147:$H$206,1),0)</f>
        <v>14</v>
      </c>
      <c r="H32">
        <f ca="1">MATCH(_xlfn.XLOOKUP(F32,梦灵属性!$E$156:$E$205,梦灵属性!$K$156:$K$205)+D32*10/6,梦灵属性!$K$156:$K$205,1)</f>
        <v>20</v>
      </c>
      <c r="I32">
        <f ca="1">MATCH(_xlfn.XLOOKUP(G32,梦灵属性!$E$206:$E$255,梦灵属性!$K$206:$K$255)+E32*10/3,梦灵属性!$K$206:$K$255,1)</f>
        <v>14</v>
      </c>
      <c r="J32" t="str">
        <f t="shared" si="2"/>
        <v>[{5600005,62},{5600006,13}]</v>
      </c>
      <c r="M32">
        <v>3100</v>
      </c>
      <c r="N32">
        <f ca="1" t="shared" si="3"/>
        <v>0</v>
      </c>
      <c r="O32">
        <f ca="1" t="shared" si="4"/>
        <v>0</v>
      </c>
    </row>
    <row r="33" spans="1:15">
      <c r="A33">
        <v>3200</v>
      </c>
      <c r="B33">
        <f t="shared" si="0"/>
        <v>3200</v>
      </c>
      <c r="C33">
        <f t="shared" si="1"/>
        <v>0</v>
      </c>
      <c r="D33">
        <f>B33*(Sheet1!$G$8-Sheet1!$K$8)+C33*(Sheet1!$G$9-Sheet1!$K$9)</f>
        <v>64</v>
      </c>
      <c r="E33" s="1">
        <f>ROUNDUP(B33*(Sheet1!$H$8-Sheet1!$J$8)+C33*(Sheet1!$H$9-Sheet1!$J$9),0)</f>
        <v>13</v>
      </c>
      <c r="F33">
        <f ca="1">OFFSET(梦灵本体产出!$M$146,MATCH(A33+SUM(梦灵本体产出!$C$34:$C$37),梦灵本体产出!$H$147:$H$206,1),0)</f>
        <v>20</v>
      </c>
      <c r="G33">
        <f ca="1">OFFSET(梦灵本体产出!$N$146,MATCH(B33+SUM(梦灵本体产出!$C$34:$C$37),梦灵本体产出!$H$147:$H$206,1),0)</f>
        <v>14</v>
      </c>
      <c r="H33">
        <f ca="1">MATCH(_xlfn.XLOOKUP(F33,梦灵属性!$E$156:$E$205,梦灵属性!$K$156:$K$205)+D33*10/6,梦灵属性!$K$156:$K$205,1)</f>
        <v>20</v>
      </c>
      <c r="I33">
        <f ca="1">MATCH(_xlfn.XLOOKUP(G33,梦灵属性!$E$206:$E$255,梦灵属性!$K$206:$K$255)+E33*10/3,梦灵属性!$K$206:$K$255,1)</f>
        <v>14</v>
      </c>
      <c r="J33" t="str">
        <f t="shared" si="2"/>
        <v>[{5600005,64},{5600006,13}]</v>
      </c>
      <c r="M33">
        <v>3200</v>
      </c>
      <c r="N33">
        <f ca="1" t="shared" si="3"/>
        <v>0</v>
      </c>
      <c r="O33">
        <f ca="1" t="shared" si="4"/>
        <v>0</v>
      </c>
    </row>
    <row r="34" spans="1:15">
      <c r="A34">
        <v>3300</v>
      </c>
      <c r="B34">
        <f t="shared" si="0"/>
        <v>3300</v>
      </c>
      <c r="C34">
        <f t="shared" si="1"/>
        <v>0</v>
      </c>
      <c r="D34">
        <f>B34*(Sheet1!$G$8-Sheet1!$K$8)+C34*(Sheet1!$G$9-Sheet1!$K$9)</f>
        <v>66</v>
      </c>
      <c r="E34" s="1">
        <f>ROUNDUP(B34*(Sheet1!$H$8-Sheet1!$J$8)+C34*(Sheet1!$H$9-Sheet1!$J$9),0)</f>
        <v>14</v>
      </c>
      <c r="F34">
        <f ca="1">OFFSET(梦灵本体产出!$M$146,MATCH(A34+SUM(梦灵本体产出!$C$34:$C$37),梦灵本体产出!$H$147:$H$206,1),0)</f>
        <v>20</v>
      </c>
      <c r="G34">
        <f ca="1">OFFSET(梦灵本体产出!$N$146,MATCH(B34+SUM(梦灵本体产出!$C$34:$C$37),梦灵本体产出!$H$147:$H$206,1),0)</f>
        <v>14</v>
      </c>
      <c r="H34">
        <f ca="1">MATCH(_xlfn.XLOOKUP(F34,梦灵属性!$E$156:$E$205,梦灵属性!$K$156:$K$205)+D34*10/6,梦灵属性!$K$156:$K$205,1)</f>
        <v>20</v>
      </c>
      <c r="I34">
        <f ca="1">MATCH(_xlfn.XLOOKUP(G34,梦灵属性!$E$206:$E$255,梦灵属性!$K$206:$K$255)+E34*10/3,梦灵属性!$K$206:$K$255,1)</f>
        <v>14</v>
      </c>
      <c r="J34" t="str">
        <f t="shared" si="2"/>
        <v>[{5600005,66},{5600006,14}]</v>
      </c>
      <c r="M34">
        <v>3300</v>
      </c>
      <c r="N34">
        <f ca="1" t="shared" si="3"/>
        <v>0</v>
      </c>
      <c r="O34">
        <f ca="1" t="shared" si="4"/>
        <v>0</v>
      </c>
    </row>
    <row r="35" spans="1:15">
      <c r="A35">
        <v>3400</v>
      </c>
      <c r="B35">
        <f t="shared" ref="B35:B66" si="5">IF(A35&gt;=4000,4000,A35)</f>
        <v>3400</v>
      </c>
      <c r="C35">
        <f t="shared" ref="C35:C66" si="6">IF(A35&gt;=4000,A35-4000,0)</f>
        <v>0</v>
      </c>
      <c r="D35">
        <f>B35*(Sheet1!$G$8-Sheet1!$K$8)+C35*(Sheet1!$G$9-Sheet1!$K$9)</f>
        <v>68</v>
      </c>
      <c r="E35" s="1">
        <f>ROUNDUP(B35*(Sheet1!$H$8-Sheet1!$J$8)+C35*(Sheet1!$H$9-Sheet1!$J$9),0)</f>
        <v>14</v>
      </c>
      <c r="F35">
        <f ca="1">OFFSET(梦灵本体产出!$M$146,MATCH(A35+SUM(梦灵本体产出!$C$34:$C$37),梦灵本体产出!$H$147:$H$206,1),0)</f>
        <v>20</v>
      </c>
      <c r="G35">
        <f ca="1">OFFSET(梦灵本体产出!$N$146,MATCH(B35+SUM(梦灵本体产出!$C$34:$C$37),梦灵本体产出!$H$147:$H$206,1),0)</f>
        <v>15</v>
      </c>
      <c r="H35">
        <f ca="1">MATCH(_xlfn.XLOOKUP(F35,梦灵属性!$E$156:$E$205,梦灵属性!$K$156:$K$205)+D35*10/6,梦灵属性!$K$156:$K$205,1)</f>
        <v>20</v>
      </c>
      <c r="I35">
        <f ca="1">MATCH(_xlfn.XLOOKUP(G35,梦灵属性!$E$206:$E$255,梦灵属性!$K$206:$K$255)+E35*10/3,梦灵属性!$K$206:$K$255,1)</f>
        <v>15</v>
      </c>
      <c r="J35" t="str">
        <f t="shared" ref="J35:J66" si="7">"[{5600005,"&amp;D35&amp;"},{5600006,"&amp;E35&amp;"}]"</f>
        <v>[{5600005,68},{5600006,14}]</v>
      </c>
      <c r="M35">
        <v>3400</v>
      </c>
      <c r="N35">
        <f ca="1" t="shared" ref="N35:N66" si="8">I35-G35</f>
        <v>0</v>
      </c>
      <c r="O35">
        <f ca="1" t="shared" ref="O35:O66" si="9">H35-F35</f>
        <v>0</v>
      </c>
    </row>
    <row r="36" spans="1:15">
      <c r="A36">
        <v>3500</v>
      </c>
      <c r="B36">
        <f t="shared" si="5"/>
        <v>3500</v>
      </c>
      <c r="C36">
        <f t="shared" si="6"/>
        <v>0</v>
      </c>
      <c r="D36">
        <f>B36*(Sheet1!$G$8-Sheet1!$K$8)+C36*(Sheet1!$G$9-Sheet1!$K$9)</f>
        <v>70</v>
      </c>
      <c r="E36" s="1">
        <f>ROUNDUP(B36*(Sheet1!$H$8-Sheet1!$J$8)+C36*(Sheet1!$H$9-Sheet1!$J$9),0)</f>
        <v>15</v>
      </c>
      <c r="F36">
        <f ca="1">OFFSET(梦灵本体产出!$M$146,MATCH(A36+SUM(梦灵本体产出!$C$34:$C$37),梦灵本体产出!$H$147:$H$206,1),0)</f>
        <v>20</v>
      </c>
      <c r="G36">
        <f ca="1">OFFSET(梦灵本体产出!$N$146,MATCH(B36+SUM(梦灵本体产出!$C$34:$C$37),梦灵本体产出!$H$147:$H$206,1),0)</f>
        <v>15</v>
      </c>
      <c r="H36">
        <f ca="1">MATCH(_xlfn.XLOOKUP(F36,梦灵属性!$E$156:$E$205,梦灵属性!$K$156:$K$205)+D36*10/6,梦灵属性!$K$156:$K$205,1)</f>
        <v>20</v>
      </c>
      <c r="I36">
        <f ca="1">MATCH(_xlfn.XLOOKUP(G36,梦灵属性!$E$206:$E$255,梦灵属性!$K$206:$K$255)+E36*10/3,梦灵属性!$K$206:$K$255,1)</f>
        <v>15</v>
      </c>
      <c r="J36" t="str">
        <f t="shared" si="7"/>
        <v>[{5600005,70},{5600006,15}]</v>
      </c>
      <c r="M36">
        <v>3500</v>
      </c>
      <c r="N36">
        <f ca="1" t="shared" si="8"/>
        <v>0</v>
      </c>
      <c r="O36">
        <f ca="1" t="shared" si="9"/>
        <v>0</v>
      </c>
    </row>
    <row r="37" spans="1:15">
      <c r="A37">
        <v>3600</v>
      </c>
      <c r="B37">
        <f t="shared" si="5"/>
        <v>3600</v>
      </c>
      <c r="C37">
        <f t="shared" si="6"/>
        <v>0</v>
      </c>
      <c r="D37">
        <f>B37*(Sheet1!$G$8-Sheet1!$K$8)+C37*(Sheet1!$G$9-Sheet1!$K$9)</f>
        <v>72</v>
      </c>
      <c r="E37" s="1">
        <f>ROUNDUP(B37*(Sheet1!$H$8-Sheet1!$J$8)+C37*(Sheet1!$H$9-Sheet1!$J$9),0)</f>
        <v>15</v>
      </c>
      <c r="F37">
        <f ca="1">OFFSET(梦灵本体产出!$M$146,MATCH(A37+SUM(梦灵本体产出!$C$34:$C$37),梦灵本体产出!$H$147:$H$206,1),0)</f>
        <v>20</v>
      </c>
      <c r="G37">
        <f ca="1">OFFSET(梦灵本体产出!$N$146,MATCH(B37+SUM(梦灵本体产出!$C$34:$C$37),梦灵本体产出!$H$147:$H$206,1),0)</f>
        <v>15</v>
      </c>
      <c r="H37">
        <f ca="1">MATCH(_xlfn.XLOOKUP(F37,梦灵属性!$E$156:$E$205,梦灵属性!$K$156:$K$205)+D37*10/6,梦灵属性!$K$156:$K$205,1)</f>
        <v>21</v>
      </c>
      <c r="I37">
        <f ca="1">MATCH(_xlfn.XLOOKUP(G37,梦灵属性!$E$206:$E$255,梦灵属性!$K$206:$K$255)+E37*10/3,梦灵属性!$K$206:$K$255,1)</f>
        <v>15</v>
      </c>
      <c r="J37" t="str">
        <f t="shared" si="7"/>
        <v>[{5600005,72},{5600006,15}]</v>
      </c>
      <c r="M37">
        <v>3600</v>
      </c>
      <c r="N37">
        <f ca="1" t="shared" si="8"/>
        <v>0</v>
      </c>
      <c r="O37">
        <f ca="1" t="shared" si="9"/>
        <v>1</v>
      </c>
    </row>
    <row r="38" spans="1:15">
      <c r="A38">
        <v>3700</v>
      </c>
      <c r="B38">
        <f t="shared" si="5"/>
        <v>3700</v>
      </c>
      <c r="C38">
        <f t="shared" si="6"/>
        <v>0</v>
      </c>
      <c r="D38">
        <f>B38*(Sheet1!$G$8-Sheet1!$K$8)+C38*(Sheet1!$G$9-Sheet1!$K$9)</f>
        <v>74</v>
      </c>
      <c r="E38" s="1">
        <f>ROUNDUP(B38*(Sheet1!$H$8-Sheet1!$J$8)+C38*(Sheet1!$H$9-Sheet1!$J$9),0)</f>
        <v>16</v>
      </c>
      <c r="F38">
        <f ca="1">OFFSET(梦灵本体产出!$M$146,MATCH(A38+SUM(梦灵本体产出!$C$34:$C$37),梦灵本体产出!$H$147:$H$206,1),0)</f>
        <v>21</v>
      </c>
      <c r="G38">
        <f ca="1">OFFSET(梦灵本体产出!$N$146,MATCH(B38+SUM(梦灵本体产出!$C$34:$C$37),梦灵本体产出!$H$147:$H$206,1),0)</f>
        <v>15</v>
      </c>
      <c r="H38">
        <f ca="1">MATCH(_xlfn.XLOOKUP(F38,梦灵属性!$E$156:$E$205,梦灵属性!$K$156:$K$205)+D38*10/6,梦灵属性!$K$156:$K$205,1)</f>
        <v>22</v>
      </c>
      <c r="I38">
        <f ca="1">MATCH(_xlfn.XLOOKUP(G38,梦灵属性!$E$206:$E$255,梦灵属性!$K$206:$K$255)+E38*10/3,梦灵属性!$K$206:$K$255,1)</f>
        <v>15</v>
      </c>
      <c r="J38" t="str">
        <f t="shared" si="7"/>
        <v>[{5600005,74},{5600006,16}]</v>
      </c>
      <c r="M38">
        <v>3700</v>
      </c>
      <c r="N38">
        <f ca="1" t="shared" si="8"/>
        <v>0</v>
      </c>
      <c r="O38">
        <f ca="1" t="shared" si="9"/>
        <v>1</v>
      </c>
    </row>
    <row r="39" spans="1:15">
      <c r="A39">
        <v>3800</v>
      </c>
      <c r="B39">
        <f t="shared" si="5"/>
        <v>3800</v>
      </c>
      <c r="C39">
        <f t="shared" si="6"/>
        <v>0</v>
      </c>
      <c r="D39">
        <f>B39*(Sheet1!$G$8-Sheet1!$K$8)+C39*(Sheet1!$G$9-Sheet1!$K$9)</f>
        <v>76</v>
      </c>
      <c r="E39" s="1">
        <f>ROUNDUP(B39*(Sheet1!$H$8-Sheet1!$J$8)+C39*(Sheet1!$H$9-Sheet1!$J$9),0)</f>
        <v>16</v>
      </c>
      <c r="F39">
        <f ca="1">OFFSET(梦灵本体产出!$M$146,MATCH(A39+SUM(梦灵本体产出!$C$34:$C$37),梦灵本体产出!$H$147:$H$206,1),0)</f>
        <v>21</v>
      </c>
      <c r="G39">
        <f ca="1">OFFSET(梦灵本体产出!$N$146,MATCH(B39+SUM(梦灵本体产出!$C$34:$C$37),梦灵本体产出!$H$147:$H$206,1),0)</f>
        <v>15</v>
      </c>
      <c r="H39">
        <f ca="1">MATCH(_xlfn.XLOOKUP(F39,梦灵属性!$E$156:$E$205,梦灵属性!$K$156:$K$205)+D39*10/6,梦灵属性!$K$156:$K$205,1)</f>
        <v>22</v>
      </c>
      <c r="I39">
        <f ca="1">MATCH(_xlfn.XLOOKUP(G39,梦灵属性!$E$206:$E$255,梦灵属性!$K$206:$K$255)+E39*10/3,梦灵属性!$K$206:$K$255,1)</f>
        <v>15</v>
      </c>
      <c r="J39" t="str">
        <f t="shared" si="7"/>
        <v>[{5600005,76},{5600006,16}]</v>
      </c>
      <c r="M39">
        <v>3800</v>
      </c>
      <c r="N39">
        <f ca="1" t="shared" si="8"/>
        <v>0</v>
      </c>
      <c r="O39">
        <f ca="1" t="shared" si="9"/>
        <v>1</v>
      </c>
    </row>
    <row r="40" spans="1:15">
      <c r="A40">
        <v>3900</v>
      </c>
      <c r="B40">
        <f t="shared" si="5"/>
        <v>3900</v>
      </c>
      <c r="C40">
        <f t="shared" si="6"/>
        <v>0</v>
      </c>
      <c r="D40">
        <f>B40*(Sheet1!$G$8-Sheet1!$K$8)+C40*(Sheet1!$G$9-Sheet1!$K$9)</f>
        <v>78</v>
      </c>
      <c r="E40" s="1">
        <f>ROUNDUP(B40*(Sheet1!$H$8-Sheet1!$J$8)+C40*(Sheet1!$H$9-Sheet1!$J$9),0)</f>
        <v>16</v>
      </c>
      <c r="F40">
        <f ca="1">OFFSET(梦灵本体产出!$M$146,MATCH(A40+SUM(梦灵本体产出!$C$34:$C$37),梦灵本体产出!$H$147:$H$206,1),0)</f>
        <v>21</v>
      </c>
      <c r="G40">
        <f ca="1">OFFSET(梦灵本体产出!$N$146,MATCH(B40+SUM(梦灵本体产出!$C$34:$C$37),梦灵本体产出!$H$147:$H$206,1),0)</f>
        <v>15</v>
      </c>
      <c r="H40">
        <f ca="1">MATCH(_xlfn.XLOOKUP(F40,梦灵属性!$E$156:$E$205,梦灵属性!$K$156:$K$205)+D40*10/6,梦灵属性!$K$156:$K$205,1)</f>
        <v>22</v>
      </c>
      <c r="I40">
        <f ca="1">MATCH(_xlfn.XLOOKUP(G40,梦灵属性!$E$206:$E$255,梦灵属性!$K$206:$K$255)+E40*10/3,梦灵属性!$K$206:$K$255,1)</f>
        <v>15</v>
      </c>
      <c r="J40" t="str">
        <f t="shared" si="7"/>
        <v>[{5600005,78},{5600006,16}]</v>
      </c>
      <c r="M40">
        <v>3900</v>
      </c>
      <c r="N40">
        <f ca="1" t="shared" si="8"/>
        <v>0</v>
      </c>
      <c r="O40">
        <f ca="1" t="shared" si="9"/>
        <v>1</v>
      </c>
    </row>
    <row r="41" spans="1:15">
      <c r="A41">
        <v>4000</v>
      </c>
      <c r="B41">
        <f t="shared" si="5"/>
        <v>4000</v>
      </c>
      <c r="C41">
        <f t="shared" si="6"/>
        <v>0</v>
      </c>
      <c r="D41">
        <f>B41*(Sheet1!$G$8-Sheet1!$K$8)+C41*(Sheet1!$G$9-Sheet1!$K$9)</f>
        <v>80</v>
      </c>
      <c r="E41" s="1">
        <f>ROUNDUP(B41*(Sheet1!$H$8-Sheet1!$J$8)+C41*(Sheet1!$H$9-Sheet1!$J$9),0)</f>
        <v>17</v>
      </c>
      <c r="F41">
        <f ca="1">OFFSET(梦灵本体产出!$M$146,MATCH(A41+SUM(梦灵本体产出!$C$34:$C$37),梦灵本体产出!$H$147:$H$206,1),0)</f>
        <v>21</v>
      </c>
      <c r="G41">
        <f ca="1">OFFSET(梦灵本体产出!$N$146,MATCH(B41+SUM(梦灵本体产出!$C$34:$C$37),梦灵本体产出!$H$147:$H$206,1),0)</f>
        <v>15</v>
      </c>
      <c r="H41">
        <f ca="1">MATCH(_xlfn.XLOOKUP(F41,梦灵属性!$E$156:$E$205,梦灵属性!$K$156:$K$205)+D41*10/6,梦灵属性!$K$156:$K$205,1)</f>
        <v>22</v>
      </c>
      <c r="I41">
        <f ca="1">MATCH(_xlfn.XLOOKUP(G41,梦灵属性!$E$206:$E$255,梦灵属性!$K$206:$K$255)+E41*10/3,梦灵属性!$K$206:$K$255,1)</f>
        <v>15</v>
      </c>
      <c r="J41" t="str">
        <f t="shared" si="7"/>
        <v>[{5600005,80},{5600006,17}]</v>
      </c>
      <c r="M41">
        <v>4000</v>
      </c>
      <c r="N41">
        <f ca="1" t="shared" si="8"/>
        <v>0</v>
      </c>
      <c r="O41">
        <f ca="1" t="shared" si="9"/>
        <v>1</v>
      </c>
    </row>
    <row r="42" spans="1:15">
      <c r="A42">
        <v>4100</v>
      </c>
      <c r="B42">
        <f t="shared" si="5"/>
        <v>4000</v>
      </c>
      <c r="C42">
        <f t="shared" si="6"/>
        <v>100</v>
      </c>
      <c r="D42">
        <f>B42*(Sheet1!$G$8-Sheet1!$K$8)+C42*(Sheet1!$G$9-Sheet1!$K$9)</f>
        <v>84</v>
      </c>
      <c r="E42" s="1">
        <f>ROUNDUP(B42*(Sheet1!$H$8-Sheet1!$J$8)+C42*(Sheet1!$H$9-Sheet1!$J$9),0)</f>
        <v>18</v>
      </c>
      <c r="F42">
        <f ca="1">OFFSET(梦灵本体产出!$M$146,MATCH(A42+SUM(梦灵本体产出!$C$34:$C$37),梦灵本体产出!$H$147:$H$206,1),0)</f>
        <v>21</v>
      </c>
      <c r="G42">
        <f ca="1">OFFSET(梦灵本体产出!$N$146,MATCH(B42+SUM(梦灵本体产出!$C$34:$C$37),梦灵本体产出!$H$147:$H$206,1),0)</f>
        <v>15</v>
      </c>
      <c r="H42">
        <f ca="1">MATCH(_xlfn.XLOOKUP(F42,梦灵属性!$E$156:$E$205,梦灵属性!$K$156:$K$205)+D42*10/6,梦灵属性!$K$156:$K$205,1)</f>
        <v>22</v>
      </c>
      <c r="I42">
        <f ca="1">MATCH(_xlfn.XLOOKUP(G42,梦灵属性!$E$206:$E$255,梦灵属性!$K$206:$K$255)+E42*10/3,梦灵属性!$K$206:$K$255,1)</f>
        <v>15</v>
      </c>
      <c r="J42" t="str">
        <f t="shared" si="7"/>
        <v>[{5600005,84},{5600006,18}]</v>
      </c>
      <c r="M42">
        <v>4100</v>
      </c>
      <c r="N42">
        <f ca="1" t="shared" si="8"/>
        <v>0</v>
      </c>
      <c r="O42">
        <f ca="1" t="shared" si="9"/>
        <v>1</v>
      </c>
    </row>
    <row r="43" spans="1:15">
      <c r="A43">
        <v>4200</v>
      </c>
      <c r="B43">
        <f t="shared" si="5"/>
        <v>4000</v>
      </c>
      <c r="C43">
        <f t="shared" si="6"/>
        <v>200</v>
      </c>
      <c r="D43">
        <f>B43*(Sheet1!$G$8-Sheet1!$K$8)+C43*(Sheet1!$G$9-Sheet1!$K$9)</f>
        <v>88</v>
      </c>
      <c r="E43" s="1">
        <f>ROUNDUP(B43*(Sheet1!$H$8-Sheet1!$J$8)+C43*(Sheet1!$H$9-Sheet1!$J$9),0)</f>
        <v>19</v>
      </c>
      <c r="F43">
        <f ca="1">OFFSET(梦灵本体产出!$M$146,MATCH(A43+SUM(梦灵本体产出!$C$34:$C$37),梦灵本体产出!$H$147:$H$206,1),0)</f>
        <v>21</v>
      </c>
      <c r="G43">
        <f ca="1">OFFSET(梦灵本体产出!$N$146,MATCH(B43+SUM(梦灵本体产出!$C$34:$C$37),梦灵本体产出!$H$147:$H$206,1),0)</f>
        <v>15</v>
      </c>
      <c r="H43">
        <f ca="1">MATCH(_xlfn.XLOOKUP(F43,梦灵属性!$E$156:$E$205,梦灵属性!$K$156:$K$205)+D43*10/6,梦灵属性!$K$156:$K$205,1)</f>
        <v>22</v>
      </c>
      <c r="I43">
        <f ca="1">MATCH(_xlfn.XLOOKUP(G43,梦灵属性!$E$206:$E$255,梦灵属性!$K$206:$K$255)+E43*10/3,梦灵属性!$K$206:$K$255,1)</f>
        <v>15</v>
      </c>
      <c r="J43" t="str">
        <f t="shared" si="7"/>
        <v>[{5600005,88},{5600006,19}]</v>
      </c>
      <c r="M43">
        <v>4200</v>
      </c>
      <c r="N43">
        <f ca="1" t="shared" si="8"/>
        <v>0</v>
      </c>
      <c r="O43">
        <f ca="1" t="shared" si="9"/>
        <v>1</v>
      </c>
    </row>
    <row r="44" spans="1:15">
      <c r="A44">
        <v>4300</v>
      </c>
      <c r="B44">
        <f t="shared" si="5"/>
        <v>4000</v>
      </c>
      <c r="C44">
        <f t="shared" si="6"/>
        <v>300</v>
      </c>
      <c r="D44">
        <f>B44*(Sheet1!$G$8-Sheet1!$K$8)+C44*(Sheet1!$G$9-Sheet1!$K$9)</f>
        <v>92</v>
      </c>
      <c r="E44" s="1">
        <f>ROUNDUP(B44*(Sheet1!$H$8-Sheet1!$J$8)+C44*(Sheet1!$H$9-Sheet1!$J$9),0)</f>
        <v>20</v>
      </c>
      <c r="F44">
        <f ca="1">OFFSET(梦灵本体产出!$M$146,MATCH(A44+SUM(梦灵本体产出!$C$34:$C$37),梦灵本体产出!$H$147:$H$206,1),0)</f>
        <v>21</v>
      </c>
      <c r="G44">
        <f ca="1">OFFSET(梦灵本体产出!$N$146,MATCH(B44+SUM(梦灵本体产出!$C$34:$C$37),梦灵本体产出!$H$147:$H$206,1),0)</f>
        <v>15</v>
      </c>
      <c r="H44">
        <f ca="1">MATCH(_xlfn.XLOOKUP(F44,梦灵属性!$E$156:$E$205,梦灵属性!$K$156:$K$205)+D44*10/6,梦灵属性!$K$156:$K$205,1)</f>
        <v>22</v>
      </c>
      <c r="I44">
        <f ca="1">MATCH(_xlfn.XLOOKUP(G44,梦灵属性!$E$206:$E$255,梦灵属性!$K$206:$K$255)+E44*10/3,梦灵属性!$K$206:$K$255,1)</f>
        <v>15</v>
      </c>
      <c r="J44" t="str">
        <f t="shared" si="7"/>
        <v>[{5600005,92},{5600006,20}]</v>
      </c>
      <c r="M44">
        <v>4300</v>
      </c>
      <c r="N44">
        <f ca="1" t="shared" si="8"/>
        <v>0</v>
      </c>
      <c r="O44">
        <f ca="1" t="shared" si="9"/>
        <v>1</v>
      </c>
    </row>
    <row r="45" spans="1:15">
      <c r="A45">
        <v>4400</v>
      </c>
      <c r="B45">
        <f t="shared" si="5"/>
        <v>4000</v>
      </c>
      <c r="C45">
        <f t="shared" si="6"/>
        <v>400</v>
      </c>
      <c r="D45">
        <f>B45*(Sheet1!$G$8-Sheet1!$K$8)+C45*(Sheet1!$G$9-Sheet1!$K$9)</f>
        <v>96</v>
      </c>
      <c r="E45" s="1">
        <f>ROUNDUP(B45*(Sheet1!$H$8-Sheet1!$J$8)+C45*(Sheet1!$H$9-Sheet1!$J$9),0)</f>
        <v>22</v>
      </c>
      <c r="F45">
        <f ca="1">OFFSET(梦灵本体产出!$M$146,MATCH(A45+SUM(梦灵本体产出!$C$34:$C$37),梦灵本体产出!$H$147:$H$206,1),0)</f>
        <v>21</v>
      </c>
      <c r="G45">
        <f ca="1">OFFSET(梦灵本体产出!$N$146,MATCH(B45+SUM(梦灵本体产出!$C$34:$C$37),梦灵本体产出!$H$147:$H$206,1),0)</f>
        <v>15</v>
      </c>
      <c r="H45">
        <f ca="1">MATCH(_xlfn.XLOOKUP(F45,梦灵属性!$E$156:$E$205,梦灵属性!$K$156:$K$205)+D45*10/6,梦灵属性!$K$156:$K$205,1)</f>
        <v>22</v>
      </c>
      <c r="I45">
        <f ca="1">MATCH(_xlfn.XLOOKUP(G45,梦灵属性!$E$206:$E$255,梦灵属性!$K$206:$K$255)+E45*10/3,梦灵属性!$K$206:$K$255,1)</f>
        <v>16</v>
      </c>
      <c r="J45" t="str">
        <f t="shared" si="7"/>
        <v>[{5600005,96},{5600006,22}]</v>
      </c>
      <c r="M45">
        <v>4400</v>
      </c>
      <c r="N45">
        <f ca="1" t="shared" si="8"/>
        <v>1</v>
      </c>
      <c r="O45">
        <f ca="1" t="shared" si="9"/>
        <v>1</v>
      </c>
    </row>
    <row r="46" spans="1:15">
      <c r="A46">
        <v>4500</v>
      </c>
      <c r="B46">
        <f t="shared" si="5"/>
        <v>4000</v>
      </c>
      <c r="C46">
        <f t="shared" si="6"/>
        <v>500</v>
      </c>
      <c r="D46">
        <f>B46*(Sheet1!$G$8-Sheet1!$K$8)+C46*(Sheet1!$G$9-Sheet1!$K$9)</f>
        <v>100</v>
      </c>
      <c r="E46" s="1">
        <f>ROUNDUP(B46*(Sheet1!$H$8-Sheet1!$J$8)+C46*(Sheet1!$H$9-Sheet1!$J$9),0)</f>
        <v>23</v>
      </c>
      <c r="F46">
        <f ca="1">OFFSET(梦灵本体产出!$M$146,MATCH(A46+SUM(梦灵本体产出!$C$34:$C$37),梦灵本体产出!$H$147:$H$206,1),0)</f>
        <v>21</v>
      </c>
      <c r="G46">
        <f ca="1">OFFSET(梦灵本体产出!$N$146,MATCH(B46+SUM(梦灵本体产出!$C$34:$C$37),梦灵本体产出!$H$147:$H$206,1),0)</f>
        <v>15</v>
      </c>
      <c r="H46">
        <f ca="1">MATCH(_xlfn.XLOOKUP(F46,梦灵属性!$E$156:$E$205,梦灵属性!$K$156:$K$205)+D46*10/6,梦灵属性!$K$156:$K$205,1)</f>
        <v>22</v>
      </c>
      <c r="I46">
        <f ca="1">MATCH(_xlfn.XLOOKUP(G46,梦灵属性!$E$206:$E$255,梦灵属性!$K$206:$K$255)+E46*10/3,梦灵属性!$K$206:$K$255,1)</f>
        <v>16</v>
      </c>
      <c r="J46" t="str">
        <f t="shared" si="7"/>
        <v>[{5600005,100},{5600006,23}]</v>
      </c>
      <c r="M46">
        <v>4500</v>
      </c>
      <c r="N46">
        <f ca="1" t="shared" si="8"/>
        <v>1</v>
      </c>
      <c r="O46">
        <f ca="1" t="shared" si="9"/>
        <v>1</v>
      </c>
    </row>
    <row r="47" spans="1:15">
      <c r="A47">
        <v>4600</v>
      </c>
      <c r="B47">
        <f t="shared" si="5"/>
        <v>4000</v>
      </c>
      <c r="C47">
        <f t="shared" si="6"/>
        <v>600</v>
      </c>
      <c r="D47">
        <f>B47*(Sheet1!$G$8-Sheet1!$K$8)+C47*(Sheet1!$G$9-Sheet1!$K$9)</f>
        <v>104</v>
      </c>
      <c r="E47" s="1">
        <f>ROUNDUP(B47*(Sheet1!$H$8-Sheet1!$J$8)+C47*(Sheet1!$H$9-Sheet1!$J$9),0)</f>
        <v>24</v>
      </c>
      <c r="F47">
        <f ca="1">OFFSET(梦灵本体产出!$M$146,MATCH(A47+SUM(梦灵本体产出!$C$34:$C$37),梦灵本体产出!$H$147:$H$206,1),0)</f>
        <v>21</v>
      </c>
      <c r="G47">
        <f ca="1">OFFSET(梦灵本体产出!$N$146,MATCH(B47+SUM(梦灵本体产出!$C$34:$C$37),梦灵本体产出!$H$147:$H$206,1),0)</f>
        <v>15</v>
      </c>
      <c r="H47">
        <f ca="1">MATCH(_xlfn.XLOOKUP(F47,梦灵属性!$E$156:$E$205,梦灵属性!$K$156:$K$205)+D47*10/6,梦灵属性!$K$156:$K$205,1)</f>
        <v>22</v>
      </c>
      <c r="I47">
        <f ca="1">MATCH(_xlfn.XLOOKUP(G47,梦灵属性!$E$206:$E$255,梦灵属性!$K$206:$K$255)+E47*10/3,梦灵属性!$K$206:$K$255,1)</f>
        <v>16</v>
      </c>
      <c r="J47" t="str">
        <f t="shared" si="7"/>
        <v>[{5600005,104},{5600006,24}]</v>
      </c>
      <c r="M47">
        <v>4600</v>
      </c>
      <c r="N47">
        <f ca="1" t="shared" si="8"/>
        <v>1</v>
      </c>
      <c r="O47">
        <f ca="1" t="shared" si="9"/>
        <v>1</v>
      </c>
    </row>
    <row r="48" spans="1:15">
      <c r="A48">
        <v>4700</v>
      </c>
      <c r="B48">
        <f t="shared" si="5"/>
        <v>4000</v>
      </c>
      <c r="C48">
        <f t="shared" si="6"/>
        <v>700</v>
      </c>
      <c r="D48">
        <f>B48*(Sheet1!$G$8-Sheet1!$K$8)+C48*(Sheet1!$G$9-Sheet1!$K$9)</f>
        <v>108</v>
      </c>
      <c r="E48" s="1">
        <f>ROUNDUP(B48*(Sheet1!$H$8-Sheet1!$J$8)+C48*(Sheet1!$H$9-Sheet1!$J$9),0)</f>
        <v>25</v>
      </c>
      <c r="F48">
        <f ca="1">OFFSET(梦灵本体产出!$M$146,MATCH(A48+SUM(梦灵本体产出!$C$34:$C$37),梦灵本体产出!$H$147:$H$206,1),0)</f>
        <v>21</v>
      </c>
      <c r="G48">
        <f ca="1">OFFSET(梦灵本体产出!$N$146,MATCH(B48+SUM(梦灵本体产出!$C$34:$C$37),梦灵本体产出!$H$147:$H$206,1),0)</f>
        <v>15</v>
      </c>
      <c r="H48">
        <f ca="1">MATCH(_xlfn.XLOOKUP(F48,梦灵属性!$E$156:$E$205,梦灵属性!$K$156:$K$205)+D48*10/6,梦灵属性!$K$156:$K$205,1)</f>
        <v>22</v>
      </c>
      <c r="I48">
        <f ca="1">MATCH(_xlfn.XLOOKUP(G48,梦灵属性!$E$206:$E$255,梦灵属性!$K$206:$K$255)+E48*10/3,梦灵属性!$K$206:$K$255,1)</f>
        <v>16</v>
      </c>
      <c r="J48" t="str">
        <f t="shared" si="7"/>
        <v>[{5600005,108},{5600006,25}]</v>
      </c>
      <c r="M48">
        <v>4700</v>
      </c>
      <c r="N48">
        <f ca="1" t="shared" si="8"/>
        <v>1</v>
      </c>
      <c r="O48">
        <f ca="1" t="shared" si="9"/>
        <v>1</v>
      </c>
    </row>
    <row r="49" spans="1:15">
      <c r="A49">
        <v>4800</v>
      </c>
      <c r="B49">
        <f t="shared" si="5"/>
        <v>4000</v>
      </c>
      <c r="C49">
        <f t="shared" si="6"/>
        <v>800</v>
      </c>
      <c r="D49">
        <f>B49*(Sheet1!$G$8-Sheet1!$K$8)+C49*(Sheet1!$G$9-Sheet1!$K$9)</f>
        <v>112</v>
      </c>
      <c r="E49" s="1">
        <f>ROUNDUP(B49*(Sheet1!$H$8-Sheet1!$J$8)+C49*(Sheet1!$H$9-Sheet1!$J$9),0)</f>
        <v>27</v>
      </c>
      <c r="F49">
        <f ca="1">OFFSET(梦灵本体产出!$M$146,MATCH(A49+SUM(梦灵本体产出!$C$34:$C$37),梦灵本体产出!$H$147:$H$206,1),0)</f>
        <v>21</v>
      </c>
      <c r="G49">
        <f ca="1">OFFSET(梦灵本体产出!$N$146,MATCH(B49+SUM(梦灵本体产出!$C$34:$C$37),梦灵本体产出!$H$147:$H$206,1),0)</f>
        <v>15</v>
      </c>
      <c r="H49">
        <f ca="1">MATCH(_xlfn.XLOOKUP(F49,梦灵属性!$E$156:$E$205,梦灵属性!$K$156:$K$205)+D49*10/6,梦灵属性!$K$156:$K$205,1)</f>
        <v>22</v>
      </c>
      <c r="I49">
        <f ca="1">MATCH(_xlfn.XLOOKUP(G49,梦灵属性!$E$206:$E$255,梦灵属性!$K$206:$K$255)+E49*10/3,梦灵属性!$K$206:$K$255,1)</f>
        <v>16</v>
      </c>
      <c r="J49" t="str">
        <f t="shared" si="7"/>
        <v>[{5600005,112},{5600006,27}]</v>
      </c>
      <c r="M49">
        <v>4800</v>
      </c>
      <c r="N49">
        <f ca="1" t="shared" si="8"/>
        <v>1</v>
      </c>
      <c r="O49">
        <f ca="1" t="shared" si="9"/>
        <v>1</v>
      </c>
    </row>
    <row r="50" spans="1:15">
      <c r="A50">
        <v>4900</v>
      </c>
      <c r="B50">
        <f t="shared" si="5"/>
        <v>4000</v>
      </c>
      <c r="C50">
        <f t="shared" si="6"/>
        <v>900</v>
      </c>
      <c r="D50">
        <f>B50*(Sheet1!$G$8-Sheet1!$K$8)+C50*(Sheet1!$G$9-Sheet1!$K$9)</f>
        <v>116</v>
      </c>
      <c r="E50" s="1">
        <f>ROUNDUP(B50*(Sheet1!$H$8-Sheet1!$J$8)+C50*(Sheet1!$H$9-Sheet1!$J$9),0)</f>
        <v>28</v>
      </c>
      <c r="F50">
        <f ca="1">OFFSET(梦灵本体产出!$M$146,MATCH(A50+SUM(梦灵本体产出!$C$34:$C$37),梦灵本体产出!$H$147:$H$206,1),0)</f>
        <v>21</v>
      </c>
      <c r="G50">
        <f ca="1">OFFSET(梦灵本体产出!$N$146,MATCH(B50+SUM(梦灵本体产出!$C$34:$C$37),梦灵本体产出!$H$147:$H$206,1),0)</f>
        <v>15</v>
      </c>
      <c r="H50">
        <f ca="1">MATCH(_xlfn.XLOOKUP(F50,梦灵属性!$E$156:$E$205,梦灵属性!$K$156:$K$205)+D50*10/6,梦灵属性!$K$156:$K$205,1)</f>
        <v>22</v>
      </c>
      <c r="I50">
        <f ca="1">MATCH(_xlfn.XLOOKUP(G50,梦灵属性!$E$206:$E$255,梦灵属性!$K$206:$K$255)+E50*10/3,梦灵属性!$K$206:$K$255,1)</f>
        <v>16</v>
      </c>
      <c r="J50" t="str">
        <f t="shared" si="7"/>
        <v>[{5600005,116},{5600006,28}]</v>
      </c>
      <c r="M50">
        <v>4900</v>
      </c>
      <c r="N50">
        <f ca="1" t="shared" si="8"/>
        <v>1</v>
      </c>
      <c r="O50">
        <f ca="1" t="shared" si="9"/>
        <v>1</v>
      </c>
    </row>
    <row r="51" spans="1:15">
      <c r="A51">
        <v>5000</v>
      </c>
      <c r="B51">
        <f t="shared" si="5"/>
        <v>4000</v>
      </c>
      <c r="C51">
        <f t="shared" si="6"/>
        <v>1000</v>
      </c>
      <c r="D51">
        <f>B51*(Sheet1!$G$8-Sheet1!$K$8)+C51*(Sheet1!$G$9-Sheet1!$K$9)</f>
        <v>120</v>
      </c>
      <c r="E51" s="1">
        <f>ROUNDUP(B51*(Sheet1!$H$8-Sheet1!$J$8)+C51*(Sheet1!$H$9-Sheet1!$J$9),0)</f>
        <v>29</v>
      </c>
      <c r="F51">
        <f ca="1">OFFSET(梦灵本体产出!$M$146,MATCH(A51+SUM(梦灵本体产出!$C$34:$C$37),梦灵本体产出!$H$147:$H$206,1),0)</f>
        <v>22</v>
      </c>
      <c r="G51">
        <f ca="1">OFFSET(梦灵本体产出!$N$146,MATCH(B51+SUM(梦灵本体产出!$C$34:$C$37),梦灵本体产出!$H$147:$H$206,1),0)</f>
        <v>15</v>
      </c>
      <c r="H51">
        <f ca="1">MATCH(_xlfn.XLOOKUP(F51,梦灵属性!$E$156:$E$205,梦灵属性!$K$156:$K$205)+D51*10/6,梦灵属性!$K$156:$K$205,1)</f>
        <v>23</v>
      </c>
      <c r="I51">
        <f ca="1">MATCH(_xlfn.XLOOKUP(G51,梦灵属性!$E$206:$E$255,梦灵属性!$K$206:$K$255)+E51*10/3,梦灵属性!$K$206:$K$255,1)</f>
        <v>16</v>
      </c>
      <c r="J51" t="str">
        <f t="shared" si="7"/>
        <v>[{5600005,120},{5600006,29}]</v>
      </c>
      <c r="M51">
        <v>5000</v>
      </c>
      <c r="N51">
        <f ca="1" t="shared" si="8"/>
        <v>1</v>
      </c>
      <c r="O51">
        <f ca="1" t="shared" si="9"/>
        <v>1</v>
      </c>
    </row>
    <row r="52" spans="1:15">
      <c r="A52">
        <v>5100</v>
      </c>
      <c r="B52">
        <f t="shared" si="5"/>
        <v>4000</v>
      </c>
      <c r="C52">
        <f t="shared" si="6"/>
        <v>1100</v>
      </c>
      <c r="D52">
        <f>B52*(Sheet1!$G$8-Sheet1!$K$8)+C52*(Sheet1!$G$9-Sheet1!$K$9)</f>
        <v>124</v>
      </c>
      <c r="E52" s="1">
        <f>ROUNDUP(B52*(Sheet1!$H$8-Sheet1!$J$8)+C52*(Sheet1!$H$9-Sheet1!$J$9),0)</f>
        <v>30</v>
      </c>
      <c r="F52">
        <f ca="1">OFFSET(梦灵本体产出!$M$146,MATCH(A52+SUM(梦灵本体产出!$C$34:$C$37),梦灵本体产出!$H$147:$H$206,1),0)</f>
        <v>22</v>
      </c>
      <c r="G52">
        <f ca="1">OFFSET(梦灵本体产出!$N$146,MATCH(B52+SUM(梦灵本体产出!$C$34:$C$37),梦灵本体产出!$H$147:$H$206,1),0)</f>
        <v>15</v>
      </c>
      <c r="H52">
        <f ca="1">MATCH(_xlfn.XLOOKUP(F52,梦灵属性!$E$156:$E$205,梦灵属性!$K$156:$K$205)+D52*10/6,梦灵属性!$K$156:$K$205,1)</f>
        <v>23</v>
      </c>
      <c r="I52">
        <f ca="1">MATCH(_xlfn.XLOOKUP(G52,梦灵属性!$E$206:$E$255,梦灵属性!$K$206:$K$255)+E52*10/3,梦灵属性!$K$206:$K$255,1)</f>
        <v>16</v>
      </c>
      <c r="J52" t="str">
        <f t="shared" si="7"/>
        <v>[{5600005,124},{5600006,30}]</v>
      </c>
      <c r="M52">
        <v>5100</v>
      </c>
      <c r="N52">
        <f ca="1" t="shared" si="8"/>
        <v>1</v>
      </c>
      <c r="O52">
        <f ca="1" t="shared" si="9"/>
        <v>1</v>
      </c>
    </row>
    <row r="53" spans="1:15">
      <c r="A53">
        <v>5200</v>
      </c>
      <c r="B53">
        <f t="shared" si="5"/>
        <v>4000</v>
      </c>
      <c r="C53">
        <f t="shared" si="6"/>
        <v>1200</v>
      </c>
      <c r="D53">
        <f>B53*(Sheet1!$G$8-Sheet1!$K$8)+C53*(Sheet1!$G$9-Sheet1!$K$9)</f>
        <v>128</v>
      </c>
      <c r="E53" s="1">
        <f>ROUNDUP(B53*(Sheet1!$H$8-Sheet1!$J$8)+C53*(Sheet1!$H$9-Sheet1!$J$9),0)</f>
        <v>32</v>
      </c>
      <c r="F53">
        <f ca="1">OFFSET(梦灵本体产出!$M$146,MATCH(A53+SUM(梦灵本体产出!$C$34:$C$37),梦灵本体产出!$H$147:$H$206,1),0)</f>
        <v>22</v>
      </c>
      <c r="G53">
        <f ca="1">OFFSET(梦灵本体产出!$N$146,MATCH(B53+SUM(梦灵本体产出!$C$34:$C$37),梦灵本体产出!$H$147:$H$206,1),0)</f>
        <v>15</v>
      </c>
      <c r="H53">
        <f ca="1">MATCH(_xlfn.XLOOKUP(F53,梦灵属性!$E$156:$E$205,梦灵属性!$K$156:$K$205)+D53*10/6,梦灵属性!$K$156:$K$205,1)</f>
        <v>23</v>
      </c>
      <c r="I53">
        <f ca="1">MATCH(_xlfn.XLOOKUP(G53,梦灵属性!$E$206:$E$255,梦灵属性!$K$206:$K$255)+E53*10/3,梦灵属性!$K$206:$K$255,1)</f>
        <v>16</v>
      </c>
      <c r="J53" t="str">
        <f t="shared" si="7"/>
        <v>[{5600005,128},{5600006,32}]</v>
      </c>
      <c r="M53">
        <v>5200</v>
      </c>
      <c r="N53">
        <f ca="1" t="shared" si="8"/>
        <v>1</v>
      </c>
      <c r="O53">
        <f ca="1" t="shared" si="9"/>
        <v>1</v>
      </c>
    </row>
    <row r="54" spans="1:15">
      <c r="A54">
        <v>5300</v>
      </c>
      <c r="B54">
        <f t="shared" si="5"/>
        <v>4000</v>
      </c>
      <c r="C54">
        <f t="shared" si="6"/>
        <v>1300</v>
      </c>
      <c r="D54">
        <f>B54*(Sheet1!$G$8-Sheet1!$K$8)+C54*(Sheet1!$G$9-Sheet1!$K$9)</f>
        <v>132</v>
      </c>
      <c r="E54" s="1">
        <f>ROUNDUP(B54*(Sheet1!$H$8-Sheet1!$J$8)+C54*(Sheet1!$H$9-Sheet1!$J$9),0)</f>
        <v>33</v>
      </c>
      <c r="F54">
        <f ca="1">OFFSET(梦灵本体产出!$M$146,MATCH(A54+SUM(梦灵本体产出!$C$34:$C$37),梦灵本体产出!$H$147:$H$206,1),0)</f>
        <v>23</v>
      </c>
      <c r="G54">
        <f ca="1">OFFSET(梦灵本体产出!$N$146,MATCH(B54+SUM(梦灵本体产出!$C$34:$C$37),梦灵本体产出!$H$147:$H$206,1),0)</f>
        <v>15</v>
      </c>
      <c r="H54">
        <f ca="1">MATCH(_xlfn.XLOOKUP(F54,梦灵属性!$E$156:$E$205,梦灵属性!$K$156:$K$205)+D54*10/6,梦灵属性!$K$156:$K$205,1)</f>
        <v>24</v>
      </c>
      <c r="I54">
        <f ca="1">MATCH(_xlfn.XLOOKUP(G54,梦灵属性!$E$206:$E$255,梦灵属性!$K$206:$K$255)+E54*10/3,梦灵属性!$K$206:$K$255,1)</f>
        <v>16</v>
      </c>
      <c r="J54" t="str">
        <f t="shared" si="7"/>
        <v>[{5600005,132},{5600006,33}]</v>
      </c>
      <c r="M54">
        <v>5300</v>
      </c>
      <c r="N54">
        <f ca="1" t="shared" si="8"/>
        <v>1</v>
      </c>
      <c r="O54">
        <f ca="1" t="shared" si="9"/>
        <v>1</v>
      </c>
    </row>
    <row r="55" spans="1:15">
      <c r="A55">
        <v>5400</v>
      </c>
      <c r="B55">
        <f t="shared" si="5"/>
        <v>4000</v>
      </c>
      <c r="C55">
        <f t="shared" si="6"/>
        <v>1400</v>
      </c>
      <c r="D55">
        <f>B55*(Sheet1!$G$8-Sheet1!$K$8)+C55*(Sheet1!$G$9-Sheet1!$K$9)</f>
        <v>136</v>
      </c>
      <c r="E55" s="1">
        <f>ROUNDUP(B55*(Sheet1!$H$8-Sheet1!$J$8)+C55*(Sheet1!$H$9-Sheet1!$J$9),0)</f>
        <v>34</v>
      </c>
      <c r="F55">
        <f ca="1">OFFSET(梦灵本体产出!$M$146,MATCH(A55+SUM(梦灵本体产出!$C$34:$C$37),梦灵本体产出!$H$147:$H$206,1),0)</f>
        <v>23</v>
      </c>
      <c r="G55">
        <f ca="1">OFFSET(梦灵本体产出!$N$146,MATCH(B55+SUM(梦灵本体产出!$C$34:$C$37),梦灵本体产出!$H$147:$H$206,1),0)</f>
        <v>15</v>
      </c>
      <c r="H55">
        <f ca="1">MATCH(_xlfn.XLOOKUP(F55,梦灵属性!$E$156:$E$205,梦灵属性!$K$156:$K$205)+D55*10/6,梦灵属性!$K$156:$K$205,1)</f>
        <v>24</v>
      </c>
      <c r="I55">
        <f ca="1">MATCH(_xlfn.XLOOKUP(G55,梦灵属性!$E$206:$E$255,梦灵属性!$K$206:$K$255)+E55*10/3,梦灵属性!$K$206:$K$255,1)</f>
        <v>16</v>
      </c>
      <c r="J55" t="str">
        <f t="shared" si="7"/>
        <v>[{5600005,136},{5600006,34}]</v>
      </c>
      <c r="M55">
        <v>5400</v>
      </c>
      <c r="N55">
        <f ca="1" t="shared" si="8"/>
        <v>1</v>
      </c>
      <c r="O55">
        <f ca="1" t="shared" si="9"/>
        <v>1</v>
      </c>
    </row>
    <row r="56" spans="1:15">
      <c r="A56">
        <v>5500</v>
      </c>
      <c r="B56">
        <f t="shared" si="5"/>
        <v>4000</v>
      </c>
      <c r="C56">
        <f t="shared" si="6"/>
        <v>1500</v>
      </c>
      <c r="D56">
        <f>B56*(Sheet1!$G$8-Sheet1!$K$8)+C56*(Sheet1!$G$9-Sheet1!$K$9)</f>
        <v>140</v>
      </c>
      <c r="E56" s="1">
        <f>ROUNDUP(B56*(Sheet1!$H$8-Sheet1!$J$8)+C56*(Sheet1!$H$9-Sheet1!$J$9),0)</f>
        <v>35</v>
      </c>
      <c r="F56">
        <f ca="1">OFFSET(梦灵本体产出!$M$146,MATCH(A56+SUM(梦灵本体产出!$C$34:$C$37),梦灵本体产出!$H$147:$H$206,1),0)</f>
        <v>23</v>
      </c>
      <c r="G56">
        <f ca="1">OFFSET(梦灵本体产出!$N$146,MATCH(B56+SUM(梦灵本体产出!$C$34:$C$37),梦灵本体产出!$H$147:$H$206,1),0)</f>
        <v>15</v>
      </c>
      <c r="H56">
        <f ca="1">MATCH(_xlfn.XLOOKUP(F56,梦灵属性!$E$156:$E$205,梦灵属性!$K$156:$K$205)+D56*10/6,梦灵属性!$K$156:$K$205,1)</f>
        <v>24</v>
      </c>
      <c r="I56">
        <f ca="1">MATCH(_xlfn.XLOOKUP(G56,梦灵属性!$E$206:$E$255,梦灵属性!$K$206:$K$255)+E56*10/3,梦灵属性!$K$206:$K$255,1)</f>
        <v>16</v>
      </c>
      <c r="J56" t="str">
        <f t="shared" si="7"/>
        <v>[{5600005,140},{5600006,35}]</v>
      </c>
      <c r="M56">
        <v>5500</v>
      </c>
      <c r="N56">
        <f ca="1" t="shared" si="8"/>
        <v>1</v>
      </c>
      <c r="O56">
        <f ca="1" t="shared" si="9"/>
        <v>1</v>
      </c>
    </row>
    <row r="57" spans="1:15">
      <c r="A57">
        <v>5600</v>
      </c>
      <c r="B57">
        <f t="shared" si="5"/>
        <v>4000</v>
      </c>
      <c r="C57">
        <f t="shared" si="6"/>
        <v>1600</v>
      </c>
      <c r="D57">
        <f>B57*(Sheet1!$G$8-Sheet1!$K$8)+C57*(Sheet1!$G$9-Sheet1!$K$9)</f>
        <v>144</v>
      </c>
      <c r="E57" s="1">
        <f>ROUNDUP(B57*(Sheet1!$H$8-Sheet1!$J$8)+C57*(Sheet1!$H$9-Sheet1!$J$9),0)</f>
        <v>37</v>
      </c>
      <c r="F57">
        <f ca="1">OFFSET(梦灵本体产出!$M$146,MATCH(A57+SUM(梦灵本体产出!$C$34:$C$37),梦灵本体产出!$H$147:$H$206,1),0)</f>
        <v>23</v>
      </c>
      <c r="G57">
        <f ca="1">OFFSET(梦灵本体产出!$N$146,MATCH(B57+SUM(梦灵本体产出!$C$34:$C$37),梦灵本体产出!$H$147:$H$206,1),0)</f>
        <v>15</v>
      </c>
      <c r="H57">
        <f ca="1">MATCH(_xlfn.XLOOKUP(F57,梦灵属性!$E$156:$E$205,梦灵属性!$K$156:$K$205)+D57*10/6,梦灵属性!$K$156:$K$205,1)</f>
        <v>24</v>
      </c>
      <c r="I57">
        <f ca="1">MATCH(_xlfn.XLOOKUP(G57,梦灵属性!$E$206:$E$255,梦灵属性!$K$206:$K$255)+E57*10/3,梦灵属性!$K$206:$K$255,1)</f>
        <v>16</v>
      </c>
      <c r="J57" t="str">
        <f t="shared" si="7"/>
        <v>[{5600005,144},{5600006,37}]</v>
      </c>
      <c r="M57">
        <v>5600</v>
      </c>
      <c r="N57">
        <f ca="1" t="shared" si="8"/>
        <v>1</v>
      </c>
      <c r="O57">
        <f ca="1" t="shared" si="9"/>
        <v>1</v>
      </c>
    </row>
    <row r="58" spans="1:15">
      <c r="A58">
        <v>5700</v>
      </c>
      <c r="B58">
        <f t="shared" si="5"/>
        <v>4000</v>
      </c>
      <c r="C58">
        <f t="shared" si="6"/>
        <v>1700</v>
      </c>
      <c r="D58">
        <f>B58*(Sheet1!$G$8-Sheet1!$K$8)+C58*(Sheet1!$G$9-Sheet1!$K$9)</f>
        <v>148</v>
      </c>
      <c r="E58" s="1">
        <f>ROUNDUP(B58*(Sheet1!$H$8-Sheet1!$J$8)+C58*(Sheet1!$H$9-Sheet1!$J$9),0)</f>
        <v>38</v>
      </c>
      <c r="F58">
        <f ca="1">OFFSET(梦灵本体产出!$M$146,MATCH(A58+SUM(梦灵本体产出!$C$34:$C$37),梦灵本体产出!$H$147:$H$206,1),0)</f>
        <v>23</v>
      </c>
      <c r="G58">
        <f ca="1">OFFSET(梦灵本体产出!$N$146,MATCH(B58+SUM(梦灵本体产出!$C$34:$C$37),梦灵本体产出!$H$147:$H$206,1),0)</f>
        <v>15</v>
      </c>
      <c r="H58">
        <f ca="1">MATCH(_xlfn.XLOOKUP(F58,梦灵属性!$E$156:$E$205,梦灵属性!$K$156:$K$205)+D58*10/6,梦灵属性!$K$156:$K$205,1)</f>
        <v>24</v>
      </c>
      <c r="I58">
        <f ca="1">MATCH(_xlfn.XLOOKUP(G58,梦灵属性!$E$206:$E$255,梦灵属性!$K$206:$K$255)+E58*10/3,梦灵属性!$K$206:$K$255,1)</f>
        <v>16</v>
      </c>
      <c r="J58" t="str">
        <f t="shared" si="7"/>
        <v>[{5600005,148},{5600006,38}]</v>
      </c>
      <c r="M58">
        <v>5700</v>
      </c>
      <c r="N58">
        <f ca="1" t="shared" si="8"/>
        <v>1</v>
      </c>
      <c r="O58">
        <f ca="1" t="shared" si="9"/>
        <v>1</v>
      </c>
    </row>
    <row r="59" spans="1:15">
      <c r="A59">
        <v>5800</v>
      </c>
      <c r="B59">
        <f t="shared" si="5"/>
        <v>4000</v>
      </c>
      <c r="C59">
        <f t="shared" si="6"/>
        <v>1800</v>
      </c>
      <c r="D59">
        <f>B59*(Sheet1!$G$8-Sheet1!$K$8)+C59*(Sheet1!$G$9-Sheet1!$K$9)</f>
        <v>152</v>
      </c>
      <c r="E59" s="1">
        <f>ROUNDUP(B59*(Sheet1!$H$8-Sheet1!$J$8)+C59*(Sheet1!$H$9-Sheet1!$J$9),0)</f>
        <v>39</v>
      </c>
      <c r="F59">
        <f ca="1">OFFSET(梦灵本体产出!$M$146,MATCH(A59+SUM(梦灵本体产出!$C$34:$C$37),梦灵本体产出!$H$147:$H$206,1),0)</f>
        <v>23</v>
      </c>
      <c r="G59">
        <f ca="1">OFFSET(梦灵本体产出!$N$146,MATCH(B59+SUM(梦灵本体产出!$C$34:$C$37),梦灵本体产出!$H$147:$H$206,1),0)</f>
        <v>15</v>
      </c>
      <c r="H59">
        <f ca="1">MATCH(_xlfn.XLOOKUP(F59,梦灵属性!$E$156:$E$205,梦灵属性!$K$156:$K$205)+D59*10/6,梦灵属性!$K$156:$K$205,1)</f>
        <v>24</v>
      </c>
      <c r="I59">
        <f ca="1">MATCH(_xlfn.XLOOKUP(G59,梦灵属性!$E$206:$E$255,梦灵属性!$K$206:$K$255)+E59*10/3,梦灵属性!$K$206:$K$255,1)</f>
        <v>16</v>
      </c>
      <c r="J59" t="str">
        <f t="shared" si="7"/>
        <v>[{5600005,152},{5600006,39}]</v>
      </c>
      <c r="M59">
        <v>5800</v>
      </c>
      <c r="N59">
        <f ca="1" t="shared" si="8"/>
        <v>1</v>
      </c>
      <c r="O59">
        <f ca="1" t="shared" si="9"/>
        <v>1</v>
      </c>
    </row>
    <row r="60" spans="1:15">
      <c r="A60">
        <v>5900</v>
      </c>
      <c r="B60">
        <f t="shared" si="5"/>
        <v>4000</v>
      </c>
      <c r="C60">
        <f t="shared" si="6"/>
        <v>1900</v>
      </c>
      <c r="D60">
        <f>B60*(Sheet1!$G$8-Sheet1!$K$8)+C60*(Sheet1!$G$9-Sheet1!$K$9)</f>
        <v>156</v>
      </c>
      <c r="E60" s="1">
        <f>ROUNDUP(B60*(Sheet1!$H$8-Sheet1!$J$8)+C60*(Sheet1!$H$9-Sheet1!$J$9),0)</f>
        <v>40</v>
      </c>
      <c r="F60">
        <f ca="1">OFFSET(梦灵本体产出!$M$146,MATCH(A60+SUM(梦灵本体产出!$C$34:$C$37),梦灵本体产出!$H$147:$H$206,1),0)</f>
        <v>23</v>
      </c>
      <c r="G60">
        <f ca="1">OFFSET(梦灵本体产出!$N$146,MATCH(B60+SUM(梦灵本体产出!$C$34:$C$37),梦灵本体产出!$H$147:$H$206,1),0)</f>
        <v>15</v>
      </c>
      <c r="H60">
        <f ca="1">MATCH(_xlfn.XLOOKUP(F60,梦灵属性!$E$156:$E$205,梦灵属性!$K$156:$K$205)+D60*10/6,梦灵属性!$K$156:$K$205,1)</f>
        <v>24</v>
      </c>
      <c r="I60">
        <f ca="1">MATCH(_xlfn.XLOOKUP(G60,梦灵属性!$E$206:$E$255,梦灵属性!$K$206:$K$255)+E60*10/3,梦灵属性!$K$206:$K$255,1)</f>
        <v>16</v>
      </c>
      <c r="J60" t="str">
        <f t="shared" si="7"/>
        <v>[{5600005,156},{5600006,40}]</v>
      </c>
      <c r="M60">
        <v>5900</v>
      </c>
      <c r="N60">
        <f ca="1" t="shared" si="8"/>
        <v>1</v>
      </c>
      <c r="O60">
        <f ca="1" t="shared" si="9"/>
        <v>1</v>
      </c>
    </row>
    <row r="61" spans="1:15">
      <c r="A61">
        <v>6000</v>
      </c>
      <c r="B61">
        <f t="shared" si="5"/>
        <v>4000</v>
      </c>
      <c r="C61">
        <f t="shared" si="6"/>
        <v>2000</v>
      </c>
      <c r="D61">
        <f>B61*(Sheet1!$G$8-Sheet1!$K$8)+C61*(Sheet1!$G$9-Sheet1!$K$9)</f>
        <v>160</v>
      </c>
      <c r="E61" s="1">
        <f>ROUNDUP(B61*(Sheet1!$H$8-Sheet1!$J$8)+C61*(Sheet1!$H$9-Sheet1!$J$9),0)</f>
        <v>42</v>
      </c>
      <c r="F61">
        <f ca="1">OFFSET(梦灵本体产出!$M$146,MATCH(A61+SUM(梦灵本体产出!$C$34:$C$37),梦灵本体产出!$H$147:$H$206,1),0)</f>
        <v>23</v>
      </c>
      <c r="G61">
        <f ca="1">OFFSET(梦灵本体产出!$N$146,MATCH(B61+SUM(梦灵本体产出!$C$34:$C$37),梦灵本体产出!$H$147:$H$206,1),0)</f>
        <v>15</v>
      </c>
      <c r="H61">
        <f ca="1">MATCH(_xlfn.XLOOKUP(F61,梦灵属性!$E$156:$E$205,梦灵属性!$K$156:$K$205)+D61*10/6,梦灵属性!$K$156:$K$205,1)</f>
        <v>24</v>
      </c>
      <c r="I61">
        <f ca="1">MATCH(_xlfn.XLOOKUP(G61,梦灵属性!$E$206:$E$255,梦灵属性!$K$206:$K$255)+E61*10/3,梦灵属性!$K$206:$K$255,1)</f>
        <v>17</v>
      </c>
      <c r="J61" t="str">
        <f t="shared" si="7"/>
        <v>[{5600005,160},{5600006,42}]</v>
      </c>
      <c r="M61">
        <v>6000</v>
      </c>
      <c r="N61">
        <f ca="1" t="shared" si="8"/>
        <v>2</v>
      </c>
      <c r="O61">
        <f ca="1" t="shared" si="9"/>
        <v>1</v>
      </c>
    </row>
    <row r="62" spans="1:15">
      <c r="A62">
        <v>6100</v>
      </c>
      <c r="B62">
        <f t="shared" si="5"/>
        <v>4000</v>
      </c>
      <c r="C62">
        <f t="shared" si="6"/>
        <v>2100</v>
      </c>
      <c r="D62">
        <f>B62*(Sheet1!$G$8-Sheet1!$K$8)+C62*(Sheet1!$G$9-Sheet1!$K$9)</f>
        <v>164</v>
      </c>
      <c r="E62" s="1">
        <f>ROUNDUP(B62*(Sheet1!$H$8-Sheet1!$J$8)+C62*(Sheet1!$H$9-Sheet1!$J$9),0)</f>
        <v>43</v>
      </c>
      <c r="F62">
        <f ca="1">OFFSET(梦灵本体产出!$M$146,MATCH(A62+SUM(梦灵本体产出!$C$34:$C$37),梦灵本体产出!$H$147:$H$206,1),0)</f>
        <v>23</v>
      </c>
      <c r="G62">
        <f ca="1">OFFSET(梦灵本体产出!$N$146,MATCH(B62+SUM(梦灵本体产出!$C$34:$C$37),梦灵本体产出!$H$147:$H$206,1),0)</f>
        <v>15</v>
      </c>
      <c r="H62">
        <f ca="1">MATCH(_xlfn.XLOOKUP(F62,梦灵属性!$E$156:$E$205,梦灵属性!$K$156:$K$205)+D62*10/6,梦灵属性!$K$156:$K$205,1)</f>
        <v>24</v>
      </c>
      <c r="I62">
        <f ca="1">MATCH(_xlfn.XLOOKUP(G62,梦灵属性!$E$206:$E$255,梦灵属性!$K$206:$K$255)+E62*10/3,梦灵属性!$K$206:$K$255,1)</f>
        <v>17</v>
      </c>
      <c r="J62" t="str">
        <f t="shared" si="7"/>
        <v>[{5600005,164},{5600006,43}]</v>
      </c>
      <c r="M62">
        <v>6100</v>
      </c>
      <c r="N62">
        <f ca="1" t="shared" si="8"/>
        <v>2</v>
      </c>
      <c r="O62">
        <f ca="1" t="shared" si="9"/>
        <v>1</v>
      </c>
    </row>
    <row r="63" spans="1:15">
      <c r="A63">
        <v>6200</v>
      </c>
      <c r="B63">
        <f t="shared" si="5"/>
        <v>4000</v>
      </c>
      <c r="C63">
        <f t="shared" si="6"/>
        <v>2200</v>
      </c>
      <c r="D63">
        <f>B63*(Sheet1!$G$8-Sheet1!$K$8)+C63*(Sheet1!$G$9-Sheet1!$K$9)</f>
        <v>168</v>
      </c>
      <c r="E63" s="1">
        <f>ROUNDUP(B63*(Sheet1!$H$8-Sheet1!$J$8)+C63*(Sheet1!$H$9-Sheet1!$J$9),0)</f>
        <v>44</v>
      </c>
      <c r="F63">
        <f ca="1">OFFSET(梦灵本体产出!$M$146,MATCH(A63+SUM(梦灵本体产出!$C$34:$C$37),梦灵本体产出!$H$147:$H$206,1),0)</f>
        <v>23</v>
      </c>
      <c r="G63">
        <f ca="1">OFFSET(梦灵本体产出!$N$146,MATCH(B63+SUM(梦灵本体产出!$C$34:$C$37),梦灵本体产出!$H$147:$H$206,1),0)</f>
        <v>15</v>
      </c>
      <c r="H63">
        <f ca="1">MATCH(_xlfn.XLOOKUP(F63,梦灵属性!$E$156:$E$205,梦灵属性!$K$156:$K$205)+D63*10/6,梦灵属性!$K$156:$K$205,1)</f>
        <v>24</v>
      </c>
      <c r="I63">
        <f ca="1">MATCH(_xlfn.XLOOKUP(G63,梦灵属性!$E$206:$E$255,梦灵属性!$K$206:$K$255)+E63*10/3,梦灵属性!$K$206:$K$255,1)</f>
        <v>17</v>
      </c>
      <c r="J63" t="str">
        <f t="shared" si="7"/>
        <v>[{5600005,168},{5600006,44}]</v>
      </c>
      <c r="M63">
        <v>6200</v>
      </c>
      <c r="N63">
        <f ca="1" t="shared" si="8"/>
        <v>2</v>
      </c>
      <c r="O63">
        <f ca="1" t="shared" si="9"/>
        <v>1</v>
      </c>
    </row>
    <row r="64" spans="1:15">
      <c r="A64">
        <v>6300</v>
      </c>
      <c r="B64">
        <f t="shared" si="5"/>
        <v>4000</v>
      </c>
      <c r="C64">
        <f t="shared" si="6"/>
        <v>2300</v>
      </c>
      <c r="D64">
        <f>B64*(Sheet1!$G$8-Sheet1!$K$8)+C64*(Sheet1!$G$9-Sheet1!$K$9)</f>
        <v>172</v>
      </c>
      <c r="E64" s="1">
        <f>ROUNDUP(B64*(Sheet1!$H$8-Sheet1!$J$8)+C64*(Sheet1!$H$9-Sheet1!$J$9),0)</f>
        <v>45</v>
      </c>
      <c r="F64">
        <f ca="1">OFFSET(梦灵本体产出!$M$146,MATCH(A64+SUM(梦灵本体产出!$C$34:$C$37),梦灵本体产出!$H$147:$H$206,1),0)</f>
        <v>23</v>
      </c>
      <c r="G64">
        <f ca="1">OFFSET(梦灵本体产出!$N$146,MATCH(B64+SUM(梦灵本体产出!$C$34:$C$37),梦灵本体产出!$H$147:$H$206,1),0)</f>
        <v>15</v>
      </c>
      <c r="H64">
        <f ca="1">MATCH(_xlfn.XLOOKUP(F64,梦灵属性!$E$156:$E$205,梦灵属性!$K$156:$K$205)+D64*10/6,梦灵属性!$K$156:$K$205,1)</f>
        <v>24</v>
      </c>
      <c r="I64">
        <f ca="1">MATCH(_xlfn.XLOOKUP(G64,梦灵属性!$E$206:$E$255,梦灵属性!$K$206:$K$255)+E64*10/3,梦灵属性!$K$206:$K$255,1)</f>
        <v>17</v>
      </c>
      <c r="J64" t="str">
        <f t="shared" si="7"/>
        <v>[{5600005,172},{5600006,45}]</v>
      </c>
      <c r="M64">
        <v>6300</v>
      </c>
      <c r="N64">
        <f ca="1" t="shared" si="8"/>
        <v>2</v>
      </c>
      <c r="O64">
        <f ca="1" t="shared" si="9"/>
        <v>1</v>
      </c>
    </row>
    <row r="65" spans="1:15">
      <c r="A65">
        <v>6400</v>
      </c>
      <c r="B65">
        <f t="shared" si="5"/>
        <v>4000</v>
      </c>
      <c r="C65">
        <f t="shared" si="6"/>
        <v>2400</v>
      </c>
      <c r="D65">
        <f>B65*(Sheet1!$G$8-Sheet1!$K$8)+C65*(Sheet1!$G$9-Sheet1!$K$9)</f>
        <v>176</v>
      </c>
      <c r="E65" s="1">
        <f>ROUNDUP(B65*(Sheet1!$H$8-Sheet1!$J$8)+C65*(Sheet1!$H$9-Sheet1!$J$9),0)</f>
        <v>47</v>
      </c>
      <c r="F65">
        <f ca="1">OFFSET(梦灵本体产出!$M$146,MATCH(A65+SUM(梦灵本体产出!$C$34:$C$37),梦灵本体产出!$H$147:$H$206,1),0)</f>
        <v>23</v>
      </c>
      <c r="G65">
        <f ca="1">OFFSET(梦灵本体产出!$N$146,MATCH(B65+SUM(梦灵本体产出!$C$34:$C$37),梦灵本体产出!$H$147:$H$206,1),0)</f>
        <v>15</v>
      </c>
      <c r="H65">
        <f ca="1">MATCH(_xlfn.XLOOKUP(F65,梦灵属性!$E$156:$E$205,梦灵属性!$K$156:$K$205)+D65*10/6,梦灵属性!$K$156:$K$205,1)</f>
        <v>24</v>
      </c>
      <c r="I65">
        <f ca="1">MATCH(_xlfn.XLOOKUP(G65,梦灵属性!$E$206:$E$255,梦灵属性!$K$206:$K$255)+E65*10/3,梦灵属性!$K$206:$K$255,1)</f>
        <v>17</v>
      </c>
      <c r="J65" t="str">
        <f t="shared" si="7"/>
        <v>[{5600005,176},{5600006,47}]</v>
      </c>
      <c r="M65">
        <v>6400</v>
      </c>
      <c r="N65">
        <f ca="1" t="shared" si="8"/>
        <v>2</v>
      </c>
      <c r="O65">
        <f ca="1" t="shared" si="9"/>
        <v>1</v>
      </c>
    </row>
    <row r="66" spans="1:15">
      <c r="A66">
        <v>6500</v>
      </c>
      <c r="B66">
        <f t="shared" si="5"/>
        <v>4000</v>
      </c>
      <c r="C66">
        <f t="shared" si="6"/>
        <v>2500</v>
      </c>
      <c r="D66">
        <f>B66*(Sheet1!$G$8-Sheet1!$K$8)+C66*(Sheet1!$G$9-Sheet1!$K$9)</f>
        <v>180</v>
      </c>
      <c r="E66" s="1">
        <f>ROUNDUP(B66*(Sheet1!$H$8-Sheet1!$J$8)+C66*(Sheet1!$H$9-Sheet1!$J$9),0)</f>
        <v>48</v>
      </c>
      <c r="F66">
        <f ca="1">OFFSET(梦灵本体产出!$M$146,MATCH(A66+SUM(梦灵本体产出!$C$34:$C$37),梦灵本体产出!$H$147:$H$206,1),0)</f>
        <v>24</v>
      </c>
      <c r="G66">
        <f ca="1">OFFSET(梦灵本体产出!$N$146,MATCH(B66+SUM(梦灵本体产出!$C$34:$C$37),梦灵本体产出!$H$147:$H$206,1),0)</f>
        <v>15</v>
      </c>
      <c r="H66">
        <f ca="1">MATCH(_xlfn.XLOOKUP(F66,梦灵属性!$E$156:$E$205,梦灵属性!$K$156:$K$205)+D66*10/6,梦灵属性!$K$156:$K$205,1)</f>
        <v>25</v>
      </c>
      <c r="I66">
        <f ca="1">MATCH(_xlfn.XLOOKUP(G66,梦灵属性!$E$206:$E$255,梦灵属性!$K$206:$K$255)+E66*10/3,梦灵属性!$K$206:$K$255,1)</f>
        <v>17</v>
      </c>
      <c r="J66" t="str">
        <f t="shared" si="7"/>
        <v>[{5600005,180},{5600006,48}]</v>
      </c>
      <c r="M66">
        <v>6500</v>
      </c>
      <c r="N66">
        <f ca="1" t="shared" si="8"/>
        <v>2</v>
      </c>
      <c r="O66">
        <f ca="1" t="shared" si="9"/>
        <v>1</v>
      </c>
    </row>
    <row r="67" spans="1:15">
      <c r="A67">
        <v>6600</v>
      </c>
      <c r="B67">
        <f t="shared" ref="B67:B101" si="10">IF(A67&gt;=4000,4000,A67)</f>
        <v>4000</v>
      </c>
      <c r="C67">
        <f t="shared" ref="C67:C101" si="11">IF(A67&gt;=4000,A67-4000,0)</f>
        <v>2600</v>
      </c>
      <c r="D67">
        <f>B67*(Sheet1!$G$8-Sheet1!$K$8)+C67*(Sheet1!$G$9-Sheet1!$K$9)</f>
        <v>184</v>
      </c>
      <c r="E67" s="1">
        <f>ROUNDUP(B67*(Sheet1!$H$8-Sheet1!$J$8)+C67*(Sheet1!$H$9-Sheet1!$J$9),0)</f>
        <v>49</v>
      </c>
      <c r="F67">
        <f ca="1">OFFSET(梦灵本体产出!$M$146,MATCH(A67+SUM(梦灵本体产出!$C$34:$C$37),梦灵本体产出!$H$147:$H$206,1),0)</f>
        <v>24</v>
      </c>
      <c r="G67">
        <f ca="1">OFFSET(梦灵本体产出!$N$146,MATCH(B67+SUM(梦灵本体产出!$C$34:$C$37),梦灵本体产出!$H$147:$H$206,1),0)</f>
        <v>15</v>
      </c>
      <c r="H67">
        <f ca="1">MATCH(_xlfn.XLOOKUP(F67,梦灵属性!$E$156:$E$205,梦灵属性!$K$156:$K$205)+D67*10/6,梦灵属性!$K$156:$K$205,1)</f>
        <v>25</v>
      </c>
      <c r="I67">
        <f ca="1">MATCH(_xlfn.XLOOKUP(G67,梦灵属性!$E$206:$E$255,梦灵属性!$K$206:$K$255)+E67*10/3,梦灵属性!$K$206:$K$255,1)</f>
        <v>17</v>
      </c>
      <c r="J67" t="str">
        <f t="shared" ref="J67:J101" si="12">"[{5600005,"&amp;D67&amp;"},{5600006,"&amp;E67&amp;"}]"</f>
        <v>[{5600005,184},{5600006,49}]</v>
      </c>
      <c r="M67">
        <v>6600</v>
      </c>
      <c r="N67">
        <f ca="1" t="shared" ref="N67:N101" si="13">I67-G67</f>
        <v>2</v>
      </c>
      <c r="O67">
        <f ca="1" t="shared" ref="O67:O101" si="14">H67-F67</f>
        <v>1</v>
      </c>
    </row>
    <row r="68" spans="1:15">
      <c r="A68">
        <v>6700</v>
      </c>
      <c r="B68">
        <f t="shared" si="10"/>
        <v>4000</v>
      </c>
      <c r="C68">
        <f t="shared" si="11"/>
        <v>2700</v>
      </c>
      <c r="D68">
        <f>B68*(Sheet1!$G$8-Sheet1!$K$8)+C68*(Sheet1!$G$9-Sheet1!$K$9)</f>
        <v>188</v>
      </c>
      <c r="E68" s="1">
        <v>50</v>
      </c>
      <c r="F68">
        <f ca="1">OFFSET(梦灵本体产出!$M$146,MATCH(A68+SUM(梦灵本体产出!$C$34:$C$37),梦灵本体产出!$H$147:$H$206,1),0)</f>
        <v>24</v>
      </c>
      <c r="G68">
        <f ca="1">OFFSET(梦灵本体产出!$N$146,MATCH(B68+SUM(梦灵本体产出!$C$34:$C$37),梦灵本体产出!$H$147:$H$206,1),0)</f>
        <v>15</v>
      </c>
      <c r="H68">
        <f ca="1">MATCH(_xlfn.XLOOKUP(F68,梦灵属性!$E$156:$E$205,梦灵属性!$K$156:$K$205)+D68*10/6,梦灵属性!$K$156:$K$205,1)</f>
        <v>25</v>
      </c>
      <c r="I68">
        <f ca="1">MATCH(_xlfn.XLOOKUP(G68,梦灵属性!$E$206:$E$255,梦灵属性!$K$206:$K$255)+E68*10/3,梦灵属性!$K$206:$K$255,1)</f>
        <v>17</v>
      </c>
      <c r="J68" t="str">
        <f t="shared" si="12"/>
        <v>[{5600005,188},{5600006,50}]</v>
      </c>
      <c r="M68">
        <v>6700</v>
      </c>
      <c r="N68">
        <f ca="1" t="shared" si="13"/>
        <v>2</v>
      </c>
      <c r="O68">
        <f ca="1" t="shared" si="14"/>
        <v>1</v>
      </c>
    </row>
    <row r="69" spans="1:15">
      <c r="A69">
        <v>6800</v>
      </c>
      <c r="B69">
        <f t="shared" si="10"/>
        <v>4000</v>
      </c>
      <c r="C69">
        <f t="shared" si="11"/>
        <v>2800</v>
      </c>
      <c r="D69">
        <f>B69*(Sheet1!$G$8-Sheet1!$K$8)+C69*(Sheet1!$G$9-Sheet1!$K$9)</f>
        <v>192</v>
      </c>
      <c r="E69" s="1">
        <f>ROUNDUP(B69*(Sheet1!$H$8-Sheet1!$J$8)+C69*(Sheet1!$H$9-Sheet1!$J$9),0)</f>
        <v>52</v>
      </c>
      <c r="F69">
        <f ca="1">OFFSET(梦灵本体产出!$M$146,MATCH(A69+SUM(梦灵本体产出!$C$34:$C$37),梦灵本体产出!$H$147:$H$206,1),0)</f>
        <v>24</v>
      </c>
      <c r="G69">
        <f ca="1">OFFSET(梦灵本体产出!$N$146,MATCH(B69+SUM(梦灵本体产出!$C$34:$C$37),梦灵本体产出!$H$147:$H$206,1),0)</f>
        <v>15</v>
      </c>
      <c r="H69">
        <f ca="1">MATCH(_xlfn.XLOOKUP(F69,梦灵属性!$E$156:$E$205,梦灵属性!$K$156:$K$205)+D69*10/6,梦灵属性!$K$156:$K$205,1)</f>
        <v>25</v>
      </c>
      <c r="I69">
        <f ca="1">MATCH(_xlfn.XLOOKUP(G69,梦灵属性!$E$206:$E$255,梦灵属性!$K$206:$K$255)+E69*10/3,梦灵属性!$K$206:$K$255,1)</f>
        <v>17</v>
      </c>
      <c r="J69" t="str">
        <f t="shared" si="12"/>
        <v>[{5600005,192},{5600006,52}]</v>
      </c>
      <c r="M69">
        <v>6800</v>
      </c>
      <c r="N69">
        <f ca="1" t="shared" si="13"/>
        <v>2</v>
      </c>
      <c r="O69">
        <f ca="1" t="shared" si="14"/>
        <v>1</v>
      </c>
    </row>
    <row r="70" spans="1:15">
      <c r="A70">
        <v>6900</v>
      </c>
      <c r="B70">
        <f t="shared" si="10"/>
        <v>4000</v>
      </c>
      <c r="C70">
        <f t="shared" si="11"/>
        <v>2900</v>
      </c>
      <c r="D70">
        <f>B70*(Sheet1!$G$8-Sheet1!$K$8)+C70*(Sheet1!$G$9-Sheet1!$K$9)</f>
        <v>196</v>
      </c>
      <c r="E70" s="1">
        <f>ROUNDUP(B70*(Sheet1!$H$8-Sheet1!$J$8)+C70*(Sheet1!$H$9-Sheet1!$J$9),0)</f>
        <v>53</v>
      </c>
      <c r="F70">
        <f ca="1">OFFSET(梦灵本体产出!$M$146,MATCH(A70+SUM(梦灵本体产出!$C$34:$C$37),梦灵本体产出!$H$147:$H$206,1),0)</f>
        <v>24</v>
      </c>
      <c r="G70">
        <f ca="1">OFFSET(梦灵本体产出!$N$146,MATCH(B70+SUM(梦灵本体产出!$C$34:$C$37),梦灵本体产出!$H$147:$H$206,1),0)</f>
        <v>15</v>
      </c>
      <c r="H70">
        <f ca="1">MATCH(_xlfn.XLOOKUP(F70,梦灵属性!$E$156:$E$205,梦灵属性!$K$156:$K$205)+D70*10/6,梦灵属性!$K$156:$K$205,1)</f>
        <v>25</v>
      </c>
      <c r="I70">
        <f ca="1">MATCH(_xlfn.XLOOKUP(G70,梦灵属性!$E$206:$E$255,梦灵属性!$K$206:$K$255)+E70*10/3,梦灵属性!$K$206:$K$255,1)</f>
        <v>17</v>
      </c>
      <c r="J70" t="str">
        <f t="shared" si="12"/>
        <v>[{5600005,196},{5600006,53}]</v>
      </c>
      <c r="M70">
        <v>6900</v>
      </c>
      <c r="N70">
        <f ca="1" t="shared" si="13"/>
        <v>2</v>
      </c>
      <c r="O70">
        <f ca="1" t="shared" si="14"/>
        <v>1</v>
      </c>
    </row>
    <row r="71" spans="1:15">
      <c r="A71">
        <v>7000</v>
      </c>
      <c r="B71">
        <f t="shared" si="10"/>
        <v>4000</v>
      </c>
      <c r="C71">
        <f t="shared" si="11"/>
        <v>3000</v>
      </c>
      <c r="D71">
        <f>B71*(Sheet1!$G$8-Sheet1!$K$8)+C71*(Sheet1!$G$9-Sheet1!$K$9)</f>
        <v>200</v>
      </c>
      <c r="E71" s="1">
        <f>ROUNDUP(B71*(Sheet1!$H$8-Sheet1!$J$8)+C71*(Sheet1!$H$9-Sheet1!$J$9),0)</f>
        <v>54</v>
      </c>
      <c r="F71">
        <f ca="1">OFFSET(梦灵本体产出!$M$146,MATCH(A71+SUM(梦灵本体产出!$C$34:$C$37),梦灵本体产出!$H$147:$H$206,1),0)</f>
        <v>24</v>
      </c>
      <c r="G71">
        <f ca="1">OFFSET(梦灵本体产出!$N$146,MATCH(B71+SUM(梦灵本体产出!$C$34:$C$37),梦灵本体产出!$H$147:$H$206,1),0)</f>
        <v>15</v>
      </c>
      <c r="H71">
        <f ca="1">MATCH(_xlfn.XLOOKUP(F71,梦灵属性!$E$156:$E$205,梦灵属性!$K$156:$K$205)+D71*10/6,梦灵属性!$K$156:$K$205,1)</f>
        <v>25</v>
      </c>
      <c r="I71">
        <f ca="1">MATCH(_xlfn.XLOOKUP(G71,梦灵属性!$E$206:$E$255,梦灵属性!$K$206:$K$255)+E71*10/3,梦灵属性!$K$206:$K$255,1)</f>
        <v>17</v>
      </c>
      <c r="J71" t="str">
        <f t="shared" si="12"/>
        <v>[{5600005,200},{5600006,54}]</v>
      </c>
      <c r="M71">
        <v>7000</v>
      </c>
      <c r="N71">
        <f ca="1" t="shared" si="13"/>
        <v>2</v>
      </c>
      <c r="O71">
        <f ca="1" t="shared" si="14"/>
        <v>1</v>
      </c>
    </row>
    <row r="72" spans="1:15">
      <c r="A72">
        <v>7100</v>
      </c>
      <c r="B72">
        <f t="shared" si="10"/>
        <v>4000</v>
      </c>
      <c r="C72">
        <f t="shared" si="11"/>
        <v>3100</v>
      </c>
      <c r="D72">
        <f>B72*(Sheet1!$G$8-Sheet1!$K$8)+C72*(Sheet1!$G$9-Sheet1!$K$9)</f>
        <v>204</v>
      </c>
      <c r="E72" s="1">
        <f>ROUNDUP(B72*(Sheet1!$H$8-Sheet1!$J$8)+C72*(Sheet1!$H$9-Sheet1!$J$9),0)</f>
        <v>55</v>
      </c>
      <c r="F72">
        <f ca="1">OFFSET(梦灵本体产出!$M$146,MATCH(A72+SUM(梦灵本体产出!$C$34:$C$37),梦灵本体产出!$H$147:$H$206,1),0)</f>
        <v>25</v>
      </c>
      <c r="G72">
        <f ca="1">OFFSET(梦灵本体产出!$N$146,MATCH(B72+SUM(梦灵本体产出!$C$34:$C$37),梦灵本体产出!$H$147:$H$206,1),0)</f>
        <v>15</v>
      </c>
      <c r="H72">
        <f ca="1">MATCH(_xlfn.XLOOKUP(F72,梦灵属性!$E$156:$E$205,梦灵属性!$K$156:$K$205)+D72*10/6,梦灵属性!$K$156:$K$205,1)</f>
        <v>26</v>
      </c>
      <c r="I72">
        <f ca="1">MATCH(_xlfn.XLOOKUP(G72,梦灵属性!$E$206:$E$255,梦灵属性!$K$206:$K$255)+E72*10/3,梦灵属性!$K$206:$K$255,1)</f>
        <v>17</v>
      </c>
      <c r="J72" t="str">
        <f t="shared" si="12"/>
        <v>[{5600005,204},{5600006,55}]</v>
      </c>
      <c r="M72">
        <v>7100</v>
      </c>
      <c r="N72">
        <f ca="1" t="shared" si="13"/>
        <v>2</v>
      </c>
      <c r="O72">
        <f ca="1" t="shared" si="14"/>
        <v>1</v>
      </c>
    </row>
    <row r="73" spans="1:15">
      <c r="A73">
        <v>7200</v>
      </c>
      <c r="B73">
        <f t="shared" si="10"/>
        <v>4000</v>
      </c>
      <c r="C73">
        <f t="shared" si="11"/>
        <v>3200</v>
      </c>
      <c r="D73">
        <f>B73*(Sheet1!$G$8-Sheet1!$K$8)+C73*(Sheet1!$G$9-Sheet1!$K$9)</f>
        <v>208</v>
      </c>
      <c r="E73" s="1">
        <f>ROUNDUP(B73*(Sheet1!$H$8-Sheet1!$J$8)+C73*(Sheet1!$H$9-Sheet1!$J$9),0)</f>
        <v>57</v>
      </c>
      <c r="F73">
        <f ca="1">OFFSET(梦灵本体产出!$M$146,MATCH(A73+SUM(梦灵本体产出!$C$34:$C$37),梦灵本体产出!$H$147:$H$206,1),0)</f>
        <v>25</v>
      </c>
      <c r="G73">
        <f ca="1">OFFSET(梦灵本体产出!$N$146,MATCH(B73+SUM(梦灵本体产出!$C$34:$C$37),梦灵本体产出!$H$147:$H$206,1),0)</f>
        <v>15</v>
      </c>
      <c r="H73">
        <f ca="1">MATCH(_xlfn.XLOOKUP(F73,梦灵属性!$E$156:$E$205,梦灵属性!$K$156:$K$205)+D73*10/6,梦灵属性!$K$156:$K$205,1)</f>
        <v>26</v>
      </c>
      <c r="I73">
        <f ca="1">MATCH(_xlfn.XLOOKUP(G73,梦灵属性!$E$206:$E$255,梦灵属性!$K$206:$K$255)+E73*10/3,梦灵属性!$K$206:$K$255,1)</f>
        <v>17</v>
      </c>
      <c r="J73" t="str">
        <f t="shared" si="12"/>
        <v>[{5600005,208},{5600006,57}]</v>
      </c>
      <c r="M73">
        <v>7200</v>
      </c>
      <c r="N73">
        <f ca="1" t="shared" si="13"/>
        <v>2</v>
      </c>
      <c r="O73">
        <f ca="1" t="shared" si="14"/>
        <v>1</v>
      </c>
    </row>
    <row r="74" spans="1:15">
      <c r="A74">
        <v>7300</v>
      </c>
      <c r="B74">
        <f t="shared" si="10"/>
        <v>4000</v>
      </c>
      <c r="C74">
        <f t="shared" si="11"/>
        <v>3300</v>
      </c>
      <c r="D74">
        <f>B74*(Sheet1!$G$8-Sheet1!$K$8)+C74*(Sheet1!$G$9-Sheet1!$K$9)</f>
        <v>212</v>
      </c>
      <c r="E74" s="1">
        <f>ROUNDUP(B74*(Sheet1!$H$8-Sheet1!$J$8)+C74*(Sheet1!$H$9-Sheet1!$J$9),0)</f>
        <v>58</v>
      </c>
      <c r="F74">
        <f ca="1">OFFSET(梦灵本体产出!$M$146,MATCH(A74+SUM(梦灵本体产出!$C$34:$C$37),梦灵本体产出!$H$147:$H$206,1),0)</f>
        <v>25</v>
      </c>
      <c r="G74">
        <f ca="1">OFFSET(梦灵本体产出!$N$146,MATCH(B74+SUM(梦灵本体产出!$C$34:$C$37),梦灵本体产出!$H$147:$H$206,1),0)</f>
        <v>15</v>
      </c>
      <c r="H74">
        <f ca="1">MATCH(_xlfn.XLOOKUP(F74,梦灵属性!$E$156:$E$205,梦灵属性!$K$156:$K$205)+D74*10/6,梦灵属性!$K$156:$K$205,1)</f>
        <v>26</v>
      </c>
      <c r="I74">
        <f ca="1">MATCH(_xlfn.XLOOKUP(G74,梦灵属性!$E$206:$E$255,梦灵属性!$K$206:$K$255)+E74*10/3,梦灵属性!$K$206:$K$255,1)</f>
        <v>17</v>
      </c>
      <c r="J74" t="str">
        <f t="shared" si="12"/>
        <v>[{5600005,212},{5600006,58}]</v>
      </c>
      <c r="M74">
        <v>7300</v>
      </c>
      <c r="N74">
        <f ca="1" t="shared" si="13"/>
        <v>2</v>
      </c>
      <c r="O74">
        <f ca="1" t="shared" si="14"/>
        <v>1</v>
      </c>
    </row>
    <row r="75" spans="1:15">
      <c r="A75">
        <v>7400</v>
      </c>
      <c r="B75">
        <f t="shared" si="10"/>
        <v>4000</v>
      </c>
      <c r="C75">
        <f t="shared" si="11"/>
        <v>3400</v>
      </c>
      <c r="D75">
        <f>B75*(Sheet1!$G$8-Sheet1!$K$8)+C75*(Sheet1!$G$9-Sheet1!$K$9)</f>
        <v>216</v>
      </c>
      <c r="E75" s="1">
        <f>ROUNDUP(B75*(Sheet1!$H$8-Sheet1!$J$8)+C75*(Sheet1!$H$9-Sheet1!$J$9),0)</f>
        <v>59</v>
      </c>
      <c r="F75">
        <f ca="1">OFFSET(梦灵本体产出!$M$146,MATCH(A75+SUM(梦灵本体产出!$C$34:$C$37),梦灵本体产出!$H$147:$H$206,1),0)</f>
        <v>25</v>
      </c>
      <c r="G75">
        <f ca="1">OFFSET(梦灵本体产出!$N$146,MATCH(B75+SUM(梦灵本体产出!$C$34:$C$37),梦灵本体产出!$H$147:$H$206,1),0)</f>
        <v>15</v>
      </c>
      <c r="H75">
        <f ca="1">MATCH(_xlfn.XLOOKUP(F75,梦灵属性!$E$156:$E$205,梦灵属性!$K$156:$K$205)+D75*10/6,梦灵属性!$K$156:$K$205,1)</f>
        <v>27</v>
      </c>
      <c r="I75">
        <f ca="1">MATCH(_xlfn.XLOOKUP(G75,梦灵属性!$E$206:$E$255,梦灵属性!$K$206:$K$255)+E75*10/3,梦灵属性!$K$206:$K$255,1)</f>
        <v>17</v>
      </c>
      <c r="J75" t="str">
        <f t="shared" si="12"/>
        <v>[{5600005,216},{5600006,59}]</v>
      </c>
      <c r="M75">
        <v>7400</v>
      </c>
      <c r="N75">
        <f ca="1" t="shared" si="13"/>
        <v>2</v>
      </c>
      <c r="O75">
        <f ca="1" t="shared" si="14"/>
        <v>2</v>
      </c>
    </row>
    <row r="76" spans="1:15">
      <c r="A76">
        <v>7500</v>
      </c>
      <c r="B76">
        <f t="shared" si="10"/>
        <v>4000</v>
      </c>
      <c r="C76">
        <f t="shared" si="11"/>
        <v>3500</v>
      </c>
      <c r="D76">
        <f>B76*(Sheet1!$G$8-Sheet1!$K$8)+C76*(Sheet1!$G$9-Sheet1!$K$9)</f>
        <v>220</v>
      </c>
      <c r="E76" s="1">
        <f>ROUNDUP(B76*(Sheet1!$H$8-Sheet1!$J$8)+C76*(Sheet1!$H$9-Sheet1!$J$9),0)</f>
        <v>60</v>
      </c>
      <c r="F76">
        <f ca="1">OFFSET(梦灵本体产出!$M$146,MATCH(A76+SUM(梦灵本体产出!$C$34:$C$37),梦灵本体产出!$H$147:$H$206,1),0)</f>
        <v>25</v>
      </c>
      <c r="G76">
        <f ca="1">OFFSET(梦灵本体产出!$N$146,MATCH(B76+SUM(梦灵本体产出!$C$34:$C$37),梦灵本体产出!$H$147:$H$206,1),0)</f>
        <v>15</v>
      </c>
      <c r="H76">
        <f ca="1">MATCH(_xlfn.XLOOKUP(F76,梦灵属性!$E$156:$E$205,梦灵属性!$K$156:$K$205)+D76*10/6,梦灵属性!$K$156:$K$205,1)</f>
        <v>27</v>
      </c>
      <c r="I76">
        <f ca="1">MATCH(_xlfn.XLOOKUP(G76,梦灵属性!$E$206:$E$255,梦灵属性!$K$206:$K$255)+E76*10/3,梦灵属性!$K$206:$K$255,1)</f>
        <v>17</v>
      </c>
      <c r="J76" t="str">
        <f t="shared" si="12"/>
        <v>[{5600005,220},{5600006,60}]</v>
      </c>
      <c r="M76">
        <v>7500</v>
      </c>
      <c r="N76">
        <f ca="1" t="shared" si="13"/>
        <v>2</v>
      </c>
      <c r="O76">
        <f ca="1" t="shared" si="14"/>
        <v>2</v>
      </c>
    </row>
    <row r="77" spans="1:15">
      <c r="A77">
        <v>7600</v>
      </c>
      <c r="B77">
        <f t="shared" si="10"/>
        <v>4000</v>
      </c>
      <c r="C77">
        <f t="shared" si="11"/>
        <v>3600</v>
      </c>
      <c r="D77">
        <f>B77*(Sheet1!$G$8-Sheet1!$K$8)+C77*(Sheet1!$G$9-Sheet1!$K$9)</f>
        <v>224</v>
      </c>
      <c r="E77" s="1">
        <f>ROUNDUP(B77*(Sheet1!$H$8-Sheet1!$J$8)+C77*(Sheet1!$H$9-Sheet1!$J$9),0)</f>
        <v>62</v>
      </c>
      <c r="F77">
        <f ca="1">OFFSET(梦灵本体产出!$M$146,MATCH(A77+SUM(梦灵本体产出!$C$34:$C$37),梦灵本体产出!$H$147:$H$206,1),0)</f>
        <v>25</v>
      </c>
      <c r="G77">
        <f ca="1">OFFSET(梦灵本体产出!$N$146,MATCH(B77+SUM(梦灵本体产出!$C$34:$C$37),梦灵本体产出!$H$147:$H$206,1),0)</f>
        <v>15</v>
      </c>
      <c r="H77">
        <f ca="1">MATCH(_xlfn.XLOOKUP(F77,梦灵属性!$E$156:$E$205,梦灵属性!$K$156:$K$205)+D77*10/6,梦灵属性!$K$156:$K$205,1)</f>
        <v>27</v>
      </c>
      <c r="I77">
        <f ca="1">MATCH(_xlfn.XLOOKUP(G77,梦灵属性!$E$206:$E$255,梦灵属性!$K$206:$K$255)+E77*10/3,梦灵属性!$K$206:$K$255,1)</f>
        <v>17</v>
      </c>
      <c r="J77" t="str">
        <f t="shared" si="12"/>
        <v>[{5600005,224},{5600006,62}]</v>
      </c>
      <c r="M77">
        <v>7600</v>
      </c>
      <c r="N77">
        <f ca="1" t="shared" si="13"/>
        <v>2</v>
      </c>
      <c r="O77">
        <f ca="1" t="shared" si="14"/>
        <v>2</v>
      </c>
    </row>
    <row r="78" spans="1:15">
      <c r="A78">
        <v>7700</v>
      </c>
      <c r="B78">
        <f t="shared" si="10"/>
        <v>4000</v>
      </c>
      <c r="C78">
        <f t="shared" si="11"/>
        <v>3700</v>
      </c>
      <c r="D78">
        <f>B78*(Sheet1!$G$8-Sheet1!$K$8)+C78*(Sheet1!$G$9-Sheet1!$K$9)</f>
        <v>228</v>
      </c>
      <c r="E78" s="1">
        <f>ROUNDUP(B78*(Sheet1!$H$8-Sheet1!$J$8)+C78*(Sheet1!$H$9-Sheet1!$J$9),0)</f>
        <v>63</v>
      </c>
      <c r="F78">
        <f ca="1">OFFSET(梦灵本体产出!$M$146,MATCH(A78+SUM(梦灵本体产出!$C$34:$C$37),梦灵本体产出!$H$147:$H$206,1),0)</f>
        <v>25</v>
      </c>
      <c r="G78">
        <f ca="1">OFFSET(梦灵本体产出!$N$146,MATCH(B78+SUM(梦灵本体产出!$C$34:$C$37),梦灵本体产出!$H$147:$H$206,1),0)</f>
        <v>15</v>
      </c>
      <c r="H78">
        <f ca="1">MATCH(_xlfn.XLOOKUP(F78,梦灵属性!$E$156:$E$205,梦灵属性!$K$156:$K$205)+D78*10/6,梦灵属性!$K$156:$K$205,1)</f>
        <v>27</v>
      </c>
      <c r="I78">
        <f ca="1">MATCH(_xlfn.XLOOKUP(G78,梦灵属性!$E$206:$E$255,梦灵属性!$K$206:$K$255)+E78*10/3,梦灵属性!$K$206:$K$255,1)</f>
        <v>18</v>
      </c>
      <c r="J78" t="str">
        <f t="shared" si="12"/>
        <v>[{5600005,228},{5600006,63}]</v>
      </c>
      <c r="M78">
        <v>7700</v>
      </c>
      <c r="N78">
        <f ca="1" t="shared" si="13"/>
        <v>3</v>
      </c>
      <c r="O78">
        <f ca="1" t="shared" si="14"/>
        <v>2</v>
      </c>
    </row>
    <row r="79" spans="1:15">
      <c r="A79">
        <v>7800</v>
      </c>
      <c r="B79">
        <f t="shared" si="10"/>
        <v>4000</v>
      </c>
      <c r="C79">
        <f t="shared" si="11"/>
        <v>3800</v>
      </c>
      <c r="D79">
        <f>B79*(Sheet1!$G$8-Sheet1!$K$8)+C79*(Sheet1!$G$9-Sheet1!$K$9)</f>
        <v>232</v>
      </c>
      <c r="E79" s="1">
        <f>ROUNDUP(B79*(Sheet1!$H$8-Sheet1!$J$8)+C79*(Sheet1!$H$9-Sheet1!$J$9),0)</f>
        <v>64</v>
      </c>
      <c r="F79">
        <f ca="1">OFFSET(梦灵本体产出!$M$146,MATCH(A79+SUM(梦灵本体产出!$C$34:$C$37),梦灵本体产出!$H$147:$H$206,1),0)</f>
        <v>25</v>
      </c>
      <c r="G79">
        <f ca="1">OFFSET(梦灵本体产出!$N$146,MATCH(B79+SUM(梦灵本体产出!$C$34:$C$37),梦灵本体产出!$H$147:$H$206,1),0)</f>
        <v>15</v>
      </c>
      <c r="H79">
        <f ca="1">MATCH(_xlfn.XLOOKUP(F79,梦灵属性!$E$156:$E$205,梦灵属性!$K$156:$K$205)+D79*10/6,梦灵属性!$K$156:$K$205,1)</f>
        <v>27</v>
      </c>
      <c r="I79">
        <f ca="1">MATCH(_xlfn.XLOOKUP(G79,梦灵属性!$E$206:$E$255,梦灵属性!$K$206:$K$255)+E79*10/3,梦灵属性!$K$206:$K$255,1)</f>
        <v>18</v>
      </c>
      <c r="J79" t="str">
        <f t="shared" si="12"/>
        <v>[{5600005,232},{5600006,64}]</v>
      </c>
      <c r="M79">
        <v>7800</v>
      </c>
      <c r="N79">
        <f ca="1" t="shared" si="13"/>
        <v>3</v>
      </c>
      <c r="O79">
        <f ca="1" t="shared" si="14"/>
        <v>2</v>
      </c>
    </row>
    <row r="80" spans="1:15">
      <c r="A80">
        <v>7900</v>
      </c>
      <c r="B80">
        <f t="shared" si="10"/>
        <v>4000</v>
      </c>
      <c r="C80">
        <f t="shared" si="11"/>
        <v>3900</v>
      </c>
      <c r="D80">
        <f>B80*(Sheet1!$G$8-Sheet1!$K$8)+C80*(Sheet1!$G$9-Sheet1!$K$9)</f>
        <v>236</v>
      </c>
      <c r="E80" s="1">
        <f>ROUNDUP(B80*(Sheet1!$H$8-Sheet1!$J$8)+C80*(Sheet1!$H$9-Sheet1!$J$9),0)</f>
        <v>65</v>
      </c>
      <c r="F80">
        <f ca="1">OFFSET(梦灵本体产出!$M$146,MATCH(A80+SUM(梦灵本体产出!$C$34:$C$37),梦灵本体产出!$H$147:$H$206,1),0)</f>
        <v>25</v>
      </c>
      <c r="G80">
        <f ca="1">OFFSET(梦灵本体产出!$N$146,MATCH(B80+SUM(梦灵本体产出!$C$34:$C$37),梦灵本体产出!$H$147:$H$206,1),0)</f>
        <v>15</v>
      </c>
      <c r="H80">
        <f ca="1">MATCH(_xlfn.XLOOKUP(F80,梦灵属性!$E$156:$E$205,梦灵属性!$K$156:$K$205)+D80*10/6,梦灵属性!$K$156:$K$205,1)</f>
        <v>27</v>
      </c>
      <c r="I80">
        <f ca="1">MATCH(_xlfn.XLOOKUP(G80,梦灵属性!$E$206:$E$255,梦灵属性!$K$206:$K$255)+E80*10/3,梦灵属性!$K$206:$K$255,1)</f>
        <v>18</v>
      </c>
      <c r="J80" t="str">
        <f t="shared" si="12"/>
        <v>[{5600005,236},{5600006,65}]</v>
      </c>
      <c r="M80">
        <v>7900</v>
      </c>
      <c r="N80">
        <f ca="1" t="shared" si="13"/>
        <v>3</v>
      </c>
      <c r="O80">
        <f ca="1" t="shared" si="14"/>
        <v>2</v>
      </c>
    </row>
    <row r="81" spans="1:15">
      <c r="A81">
        <v>8000</v>
      </c>
      <c r="B81">
        <f t="shared" si="10"/>
        <v>4000</v>
      </c>
      <c r="C81">
        <f t="shared" si="11"/>
        <v>4000</v>
      </c>
      <c r="D81">
        <f>B81*(Sheet1!$G$8-Sheet1!$K$8)+C81*(Sheet1!$G$9-Sheet1!$K$9)</f>
        <v>240</v>
      </c>
      <c r="E81" s="1">
        <f>ROUNDUP(B81*(Sheet1!$H$8-Sheet1!$J$8)+C81*(Sheet1!$H$9-Sheet1!$J$9),0)</f>
        <v>67</v>
      </c>
      <c r="F81">
        <f ca="1">OFFSET(梦灵本体产出!$M$146,MATCH(A81+SUM(梦灵本体产出!$C$34:$C$37),梦灵本体产出!$H$147:$H$206,1),0)</f>
        <v>25</v>
      </c>
      <c r="G81">
        <f ca="1">OFFSET(梦灵本体产出!$N$146,MATCH(B81+SUM(梦灵本体产出!$C$34:$C$37),梦灵本体产出!$H$147:$H$206,1),0)</f>
        <v>15</v>
      </c>
      <c r="H81">
        <f ca="1">MATCH(_xlfn.XLOOKUP(F81,梦灵属性!$E$156:$E$205,梦灵属性!$K$156:$K$205)+D81*10/6,梦灵属性!$K$156:$K$205,1)</f>
        <v>27</v>
      </c>
      <c r="I81">
        <f ca="1">MATCH(_xlfn.XLOOKUP(G81,梦灵属性!$E$206:$E$255,梦灵属性!$K$206:$K$255)+E81*10/3,梦灵属性!$K$206:$K$255,1)</f>
        <v>18</v>
      </c>
      <c r="J81" t="str">
        <f t="shared" si="12"/>
        <v>[{5600005,240},{5600006,67}]</v>
      </c>
      <c r="M81">
        <v>8000</v>
      </c>
      <c r="N81">
        <f ca="1" t="shared" si="13"/>
        <v>3</v>
      </c>
      <c r="O81">
        <f ca="1" t="shared" si="14"/>
        <v>2</v>
      </c>
    </row>
    <row r="82" spans="1:15">
      <c r="A82">
        <v>8100</v>
      </c>
      <c r="B82">
        <f t="shared" si="10"/>
        <v>4000</v>
      </c>
      <c r="C82">
        <f t="shared" si="11"/>
        <v>4100</v>
      </c>
      <c r="D82">
        <f>B82*(Sheet1!$G$8-Sheet1!$K$8)+C82*(Sheet1!$G$9-Sheet1!$K$9)</f>
        <v>244</v>
      </c>
      <c r="E82" s="1">
        <f>ROUNDUP(B82*(Sheet1!$H$8-Sheet1!$J$8)+C82*(Sheet1!$H$9-Sheet1!$J$9),0)</f>
        <v>68</v>
      </c>
      <c r="F82">
        <f ca="1">OFFSET(梦灵本体产出!$M$146,MATCH(A82+SUM(梦灵本体产出!$C$34:$C$37),梦灵本体产出!$H$147:$H$206,1),0)</f>
        <v>25</v>
      </c>
      <c r="G82">
        <f ca="1">OFFSET(梦灵本体产出!$N$146,MATCH(B82+SUM(梦灵本体产出!$C$34:$C$37),梦灵本体产出!$H$147:$H$206,1),0)</f>
        <v>15</v>
      </c>
      <c r="H82">
        <f ca="1">MATCH(_xlfn.XLOOKUP(F82,梦灵属性!$E$156:$E$205,梦灵属性!$K$156:$K$205)+D82*10/6,梦灵属性!$K$156:$K$205,1)</f>
        <v>27</v>
      </c>
      <c r="I82">
        <f ca="1">MATCH(_xlfn.XLOOKUP(G82,梦灵属性!$E$206:$E$255,梦灵属性!$K$206:$K$255)+E82*10/3,梦灵属性!$K$206:$K$255,1)</f>
        <v>18</v>
      </c>
      <c r="J82" t="str">
        <f t="shared" si="12"/>
        <v>[{5600005,244},{5600006,68}]</v>
      </c>
      <c r="M82">
        <v>8100</v>
      </c>
      <c r="N82">
        <f ca="1" t="shared" si="13"/>
        <v>3</v>
      </c>
      <c r="O82">
        <f ca="1" t="shared" si="14"/>
        <v>2</v>
      </c>
    </row>
    <row r="83" spans="1:15">
      <c r="A83">
        <v>8200</v>
      </c>
      <c r="B83">
        <f t="shared" si="10"/>
        <v>4000</v>
      </c>
      <c r="C83">
        <f t="shared" si="11"/>
        <v>4200</v>
      </c>
      <c r="D83">
        <f>B83*(Sheet1!$G$8-Sheet1!$K$8)+C83*(Sheet1!$G$9-Sheet1!$K$9)</f>
        <v>248</v>
      </c>
      <c r="E83" s="1">
        <f>ROUNDUP(B83*(Sheet1!$H$8-Sheet1!$J$8)+C83*(Sheet1!$H$9-Sheet1!$J$9),0)</f>
        <v>69</v>
      </c>
      <c r="F83">
        <f ca="1">OFFSET(梦灵本体产出!$M$146,MATCH(A83+SUM(梦灵本体产出!$C$34:$C$37),梦灵本体产出!$H$147:$H$206,1),0)</f>
        <v>25</v>
      </c>
      <c r="G83">
        <f ca="1">OFFSET(梦灵本体产出!$N$146,MATCH(B83+SUM(梦灵本体产出!$C$34:$C$37),梦灵本体产出!$H$147:$H$206,1),0)</f>
        <v>15</v>
      </c>
      <c r="H83">
        <f ca="1">MATCH(_xlfn.XLOOKUP(F83,梦灵属性!$E$156:$E$205,梦灵属性!$K$156:$K$205)+D83*10/6,梦灵属性!$K$156:$K$205,1)</f>
        <v>27</v>
      </c>
      <c r="I83">
        <f ca="1">MATCH(_xlfn.XLOOKUP(G83,梦灵属性!$E$206:$E$255,梦灵属性!$K$206:$K$255)+E83*10/3,梦灵属性!$K$206:$K$255,1)</f>
        <v>18</v>
      </c>
      <c r="J83" t="str">
        <f t="shared" si="12"/>
        <v>[{5600005,248},{5600006,69}]</v>
      </c>
      <c r="M83">
        <v>8200</v>
      </c>
      <c r="N83">
        <f ca="1" t="shared" si="13"/>
        <v>3</v>
      </c>
      <c r="O83">
        <f ca="1" t="shared" si="14"/>
        <v>2</v>
      </c>
    </row>
    <row r="84" spans="1:15">
      <c r="A84">
        <v>8300</v>
      </c>
      <c r="B84">
        <f t="shared" si="10"/>
        <v>4000</v>
      </c>
      <c r="C84">
        <f t="shared" si="11"/>
        <v>4300</v>
      </c>
      <c r="D84">
        <f>B84*(Sheet1!$G$8-Sheet1!$K$8)+C84*(Sheet1!$G$9-Sheet1!$K$9)</f>
        <v>252</v>
      </c>
      <c r="E84" s="1">
        <f>ROUNDUP(B84*(Sheet1!$H$8-Sheet1!$J$8)+C84*(Sheet1!$H$9-Sheet1!$J$9),0)</f>
        <v>70</v>
      </c>
      <c r="F84">
        <f ca="1">OFFSET(梦灵本体产出!$M$146,MATCH(A84+SUM(梦灵本体产出!$C$34:$C$37),梦灵本体产出!$H$147:$H$206,1),0)</f>
        <v>25</v>
      </c>
      <c r="G84">
        <f ca="1">OFFSET(梦灵本体产出!$N$146,MATCH(B84+SUM(梦灵本体产出!$C$34:$C$37),梦灵本体产出!$H$147:$H$206,1),0)</f>
        <v>15</v>
      </c>
      <c r="H84">
        <f ca="1">MATCH(_xlfn.XLOOKUP(F84,梦灵属性!$E$156:$E$205,梦灵属性!$K$156:$K$205)+D84*10/6,梦灵属性!$K$156:$K$205,1)</f>
        <v>27</v>
      </c>
      <c r="I84">
        <f ca="1">MATCH(_xlfn.XLOOKUP(G84,梦灵属性!$E$206:$E$255,梦灵属性!$K$206:$K$255)+E84*10/3,梦灵属性!$K$206:$K$255,1)</f>
        <v>18</v>
      </c>
      <c r="J84" t="str">
        <f t="shared" si="12"/>
        <v>[{5600005,252},{5600006,70}]</v>
      </c>
      <c r="M84">
        <v>8300</v>
      </c>
      <c r="N84">
        <f ca="1" t="shared" si="13"/>
        <v>3</v>
      </c>
      <c r="O84">
        <f ca="1" t="shared" si="14"/>
        <v>2</v>
      </c>
    </row>
    <row r="85" spans="1:15">
      <c r="A85">
        <v>8400</v>
      </c>
      <c r="B85">
        <f t="shared" si="10"/>
        <v>4000</v>
      </c>
      <c r="C85">
        <f t="shared" si="11"/>
        <v>4400</v>
      </c>
      <c r="D85">
        <f>B85*(Sheet1!$G$8-Sheet1!$K$8)+C85*(Sheet1!$G$9-Sheet1!$K$9)</f>
        <v>256</v>
      </c>
      <c r="E85" s="1">
        <f>ROUNDUP(B85*(Sheet1!$H$8-Sheet1!$J$8)+C85*(Sheet1!$H$9-Sheet1!$J$9),0)</f>
        <v>72</v>
      </c>
      <c r="F85">
        <f ca="1">OFFSET(梦灵本体产出!$M$146,MATCH(A85+SUM(梦灵本体产出!$C$34:$C$37),梦灵本体产出!$H$147:$H$206,1),0)</f>
        <v>25</v>
      </c>
      <c r="G85">
        <f ca="1">OFFSET(梦灵本体产出!$N$146,MATCH(B85+SUM(梦灵本体产出!$C$34:$C$37),梦灵本体产出!$H$147:$H$206,1),0)</f>
        <v>15</v>
      </c>
      <c r="H85">
        <f ca="1">MATCH(_xlfn.XLOOKUP(F85,梦灵属性!$E$156:$E$205,梦灵属性!$K$156:$K$205)+D85*10/6,梦灵属性!$K$156:$K$205,1)</f>
        <v>27</v>
      </c>
      <c r="I85">
        <f ca="1">MATCH(_xlfn.XLOOKUP(G85,梦灵属性!$E$206:$E$255,梦灵属性!$K$206:$K$255)+E85*10/3,梦灵属性!$K$206:$K$255,1)</f>
        <v>18</v>
      </c>
      <c r="J85" t="str">
        <f t="shared" si="12"/>
        <v>[{5600005,256},{5600006,72}]</v>
      </c>
      <c r="M85">
        <v>8400</v>
      </c>
      <c r="N85">
        <f ca="1" t="shared" si="13"/>
        <v>3</v>
      </c>
      <c r="O85">
        <f ca="1" t="shared" si="14"/>
        <v>2</v>
      </c>
    </row>
    <row r="86" spans="1:15">
      <c r="A86">
        <v>8500</v>
      </c>
      <c r="B86">
        <f t="shared" si="10"/>
        <v>4000</v>
      </c>
      <c r="C86">
        <f t="shared" si="11"/>
        <v>4500</v>
      </c>
      <c r="D86">
        <f>B86*(Sheet1!$G$8-Sheet1!$K$8)+C86*(Sheet1!$G$9-Sheet1!$K$9)</f>
        <v>260</v>
      </c>
      <c r="E86" s="1">
        <f>ROUNDUP(B86*(Sheet1!$H$8-Sheet1!$J$8)+C86*(Sheet1!$H$9-Sheet1!$J$9),0)</f>
        <v>73</v>
      </c>
      <c r="F86">
        <f ca="1">OFFSET(梦灵本体产出!$M$146,MATCH(A86+SUM(梦灵本体产出!$C$34:$C$37),梦灵本体产出!$H$147:$H$206,1),0)</f>
        <v>25</v>
      </c>
      <c r="G86">
        <f ca="1">OFFSET(梦灵本体产出!$N$146,MATCH(B86+SUM(梦灵本体产出!$C$34:$C$37),梦灵本体产出!$H$147:$H$206,1),0)</f>
        <v>15</v>
      </c>
      <c r="H86">
        <f ca="1">MATCH(_xlfn.XLOOKUP(F86,梦灵属性!$E$156:$E$205,梦灵属性!$K$156:$K$205)+D86*10/6,梦灵属性!$K$156:$K$205,1)</f>
        <v>27</v>
      </c>
      <c r="I86">
        <f ca="1">MATCH(_xlfn.XLOOKUP(G86,梦灵属性!$E$206:$E$255,梦灵属性!$K$206:$K$255)+E86*10/3,梦灵属性!$K$206:$K$255,1)</f>
        <v>18</v>
      </c>
      <c r="J86" t="str">
        <f t="shared" si="12"/>
        <v>[{5600005,260},{5600006,73}]</v>
      </c>
      <c r="M86">
        <v>8500</v>
      </c>
      <c r="N86">
        <f ca="1" t="shared" si="13"/>
        <v>3</v>
      </c>
      <c r="O86">
        <f ca="1" t="shared" si="14"/>
        <v>2</v>
      </c>
    </row>
    <row r="87" spans="1:15">
      <c r="A87">
        <v>8600</v>
      </c>
      <c r="B87">
        <f t="shared" si="10"/>
        <v>4000</v>
      </c>
      <c r="C87">
        <f t="shared" si="11"/>
        <v>4600</v>
      </c>
      <c r="D87">
        <f>B87*(Sheet1!$G$8-Sheet1!$K$8)+C87*(Sheet1!$G$9-Sheet1!$K$9)</f>
        <v>264</v>
      </c>
      <c r="E87" s="1">
        <f>ROUNDUP(B87*(Sheet1!$H$8-Sheet1!$J$8)+C87*(Sheet1!$H$9-Sheet1!$J$9),0)</f>
        <v>74</v>
      </c>
      <c r="F87">
        <f ca="1">OFFSET(梦灵本体产出!$M$146,MATCH(A87+SUM(梦灵本体产出!$C$34:$C$37),梦灵本体产出!$H$147:$H$206,1),0)</f>
        <v>25</v>
      </c>
      <c r="G87">
        <f ca="1">OFFSET(梦灵本体产出!$N$146,MATCH(B87+SUM(梦灵本体产出!$C$34:$C$37),梦灵本体产出!$H$147:$H$206,1),0)</f>
        <v>15</v>
      </c>
      <c r="H87">
        <f ca="1">MATCH(_xlfn.XLOOKUP(F87,梦灵属性!$E$156:$E$205,梦灵属性!$K$156:$K$205)+D87*10/6,梦灵属性!$K$156:$K$205,1)</f>
        <v>27</v>
      </c>
      <c r="I87">
        <f ca="1">MATCH(_xlfn.XLOOKUP(G87,梦灵属性!$E$206:$E$255,梦灵属性!$K$206:$K$255)+E87*10/3,梦灵属性!$K$206:$K$255,1)</f>
        <v>18</v>
      </c>
      <c r="J87" t="str">
        <f t="shared" si="12"/>
        <v>[{5600005,264},{5600006,74}]</v>
      </c>
      <c r="M87">
        <v>8600</v>
      </c>
      <c r="N87">
        <f ca="1" t="shared" si="13"/>
        <v>3</v>
      </c>
      <c r="O87">
        <f ca="1" t="shared" si="14"/>
        <v>2</v>
      </c>
    </row>
    <row r="88" spans="1:15">
      <c r="A88">
        <v>8700</v>
      </c>
      <c r="B88">
        <f t="shared" si="10"/>
        <v>4000</v>
      </c>
      <c r="C88">
        <f t="shared" si="11"/>
        <v>4700</v>
      </c>
      <c r="D88">
        <f>B88*(Sheet1!$G$8-Sheet1!$K$8)+C88*(Sheet1!$G$9-Sheet1!$K$9)</f>
        <v>268</v>
      </c>
      <c r="E88" s="1">
        <f>ROUNDUP(B88*(Sheet1!$H$8-Sheet1!$J$8)+C88*(Sheet1!$H$9-Sheet1!$J$9),0)</f>
        <v>75</v>
      </c>
      <c r="F88">
        <f ca="1">OFFSET(梦灵本体产出!$M$146,MATCH(A88+SUM(梦灵本体产出!$C$34:$C$37),梦灵本体产出!$H$147:$H$206,1),0)</f>
        <v>25</v>
      </c>
      <c r="G88">
        <f ca="1">OFFSET(梦灵本体产出!$N$146,MATCH(B88+SUM(梦灵本体产出!$C$34:$C$37),梦灵本体产出!$H$147:$H$206,1),0)</f>
        <v>15</v>
      </c>
      <c r="H88">
        <f ca="1">MATCH(_xlfn.XLOOKUP(F88,梦灵属性!$E$156:$E$205,梦灵属性!$K$156:$K$205)+D88*10/6,梦灵属性!$K$156:$K$205,1)</f>
        <v>27</v>
      </c>
      <c r="I88">
        <f ca="1">MATCH(_xlfn.XLOOKUP(G88,梦灵属性!$E$206:$E$255,梦灵属性!$K$206:$K$255)+E88*10/3,梦灵属性!$K$206:$K$255,1)</f>
        <v>18</v>
      </c>
      <c r="J88" t="str">
        <f t="shared" si="12"/>
        <v>[{5600005,268},{5600006,75}]</v>
      </c>
      <c r="M88">
        <v>8700</v>
      </c>
      <c r="N88">
        <f ca="1" t="shared" si="13"/>
        <v>3</v>
      </c>
      <c r="O88">
        <f ca="1" t="shared" si="14"/>
        <v>2</v>
      </c>
    </row>
    <row r="89" spans="1:15">
      <c r="A89">
        <v>8800</v>
      </c>
      <c r="B89">
        <f t="shared" si="10"/>
        <v>4000</v>
      </c>
      <c r="C89">
        <f t="shared" si="11"/>
        <v>4800</v>
      </c>
      <c r="D89">
        <f>B89*(Sheet1!$G$8-Sheet1!$K$8)+C89*(Sheet1!$G$9-Sheet1!$K$9)</f>
        <v>272</v>
      </c>
      <c r="E89" s="1">
        <f>ROUNDUP(B89*(Sheet1!$H$8-Sheet1!$J$8)+C89*(Sheet1!$H$9-Sheet1!$J$9),0)</f>
        <v>77</v>
      </c>
      <c r="F89">
        <f ca="1">OFFSET(梦灵本体产出!$M$146,MATCH(A89+SUM(梦灵本体产出!$C$34:$C$37),梦灵本体产出!$H$147:$H$206,1),0)</f>
        <v>25</v>
      </c>
      <c r="G89">
        <f ca="1">OFFSET(梦灵本体产出!$N$146,MATCH(B89+SUM(梦灵本体产出!$C$34:$C$37),梦灵本体产出!$H$147:$H$206,1),0)</f>
        <v>15</v>
      </c>
      <c r="H89">
        <f ca="1">MATCH(_xlfn.XLOOKUP(F89,梦灵属性!$E$156:$E$205,梦灵属性!$K$156:$K$205)+D89*10/6,梦灵属性!$K$156:$K$205,1)</f>
        <v>27</v>
      </c>
      <c r="I89">
        <f ca="1">MATCH(_xlfn.XLOOKUP(G89,梦灵属性!$E$206:$E$255,梦灵属性!$K$206:$K$255)+E89*10/3,梦灵属性!$K$206:$K$255,1)</f>
        <v>18</v>
      </c>
      <c r="J89" t="str">
        <f t="shared" si="12"/>
        <v>[{5600005,272},{5600006,77}]</v>
      </c>
      <c r="M89">
        <v>8800</v>
      </c>
      <c r="N89">
        <f ca="1" t="shared" si="13"/>
        <v>3</v>
      </c>
      <c r="O89">
        <f ca="1" t="shared" si="14"/>
        <v>2</v>
      </c>
    </row>
    <row r="90" spans="1:15">
      <c r="A90">
        <v>8900</v>
      </c>
      <c r="B90">
        <f t="shared" si="10"/>
        <v>4000</v>
      </c>
      <c r="C90">
        <f t="shared" si="11"/>
        <v>4900</v>
      </c>
      <c r="D90">
        <f>B90*(Sheet1!$G$8-Sheet1!$K$8)+C90*(Sheet1!$G$9-Sheet1!$K$9)</f>
        <v>276</v>
      </c>
      <c r="E90" s="1">
        <f>ROUNDUP(B90*(Sheet1!$H$8-Sheet1!$J$8)+C90*(Sheet1!$H$9-Sheet1!$J$9),0)</f>
        <v>78</v>
      </c>
      <c r="F90">
        <f ca="1">OFFSET(梦灵本体产出!$M$146,MATCH(A90+SUM(梦灵本体产出!$C$34:$C$37),梦灵本体产出!$H$147:$H$206,1),0)</f>
        <v>26</v>
      </c>
      <c r="G90">
        <f ca="1">OFFSET(梦灵本体产出!$N$146,MATCH(B90+SUM(梦灵本体产出!$C$34:$C$37),梦灵本体产出!$H$147:$H$206,1),0)</f>
        <v>15</v>
      </c>
      <c r="H90">
        <f ca="1">MATCH(_xlfn.XLOOKUP(F90,梦灵属性!$E$156:$E$205,梦灵属性!$K$156:$K$205)+D90*10/6,梦灵属性!$K$156:$K$205,1)</f>
        <v>28</v>
      </c>
      <c r="I90">
        <f ca="1">MATCH(_xlfn.XLOOKUP(G90,梦灵属性!$E$206:$E$255,梦灵属性!$K$206:$K$255)+E90*10/3,梦灵属性!$K$206:$K$255,1)</f>
        <v>18</v>
      </c>
      <c r="J90" t="str">
        <f t="shared" si="12"/>
        <v>[{5600005,276},{5600006,78}]</v>
      </c>
      <c r="M90">
        <v>8900</v>
      </c>
      <c r="N90">
        <f ca="1" t="shared" si="13"/>
        <v>3</v>
      </c>
      <c r="O90">
        <f ca="1" t="shared" si="14"/>
        <v>2</v>
      </c>
    </row>
    <row r="91" spans="1:15">
      <c r="A91">
        <v>9000</v>
      </c>
      <c r="B91">
        <f t="shared" si="10"/>
        <v>4000</v>
      </c>
      <c r="C91">
        <f t="shared" si="11"/>
        <v>5000</v>
      </c>
      <c r="D91">
        <f>B91*(Sheet1!$G$8-Sheet1!$K$8)+C91*(Sheet1!$G$9-Sheet1!$K$9)</f>
        <v>280</v>
      </c>
      <c r="E91" s="1">
        <f>ROUNDUP(B91*(Sheet1!$H$8-Sheet1!$J$8)+C91*(Sheet1!$H$9-Sheet1!$J$9),0)</f>
        <v>79</v>
      </c>
      <c r="F91">
        <f ca="1">OFFSET(梦灵本体产出!$M$146,MATCH(A91+SUM(梦灵本体产出!$C$34:$C$37),梦灵本体产出!$H$147:$H$206,1),0)</f>
        <v>26</v>
      </c>
      <c r="G91">
        <f ca="1">OFFSET(梦灵本体产出!$N$146,MATCH(B91+SUM(梦灵本体产出!$C$34:$C$37),梦灵本体产出!$H$147:$H$206,1),0)</f>
        <v>15</v>
      </c>
      <c r="H91">
        <f ca="1">MATCH(_xlfn.XLOOKUP(F91,梦灵属性!$E$156:$E$205,梦灵属性!$K$156:$K$205)+D91*10/6,梦灵属性!$K$156:$K$205,1)</f>
        <v>28</v>
      </c>
      <c r="I91">
        <f ca="1">MATCH(_xlfn.XLOOKUP(G91,梦灵属性!$E$206:$E$255,梦灵属性!$K$206:$K$255)+E91*10/3,梦灵属性!$K$206:$K$255,1)</f>
        <v>18</v>
      </c>
      <c r="J91" t="str">
        <f t="shared" si="12"/>
        <v>[{5600005,280},{5600006,79}]</v>
      </c>
      <c r="M91">
        <v>9000</v>
      </c>
      <c r="N91">
        <f ca="1" t="shared" si="13"/>
        <v>3</v>
      </c>
      <c r="O91">
        <f ca="1" t="shared" si="14"/>
        <v>2</v>
      </c>
    </row>
    <row r="92" spans="1:15">
      <c r="A92">
        <v>9100</v>
      </c>
      <c r="B92">
        <f t="shared" si="10"/>
        <v>4000</v>
      </c>
      <c r="C92">
        <f t="shared" si="11"/>
        <v>5100</v>
      </c>
      <c r="D92">
        <f>B92*(Sheet1!$G$8-Sheet1!$K$8)+C92*(Sheet1!$G$9-Sheet1!$K$9)</f>
        <v>284</v>
      </c>
      <c r="E92" s="1">
        <f>ROUNDUP(B92*(Sheet1!$H$8-Sheet1!$J$8)+C92*(Sheet1!$H$9-Sheet1!$J$9),0)</f>
        <v>80</v>
      </c>
      <c r="F92">
        <f ca="1">OFFSET(梦灵本体产出!$M$146,MATCH(A92+SUM(梦灵本体产出!$C$34:$C$37),梦灵本体产出!$H$147:$H$206,1),0)</f>
        <v>26</v>
      </c>
      <c r="G92">
        <f ca="1">OFFSET(梦灵本体产出!$N$146,MATCH(B92+SUM(梦灵本体产出!$C$34:$C$37),梦灵本体产出!$H$147:$H$206,1),0)</f>
        <v>15</v>
      </c>
      <c r="H92">
        <f ca="1">MATCH(_xlfn.XLOOKUP(F92,梦灵属性!$E$156:$E$205,梦灵属性!$K$156:$K$205)+D92*10/6,梦灵属性!$K$156:$K$205,1)</f>
        <v>28</v>
      </c>
      <c r="I92">
        <f ca="1">MATCH(_xlfn.XLOOKUP(G92,梦灵属性!$E$206:$E$255,梦灵属性!$K$206:$K$255)+E92*10/3,梦灵属性!$K$206:$K$255,1)</f>
        <v>18</v>
      </c>
      <c r="J92" t="str">
        <f t="shared" si="12"/>
        <v>[{5600005,284},{5600006,80}]</v>
      </c>
      <c r="M92">
        <v>9100</v>
      </c>
      <c r="N92">
        <f ca="1" t="shared" si="13"/>
        <v>3</v>
      </c>
      <c r="O92">
        <f ca="1" t="shared" si="14"/>
        <v>2</v>
      </c>
    </row>
    <row r="93" spans="1:15">
      <c r="A93">
        <v>9200</v>
      </c>
      <c r="B93">
        <f t="shared" si="10"/>
        <v>4000</v>
      </c>
      <c r="C93">
        <f t="shared" si="11"/>
        <v>5200</v>
      </c>
      <c r="D93">
        <f>B93*(Sheet1!$G$8-Sheet1!$K$8)+C93*(Sheet1!$G$9-Sheet1!$K$9)</f>
        <v>288</v>
      </c>
      <c r="E93" s="1">
        <f>ROUNDUP(B93*(Sheet1!$H$8-Sheet1!$J$8)+C93*(Sheet1!$H$9-Sheet1!$J$9),0)</f>
        <v>82</v>
      </c>
      <c r="F93">
        <f ca="1">OFFSET(梦灵本体产出!$M$146,MATCH(A93+SUM(梦灵本体产出!$C$34:$C$37),梦灵本体产出!$H$147:$H$206,1),0)</f>
        <v>26</v>
      </c>
      <c r="G93">
        <f ca="1">OFFSET(梦灵本体产出!$N$146,MATCH(B93+SUM(梦灵本体产出!$C$34:$C$37),梦灵本体产出!$H$147:$H$206,1),0)</f>
        <v>15</v>
      </c>
      <c r="H93">
        <f ca="1">MATCH(_xlfn.XLOOKUP(F93,梦灵属性!$E$156:$E$205,梦灵属性!$K$156:$K$205)+D93*10/6,梦灵属性!$K$156:$K$205,1)</f>
        <v>28</v>
      </c>
      <c r="I93">
        <f ca="1">MATCH(_xlfn.XLOOKUP(G93,梦灵属性!$E$206:$E$255,梦灵属性!$K$206:$K$255)+E93*10/3,梦灵属性!$K$206:$K$255,1)</f>
        <v>18</v>
      </c>
      <c r="J93" t="str">
        <f t="shared" si="12"/>
        <v>[{5600005,288},{5600006,82}]</v>
      </c>
      <c r="M93">
        <v>9200</v>
      </c>
      <c r="N93">
        <f ca="1" t="shared" si="13"/>
        <v>3</v>
      </c>
      <c r="O93">
        <f ca="1" t="shared" si="14"/>
        <v>2</v>
      </c>
    </row>
    <row r="94" spans="1:15">
      <c r="A94">
        <v>9300</v>
      </c>
      <c r="B94">
        <f t="shared" si="10"/>
        <v>4000</v>
      </c>
      <c r="C94">
        <f t="shared" si="11"/>
        <v>5300</v>
      </c>
      <c r="D94">
        <f>B94*(Sheet1!$G$8-Sheet1!$K$8)+C94*(Sheet1!$G$9-Sheet1!$K$9)</f>
        <v>292</v>
      </c>
      <c r="E94" s="1">
        <f>ROUNDUP(B94*(Sheet1!$H$8-Sheet1!$J$8)+C94*(Sheet1!$H$9-Sheet1!$J$9),0)</f>
        <v>83</v>
      </c>
      <c r="F94">
        <f ca="1">OFFSET(梦灵本体产出!$M$146,MATCH(A94+SUM(梦灵本体产出!$C$34:$C$37),梦灵本体产出!$H$147:$H$206,1),0)</f>
        <v>26</v>
      </c>
      <c r="G94">
        <f ca="1">OFFSET(梦灵本体产出!$N$146,MATCH(B94+SUM(梦灵本体产出!$C$34:$C$37),梦灵本体产出!$H$147:$H$206,1),0)</f>
        <v>15</v>
      </c>
      <c r="H94">
        <f ca="1">MATCH(_xlfn.XLOOKUP(F94,梦灵属性!$E$156:$E$205,梦灵属性!$K$156:$K$205)+D94*10/6,梦灵属性!$K$156:$K$205,1)</f>
        <v>28</v>
      </c>
      <c r="I94">
        <f ca="1">MATCH(_xlfn.XLOOKUP(G94,梦灵属性!$E$206:$E$255,梦灵属性!$K$206:$K$255)+E94*10/3,梦灵属性!$K$206:$K$255,1)</f>
        <v>18</v>
      </c>
      <c r="J94" t="str">
        <f t="shared" si="12"/>
        <v>[{5600005,292},{5600006,83}]</v>
      </c>
      <c r="M94">
        <v>9300</v>
      </c>
      <c r="N94">
        <f ca="1" t="shared" si="13"/>
        <v>3</v>
      </c>
      <c r="O94">
        <f ca="1" t="shared" si="14"/>
        <v>2</v>
      </c>
    </row>
    <row r="95" spans="1:15">
      <c r="A95">
        <v>9400</v>
      </c>
      <c r="B95">
        <f t="shared" si="10"/>
        <v>4000</v>
      </c>
      <c r="C95">
        <f t="shared" si="11"/>
        <v>5400</v>
      </c>
      <c r="D95">
        <f>B95*(Sheet1!$G$8-Sheet1!$K$8)+C95*(Sheet1!$G$9-Sheet1!$K$9)</f>
        <v>296</v>
      </c>
      <c r="E95" s="1">
        <f>ROUNDUP(B95*(Sheet1!$H$8-Sheet1!$J$8)+C95*(Sheet1!$H$9-Sheet1!$J$9),0)</f>
        <v>84</v>
      </c>
      <c r="F95">
        <f ca="1">OFFSET(梦灵本体产出!$M$146,MATCH(A95+SUM(梦灵本体产出!$C$34:$C$37),梦灵本体产出!$H$147:$H$206,1),0)</f>
        <v>26</v>
      </c>
      <c r="G95">
        <f ca="1">OFFSET(梦灵本体产出!$N$146,MATCH(B95+SUM(梦灵本体产出!$C$34:$C$37),梦灵本体产出!$H$147:$H$206,1),0)</f>
        <v>15</v>
      </c>
      <c r="H95">
        <f ca="1">MATCH(_xlfn.XLOOKUP(F95,梦灵属性!$E$156:$E$205,梦灵属性!$K$156:$K$205)+D95*10/6,梦灵属性!$K$156:$K$205,1)</f>
        <v>28</v>
      </c>
      <c r="I95">
        <f ca="1">MATCH(_xlfn.XLOOKUP(G95,梦灵属性!$E$206:$E$255,梦灵属性!$K$206:$K$255)+E95*10/3,梦灵属性!$K$206:$K$255,1)</f>
        <v>19</v>
      </c>
      <c r="J95" t="str">
        <f t="shared" si="12"/>
        <v>[{5600005,296},{5600006,84}]</v>
      </c>
      <c r="M95">
        <v>9400</v>
      </c>
      <c r="N95">
        <f ca="1" t="shared" si="13"/>
        <v>4</v>
      </c>
      <c r="O95">
        <f ca="1" t="shared" si="14"/>
        <v>2</v>
      </c>
    </row>
    <row r="96" spans="1:15">
      <c r="A96">
        <v>9500</v>
      </c>
      <c r="B96">
        <f t="shared" si="10"/>
        <v>4000</v>
      </c>
      <c r="C96">
        <f t="shared" si="11"/>
        <v>5500</v>
      </c>
      <c r="D96">
        <f>B96*(Sheet1!$G$8-Sheet1!$K$8)+C96*(Sheet1!$G$9-Sheet1!$K$9)</f>
        <v>300</v>
      </c>
      <c r="E96" s="1">
        <f>ROUNDUP(B96*(Sheet1!$H$8-Sheet1!$J$8)+C96*(Sheet1!$H$9-Sheet1!$J$9),0)</f>
        <v>85</v>
      </c>
      <c r="F96">
        <f ca="1">OFFSET(梦灵本体产出!$M$146,MATCH(A96+SUM(梦灵本体产出!$C$34:$C$37),梦灵本体产出!$H$147:$H$206,1),0)</f>
        <v>26</v>
      </c>
      <c r="G96">
        <f ca="1">OFFSET(梦灵本体产出!$N$146,MATCH(B96+SUM(梦灵本体产出!$C$34:$C$37),梦灵本体产出!$H$147:$H$206,1),0)</f>
        <v>15</v>
      </c>
      <c r="H96">
        <f ca="1">MATCH(_xlfn.XLOOKUP(F96,梦灵属性!$E$156:$E$205,梦灵属性!$K$156:$K$205)+D96*10/6,梦灵属性!$K$156:$K$205,1)</f>
        <v>28</v>
      </c>
      <c r="I96">
        <f ca="1">MATCH(_xlfn.XLOOKUP(G96,梦灵属性!$E$206:$E$255,梦灵属性!$K$206:$K$255)+E96*10/3,梦灵属性!$K$206:$K$255,1)</f>
        <v>19</v>
      </c>
      <c r="J96" t="str">
        <f t="shared" si="12"/>
        <v>[{5600005,300},{5600006,85}]</v>
      </c>
      <c r="M96">
        <v>9500</v>
      </c>
      <c r="N96">
        <f ca="1" t="shared" si="13"/>
        <v>4</v>
      </c>
      <c r="O96">
        <f ca="1" t="shared" si="14"/>
        <v>2</v>
      </c>
    </row>
    <row r="97" spans="1:15">
      <c r="A97">
        <v>9600</v>
      </c>
      <c r="B97">
        <f t="shared" si="10"/>
        <v>4000</v>
      </c>
      <c r="C97">
        <f t="shared" si="11"/>
        <v>5600</v>
      </c>
      <c r="D97">
        <f>B97*(Sheet1!$G$8-Sheet1!$K$8)+C97*(Sheet1!$G$9-Sheet1!$K$9)</f>
        <v>304</v>
      </c>
      <c r="E97" s="1">
        <f>ROUNDUP(B97*(Sheet1!$H$8-Sheet1!$J$8)+C97*(Sheet1!$H$9-Sheet1!$J$9),0)</f>
        <v>87</v>
      </c>
      <c r="F97">
        <f ca="1">OFFSET(梦灵本体产出!$M$146,MATCH(A97+SUM(梦灵本体产出!$C$34:$C$37),梦灵本体产出!$H$147:$H$206,1),0)</f>
        <v>26</v>
      </c>
      <c r="G97">
        <f ca="1">OFFSET(梦灵本体产出!$N$146,MATCH(B97+SUM(梦灵本体产出!$C$34:$C$37),梦灵本体产出!$H$147:$H$206,1),0)</f>
        <v>15</v>
      </c>
      <c r="H97">
        <f ca="1">MATCH(_xlfn.XLOOKUP(F97,梦灵属性!$E$156:$E$205,梦灵属性!$K$156:$K$205)+D97*10/6,梦灵属性!$K$156:$K$205,1)</f>
        <v>28</v>
      </c>
      <c r="I97">
        <f ca="1">MATCH(_xlfn.XLOOKUP(G97,梦灵属性!$E$206:$E$255,梦灵属性!$K$206:$K$255)+E97*10/3,梦灵属性!$K$206:$K$255,1)</f>
        <v>19</v>
      </c>
      <c r="J97" t="str">
        <f t="shared" si="12"/>
        <v>[{5600005,304},{5600006,87}]</v>
      </c>
      <c r="M97">
        <v>9600</v>
      </c>
      <c r="N97">
        <f ca="1" t="shared" si="13"/>
        <v>4</v>
      </c>
      <c r="O97">
        <f ca="1" t="shared" si="14"/>
        <v>2</v>
      </c>
    </row>
    <row r="98" spans="1:15">
      <c r="A98">
        <v>9700</v>
      </c>
      <c r="B98">
        <f t="shared" si="10"/>
        <v>4000</v>
      </c>
      <c r="C98">
        <f t="shared" si="11"/>
        <v>5700</v>
      </c>
      <c r="D98">
        <f>B98*(Sheet1!$G$8-Sheet1!$K$8)+C98*(Sheet1!$G$9-Sheet1!$K$9)</f>
        <v>308</v>
      </c>
      <c r="E98" s="1">
        <f>ROUNDUP(B98*(Sheet1!$H$8-Sheet1!$J$8)+C98*(Sheet1!$H$9-Sheet1!$J$9),0)</f>
        <v>88</v>
      </c>
      <c r="F98">
        <f ca="1">OFFSET(梦灵本体产出!$M$146,MATCH(A98+SUM(梦灵本体产出!$C$34:$C$37),梦灵本体产出!$H$147:$H$206,1),0)</f>
        <v>26</v>
      </c>
      <c r="G98">
        <f ca="1">OFFSET(梦灵本体产出!$N$146,MATCH(B98+SUM(梦灵本体产出!$C$34:$C$37),梦灵本体产出!$H$147:$H$206,1),0)</f>
        <v>15</v>
      </c>
      <c r="H98">
        <f ca="1">MATCH(_xlfn.XLOOKUP(F98,梦灵属性!$E$156:$E$205,梦灵属性!$K$156:$K$205)+D98*10/6,梦灵属性!$K$156:$K$205,1)</f>
        <v>28</v>
      </c>
      <c r="I98">
        <f ca="1">MATCH(_xlfn.XLOOKUP(G98,梦灵属性!$E$206:$E$255,梦灵属性!$K$206:$K$255)+E98*10/3,梦灵属性!$K$206:$K$255,1)</f>
        <v>19</v>
      </c>
      <c r="J98" t="str">
        <f t="shared" si="12"/>
        <v>[{5600005,308},{5600006,88}]</v>
      </c>
      <c r="M98">
        <v>9700</v>
      </c>
      <c r="N98">
        <f ca="1" t="shared" si="13"/>
        <v>4</v>
      </c>
      <c r="O98">
        <f ca="1" t="shared" si="14"/>
        <v>2</v>
      </c>
    </row>
    <row r="99" spans="1:15">
      <c r="A99">
        <v>9800</v>
      </c>
      <c r="B99">
        <f t="shared" si="10"/>
        <v>4000</v>
      </c>
      <c r="C99">
        <f t="shared" si="11"/>
        <v>5800</v>
      </c>
      <c r="D99">
        <f>B99*(Sheet1!$G$8-Sheet1!$K$8)+C99*(Sheet1!$G$9-Sheet1!$K$9)</f>
        <v>312</v>
      </c>
      <c r="E99" s="1">
        <f>ROUNDUP(B99*(Sheet1!$H$8-Sheet1!$J$8)+C99*(Sheet1!$H$9-Sheet1!$J$9),0)</f>
        <v>89</v>
      </c>
      <c r="F99">
        <f ca="1">OFFSET(梦灵本体产出!$M$146,MATCH(A99+SUM(梦灵本体产出!$C$34:$C$37),梦灵本体产出!$H$147:$H$206,1),0)</f>
        <v>26</v>
      </c>
      <c r="G99">
        <f ca="1">OFFSET(梦灵本体产出!$N$146,MATCH(B99+SUM(梦灵本体产出!$C$34:$C$37),梦灵本体产出!$H$147:$H$206,1),0)</f>
        <v>15</v>
      </c>
      <c r="H99">
        <f ca="1">MATCH(_xlfn.XLOOKUP(F99,梦灵属性!$E$156:$E$205,梦灵属性!$K$156:$K$205)+D99*10/6,梦灵属性!$K$156:$K$205,1)</f>
        <v>28</v>
      </c>
      <c r="I99">
        <f ca="1">MATCH(_xlfn.XLOOKUP(G99,梦灵属性!$E$206:$E$255,梦灵属性!$K$206:$K$255)+E99*10/3,梦灵属性!$K$206:$K$255,1)</f>
        <v>19</v>
      </c>
      <c r="J99" t="str">
        <f t="shared" si="12"/>
        <v>[{5600005,312},{5600006,89}]</v>
      </c>
      <c r="M99">
        <v>9800</v>
      </c>
      <c r="N99">
        <f ca="1" t="shared" si="13"/>
        <v>4</v>
      </c>
      <c r="O99">
        <f ca="1" t="shared" si="14"/>
        <v>2</v>
      </c>
    </row>
    <row r="100" spans="1:15">
      <c r="A100">
        <v>9900</v>
      </c>
      <c r="B100">
        <f t="shared" si="10"/>
        <v>4000</v>
      </c>
      <c r="C100">
        <f t="shared" si="11"/>
        <v>5900</v>
      </c>
      <c r="D100">
        <f>B100*(Sheet1!$G$8-Sheet1!$K$8)+C100*(Sheet1!$G$9-Sheet1!$K$9)</f>
        <v>316</v>
      </c>
      <c r="E100" s="1">
        <f>ROUNDUP(B100*(Sheet1!$H$8-Sheet1!$J$8)+C100*(Sheet1!$H$9-Sheet1!$J$9),0)</f>
        <v>90</v>
      </c>
      <c r="F100">
        <f ca="1">OFFSET(梦灵本体产出!$M$146,MATCH(A100+SUM(梦灵本体产出!$C$34:$C$37),梦灵本体产出!$H$147:$H$206,1),0)</f>
        <v>26</v>
      </c>
      <c r="G100">
        <f ca="1">OFFSET(梦灵本体产出!$N$146,MATCH(B100+SUM(梦灵本体产出!$C$34:$C$37),梦灵本体产出!$H$147:$H$206,1),0)</f>
        <v>15</v>
      </c>
      <c r="H100">
        <f ca="1">MATCH(_xlfn.XLOOKUP(F100,梦灵属性!$E$156:$E$205,梦灵属性!$K$156:$K$205)+D100*10/6,梦灵属性!$K$156:$K$205,1)</f>
        <v>28</v>
      </c>
      <c r="I100">
        <f ca="1">MATCH(_xlfn.XLOOKUP(G100,梦灵属性!$E$206:$E$255,梦灵属性!$K$206:$K$255)+E100*10/3,梦灵属性!$K$206:$K$255,1)</f>
        <v>19</v>
      </c>
      <c r="J100" t="str">
        <f t="shared" si="12"/>
        <v>[{5600005,316},{5600006,90}]</v>
      </c>
      <c r="M100">
        <v>9900</v>
      </c>
      <c r="N100">
        <f ca="1" t="shared" si="13"/>
        <v>4</v>
      </c>
      <c r="O100">
        <f ca="1" t="shared" si="14"/>
        <v>2</v>
      </c>
    </row>
    <row r="101" spans="1:15">
      <c r="A101">
        <v>10000</v>
      </c>
      <c r="B101">
        <f t="shared" si="10"/>
        <v>4000</v>
      </c>
      <c r="C101">
        <f t="shared" si="11"/>
        <v>6000</v>
      </c>
      <c r="D101">
        <f>B101*(Sheet1!$G$8-Sheet1!$K$8)+C101*(Sheet1!$G$9-Sheet1!$K$9)</f>
        <v>320</v>
      </c>
      <c r="E101" s="1">
        <f>ROUNDUP(B101*(Sheet1!$H$8-Sheet1!$J$8)+C101*(Sheet1!$H$9-Sheet1!$J$9),0)</f>
        <v>92</v>
      </c>
      <c r="F101">
        <f ca="1">OFFSET(梦灵本体产出!$M$146,MATCH(A101+SUM(梦灵本体产出!$C$34:$C$37),梦灵本体产出!$H$147:$H$206,1),0)</f>
        <v>26</v>
      </c>
      <c r="G101">
        <f ca="1">OFFSET(梦灵本体产出!$N$146,MATCH(B101+SUM(梦灵本体产出!$C$34:$C$37),梦灵本体产出!$H$147:$H$206,1),0)</f>
        <v>15</v>
      </c>
      <c r="H101">
        <f ca="1">MATCH(_xlfn.XLOOKUP(F101,梦灵属性!$E$156:$E$205,梦灵属性!$K$156:$K$205)+D101*10/6,梦灵属性!$K$156:$K$205,1)</f>
        <v>28</v>
      </c>
      <c r="I101">
        <f ca="1">MATCH(_xlfn.XLOOKUP(G101,梦灵属性!$E$206:$E$255,梦灵属性!$K$206:$K$255)+E101*10/3,梦灵属性!$K$206:$K$255,1)</f>
        <v>19</v>
      </c>
      <c r="J101" t="str">
        <f t="shared" si="12"/>
        <v>[{5600005,320},{5600006,92}]</v>
      </c>
      <c r="M101">
        <v>10000</v>
      </c>
      <c r="N101">
        <f ca="1" t="shared" si="13"/>
        <v>4</v>
      </c>
      <c r="O101">
        <f ca="1" t="shared" si="14"/>
        <v>2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说明</vt:lpstr>
      <vt:lpstr>养成规划</vt:lpstr>
      <vt:lpstr>梦灵属性</vt:lpstr>
      <vt:lpstr>梦灵属性 (新版)</vt:lpstr>
      <vt:lpstr>梦灵本体产出</vt:lpstr>
      <vt:lpstr>梦灵经验产出</vt:lpstr>
      <vt:lpstr>梦灵图鉴</vt:lpstr>
      <vt:lpstr>属性汇总</vt:lpstr>
      <vt:lpstr>抽奖定制</vt:lpstr>
      <vt:lpstr>队伍预设</vt:lpstr>
      <vt:lpstr>星妙之路</vt:lpstr>
      <vt:lpstr>价值表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2025-05-12T09:01:00Z</dcterms:created>
  <dcterms:modified xsi:type="dcterms:W3CDTF">2026-10-13T04:47:17Z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EBF646011E7E4FC2A55642EB9E299090_12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