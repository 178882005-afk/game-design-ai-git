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3"/>
  </bookViews>
  <sheets>
    <sheet name="说明" sheetId="1" r:id="rId1"/>
    <sheet name="养成属性" sheetId="2" r:id="rId2"/>
    <sheet name="秘宝养成" sheetId="9" r:id="rId3"/>
    <sheet name="秘宝产销" sheetId="3" r:id="rId4"/>
    <sheet name="秘宝配置" sheetId="11" r:id="rId5"/>
    <sheet name="秘宝保底机制" sheetId="10" r:id="rId6"/>
    <sheet name="关卡预期" sheetId="12" r:id="rId7"/>
    <sheet name="Sheet1" sheetId="13" r:id="rId8"/>
  </sheets>
  <definedNames>
    <definedName name="_xlnm._FilterDatabase" localSheetId="3" hidden="1">秘宝产销!#REF!</definedName>
    <definedName name="_xlnm._FilterDatabase" localSheetId="2" hidden="1">秘宝养成!#REF!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tc={e701a6af-305f-4e38-97b8-1f5b3e92679b}</author>
    <author>tc={5e2fbb45-0126-466f-8fcc-84dca7236e42}</author>
    <author>tc={927e05fc-ccd1-4e72-a5ba-3ba7bbe1a1a7}</author>
    <author>Administrator</author>
  </authors>
  <commentList>
    <comment ref="G1" authorId="0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可填项：否,是
</t>
        </r>
      </text>
    </comment>
    <comment ref="H1" authorId="1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可填项：数值,万分比
</t>
        </r>
      </text>
    </comment>
    <comment ref="B35" authorId="2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特殊处理：
默认值为0。但在常量表里给所有单位+10000
目的：
这样允许“比例”的修改方式能直接生效，多个比例修改之间能乘算。这是其他dmg不能做到的。
案例：
buff1：提升20%
buff2：提升40%
若同时都有，则100%*120%*140%=168%
</t>
        </r>
      </text>
    </comment>
    <comment ref="C154" authorId="3">
      <text>
        <r>
          <rPr>
            <sz val="9"/>
            <rFont val="等线"/>
            <scheme val="minor"/>
            <charset val="0"/>
          </rPr>
          <t>邹滨城:
原本是攻速,因为队长锤子没走攻速所以改名用于统计面板做显示.后续有需要改回来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<sst xmlns="http://schemas.openxmlformats.org/spreadsheetml/2006/main" count="1496" uniqueCount="697">
  <si>
    <t>基因养成</t>
  </si>
  <si>
    <t>说明</t>
  </si>
  <si>
    <t>基因升级</t>
  </si>
  <si>
    <t>梦灵升级消耗【基因罐】＋【金币】＋【时间】，大节点消耗【大基因罐】</t>
  </si>
  <si>
    <t>基因养成体验</t>
  </si>
  <si>
    <t>基因升级的属性加给主角攻击力，对标装备养成节奏</t>
  </si>
  <si>
    <t>1、养成：全绑定主角伤害，少量攻击力丢到这里来。</t>
  </si>
  <si>
    <t>2、加速产出： 大量在前期运营活动、主线通关奖励（快速释放）、每日任务（主要）里面产加速材料</t>
  </si>
  <si>
    <t>3、天赋石产出：体力扫荡（主要）、个人挑战本商店（肝度）、</t>
  </si>
  <si>
    <t>整体体验：前期用主线和活动产的加速去释放，每天固定产很多小时加速（48h+），防止需要高频点击带来的肝度提升</t>
  </si>
  <si>
    <t>关联配置</t>
  </si>
  <si>
    <t>配置</t>
  </si>
  <si>
    <t>字段</t>
  </si>
  <si>
    <t>值</t>
  </si>
  <si>
    <t>J_基因_evolve_data</t>
  </si>
  <si>
    <t>X_效果映射_effect_mapping_data</t>
  </si>
  <si>
    <t>*基因节点引用效果映射表，具体技能内容根据实际进行配置</t>
  </si>
  <si>
    <t>*预留最后一行</t>
  </si>
  <si>
    <t>本页结束</t>
  </si>
  <si>
    <t>养成属性</t>
  </si>
  <si>
    <t>属性规划</t>
  </si>
  <si>
    <t>对标梦灵升级</t>
  </si>
  <si>
    <t>对标技能</t>
  </si>
  <si>
    <t>对标梦灵升阶</t>
  </si>
  <si>
    <t>秘宝概率</t>
  </si>
  <si>
    <t>秘宝等级</t>
  </si>
  <si>
    <t>披风消耗</t>
  </si>
  <si>
    <t>技能升级消耗</t>
  </si>
  <si>
    <t>天数</t>
  </si>
  <si>
    <t>预期强度</t>
  </si>
  <si>
    <t>秘宝强度</t>
  </si>
  <si>
    <t>白</t>
  </si>
  <si>
    <t>绿</t>
  </si>
  <si>
    <t>蓝</t>
  </si>
  <si>
    <t>紫</t>
  </si>
  <si>
    <t>橙</t>
  </si>
  <si>
    <t>红</t>
  </si>
  <si>
    <t>粉</t>
  </si>
  <si>
    <t>彩</t>
  </si>
  <si>
    <t>彩1</t>
  </si>
  <si>
    <t>彩2</t>
  </si>
  <si>
    <t>彩3</t>
  </si>
  <si>
    <t>预期概率</t>
  </si>
  <si>
    <t>稀释概率</t>
  </si>
  <si>
    <t>保底次数</t>
  </si>
  <si>
    <t>秘宝属性</t>
  </si>
  <si>
    <t>秘宝词条</t>
  </si>
  <si>
    <t>属性原子</t>
  </si>
  <si>
    <t>普通</t>
  </si>
  <si>
    <t>优秀</t>
  </si>
  <si>
    <t>稀有</t>
  </si>
  <si>
    <t>史诗</t>
  </si>
  <si>
    <t>传说</t>
  </si>
  <si>
    <t>神话</t>
  </si>
  <si>
    <t>创世</t>
  </si>
  <si>
    <t>炫彩1</t>
  </si>
  <si>
    <t>炫彩2</t>
  </si>
  <si>
    <t>炫彩3</t>
  </si>
  <si>
    <t>城墙血</t>
  </si>
  <si>
    <t>怪物抵抗</t>
  </si>
  <si>
    <t>城墙血量</t>
  </si>
  <si>
    <t>城墙自动回血</t>
  </si>
  <si>
    <t>怪物增伤</t>
  </si>
  <si>
    <t>城墙反弹伤害</t>
  </si>
  <si>
    <t>英雄增伤</t>
  </si>
  <si>
    <t>击杀怪物回血</t>
  </si>
  <si>
    <t>玩法增伤</t>
  </si>
  <si>
    <t>对高速怪物增伤</t>
  </si>
  <si>
    <t>无视抗性</t>
  </si>
  <si>
    <t>对飞行怪物增伤</t>
  </si>
  <si>
    <t>暴击伤害</t>
  </si>
  <si>
    <t>对肉盾怪物增伤</t>
  </si>
  <si>
    <t>对远程怪物增伤</t>
  </si>
  <si>
    <t>对首领增伤</t>
  </si>
  <si>
    <t>高速怪物抵抗</t>
  </si>
  <si>
    <t>飞行怪物抵抗</t>
  </si>
  <si>
    <t>肉盾怪物抵抗</t>
  </si>
  <si>
    <t>远程怪物抵抗</t>
  </si>
  <si>
    <t>无视战士抗性</t>
  </si>
  <si>
    <t>无视法师抗性</t>
  </si>
  <si>
    <t>绝世</t>
  </si>
  <si>
    <t>无视射手抗性</t>
  </si>
  <si>
    <t>至尊</t>
  </si>
  <si>
    <t>无视毒系抗性</t>
  </si>
  <si>
    <t>无视召唤抗性</t>
  </si>
  <si>
    <t>无视控制抗性</t>
  </si>
  <si>
    <t>50关</t>
  </si>
  <si>
    <t>国王伤害</t>
  </si>
  <si>
    <t>全体英雄增伤</t>
  </si>
  <si>
    <t>战士英雄增伤</t>
  </si>
  <si>
    <t>法师英雄增伤</t>
  </si>
  <si>
    <t>射手英雄增伤</t>
  </si>
  <si>
    <t>毒系英雄增伤</t>
  </si>
  <si>
    <t>召唤英雄增伤</t>
  </si>
  <si>
    <t>控制英雄增伤</t>
  </si>
  <si>
    <t>战士暴击伤害</t>
  </si>
  <si>
    <t>法师暴击伤害</t>
  </si>
  <si>
    <t>射手暴击伤害</t>
  </si>
  <si>
    <t>毒系暴击伤害</t>
  </si>
  <si>
    <t>召唤暴击伤害</t>
  </si>
  <si>
    <t>控制暴击伤害</t>
  </si>
  <si>
    <t>主线增伤</t>
  </si>
  <si>
    <t>竞技场增伤</t>
  </si>
  <si>
    <t>秘宝品质</t>
  </si>
  <si>
    <t>秘宝属性系数</t>
  </si>
  <si>
    <t>权重</t>
  </si>
  <si>
    <t>秘宝属性基数</t>
  </si>
  <si>
    <t>对远程怪增伤</t>
  </si>
  <si>
    <t>对肉盾怪增伤</t>
  </si>
  <si>
    <t>对高速怪增伤</t>
  </si>
  <si>
    <t>法师无视抗性</t>
  </si>
  <si>
    <t>射手无视抗性</t>
  </si>
  <si>
    <t>控制无视抗性</t>
  </si>
  <si>
    <t>毒系无视抗性</t>
  </si>
  <si>
    <t>召唤无视抗性</t>
  </si>
  <si>
    <t>队长伤害加成</t>
  </si>
  <si>
    <t>伤害加成</t>
  </si>
  <si>
    <t>法师伤害</t>
  </si>
  <si>
    <t>射手伤害</t>
  </si>
  <si>
    <t>控制伤害</t>
  </si>
  <si>
    <t>毒系伤害</t>
  </si>
  <si>
    <t>召唤伤害</t>
  </si>
  <si>
    <t>战士伤害</t>
  </si>
  <si>
    <t>主线挑战增伤</t>
  </si>
  <si>
    <t>梦域巡航增伤</t>
  </si>
  <si>
    <t>投放规划</t>
  </si>
  <si>
    <t>产出预期</t>
  </si>
  <si>
    <t>产出途径</t>
  </si>
  <si>
    <t>白银罗盘</t>
  </si>
  <si>
    <t>黄金罗盘</t>
  </si>
  <si>
    <t>总产出</t>
  </si>
  <si>
    <t>占比</t>
  </si>
  <si>
    <t>总和</t>
  </si>
  <si>
    <t>后期(加成)</t>
  </si>
  <si>
    <t>蔚蓝</t>
  </si>
  <si>
    <t>公会商店</t>
  </si>
  <si>
    <t>矿鼠之家</t>
  </si>
  <si>
    <t>竞技场商店</t>
  </si>
  <si>
    <t>公会boss</t>
  </si>
  <si>
    <t>主线挑战</t>
  </si>
  <si>
    <t>梦境</t>
  </si>
  <si>
    <t>公会挂机</t>
  </si>
  <si>
    <t>竞技场挑战</t>
  </si>
  <si>
    <t>公会</t>
  </si>
  <si>
    <t>外围</t>
  </si>
  <si>
    <t>秘宝规划</t>
  </si>
  <si>
    <t>一句话总结：我们秘宝太前置，养成资源拿的轻松了一些，释放感觉弱。蔚蓝偏后置不断拿地鼠材料去兑换</t>
  </si>
  <si>
    <t>开启时间从先到后</t>
  </si>
  <si>
    <t>系统定位</t>
  </si>
  <si>
    <t>开启时间</t>
  </si>
  <si>
    <t>产出占比</t>
  </si>
  <si>
    <t>定位分析</t>
  </si>
  <si>
    <t>功能开启</t>
  </si>
  <si>
    <t>第15关（第一天）</t>
  </si>
  <si>
    <t>每日商店（产出矿鼠材料）</t>
  </si>
  <si>
    <t>第8关（第一天）</t>
  </si>
  <si>
    <t>玩法向（周期性产出）</t>
  </si>
  <si>
    <t>提前开放，前期格子不够没啥体验</t>
  </si>
  <si>
    <t>第3天</t>
  </si>
  <si>
    <t>每日挑战（产出矿鼠材料）</t>
  </si>
  <si>
    <t>一次产出</t>
  </si>
  <si>
    <t>第30关（第三、四天）</t>
  </si>
  <si>
    <t>第30关（第三、四天），快的话第二天</t>
  </si>
  <si>
    <t>每日挑战</t>
  </si>
  <si>
    <t>最早投放</t>
  </si>
  <si>
    <t>担心这里撑不起体验</t>
  </si>
  <si>
    <t>每日挂机（缺少这里的体验）</t>
  </si>
  <si>
    <t>第二天</t>
  </si>
  <si>
    <t>循环产出，有基础体验</t>
  </si>
  <si>
    <t>每日商店</t>
  </si>
  <si>
    <t>第二天、14号服第三天</t>
  </si>
  <si>
    <t>第三天</t>
  </si>
  <si>
    <t>主线宝箱</t>
  </si>
  <si>
    <t>预期强度(百分比)</t>
  </si>
  <si>
    <t>秘宝强度(关卡数)</t>
  </si>
  <si>
    <t>精英增伤</t>
  </si>
  <si>
    <t>梦灵增伤</t>
  </si>
  <si>
    <t>主线</t>
  </si>
  <si>
    <t>属性id (必须大于100)</t>
  </si>
  <si>
    <t>原子</t>
  </si>
  <si>
    <t>名称</t>
  </si>
  <si>
    <t>展示排序</t>
  </si>
  <si>
    <r>
      <rPr>
        <b/>
        <sz val="9"/>
        <color indexed="53"/>
        <rFont val="微软雅黑"/>
        <charset val="134"/>
      </rPr>
      <t>作用对象（玩家角度）
1-</t>
    </r>
    <r>
      <rPr>
        <sz val="9"/>
        <color indexed="53"/>
        <rFont val="微软雅黑"/>
        <charset val="134"/>
      </rPr>
      <t>基地（作用于基地）
2-梦灵/不填（作用于梦灵）
3-主角（只作用与主角身上）</t>
    </r>
  </si>
  <si>
    <t>属性增幅对象
单纯的这类属性没有作用,必须要有增幅对象才能产生作用</t>
  </si>
  <si>
    <t>主角属性列表
是否显示</t>
  </si>
  <si>
    <t>单位</t>
  </si>
  <si>
    <t>id</t>
  </si>
  <si>
    <t>atom</t>
  </si>
  <si>
    <t>name</t>
  </si>
  <si>
    <t>order</t>
  </si>
  <si>
    <t>target</t>
  </si>
  <si>
    <t>rate_target</t>
  </si>
  <si>
    <t>is_show</t>
  </si>
  <si>
    <t>type</t>
  </si>
  <si>
    <t>基础属性↓</t>
  </si>
  <si>
    <t>max_hp</t>
  </si>
  <si>
    <t>生命</t>
  </si>
  <si>
    <t/>
  </si>
  <si>
    <t>数值</t>
  </si>
  <si>
    <t>hp_rate</t>
  </si>
  <si>
    <t>生命加成</t>
  </si>
  <si>
    <t>万分比</t>
  </si>
  <si>
    <t>atk</t>
  </si>
  <si>
    <t>攻击</t>
  </si>
  <si>
    <t>atk_rate</t>
  </si>
  <si>
    <t>攻击加成</t>
  </si>
  <si>
    <t>atk_speed</t>
  </si>
  <si>
    <t>攻速</t>
  </si>
  <si>
    <t>max_energy</t>
  </si>
  <si>
    <t>能量</t>
  </si>
  <si>
    <t>energy_rate</t>
  </si>
  <si>
    <t>能量增幅</t>
  </si>
  <si>
    <t>energy_recover</t>
  </si>
  <si>
    <t>充能时间</t>
  </si>
  <si>
    <t>时间</t>
  </si>
  <si>
    <t>energy_recover_rate</t>
  </si>
  <si>
    <t>充能效率</t>
  </si>
  <si>
    <t>energy_reuse_rate</t>
  </si>
  <si>
    <t>几率不消耗能量</t>
  </si>
  <si>
    <t>energy_recover_finish_rate</t>
  </si>
  <si>
    <t>几率立即充能完成</t>
  </si>
  <si>
    <t>move_speed</t>
  </si>
  <si>
    <t>移动速度</t>
  </si>
  <si>
    <t>move_speed_rate</t>
  </si>
  <si>
    <t>移速加成</t>
  </si>
  <si>
    <t>crit_rate</t>
  </si>
  <si>
    <t>暴击率</t>
  </si>
  <si>
    <t>crit_resist</t>
  </si>
  <si>
    <t>抗暴率</t>
  </si>
  <si>
    <t>crit_dmg</t>
  </si>
  <si>
    <t>crit_dmg_red</t>
  </si>
  <si>
    <t>暴伤减免</t>
  </si>
  <si>
    <t>dodge</t>
  </si>
  <si>
    <t>闪避</t>
  </si>
  <si>
    <t>max_shield</t>
  </si>
  <si>
    <t>护盾上限</t>
  </si>
  <si>
    <t>shield</t>
  </si>
  <si>
    <t>护盾</t>
  </si>
  <si>
    <t>ignore_red</t>
  </si>
  <si>
    <t>伤害增减↓</t>
  </si>
  <si>
    <t>dmg_rate</t>
  </si>
  <si>
    <t>dmg_red_rate</t>
  </si>
  <si>
    <t>伤害减免</t>
  </si>
  <si>
    <t>是</t>
  </si>
  <si>
    <t>dmg_red</t>
  </si>
  <si>
    <t>固定减伤</t>
  </si>
  <si>
    <t>final_dmg_rate</t>
  </si>
  <si>
    <t>最终伤害</t>
  </si>
  <si>
    <t>final_dmg_red_rate</t>
  </si>
  <si>
    <t>最终减伤</t>
  </si>
  <si>
    <t>blue_dmg_rate</t>
  </si>
  <si>
    <t>特殊伤害加成</t>
  </si>
  <si>
    <t>mechanic_dmg_rate</t>
  </si>
  <si>
    <t>机制伤害加成</t>
  </si>
  <si>
    <t>[2,3]</t>
  </si>
  <si>
    <t>stage_dmg_rate</t>
  </si>
  <si>
    <t>升阶伤害加成</t>
  </si>
  <si>
    <t>distance_dmg_rate</t>
  </si>
  <si>
    <t>距离伤害加成</t>
  </si>
  <si>
    <t>rune_dmg_rate</t>
  </si>
  <si>
    <t>符文增伤属性</t>
  </si>
  <si>
    <t>exclusive_dmg_rate</t>
  </si>
  <si>
    <t>专属增伤属性</t>
  </si>
  <si>
    <t>tape_dmg_rate</t>
  </si>
  <si>
    <t>卡带增伤属性</t>
  </si>
  <si>
    <t>dress_dmg_rate</t>
  </si>
  <si>
    <t>皮肤增伤属性</t>
  </si>
  <si>
    <t>equipment_dmg_rate</t>
  </si>
  <si>
    <t>装备增伤属性</t>
  </si>
  <si>
    <t>元素机制↓</t>
  </si>
  <si>
    <t>element_inc_rate</t>
  </si>
  <si>
    <t>全元素伤害</t>
  </si>
  <si>
    <t>element_red_rate</t>
  </si>
  <si>
    <t>全元素抗性</t>
  </si>
  <si>
    <t>element_atk</t>
  </si>
  <si>
    <t>全元素攻击</t>
  </si>
  <si>
    <t>physic_inc_rate</t>
  </si>
  <si>
    <t>物理伤害</t>
  </si>
  <si>
    <t>physic_red_rate</t>
  </si>
  <si>
    <t>物理抗性</t>
  </si>
  <si>
    <t>physic_atk</t>
  </si>
  <si>
    <t>物理攻击</t>
  </si>
  <si>
    <t>confusion_inc_rate</t>
  </si>
  <si>
    <t>念力伤害</t>
  </si>
  <si>
    <t>confusion_red_rate</t>
  </si>
  <si>
    <t>念力抗性</t>
  </si>
  <si>
    <t>confusion_atk</t>
  </si>
  <si>
    <t>念力攻击</t>
  </si>
  <si>
    <t>fire_inc_rate</t>
  </si>
  <si>
    <t>火伤害</t>
  </si>
  <si>
    <t>fire_red_rate</t>
  </si>
  <si>
    <t>火抗性</t>
  </si>
  <si>
    <t>fire_atk</t>
  </si>
  <si>
    <t>火攻击</t>
  </si>
  <si>
    <t>ice_inc_rate</t>
  </si>
  <si>
    <t>冰伤害</t>
  </si>
  <si>
    <t>ice_red_rate</t>
  </si>
  <si>
    <t>冰抗性</t>
  </si>
  <si>
    <t>ice_atk</t>
  </si>
  <si>
    <t>冰攻击</t>
  </si>
  <si>
    <t>wind_inc_rate</t>
  </si>
  <si>
    <t>风伤害</t>
  </si>
  <si>
    <t>wind_red_rate</t>
  </si>
  <si>
    <t>风抗性</t>
  </si>
  <si>
    <t>wind_atk</t>
  </si>
  <si>
    <t>风攻击</t>
  </si>
  <si>
    <t>lightning_inc_rate</t>
  </si>
  <si>
    <t>电伤害</t>
  </si>
  <si>
    <t>lightning_red_rate</t>
  </si>
  <si>
    <t>电抗性</t>
  </si>
  <si>
    <t>lightning_atk</t>
  </si>
  <si>
    <t>电攻击</t>
  </si>
  <si>
    <t>poison_inc_rate</t>
  </si>
  <si>
    <t>毒伤害</t>
  </si>
  <si>
    <t>poison_red_rate</t>
  </si>
  <si>
    <t>毒抗性</t>
  </si>
  <si>
    <t>poison_atk</t>
  </si>
  <si>
    <t>毒攻击</t>
  </si>
  <si>
    <t>技能类型效果系数↓</t>
  </si>
  <si>
    <t>main_hit_rate</t>
  </si>
  <si>
    <t>主伤增幅</t>
  </si>
  <si>
    <t>sub_hit_rate</t>
  </si>
  <si>
    <t>副伤增幅</t>
  </si>
  <si>
    <t>bomb_hit_rate</t>
  </si>
  <si>
    <t>爆炸增幅</t>
  </si>
  <si>
    <t>bullet_hit_rate</t>
  </si>
  <si>
    <t>弹道增幅</t>
  </si>
  <si>
    <t>common_hit_rate</t>
  </si>
  <si>
    <t>技能增幅</t>
  </si>
  <si>
    <t>main_hit_red_rate</t>
  </si>
  <si>
    <t>主伤抗性</t>
  </si>
  <si>
    <t>sub_hit_red_rate</t>
  </si>
  <si>
    <t>副伤抗性</t>
  </si>
  <si>
    <t>bomb_hit_red_rate</t>
  </si>
  <si>
    <t>爆炸抗性</t>
  </si>
  <si>
    <t>bullet_hit_red_rate</t>
  </si>
  <si>
    <t>弹道抗性</t>
  </si>
  <si>
    <t>dot_hit_rate</t>
  </si>
  <si>
    <t>异常增伤</t>
  </si>
  <si>
    <t>dot_hit_red_rate</t>
  </si>
  <si>
    <t>异常减伤</t>
  </si>
  <si>
    <t>特殊效果类属性↓</t>
  </si>
  <si>
    <t>heal_rate</t>
  </si>
  <si>
    <t>治疗加成</t>
  </si>
  <si>
    <t>[2]</t>
  </si>
  <si>
    <t>be_heal_rate</t>
  </si>
  <si>
    <t>受疗加成</t>
  </si>
  <si>
    <t>shield_rate</t>
  </si>
  <si>
    <t>护盾加成</t>
  </si>
  <si>
    <t>be_shield_rate</t>
  </si>
  <si>
    <t>受盾加成</t>
  </si>
  <si>
    <t>knockback_inc_rate</t>
  </si>
  <si>
    <t>击退增幅比</t>
  </si>
  <si>
    <t>knockback_red_rate</t>
  </si>
  <si>
    <t>击退抗性比</t>
  </si>
  <si>
    <t>talisman_fit_num</t>
  </si>
  <si>
    <t>槽位数量</t>
  </si>
  <si>
    <t>energy_cd_reduce_rate</t>
  </si>
  <si>
    <t>能量消耗间隔加速</t>
  </si>
  <si>
    <t>dot_time</t>
  </si>
  <si>
    <t>负面效果时间</t>
  </si>
  <si>
    <t>ignore_red_rate</t>
  </si>
  <si>
    <t>几率忽视目标防御</t>
  </si>
  <si>
    <t>dot_time_rate</t>
  </si>
  <si>
    <t>负面效果延长</t>
  </si>
  <si>
    <t>battle_dmg_rate</t>
  </si>
  <si>
    <t>局内伤害加成</t>
  </si>
  <si>
    <t>knockback_time_inc_rate</t>
  </si>
  <si>
    <t>击飞时长增幅比</t>
  </si>
  <si>
    <t>knockback_time_red_rate</t>
  </si>
  <si>
    <t>击飞时长抗性比</t>
  </si>
  <si>
    <t>knockback_force_inc_rate</t>
  </si>
  <si>
    <t>牵引力增幅比</t>
  </si>
  <si>
    <t>knockback_force_red_rate</t>
  </si>
  <si>
    <t>牵引力抗性比</t>
  </si>
  <si>
    <t>taunt_num</t>
  </si>
  <si>
    <t>嘲讽最大数量</t>
  </si>
  <si>
    <t>dot_crit_rate_scale</t>
  </si>
  <si>
    <t>dot伤害暴击缩放系数</t>
  </si>
  <si>
    <t>其他↓</t>
  </si>
  <si>
    <t>unit_atk_rate</t>
  </si>
  <si>
    <t>基础攻击</t>
  </si>
  <si>
    <t>revive_times</t>
  </si>
  <si>
    <t>复活次数</t>
  </si>
  <si>
    <t>[3]</t>
  </si>
  <si>
    <t>multiple_choices_rate</t>
  </si>
  <si>
    <t>多选卡带掉落几率</t>
  </si>
  <si>
    <t>multiple_choices</t>
  </si>
  <si>
    <t>多选卡带选项</t>
  </si>
  <si>
    <t>original_card</t>
  </si>
  <si>
    <t>战中初始卡带数</t>
  </si>
  <si>
    <t>original_hero</t>
  </si>
  <si>
    <t>战中初始梦灵数</t>
  </si>
  <si>
    <t>refresh_card</t>
  </si>
  <si>
    <t>战中卡带刷新次数</t>
  </si>
  <si>
    <t>normal_monster_hit_rate</t>
  </si>
  <si>
    <t>对小怪增伤</t>
  </si>
  <si>
    <t>elitist_monster_hit_rate</t>
  </si>
  <si>
    <t>对精英增伤</t>
  </si>
  <si>
    <t>boss_monster_hit_rate</t>
  </si>
  <si>
    <t>summon_monster_hit_rate</t>
  </si>
  <si>
    <t>对召唤怪增伤</t>
  </si>
  <si>
    <t>fly_monster_hit_rate</t>
  </si>
  <si>
    <t>对飞行怪增伤</t>
  </si>
  <si>
    <t>ranged_monster_hit_rate</t>
  </si>
  <si>
    <t>tank_monster_hit_rate</t>
  </si>
  <si>
    <t>fast_monster_hit_rate</t>
  </si>
  <si>
    <t>chapter_pve_hit_rate</t>
  </si>
  <si>
    <t>event_pve_hit_rare</t>
  </si>
  <si>
    <t>week_pve_hit_rare</t>
  </si>
  <si>
    <t>情绪净化增伤</t>
  </si>
  <si>
    <t>revive_red_time</t>
  </si>
  <si>
    <t>复活时间减少</t>
  </si>
  <si>
    <t>revive_hp_rate</t>
  </si>
  <si>
    <t>复活血量加成</t>
  </si>
  <si>
    <t>revive_knockback</t>
  </si>
  <si>
    <t>复活击退距离增加</t>
  </si>
  <si>
    <t>scale</t>
  </si>
  <si>
    <t>缩放</t>
  </si>
  <si>
    <t>battle_select_times</t>
  </si>
  <si>
    <t>三选一额外次数</t>
  </si>
  <si>
    <t>arena_pve_hit_rare</t>
  </si>
  <si>
    <t>荧幕争锋增伤</t>
  </si>
  <si>
    <t>全体友方加成↓</t>
  </si>
  <si>
    <t>crew_attr_rate</t>
  </si>
  <si>
    <t>crew_hp_rate</t>
  </si>
  <si>
    <t>面板显示↓</t>
  </si>
  <si>
    <t>atk_interval</t>
  </si>
  <si>
    <t>power</t>
  </si>
  <si>
    <t>战力</t>
  </si>
  <si>
    <t>rune_add</t>
  </si>
  <si>
    <t>符文攻击</t>
  </si>
  <si>
    <t>队长属性↓</t>
  </si>
  <si>
    <t>captain_max_hp</t>
  </si>
  <si>
    <t>队长生命</t>
  </si>
  <si>
    <t>captain_hp_rate</t>
  </si>
  <si>
    <t>队长生命加成</t>
  </si>
  <si>
    <t>captain_atk</t>
  </si>
  <si>
    <t>队长攻击</t>
  </si>
  <si>
    <t>captain_atk_rate</t>
  </si>
  <si>
    <t>队长攻击加成</t>
  </si>
  <si>
    <t>captain_atk_speed</t>
  </si>
  <si>
    <t>队长冷却缩减</t>
  </si>
  <si>
    <t>captain_dmg_rate</t>
  </si>
  <si>
    <t>captain_dmg_red_rate</t>
  </si>
  <si>
    <t>队长伤害减免</t>
  </si>
  <si>
    <t>captain_dmg_red</t>
  </si>
  <si>
    <t>队长固定减伤</t>
  </si>
  <si>
    <t>captain_crit_rate</t>
  </si>
  <si>
    <t>队长暴击率</t>
  </si>
  <si>
    <t>captain_crit_resist</t>
  </si>
  <si>
    <t>队长抗暴率</t>
  </si>
  <si>
    <t>captain_crit_dmg</t>
  </si>
  <si>
    <t>队长暴击伤害</t>
  </si>
  <si>
    <t>captain_crit_dmg_red</t>
  </si>
  <si>
    <t>队长暴伤减免</t>
  </si>
  <si>
    <t>captain_ignore_red</t>
  </si>
  <si>
    <t>队长无视抗性</t>
  </si>
  <si>
    <t>captain_red_rate</t>
  </si>
  <si>
    <t>队长抗性</t>
  </si>
  <si>
    <t>全局属性↓</t>
  </si>
  <si>
    <t>global_max_hp</t>
  </si>
  <si>
    <t>global_hp_rate</t>
  </si>
  <si>
    <t>global_atk</t>
  </si>
  <si>
    <t>global_atk_rate</t>
  </si>
  <si>
    <t>global_atk_speed</t>
  </si>
  <si>
    <t>global_crit_rate</t>
  </si>
  <si>
    <t>global_crit_dmg</t>
  </si>
  <si>
    <t>global_dmg_rate</t>
  </si>
  <si>
    <t>global_ignore_red</t>
  </si>
  <si>
    <t>global_red_rate</t>
  </si>
  <si>
    <t>抗性</t>
  </si>
  <si>
    <t>职业属性↓</t>
  </si>
  <si>
    <t>warrior_max_hp</t>
  </si>
  <si>
    <t>战士生命</t>
  </si>
  <si>
    <t>warrior_hp_rate</t>
  </si>
  <si>
    <t>战士生命加成</t>
  </si>
  <si>
    <t>warrior_atk</t>
  </si>
  <si>
    <t>战士攻击</t>
  </si>
  <si>
    <t>warrior_atk_rate</t>
  </si>
  <si>
    <t>战士攻击加成</t>
  </si>
  <si>
    <t>warrior_atk_speed</t>
  </si>
  <si>
    <t>战士攻速</t>
  </si>
  <si>
    <t>warrior_dmg_rate</t>
  </si>
  <si>
    <t>默认显示</t>
  </si>
  <si>
    <t>warrior_dmg_red_rate</t>
  </si>
  <si>
    <t>战士伤害减免</t>
  </si>
  <si>
    <t>warrior_dmg_red</t>
  </si>
  <si>
    <t>战士固定减伤</t>
  </si>
  <si>
    <t>warrior_crit_rate</t>
  </si>
  <si>
    <t>战士暴击率</t>
  </si>
  <si>
    <t>warrior_crit_resist</t>
  </si>
  <si>
    <t>战士抗暴率</t>
  </si>
  <si>
    <t>warrior_crit_dmg</t>
  </si>
  <si>
    <t>warrior_crit_dmg_red</t>
  </si>
  <si>
    <t>战士暴伤减免</t>
  </si>
  <si>
    <t>warrior_ignore_red</t>
  </si>
  <si>
    <t>战士无视抗性</t>
  </si>
  <si>
    <t>warrior_red_rate</t>
  </si>
  <si>
    <t>战士抗性</t>
  </si>
  <si>
    <t>mage_max_hp</t>
  </si>
  <si>
    <t>法师生命</t>
  </si>
  <si>
    <t>mage_hp_rate</t>
  </si>
  <si>
    <t>法师生命加成</t>
  </si>
  <si>
    <t>mage_atk</t>
  </si>
  <si>
    <t>法师攻击</t>
  </si>
  <si>
    <t>mage_atk_rate</t>
  </si>
  <si>
    <t>法师攻击加成</t>
  </si>
  <si>
    <t>mage_atk_speed</t>
  </si>
  <si>
    <t>法师攻速</t>
  </si>
  <si>
    <t>mage_dmg_rate</t>
  </si>
  <si>
    <t>mage_dmg_red_rate</t>
  </si>
  <si>
    <t>法师伤害减免</t>
  </si>
  <si>
    <t>mage_dmg_red</t>
  </si>
  <si>
    <t>法师固定减伤</t>
  </si>
  <si>
    <t>mage_crit_rate</t>
  </si>
  <si>
    <t>法师暴击率</t>
  </si>
  <si>
    <t>mage_crit_resist</t>
  </si>
  <si>
    <t>法师抗暴率</t>
  </si>
  <si>
    <t>mage_crit_dmg</t>
  </si>
  <si>
    <t>mage_crit_dmg_red</t>
  </si>
  <si>
    <t>法师暴伤减免</t>
  </si>
  <si>
    <t>mage_ignore_red</t>
  </si>
  <si>
    <t>mage_red_rate</t>
  </si>
  <si>
    <t>法师抗性</t>
  </si>
  <si>
    <t>hunter_max_hp</t>
  </si>
  <si>
    <t>射手生命</t>
  </si>
  <si>
    <t>hunter_hp_rate</t>
  </si>
  <si>
    <t>射手生命加成</t>
  </si>
  <si>
    <t>hunter_atk</t>
  </si>
  <si>
    <t>射手攻击</t>
  </si>
  <si>
    <t>hunter_atk_rate</t>
  </si>
  <si>
    <t>射手攻击加成</t>
  </si>
  <si>
    <t>hunter_atk_speed</t>
  </si>
  <si>
    <t>射手攻速</t>
  </si>
  <si>
    <t>hunter_dmg_rate</t>
  </si>
  <si>
    <t>hunter_dmg_red_rate</t>
  </si>
  <si>
    <t>射手伤害减免</t>
  </si>
  <si>
    <t>hunter_dmg_red</t>
  </si>
  <si>
    <t>射手固定减伤</t>
  </si>
  <si>
    <t>hunter_crit_rate</t>
  </si>
  <si>
    <t>射手暴击率</t>
  </si>
  <si>
    <t>hunter_crit_resist</t>
  </si>
  <si>
    <t>射手抗暴率</t>
  </si>
  <si>
    <t>hunter_crit_dmg</t>
  </si>
  <si>
    <t>hunter_crit_dmg_red</t>
  </si>
  <si>
    <t>射手暴伤减免</t>
  </si>
  <si>
    <t>hunter_ignore_red</t>
  </si>
  <si>
    <t>hunter_red_rate</t>
  </si>
  <si>
    <t>射手抗性</t>
  </si>
  <si>
    <t>auxiliary_max_hp</t>
  </si>
  <si>
    <t>辅助生命</t>
  </si>
  <si>
    <t>auxiliary_hp_rate</t>
  </si>
  <si>
    <t>辅助生命加成</t>
  </si>
  <si>
    <t>auxiliary_atk</t>
  </si>
  <si>
    <t>辅助攻击</t>
  </si>
  <si>
    <t>auxiliary_atk_rate</t>
  </si>
  <si>
    <t>辅助攻击加成</t>
  </si>
  <si>
    <t>auxiliary_atk_speed</t>
  </si>
  <si>
    <t>辅助攻速</t>
  </si>
  <si>
    <t>auxiliary_dmg_rate</t>
  </si>
  <si>
    <t>辅助伤害</t>
  </si>
  <si>
    <t>auxiliary_dmg_red_rate</t>
  </si>
  <si>
    <t>辅助伤害减免</t>
  </si>
  <si>
    <t>auxiliary_dmg_red</t>
  </si>
  <si>
    <t>辅助固定减伤</t>
  </si>
  <si>
    <t>auxiliary_crit_rate</t>
  </si>
  <si>
    <t>辅助暴击率</t>
  </si>
  <si>
    <t>auxiliary_crit_resist</t>
  </si>
  <si>
    <t>辅助抗暴率</t>
  </si>
  <si>
    <t>auxiliary_crit_dmg</t>
  </si>
  <si>
    <t>辅助暴击伤害</t>
  </si>
  <si>
    <t>auxiliary_crit_dmg_red</t>
  </si>
  <si>
    <t>辅助暴伤减免</t>
  </si>
  <si>
    <t>auxiliary_ignore_red</t>
  </si>
  <si>
    <t>辅助无视抗性</t>
  </si>
  <si>
    <t>auxiliary_red_rate</t>
  </si>
  <si>
    <t>辅助抗性</t>
  </si>
  <si>
    <t>control_max_hp</t>
  </si>
  <si>
    <t>控制生命</t>
  </si>
  <si>
    <t>control_hp_rate</t>
  </si>
  <si>
    <t>控制生命加成</t>
  </si>
  <si>
    <t>control_atk</t>
  </si>
  <si>
    <t>控制攻击</t>
  </si>
  <si>
    <t>control_atk_rate</t>
  </si>
  <si>
    <t>控制攻击加成</t>
  </si>
  <si>
    <t>control_atk_speed</t>
  </si>
  <si>
    <t>控制攻速</t>
  </si>
  <si>
    <t>control_dmg_rate</t>
  </si>
  <si>
    <t>control_dmg_red_rate</t>
  </si>
  <si>
    <t>控制伤害减免</t>
  </si>
  <si>
    <t>control_dmg_red</t>
  </si>
  <si>
    <t>控制固定减伤</t>
  </si>
  <si>
    <t>control_crit_rate</t>
  </si>
  <si>
    <t>控制暴击率</t>
  </si>
  <si>
    <t>control_crit_resist</t>
  </si>
  <si>
    <t>控制抗暴率</t>
  </si>
  <si>
    <t>control_crit_dmg</t>
  </si>
  <si>
    <t>control_crit_dmg_red</t>
  </si>
  <si>
    <t>控制暴伤减免</t>
  </si>
  <si>
    <t>control_ignore_red</t>
  </si>
  <si>
    <t>control_red_rate</t>
  </si>
  <si>
    <t>控制抗性</t>
  </si>
  <si>
    <t>drug_max_hp</t>
  </si>
  <si>
    <t>毒系生命</t>
  </si>
  <si>
    <t>drug_hp_rate</t>
  </si>
  <si>
    <t>毒系生命加成</t>
  </si>
  <si>
    <t>drug_atk</t>
  </si>
  <si>
    <t>毒系攻击</t>
  </si>
  <si>
    <t>drug_atk_rate</t>
  </si>
  <si>
    <t>毒系攻击加成</t>
  </si>
  <si>
    <t>drug_atk_speed</t>
  </si>
  <si>
    <t>毒系攻速</t>
  </si>
  <si>
    <t>drug_dmg_rate</t>
  </si>
  <si>
    <t>drug_dmg_red_rate</t>
  </si>
  <si>
    <t>毒系伤害减免</t>
  </si>
  <si>
    <t>drug_dmg_red</t>
  </si>
  <si>
    <t>毒系固定减伤</t>
  </si>
  <si>
    <t>drug_crit_rate</t>
  </si>
  <si>
    <t>毒系暴击率</t>
  </si>
  <si>
    <t>drug_crit_resist</t>
  </si>
  <si>
    <t>毒系抗暴率</t>
  </si>
  <si>
    <t>drug_crit_dmg</t>
  </si>
  <si>
    <t>drug_crit_dmg_red</t>
  </si>
  <si>
    <t>毒系暴伤减免</t>
  </si>
  <si>
    <t>drug_ignore_red</t>
  </si>
  <si>
    <t>drug_red_rate</t>
  </si>
  <si>
    <t>毒系抗性</t>
  </si>
  <si>
    <t>技能参数↓</t>
  </si>
  <si>
    <t>hit_range_modified_rate</t>
  </si>
  <si>
    <t>尺寸修改系数</t>
  </si>
  <si>
    <t>summon_max_hp</t>
  </si>
  <si>
    <t>召唤生命</t>
  </si>
  <si>
    <t>summon_hp_rate</t>
  </si>
  <si>
    <t>召唤生命加成</t>
  </si>
  <si>
    <t>summon_atk</t>
  </si>
  <si>
    <t>召唤攻击</t>
  </si>
  <si>
    <t>summon_atk_rate</t>
  </si>
  <si>
    <t>召唤攻击加成</t>
  </si>
  <si>
    <t>summon_atk_speed</t>
  </si>
  <si>
    <t>召唤攻速</t>
  </si>
  <si>
    <t>summon_dmg_rate</t>
  </si>
  <si>
    <t>summon_dmg_red_rate</t>
  </si>
  <si>
    <t>召唤伤害减免</t>
  </si>
  <si>
    <t>summon_dmg_red</t>
  </si>
  <si>
    <t>召唤固定减伤</t>
  </si>
  <si>
    <t>summon_crit_rate</t>
  </si>
  <si>
    <t>召唤暴击率</t>
  </si>
  <si>
    <t>summon_crit_resist</t>
  </si>
  <si>
    <t>召唤抗暴率</t>
  </si>
  <si>
    <t>summon_crit_dmg</t>
  </si>
  <si>
    <t>summon_crit_dmg_red</t>
  </si>
  <si>
    <t>召唤暴伤减免</t>
  </si>
  <si>
    <t>summon_ignore_red</t>
  </si>
  <si>
    <t>summon_red_rate</t>
  </si>
  <si>
    <t>召唤抗性</t>
  </si>
  <si>
    <t>公会参数↓</t>
  </si>
  <si>
    <t>union_hook_contribution_rate</t>
  </si>
  <si>
    <t>挂机贡献加成</t>
  </si>
  <si>
    <t>union_build_rate</t>
  </si>
  <si>
    <t>建设速率</t>
  </si>
  <si>
    <t>union_tech_rate</t>
  </si>
  <si>
    <t>研究速率</t>
  </si>
  <si>
    <t>union_hook_max_time</t>
  </si>
  <si>
    <t>挂机时长</t>
  </si>
  <si>
    <t>union_store_limit_rate</t>
  </si>
  <si>
    <t>存储上限</t>
  </si>
  <si>
    <t>union_energy_recover_rate</t>
  </si>
  <si>
    <t>能量恢复</t>
  </si>
  <si>
    <t>union_hook_rate</t>
  </si>
  <si>
    <t>建筑资源产出</t>
  </si>
  <si>
    <t>union_hook_gallery_rate</t>
  </si>
  <si>
    <t>画廊资源产出</t>
  </si>
  <si>
    <t>union_speed_rate</t>
  </si>
  <si>
    <t>加速速率</t>
  </si>
  <si>
    <t>union_pve_hit_rate</t>
  </si>
  <si>
    <t>探险集结增伤</t>
  </si>
  <si>
    <t>union_pve_boss_hit_rate</t>
  </si>
  <si>
    <t>远征讨伐增伤</t>
  </si>
  <si>
    <t>union_pve_num</t>
  </si>
  <si>
    <t>集结人数</t>
  </si>
  <si>
    <t>union_pve_level</t>
  </si>
  <si>
    <t>探险难度提升</t>
  </si>
  <si>
    <t>union_box_get_num</t>
  </si>
  <si>
    <t>公会宝箱上限</t>
  </si>
  <si>
    <t>union_pve_reward_rate</t>
  </si>
  <si>
    <t>探险资源增加</t>
  </si>
  <si>
    <t>union_pve_help_num</t>
  </si>
  <si>
    <t>探险协助次数</t>
  </si>
  <si>
    <t>union_pve_unit_num</t>
  </si>
  <si>
    <t>集结梦灵数量</t>
  </si>
  <si>
    <t>union_evolve_times</t>
  </si>
  <si>
    <t>被协助次数</t>
  </si>
  <si>
    <t>union_evolve_speed_time</t>
  </si>
  <si>
    <t>加速时长(s)</t>
  </si>
  <si>
    <t>union_evolve_reduce_time</t>
  </si>
  <si>
    <t>升级时长(s)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</si>
</sst>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  <numFmt numFmtId="178" formatCode="0.00_ "/>
  </numFmts>
  <fonts count="52">
    <font>
      <sz val="10"/>
      <color theme="1"/>
      <name val="等线"/>
      <charset val="134"/>
      <scheme val="minor"/>
    </font>
    <font>
      <sz val="9"/>
      <color indexed="8"/>
      <name val="Calibri"/>
      <charset val="134"/>
    </font>
    <font>
      <b/>
      <sz val="9"/>
      <color indexed="53"/>
      <name val="Microsoft Yahei"/>
      <charset val="134"/>
    </font>
    <font>
      <b/>
      <sz val="9"/>
      <color indexed="53"/>
      <name val="微软雅黑"/>
      <charset val="134"/>
    </font>
    <font>
      <b/>
      <sz val="9"/>
      <color indexed="8"/>
      <name val="Microsoft Yahei"/>
      <charset val="134"/>
    </font>
    <font>
      <b/>
      <sz val="9"/>
      <color indexed="10"/>
      <name val="Microsoft Yahei"/>
      <charset val="134"/>
    </font>
    <font>
      <sz val="9"/>
      <color indexed="8"/>
      <name val="Microsoft Yahei"/>
      <charset val="134"/>
    </font>
    <font>
      <sz val="10"/>
      <color indexed="8"/>
      <name val="Microsoft Yahei"/>
      <charset val="134"/>
    </font>
    <font>
      <sz val="10"/>
      <color indexed="22"/>
      <name val="Consolas"/>
      <charset val="134"/>
    </font>
    <font>
      <sz val="11"/>
      <color indexed="8"/>
      <name val="SimSun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2"/>
      <color rgb="FFFFFFFF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0"/>
      <color theme="4" tint="-0.249977111117893"/>
      <name val="微软雅黑"/>
      <charset val="134"/>
    </font>
    <font>
      <b/>
      <sz val="12"/>
      <color rgb="FFFFFFFF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宋体"/>
      <charset val="134"/>
    </font>
    <font>
      <b/>
      <sz val="14"/>
      <name val="等线"/>
      <charset val="134"/>
      <scheme val="minor"/>
    </font>
    <font>
      <b/>
      <sz val="11"/>
      <name val="宋体"/>
      <charset val="134"/>
    </font>
    <font>
      <sz val="12"/>
      <color rgb="FFD9D9D9"/>
      <name val="等线"/>
      <charset val="134"/>
      <scheme val="minor"/>
    </font>
    <font>
      <b/>
      <sz val="12"/>
      <color rgb="FFD9D9D9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indexed="53"/>
      <name val="微软雅黑"/>
      <charset val="134"/>
    </font>
    <font>
      <sz val="10"/>
      <name val="等线"/>
      <charset val="0"/>
      <scheme val="minor"/>
    </font>
    <font>
      <sz val="9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D0D0D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 style="thin">
        <color theme="4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 tint="0.399945066682943"/>
      </bottom>
      <diagonal/>
    </border>
    <border>
      <left style="thin">
        <color theme="4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/>
      </left>
      <right/>
      <top style="thin">
        <color theme="4" tint="0.399945066682943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0" borderId="1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1" borderId="14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40" fillId="12" borderId="14" applyNumberFormat="0" applyAlignment="0" applyProtection="0">
      <alignment vertical="center"/>
    </xf>
    <xf numFmtId="0" fontId="41" fillId="13" borderId="16" applyNumberFormat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6" fillId="3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>
      <alignment wrapText="1"/>
    </xf>
    <xf numFmtId="0" fontId="9" fillId="0" borderId="0" xfId="0" applyNumberFormat="1" applyFont="1" applyFill="1" applyBorder="1" applyAlignment="1" applyProtection="1">
      <alignment vertical="center"/>
    </xf>
    <xf numFmtId="0" fontId="5" fillId="3" borderId="0" xfId="0" applyNumberFormat="1" applyFont="1" applyFill="1" applyBorder="1" applyAlignment="1" applyProtection="1">
      <alignment horizontal="center"/>
    </xf>
    <xf numFmtId="0" fontId="6" fillId="3" borderId="0" xfId="0" applyNumberFormat="1" applyFont="1" applyFill="1" applyBorder="1" applyAlignment="1" applyProtection="1">
      <alignment horizontal="left"/>
    </xf>
    <xf numFmtId="0" fontId="6" fillId="4" borderId="0" xfId="0" applyNumberFormat="1" applyFont="1" applyFill="1" applyBorder="1" applyAlignment="1" applyProtection="1">
      <alignment horizontal="center"/>
    </xf>
    <xf numFmtId="0" fontId="6" fillId="4" borderId="0" xfId="0" applyNumberFormat="1" applyFont="1" applyFill="1" applyBorder="1" applyAlignment="1" applyProtection="1">
      <alignment horizontal="left"/>
    </xf>
    <xf numFmtId="0" fontId="10" fillId="5" borderId="2" xfId="0" applyFont="1" applyFill="1" applyBorder="1" applyAlignment="1">
      <alignment horizontal="left" vertical="center"/>
    </xf>
    <xf numFmtId="176" fontId="11" fillId="0" borderId="3" xfId="0" applyNumberFormat="1" applyFont="1" applyBorder="1" applyAlignment="1">
      <alignment horizontal="left" vertical="center"/>
    </xf>
    <xf numFmtId="9" fontId="11" fillId="0" borderId="3" xfId="3" applyFont="1" applyBorder="1" applyAlignment="1">
      <alignment horizontal="left" vertical="center"/>
    </xf>
    <xf numFmtId="177" fontId="11" fillId="0" borderId="3" xfId="3" applyNumberFormat="1" applyFont="1" applyBorder="1" applyAlignment="1">
      <alignment horizontal="left" vertical="center"/>
    </xf>
    <xf numFmtId="176" fontId="11" fillId="0" borderId="4" xfId="0" applyNumberFormat="1" applyFont="1" applyBorder="1" applyAlignment="1">
      <alignment horizontal="left" vertical="center"/>
    </xf>
    <xf numFmtId="9" fontId="11" fillId="0" borderId="4" xfId="3" applyFont="1" applyBorder="1" applyAlignment="1">
      <alignment horizontal="left" vertical="center"/>
    </xf>
    <xf numFmtId="177" fontId="11" fillId="0" borderId="4" xfId="3" applyNumberFormat="1" applyFont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9" fontId="0" fillId="0" borderId="0" xfId="3" applyFont="1" applyFill="1" applyBorder="1" applyAlignment="1" applyProtection="1">
      <alignment vertical="center"/>
    </xf>
    <xf numFmtId="9" fontId="0" fillId="0" borderId="0" xfId="0" applyNumberFormat="1">
      <alignment vertical="center"/>
    </xf>
    <xf numFmtId="0" fontId="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3" fillId="6" borderId="0" xfId="0" applyFont="1" applyFill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7" borderId="0" xfId="0" applyFont="1" applyFill="1">
      <alignment vertical="center"/>
    </xf>
    <xf numFmtId="0" fontId="17" fillId="0" borderId="0" xfId="0" applyFont="1">
      <alignment vertical="center"/>
    </xf>
    <xf numFmtId="9" fontId="11" fillId="0" borderId="0" xfId="3" applyFont="1">
      <alignment vertical="center"/>
    </xf>
    <xf numFmtId="0" fontId="11" fillId="3" borderId="0" xfId="0" applyFont="1" applyFill="1">
      <alignment vertical="center"/>
    </xf>
    <xf numFmtId="0" fontId="10" fillId="5" borderId="5" xfId="0" applyFont="1" applyFill="1" applyBorder="1">
      <alignment vertical="center"/>
    </xf>
    <xf numFmtId="0" fontId="10" fillId="5" borderId="2" xfId="0" applyFont="1" applyFill="1" applyBorder="1">
      <alignment vertical="center"/>
    </xf>
    <xf numFmtId="0" fontId="10" fillId="5" borderId="0" xfId="0" applyFont="1" applyFill="1">
      <alignment vertical="center"/>
    </xf>
    <xf numFmtId="0" fontId="11" fillId="0" borderId="6" xfId="0" applyFont="1" applyBorder="1">
      <alignment vertical="center"/>
    </xf>
    <xf numFmtId="0" fontId="11" fillId="0" borderId="3" xfId="0" applyFont="1" applyBorder="1">
      <alignment vertical="center"/>
    </xf>
    <xf numFmtId="9" fontId="11" fillId="0" borderId="3" xfId="3" applyFont="1" applyBorder="1">
      <alignment vertical="center"/>
    </xf>
    <xf numFmtId="0" fontId="11" fillId="3" borderId="3" xfId="0" applyFont="1" applyFill="1" applyBorder="1">
      <alignment vertical="center"/>
    </xf>
    <xf numFmtId="0" fontId="11" fillId="0" borderId="4" xfId="0" applyFont="1" applyBorder="1">
      <alignment vertical="center"/>
    </xf>
    <xf numFmtId="0" fontId="11" fillId="0" borderId="7" xfId="0" applyFont="1" applyBorder="1">
      <alignment vertical="center"/>
    </xf>
    <xf numFmtId="0" fontId="11" fillId="3" borderId="4" xfId="0" applyFont="1" applyFill="1" applyBorder="1">
      <alignment vertical="center"/>
    </xf>
    <xf numFmtId="0" fontId="13" fillId="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176" fontId="11" fillId="0" borderId="0" xfId="0" applyNumberFormat="1" applyFont="1" applyAlignment="1">
      <alignment horizontal="left" vertical="center"/>
    </xf>
    <xf numFmtId="9" fontId="11" fillId="0" borderId="0" xfId="3" applyFont="1" applyAlignment="1">
      <alignment horizontal="left" vertical="center"/>
    </xf>
    <xf numFmtId="178" fontId="11" fillId="0" borderId="0" xfId="3" applyNumberFormat="1" applyFont="1" applyAlignment="1">
      <alignment horizontal="left" vertical="center"/>
    </xf>
    <xf numFmtId="9" fontId="11" fillId="0" borderId="0" xfId="0" applyNumberFormat="1" applyFont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176" fontId="11" fillId="8" borderId="0" xfId="0" applyNumberFormat="1" applyFont="1" applyFill="1" applyAlignment="1">
      <alignment horizontal="left" vertical="center"/>
    </xf>
    <xf numFmtId="9" fontId="11" fillId="8" borderId="0" xfId="3" applyFont="1" applyFill="1" applyAlignment="1">
      <alignment horizontal="left" vertical="center"/>
    </xf>
    <xf numFmtId="178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9" fillId="6" borderId="0" xfId="0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7" borderId="0" xfId="0" applyFont="1" applyFill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/>
    <xf numFmtId="0" fontId="27" fillId="6" borderId="0" xfId="0" applyFont="1" applyFill="1">
      <alignment vertical="center"/>
    </xf>
    <xf numFmtId="0" fontId="28" fillId="0" borderId="0" xfId="0" applyFont="1">
      <alignment vertical="center"/>
    </xf>
    <xf numFmtId="0" fontId="27" fillId="9" borderId="0" xfId="0" applyFont="1" applyFill="1">
      <alignment vertical="center"/>
    </xf>
    <xf numFmtId="0" fontId="19" fillId="9" borderId="0" xfId="0" applyFont="1" applyFill="1">
      <alignment vertical="center"/>
    </xf>
    <xf numFmtId="0" fontId="20" fillId="7" borderId="0" xfId="0" applyFont="1" applyFill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1"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numFmt numFmtId="176" formatCode="0_ "/>
    </dxf>
    <dxf>
      <numFmt numFmtId="178" formatCode="0.00_ 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  <numFmt numFmtId="178" formatCode="0.00_ 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numFmt numFmtId="0" formatCode="General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numFmt numFmtId="0" formatCode="General"/>
      <alignment horizontal="left" vertical="center"/>
    </dxf>
    <dxf>
      <numFmt numFmtId="0" formatCode="General"/>
    </dxf>
    <dxf>
      <numFmt numFmtId="0" formatCode="General"/>
    </dxf>
    <dxf>
      <numFmt numFmtId="0" formatCode="General"/>
    </dxf>
    <dxf>
      <font>
        <name val="微软雅黑"/>
        <scheme val="none"/>
        <charset val="134"/>
        <family val="2"/>
        <b val="1"/>
        <i val="0"/>
        <strike val="0"/>
        <u val="none"/>
        <sz val="10"/>
        <color theme="4" tint="-0.249977111117893"/>
      </font>
      <alignment horizontal="center" vertical="center"/>
      <border>
        <left/>
        <right/>
        <top style="thin">
          <color theme="4"/>
        </top>
        <bottom style="thin">
          <color theme="4"/>
        </bottom>
      </border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numFmt numFmtId="9" formatCode="0%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numFmt numFmtId="9" formatCode="0%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numFmt numFmtId="0" formatCode="General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firstRowStripe" dxfId="45"/>
      <tableStyleElement type="firstColumnStripe" dxfId="44"/>
    </tableStyle>
    <tableStyle name="PivotStylePreset2_Accent1" table="0" count="10" xr9:uid="{267968C8-6FFD-4C36-ACC1-9EA1FD1885CA}">
      <tableStyleElement type="headerRow" dxfId="60"/>
      <tableStyleElement type="totalRow" dxfId="59"/>
      <tableStyleElement type="firstRowStripe" dxfId="58"/>
      <tableStyleElement type="firstColumnStripe" dxfId="57"/>
      <tableStyleElement type="firstSubtotalRow" dxfId="56"/>
      <tableStyleElement type="secondSubtotalRow" dxfId="55"/>
      <tableStyleElement type="firstRowSubheading" dxfId="54"/>
      <tableStyleElement type="secondRowSubheading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秘宝洗练概率" displayName="秘宝洗练概率" ref="D5:S17" totalsRowShown="0">
  <tableColumns count="16">
    <tableColumn id="1" name="秘宝等级" dataDxfId="0"/>
    <tableColumn id="2" name="披风消耗" dataDxfId="1">
      <calculatedColumnFormula>E5*2</calculatedColumnFormula>
    </tableColumn>
    <tableColumn id="3" name="技能升级消耗" dataDxfId="2">
      <calculatedColumnFormula>F5*2</calculatedColumnFormula>
    </tableColumn>
    <tableColumn id="4" name="天数" dataDxfId="3">
      <calculatedColumnFormula>E6/3000</calculatedColumnFormula>
    </tableColumn>
    <tableColumn id="5" name="预期强度" dataDxfId="4">
      <calculatedColumnFormula>OFFSET($E$69,0,D6)*5*0.5+1</calculatedColumnFormula>
    </tableColumn>
    <tableColumn id="6" name="秘宝强度" dataDxfId="5">
      <calculatedColumnFormula>1.07</calculatedColumnFormula>
    </tableColumn>
    <tableColumn id="7" name="白" dataDxfId="6"/>
    <tableColumn id="8" name="绿" dataDxfId="7"/>
    <tableColumn id="9" name="蓝" dataDxfId="8"/>
    <tableColumn id="10" name="紫" dataDxfId="9"/>
    <tableColumn id="11" name="橙" dataDxfId="10"/>
    <tableColumn id="12" name="红" dataDxfId="11"/>
    <tableColumn id="13" name="粉" dataDxfId="12"/>
    <tableColumn id="14" name="彩" dataDxfId="13"/>
    <tableColumn id="15" name="彩1" dataDxfId="14"/>
    <tableColumn id="16" name="彩2" dataDxfId="15">
      <calculatedColumnFormula>_xlfn.TEXTJOIN(",",1,U6:AD6)</calculatedColumnFormula>
    </tableColumn>
  </tableColumns>
  <tableStyleInfo name="TableStylePreset3_Accent1" showFirstColumn="1" showLastColumn="0" showRowStripes="0" showColumnStripes="0"/>
</table>
</file>

<file path=xl/tables/table2.xml><?xml version="1.0" encoding="utf-8"?>
<table xmlns="http://schemas.openxmlformats.org/spreadsheetml/2006/main" id="4" name="秘宝属性_蔚蓝参考" displayName="秘宝属性_蔚蓝参考" ref="D42:O86" totalsRowShown="0">
  <autoFilter xmlns:etc="http://www.wps.cn/officeDocument/2017/etCustomData" ref="D42:O86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秘宝词条" dataDxfId="16"/>
    <tableColumn id="2" name="属性原子" dataDxfId="17"/>
    <tableColumn id="3" name="普通" dataDxfId="18"/>
    <tableColumn id="4" name="优秀" dataDxfId="19"/>
    <tableColumn id="5" name="稀有" dataDxfId="20">
      <calculatedColumnFormula>I43/1.2</calculatedColumnFormula>
    </tableColumn>
    <tableColumn id="6" name="史诗" dataDxfId="21"/>
    <tableColumn id="7" name="传说" dataDxfId="22"/>
    <tableColumn id="8" name="神话" dataDxfId="23"/>
    <tableColumn id="9" name="创世" dataDxfId="24">
      <calculatedColumnFormula>K43*L$41</calculatedColumnFormula>
    </tableColumn>
    <tableColumn id="10" name="炫彩1" dataDxfId="25">
      <calculatedColumnFormula>L43*M$41</calculatedColumnFormula>
    </tableColumn>
    <tableColumn id="11" name="炫彩2" dataDxfId="26"/>
    <tableColumn id="12" name="炫彩3" dataDxfId="27"/>
  </tableColumns>
  <tableStyleInfo name="TableStyleLight2" showFirstColumn="0" showLastColumn="0" showRowStripes="0" showColumnStripes="0"/>
</table>
</file>

<file path=xl/tables/table3.xml><?xml version="1.0" encoding="utf-8"?>
<table xmlns="http://schemas.openxmlformats.org/spreadsheetml/2006/main" id="5" name="秘宝属性" displayName="秘宝属性" ref="D100:Q126" totalsRowShown="0">
  <autoFilter xmlns:etc="http://www.wps.cn/officeDocument/2017/etCustomData" ref="D100:Q126" etc:filterBottomFollowUsedRange="0"/>
  <tableColumns count="14">
    <tableColumn id="1" name="秘宝词条"/>
    <tableColumn id="2" name="权重"/>
    <tableColumn id="3" name="属性原子"/>
    <tableColumn id="4" name="秘宝属性基数" dataDxfId="28"/>
    <tableColumn id="5" name="普通"/>
    <tableColumn id="6" name="优秀">
      <calculatedColumnFormula>秘宝属性[[#This Row],[秘宝属性基数]]*_xlfn.XLOOKUP(秘宝属性[[#Headers],[优秀]],秘宝品质系数[秘宝品质],秘宝品质系数[秘宝属性系数])</calculatedColumnFormula>
    </tableColumn>
    <tableColumn id="7" name="稀有">
      <calculatedColumnFormula>秘宝属性[[#This Row],[秘宝属性基数]]*_xlfn.XLOOKUP(秘宝属性[[#Headers],[稀有]],秘宝品质系数[秘宝品质],秘宝品质系数[秘宝属性系数])</calculatedColumnFormula>
    </tableColumn>
    <tableColumn id="8" name="史诗" dataDxfId="29">
      <calculatedColumnFormula>秘宝属性[[#This Row],[秘宝属性基数]]*_xlfn.XLOOKUP(秘宝属性[[#Headers],[史诗]],秘宝品质系数[秘宝品质],秘宝品质系数[秘宝属性系数])</calculatedColumnFormula>
    </tableColumn>
    <tableColumn id="9" name="传说">
      <calculatedColumnFormula>秘宝属性[[#This Row],[秘宝属性基数]]*_xlfn.XLOOKUP(秘宝属性[[#Headers],[传说]],秘宝品质系数[秘宝品质],秘宝品质系数[秘宝属性系数])</calculatedColumnFormula>
    </tableColumn>
    <tableColumn id="10" name="神话">
      <calculatedColumnFormula>秘宝属性[[#This Row],[秘宝属性基数]]*_xlfn.XLOOKUP(秘宝属性[[#Headers],[神话]],秘宝品质系数[秘宝品质],秘宝品质系数[秘宝属性系数])</calculatedColumnFormula>
    </tableColumn>
    <tableColumn id="11" name="创世">
      <calculatedColumnFormula>秘宝属性[[#This Row],[秘宝属性基数]]*_xlfn.XLOOKUP(秘宝属性[[#Headers],[创世]],秘宝品质系数[秘宝品质],秘宝品质系数[秘宝属性系数])</calculatedColumnFormula>
    </tableColumn>
    <tableColumn id="12" name="炫彩1">
      <calculatedColumnFormula>秘宝属性[[#This Row],[秘宝属性基数]]*_xlfn.XLOOKUP(秘宝属性[[#Headers],[炫彩1]],秘宝品质系数[秘宝品质],秘宝品质系数[秘宝属性系数])</calculatedColumnFormula>
    </tableColumn>
    <tableColumn id="13" name="炫彩2" dataDxfId="30">
      <calculatedColumnFormula>秘宝属性[[#This Row],[秘宝属性基数]]*_xlfn.XLOOKUP(秘宝属性[[#Headers],[炫彩2]],秘宝品质系数[秘宝品质],秘宝品质系数[秘宝属性系数])</calculatedColumnFormula>
    </tableColumn>
    <tableColumn id="14" name="炫彩3" dataDxfId="31">
      <calculatedColumnFormula>秘宝属性[[#This Row],[秘宝属性基数]]*_xlfn.XLOOKUP(秘宝属性[[#Headers],[炫彩3]],秘宝品质系数[秘宝品质],秘宝品质系数[秘宝属性系数])</calculatedColumnFormula>
    </tableColumn>
  </tableColumns>
  <tableStyleInfo name="TableStyleLight2" showFirstColumn="0" showLastColumn="0" showRowStripes="0" showColumnStripes="0"/>
</table>
</file>

<file path=xl/tables/table4.xml><?xml version="1.0" encoding="utf-8"?>
<table xmlns="http://schemas.openxmlformats.org/spreadsheetml/2006/main" id="6" name="秘宝品质系数" displayName="秘宝品质系数" ref="D88:E98" totalsRowShown="0">
  <autoFilter xmlns:etc="http://www.wps.cn/officeDocument/2017/etCustomData" ref="D88:E98" etc:filterBottomFollowUsedRange="0">
    <filterColumn colId="0" hiddenButton="1"/>
    <filterColumn colId="1" hiddenButton="1"/>
  </autoFilter>
  <tableColumns count="2">
    <tableColumn id="1" name="秘宝品质" dataDxfId="32"/>
    <tableColumn id="2" name="秘宝属性系数" dataDxfId="33"/>
  </tableColumns>
  <tableStyleInfo name="TableStyleLight2" showFirstColumn="0" showLastColumn="0" showRowStripes="0" showColumnStripes="0"/>
</table>
</file>

<file path=xl/tables/table5.xml><?xml version="1.0" encoding="utf-8"?>
<table xmlns="http://schemas.openxmlformats.org/spreadsheetml/2006/main" id="2" name="秘宝产销规划" displayName="秘宝产销规划" ref="D18:E19" totalsRowShown="0">
  <tableColumns count="2">
    <tableColumn id="1" name="公会" dataDxfId="34">
      <calculatedColumnFormula>H11/SUM(H11:H13)</calculatedColumnFormula>
    </tableColumn>
    <tableColumn id="2" name="外围" dataDxfId="35">
      <calculatedColumnFormula>SUM(H12:H13)/SUM(H11:H13)</calculatedColumnFormula>
    </tableColumn>
  </tableColumns>
  <tableStyleInfo name="TableStylePreset3_Accent1" showFirstColumn="0" showLastColumn="0" showRowStripes="0" showColumnStripes="0"/>
</table>
</file>

<file path=xl/tables/table6.xml><?xml version="1.0" encoding="utf-8"?>
<table xmlns="http://schemas.openxmlformats.org/spreadsheetml/2006/main" id="3" name="秘宝产销预期" displayName="秘宝产销预期" ref="D5:K16" totalsRowShown="0">
  <tableColumns count="8">
    <tableColumn id="1" name="产出预期" dataDxfId="36"/>
    <tableColumn id="2" name="产出途径" dataDxfId="37"/>
    <tableColumn id="3" name="白银罗盘" dataDxfId="38"/>
    <tableColumn id="4" name="黄金罗盘" dataDxfId="39"/>
    <tableColumn id="5" name="总产出" dataDxfId="40"/>
    <tableColumn id="8" name="占比" dataDxfId="41">
      <calculatedColumnFormula>H6/SUM($H$6:$H$9)</calculatedColumnFormula>
    </tableColumn>
    <tableColumn id="6" name="总和" dataDxfId="42"/>
    <tableColumn id="7" name="后期(加成)" dataDxfId="43"/>
  </tableColumns>
  <tableStyleInfo name="TableStylePreset3_Accent1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说明"/>
  <dimension ref="A1:P19"/>
  <sheetViews>
    <sheetView workbookViewId="0">
      <selection activeCell="D8" sqref="D8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20.4285714285714" customWidth="1"/>
    <col min="5" max="7" width="9.71428571428571" customWidth="1"/>
  </cols>
  <sheetData>
    <row r="1" ht="18" spans="1:16">
      <c r="A1" s="85" t="s">
        <v>0</v>
      </c>
      <c r="B1" s="73"/>
      <c r="C1" s="85"/>
      <c r="D1" s="73"/>
      <c r="E1" s="73"/>
      <c r="F1" s="73"/>
      <c r="G1" s="73"/>
    </row>
    <row r="2" ht="18" spans="1:16">
      <c r="A2" s="86"/>
      <c r="B2" s="74"/>
      <c r="C2" s="78"/>
      <c r="D2" s="74"/>
      <c r="E2" s="74"/>
      <c r="F2" s="74"/>
      <c r="G2" s="74"/>
    </row>
    <row r="3" ht="18" spans="1:16">
      <c r="A3" s="87" t="s">
        <v>1</v>
      </c>
      <c r="B3" s="88"/>
      <c r="C3" s="87"/>
      <c r="D3" s="88"/>
      <c r="E3" s="88"/>
      <c r="F3" s="88"/>
      <c r="G3" s="88"/>
    </row>
    <row r="4" ht="18" spans="1:16">
      <c r="A4" s="86"/>
      <c r="B4" s="74"/>
      <c r="C4" s="78"/>
      <c r="D4" s="74"/>
      <c r="E4" s="74"/>
      <c r="F4" s="74"/>
      <c r="G4" s="74"/>
    </row>
    <row r="5" ht="18" spans="1:16">
      <c r="A5" s="86"/>
      <c r="B5" s="89"/>
      <c r="C5" s="78" t="s">
        <v>2</v>
      </c>
      <c r="D5" s="74"/>
      <c r="E5" s="74"/>
      <c r="F5" s="74"/>
      <c r="G5" s="74"/>
    </row>
    <row r="6" ht="18" spans="1:16">
      <c r="A6" s="86"/>
      <c r="B6" s="74"/>
      <c r="C6" s="74"/>
      <c r="D6" s="74" t="s">
        <v>3</v>
      </c>
      <c r="E6" s="74"/>
      <c r="F6" s="74"/>
      <c r="G6" s="74"/>
      <c r="H6" s="74"/>
      <c r="I6" s="74"/>
      <c r="J6" s="74"/>
      <c r="P6" t="s">
        <v>4</v>
      </c>
    </row>
    <row r="7" ht="18" spans="1:16">
      <c r="A7" s="86"/>
      <c r="B7" s="74"/>
      <c r="C7" s="74"/>
      <c r="D7" s="74" t="s">
        <v>5</v>
      </c>
      <c r="E7" s="74"/>
      <c r="F7" s="74"/>
      <c r="G7" s="74"/>
      <c r="H7" s="74"/>
      <c r="I7" s="74"/>
      <c r="J7" s="74"/>
      <c r="P7" t="s">
        <v>6</v>
      </c>
    </row>
    <row r="8" ht="18" spans="1:16">
      <c r="A8" s="86"/>
      <c r="B8" s="74"/>
      <c r="C8" s="74"/>
      <c r="E8" s="74"/>
      <c r="F8" s="74"/>
      <c r="G8" s="74"/>
      <c r="H8" s="74"/>
      <c r="I8" s="74"/>
      <c r="J8" s="74"/>
      <c r="P8" t="s">
        <v>7</v>
      </c>
    </row>
    <row r="9" ht="18" spans="1:16">
      <c r="A9" s="86"/>
      <c r="B9" s="74"/>
      <c r="C9" s="74"/>
      <c r="D9" s="74"/>
      <c r="E9" s="74"/>
      <c r="F9" s="74"/>
      <c r="G9" s="74"/>
      <c r="H9" s="74"/>
      <c r="I9" s="74"/>
      <c r="J9" s="74"/>
      <c r="P9" t="s">
        <v>8</v>
      </c>
    </row>
    <row r="10" ht="18" spans="1:16">
      <c r="A10" s="86"/>
      <c r="B10" s="74"/>
      <c r="C10" s="74"/>
      <c r="D10" s="74"/>
      <c r="E10" s="74"/>
      <c r="F10" s="74"/>
      <c r="G10" s="74"/>
      <c r="H10" s="74"/>
      <c r="I10" s="74"/>
      <c r="J10" s="74"/>
      <c r="P10" t="s">
        <v>9</v>
      </c>
    </row>
    <row r="11" ht="18" spans="1:16">
      <c r="A11" s="86"/>
      <c r="B11" s="74"/>
      <c r="C11" s="74"/>
      <c r="D11" s="74"/>
      <c r="E11" s="74"/>
      <c r="F11" s="74"/>
      <c r="G11" s="74"/>
      <c r="H11" s="74"/>
      <c r="I11" s="74"/>
      <c r="J11" s="74"/>
    </row>
    <row r="12" ht="18" spans="1:16">
      <c r="A12" s="86"/>
      <c r="B12" s="89"/>
      <c r="C12" s="78" t="s">
        <v>10</v>
      </c>
      <c r="D12" s="74"/>
      <c r="E12" s="74"/>
      <c r="F12" s="74"/>
      <c r="G12" s="74"/>
    </row>
    <row r="13" ht="18" spans="1:16">
      <c r="A13" s="86"/>
      <c r="B13" s="74"/>
      <c r="C13" s="78"/>
      <c r="D13" s="74"/>
      <c r="E13" s="74"/>
      <c r="F13" s="74"/>
      <c r="G13" s="74"/>
    </row>
    <row r="14" ht="18" spans="1:16">
      <c r="A14" s="86"/>
      <c r="B14" s="74"/>
      <c r="C14" s="78"/>
      <c r="D14" s="90" t="s">
        <v>11</v>
      </c>
      <c r="E14" s="90" t="s">
        <v>12</v>
      </c>
      <c r="F14" s="90" t="s">
        <v>13</v>
      </c>
      <c r="G14" s="74" t="s">
        <v>1</v>
      </c>
    </row>
    <row r="15" ht="18" spans="1:16">
      <c r="A15" s="86"/>
      <c r="B15" s="74"/>
      <c r="C15" s="78"/>
      <c r="D15" s="90" t="s">
        <v>14</v>
      </c>
      <c r="E15" s="90"/>
      <c r="F15" s="90"/>
      <c r="G15" s="74"/>
    </row>
    <row r="16" ht="18" spans="1:16">
      <c r="A16" s="86"/>
      <c r="B16" s="74"/>
      <c r="C16" s="78"/>
      <c r="D16" s="91" t="s">
        <v>15</v>
      </c>
      <c r="E16" s="90"/>
      <c r="F16" s="90"/>
      <c r="G16" s="74" t="s">
        <v>16</v>
      </c>
    </row>
    <row r="17" ht="18" spans="1:7">
      <c r="A17" s="86"/>
      <c r="B17" s="74"/>
      <c r="C17" s="78"/>
      <c r="D17" s="90"/>
      <c r="E17" s="90"/>
      <c r="F17" s="90"/>
      <c r="G17" s="74" t="s">
        <v>17</v>
      </c>
    </row>
    <row r="18" ht="18" spans="1:7">
      <c r="A18" s="86"/>
      <c r="B18" s="74"/>
      <c r="C18" s="78"/>
      <c r="D18" s="74"/>
      <c r="E18" s="74"/>
      <c r="F18" s="74"/>
      <c r="G18" s="74"/>
    </row>
    <row r="19" ht="18" spans="1:7">
      <c r="A19" s="85" t="s">
        <v>18</v>
      </c>
      <c r="B19" s="73"/>
      <c r="C19" s="85"/>
      <c r="D19" s="73"/>
      <c r="E19" s="73"/>
      <c r="F19" s="73"/>
      <c r="G19" s="7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养成属性">
    <tabColor rgb="FFFFFFFF"/>
  </sheetPr>
  <dimension ref="A1:O8"/>
  <sheetViews>
    <sheetView topLeftCell="A3" workbookViewId="0">
      <selection activeCell="E44" sqref="E44"/>
    </sheetView>
  </sheetViews>
  <sheetFormatPr defaultColWidth="10.2857142857143" defaultRowHeight="12.75" outlineLevelRow="7"/>
  <cols>
    <col min="1" max="1" width="9.71428571428571" customWidth="1"/>
    <col min="2" max="3" width="2.71428571428571" customWidth="1"/>
    <col min="4" max="4" width="9.71428571428571" customWidth="1"/>
    <col min="5" max="5" width="16" customWidth="1"/>
    <col min="6" max="6" width="16.4285714285714" customWidth="1"/>
    <col min="7" max="7" width="15" customWidth="1"/>
    <col min="8" max="8" width="15.2857142857143" customWidth="1"/>
    <col min="9" max="9" width="15.8571428571429" customWidth="1"/>
    <col min="10" max="14" width="13" customWidth="1"/>
    <col min="15" max="15" width="13.4285714285714" customWidth="1"/>
  </cols>
  <sheetData>
    <row r="1" ht="15.75" spans="1:15">
      <c r="A1" s="73" t="s">
        <v>19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ht="15.75" spans="1:15">
      <c r="A2" s="74"/>
      <c r="B2" s="74"/>
      <c r="C2" s="75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ht="18" spans="1:15">
      <c r="A3" s="76"/>
      <c r="B3" s="77"/>
      <c r="C3" s="78" t="s">
        <v>20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6"/>
    </row>
    <row r="4" ht="15.75" spans="1:15">
      <c r="A4" s="76"/>
      <c r="B4" s="76"/>
      <c r="C4" s="79"/>
      <c r="D4" s="74"/>
      <c r="F4" s="74"/>
      <c r="G4" s="74"/>
      <c r="H4" s="74" t="s">
        <v>21</v>
      </c>
      <c r="I4" s="74"/>
      <c r="J4" s="74"/>
      <c r="K4" s="74"/>
      <c r="L4" s="74"/>
      <c r="M4" s="74"/>
      <c r="N4" s="74" t="s">
        <v>22</v>
      </c>
      <c r="O4" s="74" t="s">
        <v>23</v>
      </c>
    </row>
    <row r="5" ht="15.75" spans="1:15">
      <c r="A5" s="74"/>
      <c r="B5" s="80"/>
      <c r="C5" s="81"/>
      <c r="D5" s="82"/>
      <c r="E5" s="83"/>
      <c r="F5" s="83"/>
      <c r="G5" s="83"/>
      <c r="H5" s="83"/>
      <c r="I5" s="83"/>
      <c r="J5" s="83"/>
      <c r="K5" s="83"/>
      <c r="L5" s="83"/>
      <c r="M5" s="83"/>
      <c r="N5" s="83"/>
      <c r="O5" s="74"/>
    </row>
    <row r="6" ht="15.75" spans="1:15">
      <c r="A6" s="74"/>
      <c r="B6" s="80"/>
      <c r="C6" s="81"/>
      <c r="D6" s="84"/>
      <c r="E6" s="74"/>
      <c r="F6" s="74"/>
      <c r="G6" s="74"/>
      <c r="H6" s="74"/>
      <c r="I6" s="74"/>
      <c r="J6" s="83"/>
      <c r="K6" s="83"/>
      <c r="L6" s="83"/>
      <c r="M6" s="83"/>
      <c r="N6" s="83"/>
      <c r="O6" s="74"/>
    </row>
    <row r="7" ht="15.75" spans="1:15">
      <c r="A7" s="74"/>
      <c r="B7" s="74"/>
      <c r="C7" s="75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</row>
    <row r="8" ht="15.75" spans="1:15">
      <c r="A8" s="73" t="s">
        <v>18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FF"/>
  </sheetPr>
  <dimension ref="A1:BE126"/>
  <sheetViews>
    <sheetView workbookViewId="0">
      <selection activeCell="E9" sqref="D5:S17"/>
    </sheetView>
  </sheetViews>
  <sheetFormatPr defaultColWidth="10.2857142857143" defaultRowHeight="16.5"/>
  <cols>
    <col min="1" max="1" width="9.71428571428571" style="35" customWidth="1"/>
    <col min="2" max="3" width="2.71428571428571" style="35" customWidth="1"/>
    <col min="4" max="18" width="15.7142857142857" style="35" customWidth="1"/>
    <col min="19" max="19" width="8.14285714285714" style="35" customWidth="1"/>
    <col min="20" max="35" width="4.57142857142857" style="35" customWidth="1"/>
    <col min="36" max="134" width="4.85714285714286" style="35" customWidth="1"/>
    <col min="135" max="16384" width="10.2857142857143" style="35"/>
  </cols>
  <sheetData>
    <row r="1" ht="18" spans="1:35">
      <c r="A1" s="54" t="s">
        <v>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ht="18" spans="1:35">
      <c r="A2" s="55"/>
      <c r="B2" s="55"/>
      <c r="C2" s="56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35">
      <c r="A3" s="57"/>
      <c r="B3" s="58"/>
      <c r="C3" s="59" t="s">
        <v>24</v>
      </c>
    </row>
    <row r="4" spans="1:35">
      <c r="A4" s="57"/>
      <c r="B4" s="57"/>
      <c r="C4" s="59"/>
      <c r="J4" s="35">
        <v>1</v>
      </c>
      <c r="K4" s="35">
        <v>2</v>
      </c>
      <c r="L4" s="35">
        <v>3</v>
      </c>
      <c r="M4" s="35">
        <v>4</v>
      </c>
      <c r="N4" s="35">
        <v>5</v>
      </c>
      <c r="O4" s="35">
        <v>6</v>
      </c>
      <c r="P4" s="35">
        <v>7</v>
      </c>
      <c r="Q4" s="35">
        <v>8</v>
      </c>
      <c r="R4" s="35">
        <v>9</v>
      </c>
      <c r="S4" s="35">
        <v>10</v>
      </c>
    </row>
    <row r="5" ht="18" spans="1:35">
      <c r="A5" s="55"/>
      <c r="B5" s="55"/>
      <c r="C5" s="56"/>
      <c r="D5" s="35" t="s">
        <v>25</v>
      </c>
      <c r="E5" s="35" t="s">
        <v>26</v>
      </c>
      <c r="F5" s="35" t="s">
        <v>27</v>
      </c>
      <c r="G5" s="35" t="s">
        <v>28</v>
      </c>
      <c r="H5" s="35" t="s">
        <v>29</v>
      </c>
      <c r="I5" s="35" t="s">
        <v>30</v>
      </c>
      <c r="J5" s="35" t="s">
        <v>31</v>
      </c>
      <c r="K5" s="35" t="s">
        <v>32</v>
      </c>
      <c r="L5" s="35" t="s">
        <v>33</v>
      </c>
      <c r="M5" s="35" t="s">
        <v>34</v>
      </c>
      <c r="N5" s="35" t="s">
        <v>35</v>
      </c>
      <c r="O5" s="35" t="s">
        <v>36</v>
      </c>
      <c r="P5" s="35" t="s">
        <v>37</v>
      </c>
      <c r="Q5" s="35" t="s">
        <v>38</v>
      </c>
      <c r="R5" s="35" t="s">
        <v>39</v>
      </c>
      <c r="S5" s="35" t="s">
        <v>40</v>
      </c>
      <c r="T5" s="35" t="s">
        <v>41</v>
      </c>
      <c r="U5" s="35">
        <v>1</v>
      </c>
      <c r="V5" s="35">
        <v>2</v>
      </c>
      <c r="W5" s="35">
        <v>3</v>
      </c>
      <c r="X5" s="35">
        <v>4</v>
      </c>
      <c r="Y5" s="35">
        <v>5</v>
      </c>
      <c r="Z5" s="35">
        <v>6</v>
      </c>
      <c r="AA5" s="35">
        <v>7</v>
      </c>
      <c r="AB5" s="35">
        <v>8</v>
      </c>
      <c r="AC5" s="35">
        <v>9</v>
      </c>
      <c r="AD5" s="35">
        <v>10</v>
      </c>
    </row>
    <row r="6" ht="18" spans="1:35">
      <c r="A6" s="55">
        <f>SUM($E$6:E6)</f>
        <v>10000</v>
      </c>
      <c r="B6" s="55"/>
      <c r="C6" s="56"/>
      <c r="D6" s="35">
        <v>1</v>
      </c>
      <c r="E6" s="35">
        <v>10000</v>
      </c>
      <c r="F6" s="35">
        <v>3000</v>
      </c>
      <c r="G6" s="60">
        <f>E6/5000+2</f>
        <v>4</v>
      </c>
      <c r="H6" s="61">
        <f ca="1">OFFSET($E$69,0,D6)*5*0.5+1</f>
        <v>1.14467592592593</v>
      </c>
      <c r="I6" s="62">
        <f>1</f>
        <v>1</v>
      </c>
      <c r="J6" s="63">
        <v>0.5</v>
      </c>
      <c r="K6" s="63">
        <v>0.4</v>
      </c>
      <c r="L6" s="63">
        <v>0.09</v>
      </c>
      <c r="M6" s="63">
        <v>0.01</v>
      </c>
      <c r="T6" s="35" t="str">
        <f t="shared" ref="T6:T17" si="0">_xlfn.TEXTJOIN(",",1,U6:AD6)</f>
        <v>{1,5000},{2,4000},{3,900},{4,100}</v>
      </c>
      <c r="U6" s="35" t="str">
        <f>IF(J6="","","{"&amp;J$4&amp;","&amp;J6*10000&amp;"}")</f>
        <v>{1,5000}</v>
      </c>
      <c r="V6" s="35" t="str">
        <f t="shared" ref="V6:AE6" si="1">IF(K6="","","{"&amp;K$4&amp;","&amp;K6*10000&amp;"}")</f>
        <v>{2,4000}</v>
      </c>
      <c r="W6" s="35" t="str">
        <f t="shared" si="1"/>
        <v>{3,900}</v>
      </c>
      <c r="X6" s="35" t="str">
        <f t="shared" si="1"/>
        <v>{4,100}</v>
      </c>
      <c r="Y6" s="35" t="str">
        <f t="shared" si="1"/>
        <v/>
      </c>
      <c r="Z6" s="35" t="str">
        <f t="shared" si="1"/>
        <v/>
      </c>
      <c r="AA6" s="35" t="str">
        <f t="shared" si="1"/>
        <v/>
      </c>
      <c r="AB6" s="35" t="str">
        <f t="shared" si="1"/>
        <v/>
      </c>
      <c r="AC6" s="35" t="str">
        <f t="shared" si="1"/>
        <v/>
      </c>
      <c r="AD6" s="35" t="str">
        <f t="shared" si="1"/>
        <v/>
      </c>
      <c r="AE6" s="35" t="e">
        <f t="shared" si="1"/>
        <v>#VALUE!</v>
      </c>
      <c r="AI6" s="35" t="str">
        <f>IF(Y6="","","{"&amp;Y$4&amp;","&amp;Y6*10000&amp;"}")</f>
        <v/>
      </c>
    </row>
    <row r="7" ht="18" spans="1:35">
      <c r="A7" s="55">
        <f>SUM($E$6:E7)</f>
        <v>30000</v>
      </c>
      <c r="B7" s="55"/>
      <c r="C7" s="56"/>
      <c r="D7" s="35">
        <v>2</v>
      </c>
      <c r="E7" s="35">
        <v>20000</v>
      </c>
      <c r="F7" s="35">
        <v>6000</v>
      </c>
      <c r="G7" s="60">
        <f>E7/5000+G6+1</f>
        <v>9</v>
      </c>
      <c r="H7" s="61">
        <f ca="1" t="shared" ref="H7:H17" si="2">OFFSET($E$69,0,D7)*5+1</f>
        <v>1.34722222222222</v>
      </c>
      <c r="I7" s="62">
        <f>I6*2^0.2</f>
        <v>1.14869835499704</v>
      </c>
      <c r="J7" s="63">
        <v>0.3</v>
      </c>
      <c r="K7" s="35">
        <v>0.55</v>
      </c>
      <c r="L7" s="35">
        <v>0.12</v>
      </c>
      <c r="M7" s="35">
        <v>0.03</v>
      </c>
      <c r="T7" s="35" t="str">
        <f t="shared" si="0"/>
        <v>{1,3000},{2,5500},{3,1200},{4,300}</v>
      </c>
      <c r="U7" s="35" t="str">
        <f t="shared" ref="U7:U17" si="3">IF(J7="","","{"&amp;J$4&amp;","&amp;J7*10000&amp;"}")</f>
        <v>{1,3000}</v>
      </c>
      <c r="V7" s="35" t="str">
        <f t="shared" ref="V7:V17" si="4">IF(K7="","","{"&amp;K$4&amp;","&amp;K7*10000&amp;"}")</f>
        <v>{2,5500}</v>
      </c>
      <c r="W7" s="35" t="str">
        <f t="shared" ref="W7:W17" si="5">IF(L7="","","{"&amp;L$4&amp;","&amp;L7*10000&amp;"}")</f>
        <v>{3,1200}</v>
      </c>
      <c r="X7" s="35" t="str">
        <f t="shared" ref="X7:X17" si="6">IF(M7="","","{"&amp;M$4&amp;","&amp;M7*10000&amp;"}")</f>
        <v>{4,300}</v>
      </c>
      <c r="Y7" s="35" t="str">
        <f t="shared" ref="Y7:Y17" si="7">IF(N7="","","{"&amp;N$4&amp;","&amp;N7*10000&amp;"}")</f>
        <v/>
      </c>
      <c r="Z7" s="35" t="str">
        <f t="shared" ref="Z7:Z17" si="8">IF(O7="","","{"&amp;O$4&amp;","&amp;O7*10000&amp;"}")</f>
        <v/>
      </c>
      <c r="AA7" s="35" t="str">
        <f t="shared" ref="AA7:AA17" si="9">IF(P7="","","{"&amp;P$4&amp;","&amp;P7*10000&amp;"}")</f>
        <v/>
      </c>
      <c r="AB7" s="35" t="str">
        <f t="shared" ref="AB7:AB17" si="10">IF(Q7="","","{"&amp;Q$4&amp;","&amp;Q7*10000&amp;"}")</f>
        <v/>
      </c>
      <c r="AC7" s="35" t="str">
        <f t="shared" ref="AC7:AC17" si="11">IF(R7="","","{"&amp;R$4&amp;","&amp;R7*10000&amp;"}")</f>
        <v/>
      </c>
      <c r="AD7" s="35" t="str">
        <f t="shared" ref="AD7:AD17" si="12">IF(S7="","","{"&amp;S$4&amp;","&amp;S7*10000&amp;"}")</f>
        <v/>
      </c>
    </row>
    <row r="8" ht="18" spans="1:35">
      <c r="A8" s="55">
        <f>SUM($E$6:E8)</f>
        <v>70000</v>
      </c>
      <c r="B8" s="55"/>
      <c r="C8" s="56"/>
      <c r="D8" s="35">
        <v>3</v>
      </c>
      <c r="E8" s="35">
        <v>40000</v>
      </c>
      <c r="F8" s="35">
        <f>F7*2</f>
        <v>12000</v>
      </c>
      <c r="G8" s="60">
        <f>E8/6000+G7+1</f>
        <v>16.6666666666667</v>
      </c>
      <c r="H8" s="61">
        <f ca="1" t="shared" si="2"/>
        <v>1.41666666666667</v>
      </c>
      <c r="I8" s="62">
        <f>I7*2^0.2</f>
        <v>1.31950791077289</v>
      </c>
      <c r="K8" s="35">
        <v>0.65</v>
      </c>
      <c r="L8" s="35">
        <v>0.24</v>
      </c>
      <c r="M8" s="35">
        <v>0.1</v>
      </c>
      <c r="N8" s="35">
        <v>0.01</v>
      </c>
      <c r="T8" s="35" t="str">
        <f t="shared" si="0"/>
        <v>{2,6500},{3,2400},{4,1000},{5,100}</v>
      </c>
      <c r="U8" s="35" t="str">
        <f t="shared" si="3"/>
        <v/>
      </c>
      <c r="V8" s="35" t="str">
        <f t="shared" si="4"/>
        <v>{2,6500}</v>
      </c>
      <c r="W8" s="35" t="str">
        <f t="shared" si="5"/>
        <v>{3,2400}</v>
      </c>
      <c r="X8" s="35" t="str">
        <f t="shared" si="6"/>
        <v>{4,1000}</v>
      </c>
      <c r="Y8" s="35" t="str">
        <f t="shared" si="7"/>
        <v>{5,100}</v>
      </c>
      <c r="Z8" s="35" t="str">
        <f t="shared" si="8"/>
        <v/>
      </c>
      <c r="AA8" s="35" t="str">
        <f t="shared" si="9"/>
        <v/>
      </c>
      <c r="AB8" s="35" t="str">
        <f t="shared" si="10"/>
        <v/>
      </c>
      <c r="AC8" s="35" t="str">
        <f t="shared" si="11"/>
        <v/>
      </c>
      <c r="AD8" s="35" t="str">
        <f t="shared" si="12"/>
        <v/>
      </c>
    </row>
    <row r="9" ht="18" spans="1:35">
      <c r="A9" s="55">
        <f>SUM($E$6:E9)</f>
        <v>150000</v>
      </c>
      <c r="B9" s="55"/>
      <c r="C9" s="56"/>
      <c r="D9" s="35">
        <v>4</v>
      </c>
      <c r="E9" s="35">
        <v>80000</v>
      </c>
      <c r="F9" s="35">
        <v>25000</v>
      </c>
      <c r="G9" s="60">
        <f>E9/7000+G8+1</f>
        <v>29.0952380952381</v>
      </c>
      <c r="H9" s="61">
        <f ca="1" t="shared" si="2"/>
        <v>1.5</v>
      </c>
      <c r="I9" s="62">
        <f>I8*2^0.2</f>
        <v>1.5157165665104</v>
      </c>
      <c r="L9" s="35">
        <v>0.65</v>
      </c>
      <c r="M9" s="35">
        <v>0.24</v>
      </c>
      <c r="N9" s="35">
        <v>0.1</v>
      </c>
      <c r="O9" s="35">
        <v>0.01</v>
      </c>
      <c r="T9" s="35" t="str">
        <f t="shared" si="0"/>
        <v>{3,6500},{4,2400},{5,1000},{6,100}</v>
      </c>
      <c r="U9" s="35" t="str">
        <f t="shared" si="3"/>
        <v/>
      </c>
      <c r="V9" s="35" t="str">
        <f t="shared" si="4"/>
        <v/>
      </c>
      <c r="W9" s="35" t="str">
        <f t="shared" si="5"/>
        <v>{3,6500}</v>
      </c>
      <c r="X9" s="35" t="str">
        <f t="shared" si="6"/>
        <v>{4,2400}</v>
      </c>
      <c r="Y9" s="35" t="str">
        <f t="shared" si="7"/>
        <v>{5,1000}</v>
      </c>
      <c r="Z9" s="35" t="str">
        <f t="shared" si="8"/>
        <v>{6,100}</v>
      </c>
      <c r="AA9" s="35" t="str">
        <f t="shared" si="9"/>
        <v/>
      </c>
      <c r="AB9" s="35" t="str">
        <f t="shared" si="10"/>
        <v/>
      </c>
      <c r="AC9" s="35" t="str">
        <f t="shared" si="11"/>
        <v/>
      </c>
      <c r="AD9" s="35" t="str">
        <f t="shared" si="12"/>
        <v/>
      </c>
    </row>
    <row r="10" ht="18" spans="1:35">
      <c r="A10" s="55">
        <f>SUM($E$6:E10)</f>
        <v>300000</v>
      </c>
      <c r="B10" s="55"/>
      <c r="C10" s="56"/>
      <c r="D10" s="35">
        <v>5</v>
      </c>
      <c r="E10" s="35">
        <v>150000</v>
      </c>
      <c r="F10" s="35">
        <f>F9*2</f>
        <v>50000</v>
      </c>
      <c r="G10" s="60">
        <f>E10/8000+G9+1</f>
        <v>48.8452380952381</v>
      </c>
      <c r="H10" s="61">
        <f ca="1" t="shared" si="2"/>
        <v>1.6</v>
      </c>
      <c r="I10" s="62">
        <f>I9*2^0.2</f>
        <v>1.74110112659225</v>
      </c>
      <c r="M10" s="35">
        <v>0.65</v>
      </c>
      <c r="N10" s="35">
        <v>0.24</v>
      </c>
      <c r="O10" s="35">
        <v>0.1</v>
      </c>
      <c r="P10" s="35">
        <v>0.01</v>
      </c>
      <c r="T10" s="35" t="str">
        <f t="shared" si="0"/>
        <v>{4,6500},{5,2400},{6,1000},{7,100}</v>
      </c>
      <c r="U10" s="35" t="str">
        <f t="shared" si="3"/>
        <v/>
      </c>
      <c r="V10" s="35" t="str">
        <f t="shared" si="4"/>
        <v/>
      </c>
      <c r="W10" s="35" t="str">
        <f t="shared" si="5"/>
        <v/>
      </c>
      <c r="X10" s="35" t="str">
        <f t="shared" si="6"/>
        <v>{4,6500}</v>
      </c>
      <c r="Y10" s="35" t="str">
        <f t="shared" si="7"/>
        <v>{5,2400}</v>
      </c>
      <c r="Z10" s="35" t="str">
        <f t="shared" si="8"/>
        <v>{6,1000}</v>
      </c>
      <c r="AA10" s="35" t="str">
        <f t="shared" si="9"/>
        <v>{7,100}</v>
      </c>
      <c r="AB10" s="35" t="str">
        <f t="shared" si="10"/>
        <v/>
      </c>
      <c r="AC10" s="35" t="str">
        <f t="shared" si="11"/>
        <v/>
      </c>
      <c r="AD10" s="35" t="str">
        <f t="shared" si="12"/>
        <v/>
      </c>
    </row>
    <row r="11" ht="18" spans="1:35">
      <c r="A11" s="55">
        <f>SUM($E$6:E11)</f>
        <v>600000</v>
      </c>
      <c r="B11" s="55"/>
      <c r="C11" s="56"/>
      <c r="D11" s="35">
        <v>6</v>
      </c>
      <c r="E11" s="35">
        <v>300000</v>
      </c>
      <c r="F11" s="35">
        <f t="shared" ref="F11:F17" si="13">F10*2</f>
        <v>100000</v>
      </c>
      <c r="G11" s="60">
        <f t="shared" ref="G11:G17" si="14">E11/8000+G10+1</f>
        <v>87.3452380952381</v>
      </c>
      <c r="H11" s="61">
        <f ca="1" t="shared" si="2"/>
        <v>1.72</v>
      </c>
      <c r="I11" s="62">
        <f>I10*2^0.2</f>
        <v>2</v>
      </c>
      <c r="M11" s="35">
        <v>0.25</v>
      </c>
      <c r="N11" s="35">
        <v>0.5</v>
      </c>
      <c r="O11" s="35">
        <v>0.2</v>
      </c>
      <c r="P11" s="35">
        <v>0.05</v>
      </c>
      <c r="T11" s="35" t="str">
        <f t="shared" si="0"/>
        <v>{4,2500},{5,5000},{6,2000},{7,500}</v>
      </c>
      <c r="U11" s="35" t="str">
        <f t="shared" si="3"/>
        <v/>
      </c>
      <c r="V11" s="35" t="str">
        <f t="shared" si="4"/>
        <v/>
      </c>
      <c r="W11" s="35" t="str">
        <f t="shared" si="5"/>
        <v/>
      </c>
      <c r="X11" s="35" t="str">
        <f t="shared" si="6"/>
        <v>{4,2500}</v>
      </c>
      <c r="Y11" s="35" t="str">
        <f t="shared" si="7"/>
        <v>{5,5000}</v>
      </c>
      <c r="Z11" s="35" t="str">
        <f t="shared" si="8"/>
        <v>{6,2000}</v>
      </c>
      <c r="AA11" s="35" t="str">
        <f t="shared" si="9"/>
        <v>{7,500}</v>
      </c>
      <c r="AB11" s="35" t="str">
        <f t="shared" si="10"/>
        <v/>
      </c>
      <c r="AC11" s="35" t="str">
        <f t="shared" si="11"/>
        <v/>
      </c>
      <c r="AD11" s="35" t="str">
        <f t="shared" si="12"/>
        <v/>
      </c>
    </row>
    <row r="12" ht="18" spans="1:35">
      <c r="A12" s="55">
        <f>SUM($E$6:E12)</f>
        <v>1200000</v>
      </c>
      <c r="B12" s="55"/>
      <c r="C12" s="56"/>
      <c r="D12" s="35">
        <v>7</v>
      </c>
      <c r="E12" s="35">
        <v>600000</v>
      </c>
      <c r="F12" s="35">
        <f t="shared" si="13"/>
        <v>200000</v>
      </c>
      <c r="G12" s="60">
        <f t="shared" si="14"/>
        <v>163.345238095238</v>
      </c>
      <c r="H12" s="61">
        <f ca="1" t="shared" si="2"/>
        <v>1.864</v>
      </c>
      <c r="I12" s="62">
        <f t="shared" ref="I12:I17" si="15">I11*2^0.1</f>
        <v>2.14354692507259</v>
      </c>
      <c r="N12" s="35">
        <v>0.54</v>
      </c>
      <c r="O12" s="35">
        <v>0.35</v>
      </c>
      <c r="P12" s="35">
        <v>0.1</v>
      </c>
      <c r="Q12" s="35">
        <v>0.01</v>
      </c>
      <c r="T12" s="35" t="str">
        <f t="shared" si="0"/>
        <v>{5,5400},{6,3500},{7,1000},{8,100}</v>
      </c>
      <c r="U12" s="35" t="str">
        <f t="shared" si="3"/>
        <v/>
      </c>
      <c r="V12" s="35" t="str">
        <f t="shared" si="4"/>
        <v/>
      </c>
      <c r="W12" s="35" t="str">
        <f t="shared" si="5"/>
        <v/>
      </c>
      <c r="X12" s="35" t="str">
        <f t="shared" si="6"/>
        <v/>
      </c>
      <c r="Y12" s="35" t="str">
        <f t="shared" si="7"/>
        <v>{5,5400}</v>
      </c>
      <c r="Z12" s="35" t="str">
        <f t="shared" si="8"/>
        <v>{6,3500}</v>
      </c>
      <c r="AA12" s="35" t="str">
        <f t="shared" si="9"/>
        <v>{7,1000}</v>
      </c>
      <c r="AB12" s="35" t="str">
        <f t="shared" si="10"/>
        <v>{8,100}</v>
      </c>
      <c r="AC12" s="35" t="str">
        <f t="shared" si="11"/>
        <v/>
      </c>
      <c r="AD12" s="35" t="str">
        <f t="shared" si="12"/>
        <v/>
      </c>
    </row>
    <row r="13" ht="18" spans="1:35">
      <c r="A13" s="55">
        <f>SUM($E$6:E13)</f>
        <v>2400000</v>
      </c>
      <c r="B13" s="55"/>
      <c r="C13" s="56"/>
      <c r="D13" s="35">
        <v>8</v>
      </c>
      <c r="E13" s="35">
        <f>E12*2</f>
        <v>1200000</v>
      </c>
      <c r="F13" s="35">
        <f t="shared" si="13"/>
        <v>400000</v>
      </c>
      <c r="G13" s="60">
        <f t="shared" si="14"/>
        <v>314.345238095238</v>
      </c>
      <c r="H13" s="61">
        <f ca="1" t="shared" si="2"/>
        <v>2.0368</v>
      </c>
      <c r="I13" s="62">
        <f t="shared" si="15"/>
        <v>2.29739670999407</v>
      </c>
      <c r="N13" s="35">
        <v>0.3</v>
      </c>
      <c r="O13" s="35">
        <v>0.35</v>
      </c>
      <c r="P13" s="35">
        <v>0.3</v>
      </c>
      <c r="Q13" s="35">
        <v>0.05</v>
      </c>
      <c r="T13" s="35" t="str">
        <f t="shared" si="0"/>
        <v>{5,3000},{6,3500},{7,3000},{8,500}</v>
      </c>
      <c r="U13" s="35" t="str">
        <f t="shared" si="3"/>
        <v/>
      </c>
      <c r="V13" s="35" t="str">
        <f t="shared" si="4"/>
        <v/>
      </c>
      <c r="W13" s="35" t="str">
        <f t="shared" si="5"/>
        <v/>
      </c>
      <c r="X13" s="35" t="str">
        <f t="shared" si="6"/>
        <v/>
      </c>
      <c r="Y13" s="35" t="str">
        <f t="shared" si="7"/>
        <v>{5,3000}</v>
      </c>
      <c r="Z13" s="35" t="str">
        <f t="shared" si="8"/>
        <v>{6,3500}</v>
      </c>
      <c r="AA13" s="35" t="str">
        <f t="shared" si="9"/>
        <v>{7,3000}</v>
      </c>
      <c r="AB13" s="35" t="str">
        <f t="shared" si="10"/>
        <v>{8,500}</v>
      </c>
      <c r="AC13" s="35" t="str">
        <f t="shared" si="11"/>
        <v/>
      </c>
      <c r="AD13" s="35" t="str">
        <f t="shared" si="12"/>
        <v/>
      </c>
    </row>
    <row r="14" ht="18" spans="1:35">
      <c r="A14" s="55">
        <f>SUM($E$6:E14)</f>
        <v>4900000</v>
      </c>
      <c r="B14" s="55"/>
      <c r="C14" s="56"/>
      <c r="D14" s="35">
        <v>9</v>
      </c>
      <c r="E14" s="35">
        <v>2500000</v>
      </c>
      <c r="F14" s="35">
        <f t="shared" si="13"/>
        <v>800000</v>
      </c>
      <c r="G14" s="60">
        <f t="shared" si="14"/>
        <v>627.845238095238</v>
      </c>
      <c r="H14" s="61">
        <f ca="1" t="shared" si="2"/>
        <v>2.24416</v>
      </c>
      <c r="I14" s="62">
        <f t="shared" si="15"/>
        <v>2.46228882668983</v>
      </c>
      <c r="N14" s="35">
        <v>0.1</v>
      </c>
      <c r="O14" s="35">
        <v>0.4</v>
      </c>
      <c r="P14" s="35">
        <v>0.39</v>
      </c>
      <c r="Q14" s="35">
        <v>0.1</v>
      </c>
      <c r="R14" s="35">
        <v>0.01</v>
      </c>
      <c r="T14" s="35" t="str">
        <f t="shared" si="0"/>
        <v>{5,1000},{6,4000},{7,3900},{8,1000},{9,100}</v>
      </c>
      <c r="U14" s="35" t="str">
        <f t="shared" si="3"/>
        <v/>
      </c>
      <c r="V14" s="35" t="str">
        <f t="shared" si="4"/>
        <v/>
      </c>
      <c r="W14" s="35" t="str">
        <f t="shared" si="5"/>
        <v/>
      </c>
      <c r="X14" s="35" t="str">
        <f t="shared" si="6"/>
        <v/>
      </c>
      <c r="Y14" s="35" t="str">
        <f t="shared" si="7"/>
        <v>{5,1000}</v>
      </c>
      <c r="Z14" s="35" t="str">
        <f t="shared" si="8"/>
        <v>{6,4000}</v>
      </c>
      <c r="AA14" s="35" t="str">
        <f t="shared" si="9"/>
        <v>{7,3900}</v>
      </c>
      <c r="AB14" s="35" t="str">
        <f t="shared" si="10"/>
        <v>{8,1000}</v>
      </c>
      <c r="AC14" s="35" t="str">
        <f t="shared" si="11"/>
        <v>{9,100}</v>
      </c>
      <c r="AD14" s="35" t="str">
        <f t="shared" si="12"/>
        <v/>
      </c>
    </row>
    <row r="15" ht="18" spans="1:35">
      <c r="A15" s="55">
        <f>SUM($E$6:E15)</f>
        <v>9900000</v>
      </c>
      <c r="B15" s="55"/>
      <c r="C15" s="56"/>
      <c r="D15" s="35">
        <v>10</v>
      </c>
      <c r="E15" s="35">
        <f>E14*2</f>
        <v>5000000</v>
      </c>
      <c r="F15" s="35">
        <f t="shared" si="13"/>
        <v>1600000</v>
      </c>
      <c r="G15" s="60">
        <f t="shared" si="14"/>
        <v>1253.84523809524</v>
      </c>
      <c r="H15" s="61">
        <f ca="1" t="shared" si="2"/>
        <v>2.492992</v>
      </c>
      <c r="I15" s="62">
        <f t="shared" si="15"/>
        <v>2.63901582154579</v>
      </c>
      <c r="O15" s="35">
        <v>0.38</v>
      </c>
      <c r="P15" s="35">
        <v>0.45</v>
      </c>
      <c r="Q15" s="35">
        <v>0.15</v>
      </c>
      <c r="R15" s="35">
        <v>0.02</v>
      </c>
      <c r="T15" s="35" t="str">
        <f t="shared" si="0"/>
        <v>{6,3800},{7,4500},{8,1500},{9,200}</v>
      </c>
      <c r="U15" s="35" t="str">
        <f t="shared" si="3"/>
        <v/>
      </c>
      <c r="V15" s="35" t="str">
        <f t="shared" si="4"/>
        <v/>
      </c>
      <c r="W15" s="35" t="str">
        <f t="shared" si="5"/>
        <v/>
      </c>
      <c r="X15" s="35" t="str">
        <f t="shared" si="6"/>
        <v/>
      </c>
      <c r="Y15" s="35" t="str">
        <f t="shared" si="7"/>
        <v/>
      </c>
      <c r="Z15" s="35" t="str">
        <f t="shared" si="8"/>
        <v>{6,3800}</v>
      </c>
      <c r="AA15" s="35" t="str">
        <f t="shared" si="9"/>
        <v>{7,4500}</v>
      </c>
      <c r="AB15" s="35" t="str">
        <f t="shared" si="10"/>
        <v>{8,1500}</v>
      </c>
      <c r="AC15" s="35" t="str">
        <f t="shared" si="11"/>
        <v>{9,200}</v>
      </c>
      <c r="AD15" s="35" t="str">
        <f t="shared" si="12"/>
        <v/>
      </c>
    </row>
    <row r="16" ht="18" spans="1:35">
      <c r="A16" s="55">
        <f>SUM($E$6:E16)</f>
        <v>19900000</v>
      </c>
      <c r="B16" s="55"/>
      <c r="C16" s="56"/>
      <c r="D16" s="35">
        <v>11</v>
      </c>
      <c r="E16" s="35">
        <f>E15*2</f>
        <v>10000000</v>
      </c>
      <c r="F16" s="35">
        <f t="shared" si="13"/>
        <v>3200000</v>
      </c>
      <c r="G16" s="60">
        <f t="shared" si="14"/>
        <v>2504.84523809524</v>
      </c>
      <c r="H16" s="61">
        <f ca="1" t="shared" si="2"/>
        <v>2.7915904</v>
      </c>
      <c r="I16" s="62">
        <f t="shared" si="15"/>
        <v>2.82842712474619</v>
      </c>
      <c r="O16" s="35">
        <v>0.2</v>
      </c>
      <c r="P16" s="35">
        <v>0.5</v>
      </c>
      <c r="Q16" s="35">
        <v>0.24</v>
      </c>
      <c r="R16" s="35">
        <v>0.05</v>
      </c>
      <c r="S16" s="35">
        <v>0.01</v>
      </c>
      <c r="T16" s="35" t="str">
        <f t="shared" si="0"/>
        <v>{6,2000},{7,5000},{8,2400},{9,500},{10,100}</v>
      </c>
      <c r="U16" s="35" t="str">
        <f t="shared" si="3"/>
        <v/>
      </c>
      <c r="V16" s="35" t="str">
        <f t="shared" si="4"/>
        <v/>
      </c>
      <c r="W16" s="35" t="str">
        <f t="shared" si="5"/>
        <v/>
      </c>
      <c r="X16" s="35" t="str">
        <f t="shared" si="6"/>
        <v/>
      </c>
      <c r="Y16" s="35" t="str">
        <f t="shared" si="7"/>
        <v/>
      </c>
      <c r="Z16" s="35" t="str">
        <f t="shared" si="8"/>
        <v>{6,2000}</v>
      </c>
      <c r="AA16" s="35" t="str">
        <f t="shared" si="9"/>
        <v>{7,5000}</v>
      </c>
      <c r="AB16" s="35" t="str">
        <f t="shared" si="10"/>
        <v>{8,2400}</v>
      </c>
      <c r="AC16" s="35" t="str">
        <f t="shared" si="11"/>
        <v>{9,500}</v>
      </c>
      <c r="AD16" s="35" t="str">
        <f t="shared" si="12"/>
        <v>{10,100}</v>
      </c>
    </row>
    <row r="17" ht="18" spans="1:30">
      <c r="A17" s="55">
        <f>SUM($E$6:E17)</f>
        <v>39900000</v>
      </c>
      <c r="B17" s="55"/>
      <c r="C17" s="56"/>
      <c r="D17" s="35">
        <v>12</v>
      </c>
      <c r="E17" s="35">
        <f>E16*2</f>
        <v>20000000</v>
      </c>
      <c r="F17" s="35">
        <f t="shared" si="13"/>
        <v>6400000</v>
      </c>
      <c r="G17" s="60">
        <f t="shared" si="14"/>
        <v>5005.84523809524</v>
      </c>
      <c r="H17" s="61">
        <f ca="1" t="shared" si="2"/>
        <v>3.14990848</v>
      </c>
      <c r="I17" s="62">
        <f t="shared" si="15"/>
        <v>3.0314331330208</v>
      </c>
      <c r="O17" s="35">
        <v>0.1</v>
      </c>
      <c r="P17" s="35">
        <v>0.4</v>
      </c>
      <c r="Q17" s="35">
        <v>0.38</v>
      </c>
      <c r="R17" s="35">
        <v>0.1</v>
      </c>
      <c r="S17" s="35">
        <v>0.02</v>
      </c>
      <c r="T17" s="35" t="str">
        <f t="shared" si="0"/>
        <v>{6,1000},{7,4000},{8,3800},{9,1000},{10,200}</v>
      </c>
      <c r="U17" s="35" t="str">
        <f t="shared" si="3"/>
        <v/>
      </c>
      <c r="V17" s="35" t="str">
        <f t="shared" si="4"/>
        <v/>
      </c>
      <c r="W17" s="35" t="str">
        <f t="shared" si="5"/>
        <v/>
      </c>
      <c r="X17" s="35" t="str">
        <f t="shared" si="6"/>
        <v/>
      </c>
      <c r="Y17" s="35" t="str">
        <f t="shared" si="7"/>
        <v/>
      </c>
      <c r="Z17" s="35" t="str">
        <f t="shared" si="8"/>
        <v>{6,1000}</v>
      </c>
      <c r="AA17" s="35" t="str">
        <f t="shared" si="9"/>
        <v>{7,4000}</v>
      </c>
      <c r="AB17" s="35" t="str">
        <f t="shared" si="10"/>
        <v>{8,3800}</v>
      </c>
      <c r="AC17" s="35" t="str">
        <f t="shared" si="11"/>
        <v>{9,1000}</v>
      </c>
      <c r="AD17" s="35" t="str">
        <f t="shared" si="12"/>
        <v>{10,200}</v>
      </c>
    </row>
    <row r="18" ht="18" spans="1:30">
      <c r="A18" s="55"/>
      <c r="B18" s="55"/>
      <c r="C18" s="56"/>
    </row>
    <row r="19" ht="18" spans="1:30">
      <c r="A19" s="55"/>
      <c r="B19" s="55"/>
      <c r="C19" s="56"/>
      <c r="T19" s="35">
        <v>1</v>
      </c>
      <c r="U19" s="35">
        <v>2</v>
      </c>
      <c r="V19" s="35">
        <v>3</v>
      </c>
      <c r="W19" s="35">
        <v>4</v>
      </c>
      <c r="X19" s="35">
        <v>5</v>
      </c>
      <c r="Y19" s="35">
        <v>6</v>
      </c>
      <c r="Z19" s="35">
        <v>7</v>
      </c>
      <c r="AA19" s="35">
        <v>8</v>
      </c>
      <c r="AB19" s="35">
        <v>9</v>
      </c>
      <c r="AC19" s="35">
        <v>10</v>
      </c>
    </row>
    <row r="20" ht="17.25" spans="1:30">
      <c r="A20" s="35" t="str">
        <f>"[{"&amp;C20&amp;","&amp;G20&amp;"}]"</f>
        <v>[{4,11}]</v>
      </c>
      <c r="B20" s="55"/>
      <c r="C20" s="55">
        <v>4</v>
      </c>
      <c r="D20" s="35">
        <v>1</v>
      </c>
      <c r="E20" s="35">
        <f>_xlfn.XLOOKUP(H20,$D$33:$D$37,$E$33:$E$37)</f>
        <v>0.9881</v>
      </c>
      <c r="F20" s="35">
        <f>1-H20</f>
        <v>0.99</v>
      </c>
      <c r="G20" s="35">
        <f t="shared" ref="G20:G31" si="16">_xlfn.XLOOKUP(H20,$D$33:$D$38,$F$33:$F$38)-1</f>
        <v>11</v>
      </c>
      <c r="H20" s="35">
        <v>0.01</v>
      </c>
      <c r="I20" s="35">
        <f>ROUND(J6/($F20)*($E20),4)</f>
        <v>0.499</v>
      </c>
      <c r="J20" s="35">
        <f>ROUND(K6/($F20)*($E20),4)</f>
        <v>0.3992</v>
      </c>
      <c r="K20" s="35">
        <f>ROUND(L6/($F20)*($E20),4)</f>
        <v>0.0898</v>
      </c>
      <c r="L20" s="35">
        <f>1-_xlfn.XLOOKUP($H20,$D$33:$D$37,$E$33:$E$37)</f>
        <v>0.0119</v>
      </c>
      <c r="S20" s="64" t="str">
        <f>"["&amp;_xlfn.TEXTJOIN(",",1,T20:AC20)&amp;"]"</f>
        <v>[{1,4990},{2,3992},{3,898},{4,119}]</v>
      </c>
      <c r="T20" s="35" t="str">
        <f t="shared" ref="T20:AC20" si="17">IF(I20="","","{"&amp;J$4&amp;","&amp;I20*10000&amp;"}")</f>
        <v>{1,4990}</v>
      </c>
      <c r="U20" s="35" t="str">
        <f t="shared" si="17"/>
        <v>{2,3992}</v>
      </c>
      <c r="V20" s="35" t="str">
        <f t="shared" si="17"/>
        <v>{3,898}</v>
      </c>
      <c r="W20" s="35" t="str">
        <f t="shared" si="17"/>
        <v>{4,119}</v>
      </c>
      <c r="X20" s="35" t="str">
        <f t="shared" si="17"/>
        <v/>
      </c>
      <c r="Y20" s="35" t="str">
        <f t="shared" si="17"/>
        <v/>
      </c>
      <c r="Z20" s="35" t="str">
        <f t="shared" si="17"/>
        <v/>
      </c>
      <c r="AA20" s="35" t="str">
        <f t="shared" si="17"/>
        <v/>
      </c>
      <c r="AB20" s="35" t="str">
        <f t="shared" si="17"/>
        <v/>
      </c>
      <c r="AC20" s="35" t="str">
        <f t="shared" si="17"/>
        <v/>
      </c>
    </row>
    <row r="21" ht="17.25" spans="1:30">
      <c r="A21" s="35" t="str">
        <f t="shared" ref="A21:A31" si="18">"[{"&amp;C21&amp;","&amp;G21&amp;"}]"</f>
        <v>[{4,3}]</v>
      </c>
      <c r="B21" s="55"/>
      <c r="C21" s="55">
        <v>4</v>
      </c>
      <c r="D21" s="35">
        <v>2</v>
      </c>
      <c r="E21" s="35">
        <f t="shared" ref="E21:E31" si="19">_xlfn.XLOOKUP(H21,$D$33:$D$37,$E$33:$E$37)</f>
        <v>0.967</v>
      </c>
      <c r="F21" s="35">
        <f t="shared" ref="F21:F31" si="20">1-H21</f>
        <v>0.97</v>
      </c>
      <c r="G21" s="35">
        <f t="shared" si="16"/>
        <v>3</v>
      </c>
      <c r="H21" s="35">
        <v>0.03</v>
      </c>
      <c r="I21" s="35">
        <f t="shared" ref="I21:K21" si="21">ROUND(J7/($F21)*($E21),4)</f>
        <v>0.2991</v>
      </c>
      <c r="J21" s="35">
        <f t="shared" si="21"/>
        <v>0.5483</v>
      </c>
      <c r="K21" s="35">
        <f t="shared" si="21"/>
        <v>0.1196</v>
      </c>
      <c r="L21" s="35">
        <f>1-_xlfn.XLOOKUP($H21,$D$33:$D$37,$E$33:$E$37)</f>
        <v>0.033</v>
      </c>
      <c r="S21" s="64" t="str">
        <f t="shared" ref="S21:S31" si="22">"["&amp;_xlfn.TEXTJOIN(",",1,T21:AC21)&amp;"]"</f>
        <v>[{1,2991},{2,5483},{3,1196},{4,330}]</v>
      </c>
      <c r="T21" s="35" t="str">
        <f t="shared" ref="T21:AC21" si="23">IF(I21="","","{"&amp;J$4&amp;","&amp;I21*10000&amp;"}")</f>
        <v>{1,2991}</v>
      </c>
      <c r="U21" s="35" t="str">
        <f t="shared" si="23"/>
        <v>{2,5483}</v>
      </c>
      <c r="V21" s="35" t="str">
        <f t="shared" si="23"/>
        <v>{3,1196}</v>
      </c>
      <c r="W21" s="35" t="str">
        <f t="shared" si="23"/>
        <v>{4,330}</v>
      </c>
      <c r="X21" s="35" t="str">
        <f t="shared" si="23"/>
        <v/>
      </c>
      <c r="Y21" s="35" t="str">
        <f t="shared" si="23"/>
        <v/>
      </c>
      <c r="Z21" s="35" t="str">
        <f t="shared" si="23"/>
        <v/>
      </c>
      <c r="AA21" s="35" t="str">
        <f t="shared" si="23"/>
        <v/>
      </c>
      <c r="AB21" s="35" t="str">
        <f t="shared" si="23"/>
        <v/>
      </c>
      <c r="AC21" s="35" t="str">
        <f t="shared" si="23"/>
        <v/>
      </c>
    </row>
    <row r="22" ht="17.25" spans="1:30">
      <c r="A22" s="35" t="str">
        <f t="shared" si="18"/>
        <v>[{5,11}]</v>
      </c>
      <c r="B22" s="55"/>
      <c r="C22" s="55">
        <v>5</v>
      </c>
      <c r="D22" s="35">
        <v>3</v>
      </c>
      <c r="E22" s="35">
        <f t="shared" si="19"/>
        <v>0.9881</v>
      </c>
      <c r="F22" s="35">
        <f t="shared" si="20"/>
        <v>0.99</v>
      </c>
      <c r="G22" s="35">
        <f t="shared" si="16"/>
        <v>11</v>
      </c>
      <c r="H22" s="35">
        <v>0.01</v>
      </c>
      <c r="J22" s="35">
        <f t="shared" ref="J22:L22" si="24">ROUND(K8/($F22)*($E22),4)</f>
        <v>0.6488</v>
      </c>
      <c r="K22" s="35">
        <f t="shared" si="24"/>
        <v>0.2395</v>
      </c>
      <c r="L22" s="35">
        <f t="shared" si="24"/>
        <v>0.0998</v>
      </c>
      <c r="M22" s="35">
        <f>1-_xlfn.XLOOKUP($H22,$D$33:$D$37,$E$33:$E$37)</f>
        <v>0.0119</v>
      </c>
      <c r="S22" s="64" t="str">
        <f t="shared" si="22"/>
        <v>[{2,6488},{3,2395},{4,998},{5,119}]</v>
      </c>
      <c r="T22" s="35" t="str">
        <f t="shared" ref="T22:AC22" si="25">IF(I22="","","{"&amp;J$4&amp;","&amp;I22*10000&amp;"}")</f>
        <v/>
      </c>
      <c r="U22" s="35" t="str">
        <f t="shared" si="25"/>
        <v>{2,6488}</v>
      </c>
      <c r="V22" s="35" t="str">
        <f t="shared" si="25"/>
        <v>{3,2395}</v>
      </c>
      <c r="W22" s="35" t="str">
        <f t="shared" si="25"/>
        <v>{4,998}</v>
      </c>
      <c r="X22" s="35" t="str">
        <f t="shared" si="25"/>
        <v>{5,119}</v>
      </c>
      <c r="Y22" s="35" t="str">
        <f t="shared" si="25"/>
        <v/>
      </c>
      <c r="Z22" s="35" t="str">
        <f t="shared" si="25"/>
        <v/>
      </c>
      <c r="AA22" s="35" t="str">
        <f t="shared" si="25"/>
        <v/>
      </c>
      <c r="AB22" s="35" t="str">
        <f t="shared" si="25"/>
        <v/>
      </c>
      <c r="AC22" s="35" t="str">
        <f t="shared" si="25"/>
        <v/>
      </c>
    </row>
    <row r="23" ht="17.25" spans="1:30">
      <c r="A23" s="35" t="str">
        <f t="shared" si="18"/>
        <v>[{6,11}]</v>
      </c>
      <c r="B23" s="55"/>
      <c r="C23" s="55">
        <v>6</v>
      </c>
      <c r="D23" s="35">
        <v>4</v>
      </c>
      <c r="E23" s="35">
        <f t="shared" si="19"/>
        <v>0.9881</v>
      </c>
      <c r="F23" s="35">
        <f t="shared" si="20"/>
        <v>0.99</v>
      </c>
      <c r="G23" s="35">
        <f t="shared" si="16"/>
        <v>11</v>
      </c>
      <c r="H23" s="35">
        <v>0.01</v>
      </c>
      <c r="K23" s="35">
        <f t="shared" ref="K23:M23" si="26">ROUND(L9/($F23)*($E23),4)</f>
        <v>0.6488</v>
      </c>
      <c r="L23" s="35">
        <f t="shared" si="26"/>
        <v>0.2395</v>
      </c>
      <c r="M23" s="35">
        <f t="shared" si="26"/>
        <v>0.0998</v>
      </c>
      <c r="N23" s="35">
        <f>1-_xlfn.XLOOKUP($H23,$D$33:$D$37,$E$33:$E$37)</f>
        <v>0.0119</v>
      </c>
      <c r="S23" s="64" t="str">
        <f t="shared" si="22"/>
        <v>[{3,6488},{4,2395},{5,998},{6,119}]</v>
      </c>
      <c r="T23" s="35" t="str">
        <f t="shared" ref="T23:AC23" si="27">IF(I23="","","{"&amp;J$4&amp;","&amp;I23*10000&amp;"}")</f>
        <v/>
      </c>
      <c r="U23" s="35" t="str">
        <f t="shared" si="27"/>
        <v/>
      </c>
      <c r="V23" s="35" t="str">
        <f t="shared" si="27"/>
        <v>{3,6488}</v>
      </c>
      <c r="W23" s="35" t="str">
        <f t="shared" si="27"/>
        <v>{4,2395}</v>
      </c>
      <c r="X23" s="35" t="str">
        <f t="shared" si="27"/>
        <v>{5,998}</v>
      </c>
      <c r="Y23" s="35" t="str">
        <f t="shared" si="27"/>
        <v>{6,119}</v>
      </c>
      <c r="Z23" s="35" t="str">
        <f t="shared" si="27"/>
        <v/>
      </c>
      <c r="AA23" s="35" t="str">
        <f t="shared" si="27"/>
        <v/>
      </c>
      <c r="AB23" s="35" t="str">
        <f t="shared" si="27"/>
        <v/>
      </c>
      <c r="AC23" s="35" t="str">
        <f t="shared" si="27"/>
        <v/>
      </c>
    </row>
    <row r="24" ht="17.25" spans="1:30">
      <c r="A24" s="35" t="str">
        <f t="shared" si="18"/>
        <v>[{7,11}]</v>
      </c>
      <c r="B24" s="55"/>
      <c r="C24" s="55">
        <v>7</v>
      </c>
      <c r="D24" s="35">
        <v>5</v>
      </c>
      <c r="E24" s="35">
        <f t="shared" si="19"/>
        <v>0.9881</v>
      </c>
      <c r="F24" s="35">
        <f t="shared" si="20"/>
        <v>0.99</v>
      </c>
      <c r="G24" s="35">
        <f t="shared" si="16"/>
        <v>11</v>
      </c>
      <c r="H24" s="35">
        <v>0.01</v>
      </c>
      <c r="L24" s="35">
        <f t="shared" ref="L24:N24" si="28">ROUND(M10/($F24)*($E24),4)</f>
        <v>0.6488</v>
      </c>
      <c r="M24" s="35">
        <f t="shared" si="28"/>
        <v>0.2395</v>
      </c>
      <c r="N24" s="35">
        <f t="shared" si="28"/>
        <v>0.0998</v>
      </c>
      <c r="O24" s="35">
        <f>1-_xlfn.XLOOKUP($H24,$D$33:$D$37,$E$33:$E$37)</f>
        <v>0.0119</v>
      </c>
      <c r="S24" s="64" t="str">
        <f t="shared" si="22"/>
        <v>[{4,6488},{5,2395},{6,998},{7,119}]</v>
      </c>
      <c r="T24" s="35" t="str">
        <f t="shared" ref="T24:AC24" si="29">IF(I24="","","{"&amp;J$4&amp;","&amp;I24*10000&amp;"}")</f>
        <v/>
      </c>
      <c r="U24" s="35" t="str">
        <f t="shared" si="29"/>
        <v/>
      </c>
      <c r="V24" s="35" t="str">
        <f t="shared" si="29"/>
        <v/>
      </c>
      <c r="W24" s="35" t="str">
        <f t="shared" si="29"/>
        <v>{4,6488}</v>
      </c>
      <c r="X24" s="35" t="str">
        <f t="shared" si="29"/>
        <v>{5,2395}</v>
      </c>
      <c r="Y24" s="35" t="str">
        <f t="shared" si="29"/>
        <v>{6,998}</v>
      </c>
      <c r="Z24" s="35" t="str">
        <f t="shared" si="29"/>
        <v>{7,119}</v>
      </c>
      <c r="AA24" s="35" t="str">
        <f t="shared" si="29"/>
        <v/>
      </c>
      <c r="AB24" s="35" t="str">
        <f t="shared" si="29"/>
        <v/>
      </c>
      <c r="AC24" s="35" t="str">
        <f t="shared" si="29"/>
        <v/>
      </c>
    </row>
    <row r="25" ht="17.25" spans="1:30">
      <c r="A25" s="35" t="str">
        <f t="shared" si="18"/>
        <v>[{7,2}]</v>
      </c>
      <c r="B25" s="55"/>
      <c r="C25" s="55">
        <v>7</v>
      </c>
      <c r="D25" s="35">
        <v>6</v>
      </c>
      <c r="E25" s="35">
        <f t="shared" si="19"/>
        <v>0.9444</v>
      </c>
      <c r="F25" s="35">
        <f t="shared" si="20"/>
        <v>0.95</v>
      </c>
      <c r="G25" s="35">
        <f t="shared" si="16"/>
        <v>2</v>
      </c>
      <c r="H25" s="35">
        <v>0.05</v>
      </c>
      <c r="L25" s="35">
        <f t="shared" ref="L25:N25" si="30">ROUND(M11/($F25)*($E25),4)</f>
        <v>0.2485</v>
      </c>
      <c r="M25" s="35">
        <f t="shared" si="30"/>
        <v>0.4971</v>
      </c>
      <c r="N25" s="35">
        <f t="shared" si="30"/>
        <v>0.1988</v>
      </c>
      <c r="O25" s="35">
        <f>1-_xlfn.XLOOKUP($H25,$D$33:$D$37,$E$33:$E$37)</f>
        <v>0.0556</v>
      </c>
      <c r="S25" s="64" t="str">
        <f t="shared" si="22"/>
        <v>[{4,2485},{5,4971},{6,1988},{7,556}]</v>
      </c>
      <c r="T25" s="35" t="str">
        <f t="shared" ref="T25:AC25" si="31">IF(I25="","","{"&amp;J$4&amp;","&amp;I25*10000&amp;"}")</f>
        <v/>
      </c>
      <c r="U25" s="35" t="str">
        <f t="shared" si="31"/>
        <v/>
      </c>
      <c r="V25" s="35" t="str">
        <f t="shared" si="31"/>
        <v/>
      </c>
      <c r="W25" s="35" t="str">
        <f t="shared" si="31"/>
        <v>{4,2485}</v>
      </c>
      <c r="X25" s="35" t="str">
        <f t="shared" si="31"/>
        <v>{5,4971}</v>
      </c>
      <c r="Y25" s="35" t="str">
        <f t="shared" si="31"/>
        <v>{6,1988}</v>
      </c>
      <c r="Z25" s="35" t="str">
        <f t="shared" si="31"/>
        <v>{7,556}</v>
      </c>
      <c r="AA25" s="35" t="str">
        <f t="shared" si="31"/>
        <v/>
      </c>
      <c r="AB25" s="35" t="str">
        <f t="shared" si="31"/>
        <v/>
      </c>
      <c r="AC25" s="35" t="str">
        <f t="shared" si="31"/>
        <v/>
      </c>
    </row>
    <row r="26" ht="17.25" spans="1:30">
      <c r="A26" s="35" t="str">
        <f t="shared" si="18"/>
        <v>[{8,11}]</v>
      </c>
      <c r="B26" s="55"/>
      <c r="C26" s="55">
        <v>8</v>
      </c>
      <c r="D26" s="35">
        <v>7</v>
      </c>
      <c r="E26" s="35">
        <f t="shared" si="19"/>
        <v>0.9881</v>
      </c>
      <c r="F26" s="35">
        <f t="shared" si="20"/>
        <v>0.99</v>
      </c>
      <c r="G26" s="35">
        <f t="shared" si="16"/>
        <v>11</v>
      </c>
      <c r="H26" s="35">
        <v>0.01</v>
      </c>
      <c r="M26" s="35">
        <f t="shared" ref="M26:O26" si="32">ROUND(N12/($F26)*($E26),4)</f>
        <v>0.539</v>
      </c>
      <c r="N26" s="35">
        <f t="shared" si="32"/>
        <v>0.3493</v>
      </c>
      <c r="O26" s="35">
        <f t="shared" si="32"/>
        <v>0.0998</v>
      </c>
      <c r="P26" s="35">
        <f>1-_xlfn.XLOOKUP($H26,$D$33:$D$37,$E$33:$E$37)</f>
        <v>0.0119</v>
      </c>
      <c r="S26" s="64" t="str">
        <f t="shared" si="22"/>
        <v>[{5,5390},{6,3493},{7,998},{8,119}]</v>
      </c>
      <c r="T26" s="35" t="str">
        <f t="shared" ref="T26:AC26" si="33">IF(I26="","","{"&amp;J$4&amp;","&amp;I26*10000&amp;"}")</f>
        <v/>
      </c>
      <c r="U26" s="35" t="str">
        <f t="shared" si="33"/>
        <v/>
      </c>
      <c r="V26" s="35" t="str">
        <f t="shared" si="33"/>
        <v/>
      </c>
      <c r="W26" s="35" t="str">
        <f t="shared" si="33"/>
        <v/>
      </c>
      <c r="X26" s="35" t="str">
        <f t="shared" si="33"/>
        <v>{5,5390}</v>
      </c>
      <c r="Y26" s="35" t="str">
        <f t="shared" si="33"/>
        <v>{6,3493}</v>
      </c>
      <c r="Z26" s="35" t="str">
        <f t="shared" si="33"/>
        <v>{7,998}</v>
      </c>
      <c r="AA26" s="35" t="str">
        <f t="shared" si="33"/>
        <v>{8,119}</v>
      </c>
      <c r="AB26" s="35" t="str">
        <f t="shared" si="33"/>
        <v/>
      </c>
      <c r="AC26" s="35" t="str">
        <f t="shared" si="33"/>
        <v/>
      </c>
    </row>
    <row r="27" ht="17.25" spans="1:30">
      <c r="A27" s="35" t="str">
        <f t="shared" si="18"/>
        <v>[{8,2}]</v>
      </c>
      <c r="B27" s="55"/>
      <c r="C27" s="55">
        <v>8</v>
      </c>
      <c r="D27" s="35">
        <v>8</v>
      </c>
      <c r="E27" s="35">
        <f t="shared" si="19"/>
        <v>0.9444</v>
      </c>
      <c r="F27" s="35">
        <f t="shared" si="20"/>
        <v>0.95</v>
      </c>
      <c r="G27" s="35">
        <f t="shared" si="16"/>
        <v>2</v>
      </c>
      <c r="H27" s="35">
        <v>0.05</v>
      </c>
      <c r="M27" s="35">
        <f t="shared" ref="M27:O27" si="34">ROUND(N13/($F27)*($E27),4)</f>
        <v>0.2982</v>
      </c>
      <c r="N27" s="35">
        <f t="shared" si="34"/>
        <v>0.3479</v>
      </c>
      <c r="O27" s="35">
        <f t="shared" si="34"/>
        <v>0.2982</v>
      </c>
      <c r="P27" s="35">
        <f>1-_xlfn.XLOOKUP($H27,$D$33:$D$37,$E$33:$E$37)</f>
        <v>0.0556</v>
      </c>
      <c r="S27" s="64" t="str">
        <f t="shared" si="22"/>
        <v>[{5,2982},{6,3479},{7,2982},{8,556}]</v>
      </c>
      <c r="T27" s="35" t="str">
        <f t="shared" ref="T27:AC27" si="35">IF(I27="","","{"&amp;J$4&amp;","&amp;I27*10000&amp;"}")</f>
        <v/>
      </c>
      <c r="U27" s="35" t="str">
        <f t="shared" si="35"/>
        <v/>
      </c>
      <c r="V27" s="35" t="str">
        <f t="shared" si="35"/>
        <v/>
      </c>
      <c r="W27" s="35" t="str">
        <f t="shared" si="35"/>
        <v/>
      </c>
      <c r="X27" s="35" t="str">
        <f t="shared" si="35"/>
        <v>{5,2982}</v>
      </c>
      <c r="Y27" s="35" t="str">
        <f t="shared" si="35"/>
        <v>{6,3479}</v>
      </c>
      <c r="Z27" s="35" t="str">
        <f t="shared" si="35"/>
        <v>{7,2982}</v>
      </c>
      <c r="AA27" s="35" t="str">
        <f t="shared" si="35"/>
        <v>{8,556}</v>
      </c>
      <c r="AB27" s="35" t="str">
        <f t="shared" si="35"/>
        <v/>
      </c>
      <c r="AC27" s="35" t="str">
        <f t="shared" si="35"/>
        <v/>
      </c>
    </row>
    <row r="28" ht="17.25" spans="1:30">
      <c r="A28" s="35" t="str">
        <f t="shared" si="18"/>
        <v>[{9,11}]</v>
      </c>
      <c r="B28" s="55"/>
      <c r="C28" s="55">
        <v>9</v>
      </c>
      <c r="D28" s="35">
        <v>9</v>
      </c>
      <c r="E28" s="35">
        <f t="shared" si="19"/>
        <v>0.9881</v>
      </c>
      <c r="F28" s="35">
        <f t="shared" si="20"/>
        <v>0.99</v>
      </c>
      <c r="G28" s="35">
        <f t="shared" si="16"/>
        <v>11</v>
      </c>
      <c r="H28" s="35">
        <v>0.01</v>
      </c>
      <c r="M28" s="35">
        <f t="shared" ref="M28:P28" si="36">ROUND(N14/($F28)*($E28),4)</f>
        <v>0.0998</v>
      </c>
      <c r="N28" s="35">
        <f t="shared" si="36"/>
        <v>0.3992</v>
      </c>
      <c r="O28" s="35">
        <f t="shared" si="36"/>
        <v>0.3893</v>
      </c>
      <c r="P28" s="35">
        <f t="shared" si="36"/>
        <v>0.0998</v>
      </c>
      <c r="Q28" s="35">
        <f>1-_xlfn.XLOOKUP($H28,$D$33:$D$37,$E$33:$E$37)</f>
        <v>0.0119</v>
      </c>
      <c r="S28" s="64" t="str">
        <f t="shared" si="22"/>
        <v>[{5,998},{6,3992},{7,3893},{8,998},{9,119}]</v>
      </c>
      <c r="T28" s="35" t="str">
        <f t="shared" ref="T28:AC28" si="37">IF(I28="","","{"&amp;J$4&amp;","&amp;I28*10000&amp;"}")</f>
        <v/>
      </c>
      <c r="U28" s="35" t="str">
        <f t="shared" si="37"/>
        <v/>
      </c>
      <c r="V28" s="35" t="str">
        <f t="shared" si="37"/>
        <v/>
      </c>
      <c r="W28" s="35" t="str">
        <f t="shared" si="37"/>
        <v/>
      </c>
      <c r="X28" s="35" t="str">
        <f t="shared" si="37"/>
        <v>{5,998}</v>
      </c>
      <c r="Y28" s="35" t="str">
        <f t="shared" si="37"/>
        <v>{6,3992}</v>
      </c>
      <c r="Z28" s="35" t="str">
        <f t="shared" si="37"/>
        <v>{7,3893}</v>
      </c>
      <c r="AA28" s="35" t="str">
        <f t="shared" si="37"/>
        <v>{8,998}</v>
      </c>
      <c r="AB28" s="35" t="str">
        <f t="shared" si="37"/>
        <v>{9,119}</v>
      </c>
      <c r="AC28" s="35" t="str">
        <f t="shared" si="37"/>
        <v/>
      </c>
    </row>
    <row r="29" ht="17.25" spans="1:30">
      <c r="A29" s="35" t="str">
        <f t="shared" si="18"/>
        <v>[{9,5}]</v>
      </c>
      <c r="B29" s="55"/>
      <c r="C29" s="55">
        <v>9</v>
      </c>
      <c r="D29" s="35">
        <v>10</v>
      </c>
      <c r="E29" s="35">
        <f t="shared" si="19"/>
        <v>0.9778</v>
      </c>
      <c r="F29" s="35">
        <f t="shared" si="20"/>
        <v>0.98</v>
      </c>
      <c r="G29" s="35">
        <f t="shared" si="16"/>
        <v>5</v>
      </c>
      <c r="H29" s="35">
        <v>0.02</v>
      </c>
      <c r="N29" s="35">
        <f t="shared" ref="N29:P29" si="38">ROUND(O15/($F29)*($E29),4)</f>
        <v>0.3791</v>
      </c>
      <c r="O29" s="35">
        <f t="shared" si="38"/>
        <v>0.449</v>
      </c>
      <c r="P29" s="35">
        <f t="shared" si="38"/>
        <v>0.1497</v>
      </c>
      <c r="Q29" s="35">
        <f>1-_xlfn.XLOOKUP($H29,$D$33:$D$37,$E$33:$E$37)</f>
        <v>0.0222</v>
      </c>
      <c r="S29" s="64" t="str">
        <f t="shared" si="22"/>
        <v>[{6,3791},{7,4490},{8,1497},{9,222}]</v>
      </c>
      <c r="T29" s="35" t="str">
        <f t="shared" ref="T29:AC29" si="39">IF(I29="","","{"&amp;J$4&amp;","&amp;I29*10000&amp;"}")</f>
        <v/>
      </c>
      <c r="U29" s="35" t="str">
        <f t="shared" si="39"/>
        <v/>
      </c>
      <c r="V29" s="35" t="str">
        <f t="shared" si="39"/>
        <v/>
      </c>
      <c r="W29" s="35" t="str">
        <f t="shared" si="39"/>
        <v/>
      </c>
      <c r="X29" s="35" t="str">
        <f t="shared" si="39"/>
        <v/>
      </c>
      <c r="Y29" s="35" t="str">
        <f t="shared" si="39"/>
        <v>{6,3791}</v>
      </c>
      <c r="Z29" s="35" t="str">
        <f t="shared" si="39"/>
        <v>{7,4490}</v>
      </c>
      <c r="AA29" s="35" t="str">
        <f t="shared" si="39"/>
        <v>{8,1497}</v>
      </c>
      <c r="AB29" s="35" t="str">
        <f t="shared" si="39"/>
        <v>{9,222}</v>
      </c>
      <c r="AC29" s="35" t="str">
        <f t="shared" si="39"/>
        <v/>
      </c>
    </row>
    <row r="30" ht="17.25" spans="1:30">
      <c r="A30" s="35" t="str">
        <f t="shared" si="18"/>
        <v>[{10,11}]</v>
      </c>
      <c r="B30" s="55"/>
      <c r="C30" s="55">
        <v>10</v>
      </c>
      <c r="D30" s="35">
        <v>11</v>
      </c>
      <c r="E30" s="35">
        <f t="shared" si="19"/>
        <v>0.9881</v>
      </c>
      <c r="F30" s="35">
        <f t="shared" si="20"/>
        <v>0.99</v>
      </c>
      <c r="G30" s="35">
        <f t="shared" si="16"/>
        <v>11</v>
      </c>
      <c r="H30" s="35">
        <v>0.01</v>
      </c>
      <c r="N30" s="35">
        <f t="shared" ref="N30:Q30" si="40">ROUND(O16/($F30)*($E30),4)</f>
        <v>0.1996</v>
      </c>
      <c r="O30" s="35">
        <f t="shared" si="40"/>
        <v>0.499</v>
      </c>
      <c r="P30" s="35">
        <f t="shared" si="40"/>
        <v>0.2395</v>
      </c>
      <c r="Q30" s="35">
        <f t="shared" si="40"/>
        <v>0.0499</v>
      </c>
      <c r="R30" s="35">
        <f>1-_xlfn.XLOOKUP($H30,$D$33:$D$37,$E$33:$E$37)</f>
        <v>0.0119</v>
      </c>
      <c r="S30" s="64" t="str">
        <f t="shared" si="22"/>
        <v>[{6,1996},{7,4990},{8,2395},{9,499},{10,119}]</v>
      </c>
      <c r="T30" s="35" t="str">
        <f t="shared" ref="T30:AC30" si="41">IF(I30="","","{"&amp;J$4&amp;","&amp;I30*10000&amp;"}")</f>
        <v/>
      </c>
      <c r="U30" s="35" t="str">
        <f t="shared" si="41"/>
        <v/>
      </c>
      <c r="V30" s="35" t="str">
        <f t="shared" si="41"/>
        <v/>
      </c>
      <c r="W30" s="35" t="str">
        <f t="shared" si="41"/>
        <v/>
      </c>
      <c r="X30" s="35" t="str">
        <f t="shared" si="41"/>
        <v/>
      </c>
      <c r="Y30" s="35" t="str">
        <f t="shared" si="41"/>
        <v>{6,1996}</v>
      </c>
      <c r="Z30" s="35" t="str">
        <f t="shared" si="41"/>
        <v>{7,4990}</v>
      </c>
      <c r="AA30" s="35" t="str">
        <f t="shared" si="41"/>
        <v>{8,2395}</v>
      </c>
      <c r="AB30" s="35" t="str">
        <f t="shared" si="41"/>
        <v>{9,499}</v>
      </c>
      <c r="AC30" s="35" t="str">
        <f t="shared" si="41"/>
        <v>{10,119}</v>
      </c>
    </row>
    <row r="31" ht="17.25" spans="1:30">
      <c r="A31" s="35" t="str">
        <f t="shared" si="18"/>
        <v>[{10,5}]</v>
      </c>
      <c r="B31" s="55"/>
      <c r="C31" s="55">
        <v>10</v>
      </c>
      <c r="D31" s="35">
        <v>12</v>
      </c>
      <c r="E31" s="35">
        <f t="shared" si="19"/>
        <v>0.9778</v>
      </c>
      <c r="F31" s="35">
        <f t="shared" si="20"/>
        <v>0.98</v>
      </c>
      <c r="G31" s="35">
        <f t="shared" si="16"/>
        <v>5</v>
      </c>
      <c r="H31" s="35">
        <v>0.02</v>
      </c>
      <c r="N31" s="35">
        <f t="shared" ref="N31:Q31" si="42">ROUND(O17/($F31)*($E31),4)</f>
        <v>0.0998</v>
      </c>
      <c r="O31" s="35">
        <f t="shared" si="42"/>
        <v>0.3991</v>
      </c>
      <c r="P31" s="35">
        <f t="shared" si="42"/>
        <v>0.3791</v>
      </c>
      <c r="Q31" s="35">
        <f t="shared" si="42"/>
        <v>0.0998</v>
      </c>
      <c r="R31" s="35">
        <f>1-_xlfn.XLOOKUP($H31,$D$33:$D$37,$E$33:$E$37)</f>
        <v>0.0222</v>
      </c>
      <c r="S31" s="64" t="str">
        <f t="shared" si="22"/>
        <v>[{6,998},{7,3991},{8,3791},{9,998},{10,222}]</v>
      </c>
      <c r="T31" s="35" t="str">
        <f t="shared" ref="T31:AC31" si="43">IF(I31="","","{"&amp;J$4&amp;","&amp;I31*10000&amp;"}")</f>
        <v/>
      </c>
      <c r="U31" s="35" t="str">
        <f t="shared" si="43"/>
        <v/>
      </c>
      <c r="V31" s="35" t="str">
        <f t="shared" si="43"/>
        <v/>
      </c>
      <c r="W31" s="35" t="str">
        <f t="shared" si="43"/>
        <v/>
      </c>
      <c r="X31" s="35" t="str">
        <f t="shared" si="43"/>
        <v/>
      </c>
      <c r="Y31" s="35" t="str">
        <f t="shared" si="43"/>
        <v>{6,998}</v>
      </c>
      <c r="Z31" s="35" t="str">
        <f t="shared" si="43"/>
        <v>{7,3991}</v>
      </c>
      <c r="AA31" s="35" t="str">
        <f t="shared" si="43"/>
        <v>{8,3791}</v>
      </c>
      <c r="AB31" s="35" t="str">
        <f t="shared" si="43"/>
        <v>{9,998}</v>
      </c>
      <c r="AC31" s="35" t="str">
        <f t="shared" si="43"/>
        <v>{10,222}</v>
      </c>
    </row>
    <row r="32" ht="18" spans="1:30">
      <c r="A32" s="55"/>
      <c r="B32" s="55"/>
      <c r="C32" s="56"/>
      <c r="D32" s="35" t="s">
        <v>42</v>
      </c>
      <c r="E32" s="35" t="s">
        <v>43</v>
      </c>
      <c r="F32" s="35" t="s">
        <v>44</v>
      </c>
    </row>
    <row r="33" ht="18" spans="1:57">
      <c r="A33" s="55"/>
      <c r="B33" s="55"/>
      <c r="C33" s="56"/>
      <c r="D33" s="35">
        <v>0.01</v>
      </c>
      <c r="E33" s="35">
        <f>1-0.0119</f>
        <v>0.9881</v>
      </c>
      <c r="F33" s="35">
        <v>12</v>
      </c>
    </row>
    <row r="34" ht="18" spans="1:57">
      <c r="A34" s="55"/>
      <c r="B34" s="55"/>
      <c r="C34" s="56"/>
      <c r="D34" s="35">
        <v>0.05</v>
      </c>
      <c r="E34" s="35">
        <f>1-0.0556</f>
        <v>0.9444</v>
      </c>
      <c r="F34" s="35">
        <v>3</v>
      </c>
    </row>
    <row r="35" ht="18" spans="1:57">
      <c r="A35" s="55"/>
      <c r="B35" s="55"/>
      <c r="C35" s="56"/>
      <c r="D35" s="35">
        <v>0.02</v>
      </c>
      <c r="E35" s="35">
        <f>1-0.0222</f>
        <v>0.9778</v>
      </c>
      <c r="F35" s="35">
        <v>6</v>
      </c>
    </row>
    <row r="36" ht="18" spans="1:57">
      <c r="A36" s="55"/>
      <c r="B36" s="55"/>
      <c r="C36" s="56"/>
      <c r="D36" s="35">
        <v>0.03</v>
      </c>
      <c r="E36" s="35">
        <f>1-0.033</f>
        <v>0.967</v>
      </c>
      <c r="F36" s="35">
        <v>4</v>
      </c>
    </row>
    <row r="37" ht="18" spans="1:57">
      <c r="A37" s="55"/>
      <c r="B37" s="55"/>
      <c r="C37" s="56"/>
    </row>
    <row r="38" ht="17.25" spans="1:57">
      <c r="A38" s="55"/>
      <c r="B38" s="58"/>
      <c r="C38" s="59" t="s">
        <v>45</v>
      </c>
      <c r="H38" s="35">
        <f>37.4/0.62</f>
        <v>60.3225806451613</v>
      </c>
    </row>
    <row r="39" ht="18" spans="1:57">
      <c r="A39" s="55"/>
      <c r="B39" s="55"/>
      <c r="C39" s="56"/>
    </row>
    <row r="40" spans="1:57">
      <c r="A40" s="57"/>
      <c r="F40" s="35">
        <v>1</v>
      </c>
      <c r="G40" s="35">
        <v>2</v>
      </c>
      <c r="H40" s="35">
        <v>3</v>
      </c>
      <c r="I40" s="35">
        <v>4</v>
      </c>
      <c r="J40" s="35">
        <v>5</v>
      </c>
      <c r="K40" s="35">
        <v>6</v>
      </c>
      <c r="L40" s="35">
        <v>7</v>
      </c>
      <c r="M40" s="35">
        <v>8</v>
      </c>
    </row>
    <row r="41" ht="18" spans="1:57">
      <c r="A41" s="55"/>
      <c r="B41" s="55"/>
      <c r="C41" s="56"/>
      <c r="F41" s="35">
        <v>1.2</v>
      </c>
      <c r="G41" s="35">
        <v>1.2</v>
      </c>
      <c r="H41" s="35">
        <v>1.2</v>
      </c>
      <c r="I41" s="35">
        <v>1.2</v>
      </c>
      <c r="J41" s="35">
        <v>1.2</v>
      </c>
      <c r="K41" s="35">
        <v>1.2</v>
      </c>
      <c r="L41" s="35">
        <v>1.2</v>
      </c>
      <c r="M41" s="35">
        <v>1.2</v>
      </c>
      <c r="N41" s="43">
        <v>1.2</v>
      </c>
      <c r="O41" s="43">
        <v>1.2</v>
      </c>
      <c r="P41" s="35">
        <v>1.2</v>
      </c>
      <c r="Q41" s="35">
        <v>1.2</v>
      </c>
    </row>
    <row r="42" ht="18" spans="1:57">
      <c r="A42" s="55"/>
      <c r="B42" s="55"/>
      <c r="C42" s="56"/>
      <c r="D42" s="35" t="s">
        <v>46</v>
      </c>
      <c r="E42" s="35" t="s">
        <v>47</v>
      </c>
      <c r="F42" s="35" t="s">
        <v>48</v>
      </c>
      <c r="G42" s="35" t="s">
        <v>49</v>
      </c>
      <c r="H42" s="35" t="s">
        <v>50</v>
      </c>
      <c r="I42" s="35" t="s">
        <v>51</v>
      </c>
      <c r="J42" s="35" t="s">
        <v>52</v>
      </c>
      <c r="K42" s="35" t="s">
        <v>53</v>
      </c>
      <c r="L42" s="35" t="s">
        <v>54</v>
      </c>
      <c r="M42" s="35" t="s">
        <v>55</v>
      </c>
      <c r="N42" s="35" t="s">
        <v>56</v>
      </c>
      <c r="O42" s="35" t="s">
        <v>57</v>
      </c>
      <c r="P42" s="35">
        <v>9</v>
      </c>
      <c r="Q42" s="35">
        <v>10</v>
      </c>
    </row>
    <row r="43" ht="18" spans="1:57">
      <c r="A43" s="55"/>
      <c r="B43" s="55"/>
      <c r="C43" s="56"/>
      <c r="R43" s="35" t="s">
        <v>58</v>
      </c>
      <c r="S43" s="61">
        <v>0.15</v>
      </c>
      <c r="T43" s="35">
        <f>SUM(U43:BE43)</f>
        <v>30</v>
      </c>
      <c r="U43" s="35">
        <v>4</v>
      </c>
      <c r="X43" s="35">
        <v>1</v>
      </c>
      <c r="AA43" s="35">
        <v>1</v>
      </c>
      <c r="AB43" s="35">
        <v>1</v>
      </c>
      <c r="AC43" s="35">
        <v>1</v>
      </c>
      <c r="AE43" s="35">
        <v>1</v>
      </c>
      <c r="AH43" s="35">
        <v>1</v>
      </c>
      <c r="AI43" s="35">
        <v>1</v>
      </c>
      <c r="AK43" s="35">
        <v>1</v>
      </c>
      <c r="AL43" s="35">
        <v>1</v>
      </c>
      <c r="AM43" s="35">
        <v>1</v>
      </c>
      <c r="AO43" s="35">
        <v>2</v>
      </c>
      <c r="AQ43" s="35">
        <v>1</v>
      </c>
      <c r="AS43" s="35">
        <v>1</v>
      </c>
      <c r="AT43" s="35">
        <v>1</v>
      </c>
      <c r="AU43" s="35">
        <v>1</v>
      </c>
      <c r="AV43" s="35">
        <v>1</v>
      </c>
      <c r="AW43" s="35">
        <v>1</v>
      </c>
      <c r="AX43" s="35">
        <v>1</v>
      </c>
      <c r="AY43" s="35">
        <v>1</v>
      </c>
      <c r="AZ43" s="35">
        <v>1</v>
      </c>
      <c r="BA43" s="35">
        <v>2</v>
      </c>
      <c r="BC43" s="35">
        <v>2</v>
      </c>
      <c r="BE43" s="35">
        <v>1</v>
      </c>
    </row>
    <row r="44" ht="18" spans="1:57">
      <c r="A44" s="55"/>
      <c r="B44" s="55"/>
      <c r="C44" s="56"/>
      <c r="R44" s="35" t="s">
        <v>59</v>
      </c>
      <c r="S44" s="61">
        <v>0.1</v>
      </c>
      <c r="T44" s="35">
        <f t="shared" ref="T44:T51" si="44">SUM(U44:BE44)</f>
        <v>26</v>
      </c>
      <c r="U44" s="35">
        <v>4</v>
      </c>
      <c r="Z44" s="35">
        <v>1</v>
      </c>
      <c r="AA44" s="35">
        <v>2</v>
      </c>
      <c r="AB44" s="35">
        <v>1</v>
      </c>
      <c r="AC44" s="35">
        <v>1</v>
      </c>
      <c r="AD44" s="35">
        <v>1</v>
      </c>
      <c r="AE44" s="35">
        <v>1</v>
      </c>
      <c r="AJ44" s="35">
        <v>2</v>
      </c>
      <c r="AL44" s="35">
        <v>1</v>
      </c>
      <c r="AP44" s="35">
        <v>1</v>
      </c>
      <c r="AQ44" s="35">
        <v>1</v>
      </c>
      <c r="AR44" s="35">
        <v>1</v>
      </c>
      <c r="AT44" s="35">
        <v>3</v>
      </c>
      <c r="AZ44" s="35">
        <v>1</v>
      </c>
      <c r="BA44" s="35">
        <v>1</v>
      </c>
      <c r="BB44" s="35">
        <v>2</v>
      </c>
      <c r="BD44" s="35">
        <v>1</v>
      </c>
      <c r="BE44" s="35">
        <v>1</v>
      </c>
    </row>
    <row r="45" ht="18" spans="1:57">
      <c r="A45" s="55"/>
      <c r="B45" s="55"/>
      <c r="C45" s="56"/>
      <c r="D45" s="65" t="s">
        <v>60</v>
      </c>
      <c r="E45" s="65"/>
      <c r="F45" s="35">
        <f t="shared" ref="F45:F54" si="45">G45/1.2</f>
        <v>348.706077872745</v>
      </c>
      <c r="G45" s="35">
        <f t="shared" ref="G45:G48" si="46">H45/1.2</f>
        <v>418.447293447294</v>
      </c>
      <c r="H45" s="65">
        <f t="shared" ref="H45:H48" si="47">I45/1.2</f>
        <v>502.136752136752</v>
      </c>
      <c r="I45" s="65">
        <f>J45/1.2</f>
        <v>602.564102564103</v>
      </c>
      <c r="J45" s="66">
        <f>470/0.65</f>
        <v>723.076923076923</v>
      </c>
      <c r="K45" s="65">
        <f t="shared" ref="K45:N45" si="48">J45*K$41</f>
        <v>867.692307692308</v>
      </c>
      <c r="L45" s="65">
        <f t="shared" si="48"/>
        <v>1041.23076923077</v>
      </c>
      <c r="M45" s="65">
        <f t="shared" si="48"/>
        <v>1249.47692307692</v>
      </c>
      <c r="N45" s="65">
        <f t="shared" si="48"/>
        <v>1499.37230769231</v>
      </c>
      <c r="O45" s="66">
        <v>1360</v>
      </c>
      <c r="S45" s="61"/>
    </row>
    <row r="46" ht="18" spans="1:57">
      <c r="A46" s="55"/>
      <c r="B46" s="55"/>
      <c r="C46" s="56"/>
      <c r="D46" s="65" t="s">
        <v>61</v>
      </c>
      <c r="E46" s="65"/>
      <c r="F46" s="35">
        <f t="shared" si="45"/>
        <v>58.3189778926213</v>
      </c>
      <c r="G46" s="35">
        <f t="shared" si="46"/>
        <v>69.9827734711456</v>
      </c>
      <c r="H46" s="65">
        <f t="shared" si="47"/>
        <v>83.9793281653747</v>
      </c>
      <c r="I46" s="65">
        <f t="shared" ref="I46:I84" si="49">J46/1.2</f>
        <v>100.77519379845</v>
      </c>
      <c r="J46" s="66">
        <f>52/0.43</f>
        <v>120.93023255814</v>
      </c>
      <c r="K46" s="65">
        <f t="shared" ref="K46:K54" si="50">J46*K$41</f>
        <v>145.116279069767</v>
      </c>
      <c r="L46" s="65">
        <f t="shared" ref="L46:L54" si="51">K46*L$41</f>
        <v>174.139534883721</v>
      </c>
      <c r="M46" s="65">
        <f t="shared" ref="M46:M54" si="52">L46*M$41</f>
        <v>208.967441860465</v>
      </c>
      <c r="N46" s="65"/>
      <c r="O46" s="65">
        <v>224</v>
      </c>
      <c r="Q46" s="35">
        <f>S46/0.8</f>
        <v>0.1875</v>
      </c>
      <c r="R46" s="35" t="s">
        <v>62</v>
      </c>
      <c r="S46" s="61">
        <v>0.15</v>
      </c>
      <c r="T46" s="35">
        <f t="shared" si="44"/>
        <v>29</v>
      </c>
      <c r="U46" s="35">
        <v>4</v>
      </c>
      <c r="V46" s="35">
        <v>1</v>
      </c>
      <c r="W46" s="35">
        <v>2</v>
      </c>
      <c r="X46" s="35">
        <v>1</v>
      </c>
      <c r="AC46" s="35">
        <v>2</v>
      </c>
      <c r="AD46" s="35">
        <v>2</v>
      </c>
      <c r="AE46" s="35">
        <v>2</v>
      </c>
      <c r="AF46" s="35">
        <v>1</v>
      </c>
      <c r="AG46" s="35">
        <v>1</v>
      </c>
      <c r="AN46" s="35">
        <v>2</v>
      </c>
      <c r="AO46" s="35">
        <v>1</v>
      </c>
      <c r="AW46" s="35">
        <v>2</v>
      </c>
      <c r="AX46" s="35">
        <v>1</v>
      </c>
      <c r="AY46" s="35">
        <v>1</v>
      </c>
      <c r="AZ46" s="35">
        <v>2</v>
      </c>
      <c r="BB46" s="35">
        <v>1</v>
      </c>
      <c r="BC46" s="35">
        <v>1</v>
      </c>
      <c r="BD46" s="35">
        <v>1</v>
      </c>
      <c r="BE46" s="35">
        <v>1</v>
      </c>
    </row>
    <row r="47" ht="18" spans="1:57">
      <c r="A47" s="55"/>
      <c r="B47" s="55"/>
      <c r="C47" s="56"/>
      <c r="D47" s="65" t="s">
        <v>63</v>
      </c>
      <c r="E47" s="65"/>
      <c r="F47" s="35">
        <f t="shared" si="45"/>
        <v>0.289994855967078</v>
      </c>
      <c r="G47" s="35">
        <f t="shared" si="46"/>
        <v>0.347993827160494</v>
      </c>
      <c r="H47" s="65">
        <f t="shared" si="47"/>
        <v>0.417592592592593</v>
      </c>
      <c r="I47" s="65">
        <f t="shared" si="49"/>
        <v>0.501111111111111</v>
      </c>
      <c r="J47" s="67">
        <f>0.451/0.75</f>
        <v>0.601333333333333</v>
      </c>
      <c r="K47" s="65">
        <f t="shared" si="50"/>
        <v>0.7216</v>
      </c>
      <c r="L47" s="65">
        <f t="shared" si="51"/>
        <v>0.86592</v>
      </c>
      <c r="M47" s="65">
        <f t="shared" si="52"/>
        <v>1.039104</v>
      </c>
      <c r="N47" s="65"/>
      <c r="O47" s="67">
        <f>0.704/0.63</f>
        <v>1.11746031746032</v>
      </c>
      <c r="Q47" s="35">
        <f>S47/0.8</f>
        <v>0.375</v>
      </c>
      <c r="R47" s="35" t="s">
        <v>64</v>
      </c>
      <c r="S47" s="61">
        <v>0.3</v>
      </c>
      <c r="T47" s="35">
        <f t="shared" si="44"/>
        <v>68</v>
      </c>
      <c r="U47" s="35">
        <v>12</v>
      </c>
      <c r="V47" s="35">
        <v>3</v>
      </c>
      <c r="W47" s="35">
        <v>1</v>
      </c>
      <c r="X47" s="35">
        <v>2</v>
      </c>
      <c r="Y47" s="35">
        <v>4</v>
      </c>
      <c r="Z47" s="35">
        <v>2</v>
      </c>
      <c r="AA47" s="35">
        <v>1</v>
      </c>
      <c r="AF47" s="35">
        <v>2</v>
      </c>
      <c r="AG47" s="35">
        <v>1</v>
      </c>
      <c r="AH47" s="35">
        <v>3</v>
      </c>
      <c r="AI47" s="35">
        <v>2</v>
      </c>
      <c r="AJ47" s="35">
        <v>1</v>
      </c>
      <c r="AK47" s="35">
        <v>1</v>
      </c>
      <c r="AM47" s="35">
        <v>2</v>
      </c>
      <c r="AN47" s="35">
        <v>3</v>
      </c>
      <c r="AO47" s="35">
        <v>1</v>
      </c>
      <c r="AP47" s="35">
        <v>4</v>
      </c>
      <c r="AQ47" s="35">
        <v>1</v>
      </c>
      <c r="AR47" s="35">
        <v>3</v>
      </c>
      <c r="AS47" s="35">
        <v>3</v>
      </c>
      <c r="AU47" s="35">
        <v>2</v>
      </c>
      <c r="AV47" s="35">
        <v>3</v>
      </c>
      <c r="AW47" s="35">
        <v>1</v>
      </c>
      <c r="AX47" s="35">
        <v>1</v>
      </c>
      <c r="AY47" s="35">
        <v>2</v>
      </c>
      <c r="AZ47" s="35">
        <v>1</v>
      </c>
      <c r="BA47" s="35">
        <v>1</v>
      </c>
      <c r="BB47" s="35">
        <v>1</v>
      </c>
      <c r="BC47" s="35">
        <v>2</v>
      </c>
      <c r="BD47" s="35">
        <v>2</v>
      </c>
    </row>
    <row r="48" ht="18" spans="1:57">
      <c r="A48" s="55"/>
      <c r="B48" s="55"/>
      <c r="C48" s="56"/>
      <c r="D48" s="65" t="s">
        <v>65</v>
      </c>
      <c r="E48" s="65"/>
      <c r="F48" s="35">
        <f t="shared" si="45"/>
        <v>11.5740740740741</v>
      </c>
      <c r="G48" s="35">
        <f t="shared" si="46"/>
        <v>13.8888888888889</v>
      </c>
      <c r="H48" s="65">
        <f t="shared" si="47"/>
        <v>16.6666666666667</v>
      </c>
      <c r="I48" s="65">
        <v>20</v>
      </c>
      <c r="J48" s="66">
        <f>7/0.29</f>
        <v>24.1379310344828</v>
      </c>
      <c r="K48" s="65">
        <f t="shared" si="50"/>
        <v>28.9655172413793</v>
      </c>
      <c r="L48" s="65">
        <f t="shared" si="51"/>
        <v>34.7586206896552</v>
      </c>
      <c r="M48" s="65">
        <f t="shared" si="52"/>
        <v>41.7103448275862</v>
      </c>
      <c r="N48" s="65"/>
      <c r="O48" s="66">
        <f>21/0.47</f>
        <v>44.6808510638298</v>
      </c>
      <c r="Q48" s="35">
        <f>S48/0.8</f>
        <v>0.0625</v>
      </c>
      <c r="R48" s="35" t="s">
        <v>66</v>
      </c>
      <c r="S48" s="61">
        <v>0.05</v>
      </c>
      <c r="T48" s="35">
        <f t="shared" si="44"/>
        <v>14</v>
      </c>
      <c r="U48" s="35">
        <v>2</v>
      </c>
      <c r="AB48" s="35">
        <v>3</v>
      </c>
      <c r="AC48" s="35">
        <v>1</v>
      </c>
      <c r="AG48" s="35">
        <v>1</v>
      </c>
      <c r="AJ48" s="35">
        <v>1</v>
      </c>
      <c r="AK48" s="35">
        <v>2</v>
      </c>
      <c r="AO48" s="35">
        <v>1</v>
      </c>
      <c r="AQ48" s="35">
        <v>1</v>
      </c>
      <c r="AU48" s="35">
        <v>1</v>
      </c>
      <c r="BB48" s="35">
        <v>1</v>
      </c>
    </row>
    <row r="49" ht="18" spans="1:57">
      <c r="A49" s="55"/>
      <c r="B49" s="55"/>
      <c r="C49" s="56"/>
      <c r="S49" s="61"/>
    </row>
    <row r="50" ht="18" spans="1:57">
      <c r="A50" s="55"/>
      <c r="B50" s="55"/>
      <c r="C50" s="56"/>
      <c r="D50" s="35" t="s">
        <v>67</v>
      </c>
      <c r="E50" s="35">
        <v>613</v>
      </c>
      <c r="F50" s="35">
        <f t="shared" si="45"/>
        <v>0.0833333333333333</v>
      </c>
      <c r="G50" s="35">
        <v>0.1</v>
      </c>
      <c r="H50" s="35">
        <f>I50/1.2</f>
        <v>0.125</v>
      </c>
      <c r="I50" s="35">
        <v>0.15</v>
      </c>
      <c r="J50" s="61">
        <f>0.105/0.58</f>
        <v>0.181034482758621</v>
      </c>
      <c r="K50" s="35">
        <f t="shared" si="50"/>
        <v>0.217241379310345</v>
      </c>
      <c r="L50" s="35">
        <f t="shared" si="51"/>
        <v>0.260689655172414</v>
      </c>
      <c r="M50" s="35">
        <f t="shared" si="52"/>
        <v>0.312827586206896</v>
      </c>
      <c r="O50" s="61">
        <f>0.25/0.76</f>
        <v>0.328947368421053</v>
      </c>
      <c r="Q50" s="35">
        <f>S50/0.8</f>
        <v>0.0625</v>
      </c>
      <c r="R50" s="35" t="s">
        <v>68</v>
      </c>
      <c r="S50" s="61">
        <v>0.05</v>
      </c>
      <c r="T50" s="35">
        <f t="shared" si="44"/>
        <v>10</v>
      </c>
      <c r="U50" s="35">
        <v>2</v>
      </c>
      <c r="Z50" s="35">
        <v>1</v>
      </c>
      <c r="AA50" s="35">
        <v>1</v>
      </c>
      <c r="AD50" s="35">
        <v>1</v>
      </c>
      <c r="AH50" s="35">
        <v>1</v>
      </c>
      <c r="AI50" s="35">
        <v>1</v>
      </c>
      <c r="AM50" s="35">
        <v>1</v>
      </c>
      <c r="AS50" s="35">
        <v>1</v>
      </c>
      <c r="BA50" s="35">
        <v>1</v>
      </c>
    </row>
    <row r="51" ht="18" spans="1:57">
      <c r="A51" s="55"/>
      <c r="B51" s="55"/>
      <c r="C51" s="56"/>
      <c r="D51" s="35" t="s">
        <v>69</v>
      </c>
      <c r="E51" s="35">
        <v>614</v>
      </c>
      <c r="F51" s="35">
        <f t="shared" si="45"/>
        <v>0.0833333333333333</v>
      </c>
      <c r="G51" s="35">
        <v>0.1</v>
      </c>
      <c r="H51" s="35">
        <f t="shared" ref="H51:H56" si="53">I51/1.2</f>
        <v>0.125</v>
      </c>
      <c r="I51" s="35">
        <v>0.15</v>
      </c>
      <c r="J51" s="61">
        <f>0.105/0.58</f>
        <v>0.181034482758621</v>
      </c>
      <c r="K51" s="35">
        <f t="shared" si="50"/>
        <v>0.217241379310345</v>
      </c>
      <c r="L51" s="35">
        <f t="shared" si="51"/>
        <v>0.260689655172414</v>
      </c>
      <c r="M51" s="35">
        <f t="shared" si="52"/>
        <v>0.312827586206896</v>
      </c>
      <c r="O51" s="61">
        <f>0.25/0.76</f>
        <v>0.328947368421053</v>
      </c>
      <c r="Q51" s="35">
        <f>S51/0.8</f>
        <v>0.25</v>
      </c>
      <c r="R51" s="35" t="s">
        <v>70</v>
      </c>
      <c r="S51" s="61">
        <v>0.2</v>
      </c>
      <c r="T51" s="35">
        <f t="shared" si="44"/>
        <v>37</v>
      </c>
      <c r="U51" s="35">
        <v>7</v>
      </c>
      <c r="V51" s="35">
        <v>1</v>
      </c>
      <c r="W51" s="35">
        <v>2</v>
      </c>
      <c r="X51" s="35">
        <v>1</v>
      </c>
      <c r="Y51" s="35">
        <v>1</v>
      </c>
      <c r="Z51" s="35">
        <v>1</v>
      </c>
      <c r="AD51" s="35">
        <v>1</v>
      </c>
      <c r="AE51" s="35">
        <v>1</v>
      </c>
      <c r="AF51" s="35">
        <v>2</v>
      </c>
      <c r="AG51" s="35">
        <v>2</v>
      </c>
      <c r="AI51" s="35">
        <v>1</v>
      </c>
      <c r="AJ51" s="35">
        <v>1</v>
      </c>
      <c r="AK51" s="35">
        <v>1</v>
      </c>
      <c r="AL51" s="35">
        <v>3</v>
      </c>
      <c r="AM51" s="35">
        <v>1</v>
      </c>
      <c r="AQ51" s="35">
        <v>1</v>
      </c>
      <c r="AR51" s="35">
        <v>1</v>
      </c>
      <c r="AT51" s="35">
        <v>1</v>
      </c>
      <c r="AU51" s="35">
        <v>1</v>
      </c>
      <c r="AV51" s="35">
        <v>1</v>
      </c>
      <c r="AW51" s="35">
        <v>1</v>
      </c>
      <c r="AX51" s="35">
        <v>1</v>
      </c>
      <c r="AY51" s="35">
        <v>1</v>
      </c>
      <c r="BD51" s="35">
        <v>1</v>
      </c>
      <c r="BE51" s="35">
        <v>2</v>
      </c>
    </row>
    <row r="52" ht="18" spans="1:57">
      <c r="A52" s="55"/>
      <c r="B52" s="55"/>
      <c r="C52" s="56"/>
      <c r="D52" s="35" t="s">
        <v>71</v>
      </c>
      <c r="E52" s="35">
        <v>615</v>
      </c>
      <c r="F52" s="35">
        <f t="shared" si="45"/>
        <v>0.0833333333333333</v>
      </c>
      <c r="G52" s="35">
        <v>0.1</v>
      </c>
      <c r="H52" s="35">
        <f t="shared" si="53"/>
        <v>0.125</v>
      </c>
      <c r="I52" s="35">
        <v>0.15</v>
      </c>
      <c r="J52" s="61">
        <f>0.105/0.58</f>
        <v>0.181034482758621</v>
      </c>
      <c r="K52" s="35">
        <f t="shared" si="50"/>
        <v>0.217241379310345</v>
      </c>
      <c r="L52" s="35">
        <f t="shared" si="51"/>
        <v>0.260689655172414</v>
      </c>
      <c r="M52" s="35">
        <f t="shared" si="52"/>
        <v>0.312827586206896</v>
      </c>
      <c r="O52" s="61">
        <f>0.25/0.76</f>
        <v>0.328947368421053</v>
      </c>
    </row>
    <row r="53" ht="18" spans="1:57">
      <c r="A53" s="55"/>
      <c r="B53" s="55"/>
      <c r="C53" s="56"/>
      <c r="D53" s="35" t="s">
        <v>72</v>
      </c>
      <c r="F53" s="35">
        <f t="shared" si="45"/>
        <v>0.0833333333333333</v>
      </c>
      <c r="G53" s="35">
        <v>0.1</v>
      </c>
      <c r="H53" s="35">
        <f t="shared" si="53"/>
        <v>0.125</v>
      </c>
      <c r="I53" s="35">
        <v>0.15</v>
      </c>
      <c r="J53" s="61">
        <f>0.105/0.58</f>
        <v>0.181034482758621</v>
      </c>
      <c r="K53" s="35">
        <f t="shared" si="50"/>
        <v>0.217241379310345</v>
      </c>
      <c r="L53" s="35">
        <f t="shared" si="51"/>
        <v>0.260689655172414</v>
      </c>
      <c r="M53" s="35">
        <f t="shared" si="52"/>
        <v>0.312827586206896</v>
      </c>
      <c r="O53" s="61">
        <f>0.25/0.76</f>
        <v>0.328947368421053</v>
      </c>
      <c r="T53" s="35">
        <f>SUM(T42:T51)</f>
        <v>214</v>
      </c>
    </row>
    <row r="54" ht="18" spans="1:57">
      <c r="A54" s="55"/>
      <c r="B54" s="55"/>
      <c r="C54" s="56"/>
      <c r="D54" s="35" t="s">
        <v>73</v>
      </c>
      <c r="E54" s="35">
        <v>610</v>
      </c>
      <c r="F54" s="35">
        <f t="shared" si="45"/>
        <v>0.166666666666667</v>
      </c>
      <c r="G54" s="35">
        <v>0.2</v>
      </c>
      <c r="H54" s="35">
        <f t="shared" si="53"/>
        <v>0.25</v>
      </c>
      <c r="I54" s="35">
        <v>0.3</v>
      </c>
      <c r="J54" s="61">
        <f>0.242/0.67</f>
        <v>0.361194029850746</v>
      </c>
      <c r="K54" s="35">
        <f t="shared" si="50"/>
        <v>0.433432835820895</v>
      </c>
      <c r="L54" s="35">
        <f t="shared" si="51"/>
        <v>0.520119402985075</v>
      </c>
      <c r="M54" s="35">
        <f t="shared" si="52"/>
        <v>0.624143283582089</v>
      </c>
      <c r="O54" s="61">
        <f>47.1/70</f>
        <v>0.672857142857143</v>
      </c>
    </row>
    <row r="55" ht="18" spans="1:57">
      <c r="A55" s="55"/>
      <c r="B55" s="55"/>
      <c r="C55" s="56"/>
    </row>
    <row r="56" ht="18" spans="1:57">
      <c r="A56" s="55"/>
      <c r="B56" s="55"/>
      <c r="C56" s="56"/>
      <c r="D56" s="65" t="s">
        <v>74</v>
      </c>
      <c r="E56" s="65"/>
      <c r="H56" s="65">
        <f t="shared" si="53"/>
        <v>0.131340579710145</v>
      </c>
      <c r="I56" s="65">
        <f t="shared" si="49"/>
        <v>0.157608695652174</v>
      </c>
      <c r="J56" s="67">
        <f>0.087/0.46</f>
        <v>0.189130434782609</v>
      </c>
      <c r="K56" s="65"/>
      <c r="L56" s="65"/>
      <c r="M56" s="65"/>
      <c r="N56" s="65">
        <f>0.203/0.56</f>
        <v>0.3625</v>
      </c>
      <c r="O56" s="67">
        <f>17.5/49</f>
        <v>0.357142857142857</v>
      </c>
    </row>
    <row r="57" ht="18" spans="1:57">
      <c r="A57" s="55"/>
      <c r="B57" s="55"/>
      <c r="C57" s="56"/>
      <c r="D57" s="65" t="s">
        <v>75</v>
      </c>
      <c r="E57" s="65"/>
      <c r="H57" s="65">
        <f t="shared" ref="H57:H62" si="54">I57/1.2</f>
        <v>0.131340579710145</v>
      </c>
      <c r="I57" s="65">
        <f t="shared" si="49"/>
        <v>0.157608695652174</v>
      </c>
      <c r="J57" s="67">
        <f>0.087/0.46</f>
        <v>0.189130434782609</v>
      </c>
      <c r="K57" s="65"/>
      <c r="L57" s="65"/>
      <c r="M57" s="65"/>
      <c r="N57" s="65"/>
      <c r="O57" s="67">
        <f>17.5/49</f>
        <v>0.357142857142857</v>
      </c>
    </row>
    <row r="58" ht="18" spans="1:57">
      <c r="A58" s="55"/>
      <c r="B58" s="55"/>
      <c r="C58" s="56"/>
      <c r="D58" s="65" t="s">
        <v>76</v>
      </c>
      <c r="E58" s="65"/>
      <c r="H58" s="65">
        <f t="shared" si="54"/>
        <v>0.131340579710145</v>
      </c>
      <c r="I58" s="65">
        <f t="shared" si="49"/>
        <v>0.157608695652174</v>
      </c>
      <c r="J58" s="67">
        <f>0.087/0.46</f>
        <v>0.189130434782609</v>
      </c>
      <c r="K58" s="65"/>
      <c r="L58" s="65"/>
      <c r="M58" s="65"/>
      <c r="N58" s="65"/>
      <c r="O58" s="67">
        <f>17.5/49</f>
        <v>0.357142857142857</v>
      </c>
    </row>
    <row r="59" ht="18" spans="1:57">
      <c r="A59" s="55"/>
      <c r="B59" s="55"/>
      <c r="C59" s="56"/>
      <c r="D59" s="65" t="s">
        <v>77</v>
      </c>
      <c r="E59" s="65"/>
      <c r="H59" s="65">
        <f t="shared" si="54"/>
        <v>0.131340579710145</v>
      </c>
      <c r="I59" s="65">
        <f t="shared" si="49"/>
        <v>0.157608695652174</v>
      </c>
      <c r="J59" s="67">
        <f>0.087/0.46</f>
        <v>0.189130434782609</v>
      </c>
      <c r="K59" s="65"/>
      <c r="L59" s="65"/>
      <c r="M59" s="65"/>
      <c r="N59" s="65"/>
      <c r="O59" s="67">
        <f>17.5/49</f>
        <v>0.357142857142857</v>
      </c>
    </row>
    <row r="60" ht="18" spans="1:57">
      <c r="A60" s="55"/>
      <c r="B60" s="55"/>
      <c r="C60" s="56"/>
    </row>
    <row r="61" ht="18" spans="1:57">
      <c r="A61" s="55"/>
      <c r="B61" s="55"/>
      <c r="C61" s="56"/>
      <c r="D61" s="35" t="s">
        <v>78</v>
      </c>
      <c r="E61" s="35">
        <v>1113</v>
      </c>
      <c r="F61" s="35">
        <f t="shared" ref="F61:F66" si="55">G61/1.2</f>
        <v>0.0578703703703704</v>
      </c>
      <c r="G61" s="35">
        <f t="shared" ref="G61:G66" si="56">H61/1.2</f>
        <v>0.0694444444444445</v>
      </c>
      <c r="H61" s="35">
        <f t="shared" si="54"/>
        <v>0.0833333333333333</v>
      </c>
      <c r="I61" s="35">
        <f t="shared" si="49"/>
        <v>0.1</v>
      </c>
      <c r="J61" s="61">
        <f t="shared" ref="J61:J66" si="57">0.072/0.6</f>
        <v>0.12</v>
      </c>
      <c r="K61" s="35">
        <f t="shared" ref="K61:M61" si="58">J61*K$41</f>
        <v>0.144</v>
      </c>
      <c r="L61" s="35">
        <f t="shared" si="58"/>
        <v>0.1728</v>
      </c>
      <c r="M61" s="35">
        <f t="shared" si="58"/>
        <v>0.20736</v>
      </c>
      <c r="O61" s="61">
        <f t="shared" ref="O61:O66" si="59">10.1/46</f>
        <v>0.219565217391304</v>
      </c>
      <c r="Q61" s="35">
        <f>(T61+S61)/2</f>
        <v>0.505</v>
      </c>
      <c r="R61" s="35" t="s">
        <v>52</v>
      </c>
      <c r="S61" s="35">
        <v>0.47</v>
      </c>
      <c r="T61" s="35">
        <v>0.54</v>
      </c>
    </row>
    <row r="62" ht="18" spans="1:57">
      <c r="A62" s="55"/>
      <c r="B62" s="55"/>
      <c r="C62" s="56"/>
      <c r="D62" s="35" t="s">
        <v>79</v>
      </c>
      <c r="E62" s="35">
        <v>1213</v>
      </c>
      <c r="F62" s="35">
        <f t="shared" si="55"/>
        <v>0.0578703703703704</v>
      </c>
      <c r="G62" s="35">
        <f t="shared" si="56"/>
        <v>0.0694444444444445</v>
      </c>
      <c r="H62" s="35">
        <f t="shared" si="54"/>
        <v>0.0833333333333333</v>
      </c>
      <c r="I62" s="35">
        <f t="shared" si="49"/>
        <v>0.1</v>
      </c>
      <c r="J62" s="61">
        <f t="shared" si="57"/>
        <v>0.12</v>
      </c>
      <c r="K62" s="35">
        <f t="shared" ref="K62:M62" si="60">J62*K$41</f>
        <v>0.144</v>
      </c>
      <c r="L62" s="35">
        <f t="shared" si="60"/>
        <v>0.1728</v>
      </c>
      <c r="M62" s="35">
        <f t="shared" si="60"/>
        <v>0.20736</v>
      </c>
      <c r="O62" s="61">
        <f t="shared" si="59"/>
        <v>0.219565217391304</v>
      </c>
      <c r="P62" s="35">
        <f>Q62/Q61</f>
        <v>1.20792079207921</v>
      </c>
      <c r="Q62" s="35">
        <f>(T62+S62)/2</f>
        <v>0.61</v>
      </c>
      <c r="R62" s="35" t="s">
        <v>80</v>
      </c>
      <c r="S62" s="35">
        <v>0.55</v>
      </c>
      <c r="T62" s="35">
        <v>0.67</v>
      </c>
    </row>
    <row r="63" ht="18" spans="1:57">
      <c r="A63" s="55"/>
      <c r="B63" s="55"/>
      <c r="C63" s="56"/>
      <c r="D63" s="35" t="s">
        <v>81</v>
      </c>
      <c r="E63" s="35">
        <v>1413</v>
      </c>
      <c r="F63" s="35">
        <f t="shared" si="55"/>
        <v>0.0578703703703704</v>
      </c>
      <c r="G63" s="35">
        <f t="shared" si="56"/>
        <v>0.0694444444444445</v>
      </c>
      <c r="H63" s="35">
        <f t="shared" ref="H63:H68" si="61">I63/1.2</f>
        <v>0.0833333333333333</v>
      </c>
      <c r="I63" s="35">
        <f t="shared" si="49"/>
        <v>0.1</v>
      </c>
      <c r="J63" s="61">
        <f t="shared" si="57"/>
        <v>0.12</v>
      </c>
      <c r="K63" s="35">
        <f t="shared" ref="K63:M63" si="62">J63*K$41</f>
        <v>0.144</v>
      </c>
      <c r="L63" s="35">
        <f t="shared" si="62"/>
        <v>0.1728</v>
      </c>
      <c r="M63" s="35">
        <f t="shared" si="62"/>
        <v>0.20736</v>
      </c>
      <c r="O63" s="61">
        <f t="shared" si="59"/>
        <v>0.219565217391304</v>
      </c>
      <c r="P63" s="35">
        <f>Q63/Q62</f>
        <v>1.22950819672131</v>
      </c>
      <c r="Q63" s="35">
        <f>(T63+S63)/2</f>
        <v>0.75</v>
      </c>
      <c r="R63" s="35" t="s">
        <v>82</v>
      </c>
      <c r="S63" s="35">
        <v>0.68</v>
      </c>
      <c r="T63" s="68">
        <v>0.82</v>
      </c>
    </row>
    <row r="64" ht="18" spans="1:57">
      <c r="A64" s="55"/>
      <c r="B64" s="55"/>
      <c r="C64" s="56"/>
      <c r="D64" s="35" t="s">
        <v>83</v>
      </c>
      <c r="E64" s="35">
        <v>1513</v>
      </c>
      <c r="F64" s="35">
        <f t="shared" si="55"/>
        <v>0.0578703703703704</v>
      </c>
      <c r="G64" s="35">
        <f t="shared" si="56"/>
        <v>0.0694444444444445</v>
      </c>
      <c r="H64" s="35">
        <f t="shared" si="61"/>
        <v>0.0833333333333333</v>
      </c>
      <c r="I64" s="35">
        <f t="shared" si="49"/>
        <v>0.1</v>
      </c>
      <c r="J64" s="61">
        <f t="shared" si="57"/>
        <v>0.12</v>
      </c>
      <c r="K64" s="35">
        <f t="shared" ref="K64:M64" si="63">J64*K$41</f>
        <v>0.144</v>
      </c>
      <c r="L64" s="35">
        <f t="shared" si="63"/>
        <v>0.1728</v>
      </c>
      <c r="M64" s="35">
        <f t="shared" si="63"/>
        <v>0.20736</v>
      </c>
      <c r="O64" s="61">
        <f t="shared" si="59"/>
        <v>0.219565217391304</v>
      </c>
      <c r="P64" s="35">
        <f>Q64/Q63</f>
        <v>1.21333333333333</v>
      </c>
      <c r="Q64" s="35">
        <f>(T64+S64)/2</f>
        <v>0.91</v>
      </c>
      <c r="R64" s="35" t="s">
        <v>53</v>
      </c>
      <c r="S64" s="35">
        <v>0.82</v>
      </c>
      <c r="T64" s="35">
        <v>1</v>
      </c>
    </row>
    <row r="65" ht="18" spans="1:17">
      <c r="A65" s="55"/>
      <c r="B65" s="55"/>
      <c r="C65" s="56"/>
      <c r="D65" s="35" t="s">
        <v>84</v>
      </c>
      <c r="E65" s="35">
        <v>1713</v>
      </c>
      <c r="F65" s="35">
        <f t="shared" si="55"/>
        <v>0.0578703703703704</v>
      </c>
      <c r="G65" s="35">
        <f t="shared" si="56"/>
        <v>0.0694444444444445</v>
      </c>
      <c r="H65" s="35">
        <f t="shared" si="61"/>
        <v>0.0833333333333333</v>
      </c>
      <c r="I65" s="35">
        <f t="shared" si="49"/>
        <v>0.1</v>
      </c>
      <c r="J65" s="61">
        <f t="shared" si="57"/>
        <v>0.12</v>
      </c>
      <c r="K65" s="35">
        <f t="shared" ref="K65:K66" si="64">J65*K$41</f>
        <v>0.144</v>
      </c>
      <c r="L65" s="35">
        <f t="shared" ref="L65:L68" si="65">K65*L$41</f>
        <v>0.1728</v>
      </c>
      <c r="M65" s="35">
        <f t="shared" ref="M65:M68" si="66">L65*M$41</f>
        <v>0.20736</v>
      </c>
      <c r="O65" s="61">
        <f t="shared" si="59"/>
        <v>0.219565217391304</v>
      </c>
    </row>
    <row r="66" ht="18" spans="1:17">
      <c r="A66" s="55"/>
      <c r="B66" s="55"/>
      <c r="C66" s="56"/>
      <c r="D66" s="35" t="s">
        <v>85</v>
      </c>
      <c r="E66" s="35">
        <v>1013</v>
      </c>
      <c r="F66" s="35">
        <f t="shared" si="55"/>
        <v>0.0578703703703704</v>
      </c>
      <c r="G66" s="35">
        <f t="shared" si="56"/>
        <v>0.0694444444444445</v>
      </c>
      <c r="H66" s="35">
        <f t="shared" si="61"/>
        <v>0.0833333333333333</v>
      </c>
      <c r="I66" s="35">
        <f t="shared" si="49"/>
        <v>0.1</v>
      </c>
      <c r="J66" s="61">
        <f t="shared" si="57"/>
        <v>0.12</v>
      </c>
      <c r="K66" s="35">
        <f t="shared" si="64"/>
        <v>0.144</v>
      </c>
      <c r="L66" s="35">
        <f t="shared" si="65"/>
        <v>0.1728</v>
      </c>
      <c r="M66" s="35">
        <f t="shared" si="66"/>
        <v>0.20736</v>
      </c>
      <c r="O66" s="61">
        <f t="shared" si="59"/>
        <v>0.219565217391304</v>
      </c>
    </row>
    <row r="67" ht="18" spans="1:17">
      <c r="A67" s="55"/>
      <c r="B67" s="55"/>
      <c r="C67" s="56"/>
      <c r="P67" s="35" t="s">
        <v>86</v>
      </c>
    </row>
    <row r="68" ht="18" spans="1:17">
      <c r="A68" s="55"/>
      <c r="B68" s="55"/>
      <c r="C68" s="56"/>
      <c r="D68" s="35" t="s">
        <v>87</v>
      </c>
      <c r="E68" s="35">
        <v>806</v>
      </c>
      <c r="F68" s="35">
        <f>G68/1.2</f>
        <v>0.0833333333333333</v>
      </c>
      <c r="G68" s="35">
        <v>0.1</v>
      </c>
      <c r="H68" s="35">
        <f t="shared" si="61"/>
        <v>0.125</v>
      </c>
      <c r="I68" s="35">
        <v>0.15</v>
      </c>
      <c r="J68" s="61">
        <v>0.18</v>
      </c>
      <c r="K68" s="35">
        <f>J68*K$41</f>
        <v>0.216</v>
      </c>
      <c r="L68" s="35">
        <f t="shared" si="65"/>
        <v>0.2592</v>
      </c>
      <c r="M68" s="35">
        <f t="shared" si="66"/>
        <v>0.31104</v>
      </c>
      <c r="N68" s="61"/>
      <c r="O68" s="61">
        <f>0.288/0.87</f>
        <v>0.331034482758621</v>
      </c>
    </row>
    <row r="69" ht="18" spans="1:17">
      <c r="A69" s="55"/>
      <c r="B69" s="55"/>
      <c r="C69" s="56"/>
      <c r="D69" s="35" t="s">
        <v>88</v>
      </c>
      <c r="E69" s="35">
        <v>908</v>
      </c>
      <c r="F69" s="35">
        <f t="shared" ref="F69:F75" si="67">G69/1.2</f>
        <v>0.0578703703703704</v>
      </c>
      <c r="G69" s="35">
        <f>H69/1.2</f>
        <v>0.0694444444444445</v>
      </c>
      <c r="H69" s="35">
        <f t="shared" ref="H69:H75" si="68">I69/1.2</f>
        <v>0.0833333333333333</v>
      </c>
      <c r="I69" s="35">
        <v>0.1</v>
      </c>
      <c r="J69" s="61">
        <v>0.12</v>
      </c>
      <c r="K69" s="35">
        <f t="shared" ref="K69:K75" si="69">J69*K$41</f>
        <v>0.144</v>
      </c>
      <c r="L69" s="35">
        <f t="shared" ref="L69:L75" si="70">K69*L$41</f>
        <v>0.1728</v>
      </c>
      <c r="M69" s="35">
        <f t="shared" ref="M69:M75" si="71">L69*M$41</f>
        <v>0.20736</v>
      </c>
      <c r="N69" s="35">
        <f>M69*N$41</f>
        <v>0.248832</v>
      </c>
      <c r="O69" s="35">
        <f>N69*O$41</f>
        <v>0.2985984</v>
      </c>
      <c r="P69" s="35">
        <f>O69*P$41</f>
        <v>0.35831808</v>
      </c>
      <c r="Q69" s="35">
        <f>P69*Q$41</f>
        <v>0.429981696</v>
      </c>
    </row>
    <row r="70" ht="18" spans="1:17">
      <c r="A70" s="55"/>
      <c r="B70" s="55"/>
      <c r="C70" s="56"/>
      <c r="D70" s="35" t="s">
        <v>89</v>
      </c>
      <c r="E70" s="35">
        <f t="shared" ref="E70:E75" si="72">E61-7</f>
        <v>1106</v>
      </c>
      <c r="F70" s="35">
        <f t="shared" si="67"/>
        <v>0.0833333333333333</v>
      </c>
      <c r="G70" s="35">
        <v>0.1</v>
      </c>
      <c r="H70" s="35">
        <f t="shared" si="68"/>
        <v>0.125</v>
      </c>
      <c r="I70" s="35">
        <v>0.15</v>
      </c>
      <c r="J70" s="61">
        <v>0.18</v>
      </c>
      <c r="K70" s="35">
        <f t="shared" si="69"/>
        <v>0.216</v>
      </c>
      <c r="L70" s="35">
        <f t="shared" si="70"/>
        <v>0.2592</v>
      </c>
      <c r="M70" s="35">
        <f t="shared" si="71"/>
        <v>0.31104</v>
      </c>
      <c r="O70" s="61">
        <f t="shared" ref="O70:O75" si="73">0.253/0.77</f>
        <v>0.328571428571429</v>
      </c>
    </row>
    <row r="71" ht="18" spans="1:17">
      <c r="A71" s="55"/>
      <c r="B71" s="55"/>
      <c r="C71" s="56"/>
      <c r="D71" s="35" t="s">
        <v>90</v>
      </c>
      <c r="E71" s="35">
        <f t="shared" si="72"/>
        <v>1206</v>
      </c>
      <c r="F71" s="35">
        <f t="shared" si="67"/>
        <v>0.0833333333333333</v>
      </c>
      <c r="G71" s="35">
        <v>0.1</v>
      </c>
      <c r="H71" s="35">
        <f t="shared" si="68"/>
        <v>0.125</v>
      </c>
      <c r="I71" s="35">
        <v>0.15</v>
      </c>
      <c r="J71" s="61">
        <v>0.18</v>
      </c>
      <c r="K71" s="35">
        <f t="shared" si="69"/>
        <v>0.216</v>
      </c>
      <c r="L71" s="35">
        <f t="shared" si="70"/>
        <v>0.2592</v>
      </c>
      <c r="M71" s="35">
        <f t="shared" si="71"/>
        <v>0.31104</v>
      </c>
      <c r="O71" s="61">
        <f t="shared" si="73"/>
        <v>0.328571428571429</v>
      </c>
    </row>
    <row r="72" ht="18" spans="1:17">
      <c r="A72" s="55"/>
      <c r="B72" s="55"/>
      <c r="C72" s="56"/>
      <c r="D72" s="35" t="s">
        <v>91</v>
      </c>
      <c r="E72" s="35">
        <f t="shared" si="72"/>
        <v>1406</v>
      </c>
      <c r="F72" s="35">
        <f t="shared" si="67"/>
        <v>0.0833333333333333</v>
      </c>
      <c r="G72" s="35">
        <v>0.1</v>
      </c>
      <c r="H72" s="35">
        <f t="shared" si="68"/>
        <v>0.125</v>
      </c>
      <c r="I72" s="35">
        <v>0.15</v>
      </c>
      <c r="J72" s="61">
        <v>0.18</v>
      </c>
      <c r="K72" s="35">
        <f t="shared" si="69"/>
        <v>0.216</v>
      </c>
      <c r="L72" s="35">
        <f t="shared" si="70"/>
        <v>0.2592</v>
      </c>
      <c r="M72" s="35">
        <f t="shared" si="71"/>
        <v>0.31104</v>
      </c>
      <c r="O72" s="61">
        <f t="shared" si="73"/>
        <v>0.328571428571429</v>
      </c>
    </row>
    <row r="73" ht="18" spans="1:17">
      <c r="A73" s="55"/>
      <c r="B73" s="55"/>
      <c r="C73" s="56"/>
      <c r="D73" s="35" t="s">
        <v>92</v>
      </c>
      <c r="E73" s="35">
        <f t="shared" si="72"/>
        <v>1506</v>
      </c>
      <c r="F73" s="35">
        <f t="shared" si="67"/>
        <v>0.0833333333333333</v>
      </c>
      <c r="G73" s="35">
        <v>0.1</v>
      </c>
      <c r="H73" s="35">
        <f t="shared" si="68"/>
        <v>0.125</v>
      </c>
      <c r="I73" s="35">
        <v>0.15</v>
      </c>
      <c r="J73" s="61">
        <v>0.18</v>
      </c>
      <c r="K73" s="35">
        <f t="shared" si="69"/>
        <v>0.216</v>
      </c>
      <c r="L73" s="35">
        <f t="shared" si="70"/>
        <v>0.2592</v>
      </c>
      <c r="M73" s="35">
        <f t="shared" si="71"/>
        <v>0.31104</v>
      </c>
      <c r="O73" s="61">
        <f t="shared" si="73"/>
        <v>0.328571428571429</v>
      </c>
    </row>
    <row r="74" ht="18" spans="1:17">
      <c r="A74" s="55"/>
      <c r="B74" s="55"/>
      <c r="C74" s="56"/>
      <c r="D74" s="35" t="s">
        <v>93</v>
      </c>
      <c r="E74" s="35">
        <f t="shared" si="72"/>
        <v>1706</v>
      </c>
      <c r="F74" s="35">
        <f t="shared" si="67"/>
        <v>0.0833333333333333</v>
      </c>
      <c r="G74" s="35">
        <v>0.1</v>
      </c>
      <c r="H74" s="35">
        <f t="shared" si="68"/>
        <v>0.125</v>
      </c>
      <c r="I74" s="35">
        <v>0.15</v>
      </c>
      <c r="J74" s="61">
        <v>0.18</v>
      </c>
      <c r="K74" s="35">
        <f t="shared" si="69"/>
        <v>0.216</v>
      </c>
      <c r="L74" s="35">
        <f t="shared" si="70"/>
        <v>0.2592</v>
      </c>
      <c r="M74" s="35">
        <f t="shared" si="71"/>
        <v>0.31104</v>
      </c>
      <c r="O74" s="61">
        <f t="shared" si="73"/>
        <v>0.328571428571429</v>
      </c>
    </row>
    <row r="75" ht="18" spans="1:17">
      <c r="A75" s="55"/>
      <c r="B75" s="55"/>
      <c r="C75" s="56"/>
      <c r="D75" s="35" t="s">
        <v>94</v>
      </c>
      <c r="E75" s="35">
        <f t="shared" si="72"/>
        <v>1006</v>
      </c>
      <c r="F75" s="35">
        <f t="shared" si="67"/>
        <v>0.0833333333333333</v>
      </c>
      <c r="G75" s="35">
        <v>0.1</v>
      </c>
      <c r="H75" s="35">
        <f t="shared" si="68"/>
        <v>0.125</v>
      </c>
      <c r="I75" s="35">
        <v>0.15</v>
      </c>
      <c r="J75" s="61">
        <v>0.18</v>
      </c>
      <c r="K75" s="35">
        <f t="shared" si="69"/>
        <v>0.216</v>
      </c>
      <c r="L75" s="35">
        <f t="shared" si="70"/>
        <v>0.2592</v>
      </c>
      <c r="M75" s="35">
        <f t="shared" si="71"/>
        <v>0.31104</v>
      </c>
      <c r="O75" s="61">
        <f t="shared" si="73"/>
        <v>0.328571428571429</v>
      </c>
    </row>
    <row r="76" ht="18" spans="1:17">
      <c r="A76" s="55"/>
      <c r="B76" s="55"/>
      <c r="C76" s="56"/>
      <c r="I76" s="35">
        <f t="shared" si="49"/>
        <v>0</v>
      </c>
    </row>
    <row r="77" ht="18" spans="1:17">
      <c r="A77" s="55"/>
      <c r="B77" s="55"/>
      <c r="C77" s="56"/>
      <c r="D77" s="35" t="s">
        <v>70</v>
      </c>
      <c r="E77" s="35">
        <v>907</v>
      </c>
      <c r="F77" s="35">
        <f>G77/1.2</f>
        <v>0.241126543209877</v>
      </c>
      <c r="G77" s="35">
        <f>H77/1.2</f>
        <v>0.289351851851852</v>
      </c>
      <c r="H77" s="35">
        <f>I77/1.2</f>
        <v>0.347222222222222</v>
      </c>
      <c r="I77" s="35">
        <f t="shared" si="49"/>
        <v>0.416666666666667</v>
      </c>
      <c r="J77" s="35">
        <v>0.5</v>
      </c>
      <c r="K77" s="35">
        <f t="shared" ref="K77:M77" si="74">J77*K$41</f>
        <v>0.6</v>
      </c>
      <c r="L77" s="35">
        <f t="shared" si="74"/>
        <v>0.72</v>
      </c>
      <c r="M77" s="35">
        <f t="shared" si="74"/>
        <v>0.864</v>
      </c>
      <c r="O77" s="61">
        <f>73.6/82</f>
        <v>0.897560975609756</v>
      </c>
    </row>
    <row r="78" ht="18" spans="1:17">
      <c r="A78" s="55"/>
      <c r="B78" s="55"/>
      <c r="C78" s="56"/>
      <c r="D78" s="35" t="s">
        <v>95</v>
      </c>
      <c r="E78" s="35">
        <f t="shared" ref="E78:E83" si="75">E61-2</f>
        <v>1111</v>
      </c>
      <c r="F78" s="35">
        <f t="shared" ref="F78:F83" si="76">G78/1.2</f>
        <v>0.289351851851852</v>
      </c>
      <c r="G78" s="35">
        <f t="shared" ref="G78:G83" si="77">H78/1.2</f>
        <v>0.347222222222222</v>
      </c>
      <c r="H78" s="35">
        <f>I78/1.2</f>
        <v>0.416666666666667</v>
      </c>
      <c r="I78" s="35">
        <f t="shared" si="49"/>
        <v>0.5</v>
      </c>
      <c r="J78" s="61">
        <f t="shared" ref="J78:J83" si="78">0.426/0.71</f>
        <v>0.6</v>
      </c>
      <c r="K78" s="35">
        <f t="shared" ref="K78:M78" si="79">J78*K$41</f>
        <v>0.72</v>
      </c>
      <c r="L78" s="35">
        <f t="shared" si="79"/>
        <v>0.864</v>
      </c>
      <c r="M78" s="35">
        <f t="shared" si="79"/>
        <v>1.0368</v>
      </c>
      <c r="O78" s="61">
        <f t="shared" ref="O78:O83" si="80">72.1/64</f>
        <v>1.1265625</v>
      </c>
    </row>
    <row r="79" ht="18" spans="1:17">
      <c r="A79" s="55"/>
      <c r="B79" s="55"/>
      <c r="C79" s="56"/>
      <c r="D79" s="35" t="s">
        <v>96</v>
      </c>
      <c r="E79" s="35">
        <f t="shared" si="75"/>
        <v>1211</v>
      </c>
      <c r="F79" s="35">
        <f t="shared" si="76"/>
        <v>0.289351851851852</v>
      </c>
      <c r="G79" s="35">
        <f t="shared" si="77"/>
        <v>0.347222222222222</v>
      </c>
      <c r="H79" s="35">
        <f>I79/1.2</f>
        <v>0.416666666666667</v>
      </c>
      <c r="I79" s="35">
        <f t="shared" si="49"/>
        <v>0.5</v>
      </c>
      <c r="J79" s="61">
        <f t="shared" si="78"/>
        <v>0.6</v>
      </c>
      <c r="K79" s="35">
        <f>J79*K$41</f>
        <v>0.72</v>
      </c>
      <c r="L79" s="35">
        <f>K79*L$41</f>
        <v>0.864</v>
      </c>
      <c r="M79" s="35">
        <f>L79*M$41</f>
        <v>1.0368</v>
      </c>
      <c r="O79" s="61">
        <f t="shared" si="80"/>
        <v>1.1265625</v>
      </c>
    </row>
    <row r="80" ht="18" spans="1:17">
      <c r="A80" s="55"/>
      <c r="B80" s="55"/>
      <c r="C80" s="56"/>
      <c r="D80" s="35" t="s">
        <v>97</v>
      </c>
      <c r="E80" s="35">
        <f t="shared" si="75"/>
        <v>1411</v>
      </c>
      <c r="F80" s="35">
        <f t="shared" si="76"/>
        <v>0.289351851851852</v>
      </c>
      <c r="G80" s="35">
        <f t="shared" si="77"/>
        <v>0.347222222222222</v>
      </c>
      <c r="H80" s="35">
        <f t="shared" ref="H80:H86" si="81">I80/1.2</f>
        <v>0.416666666666667</v>
      </c>
      <c r="I80" s="35">
        <f t="shared" si="49"/>
        <v>0.5</v>
      </c>
      <c r="J80" s="61">
        <f t="shared" si="78"/>
        <v>0.6</v>
      </c>
      <c r="K80" s="35">
        <f t="shared" ref="K80:K83" si="82">J80*K$41</f>
        <v>0.72</v>
      </c>
      <c r="L80" s="35">
        <f t="shared" ref="L80:L86" si="83">K80*L$41</f>
        <v>0.864</v>
      </c>
      <c r="M80" s="35">
        <f t="shared" ref="M80:M86" si="84">L80*M$41</f>
        <v>1.0368</v>
      </c>
      <c r="O80" s="61">
        <f t="shared" si="80"/>
        <v>1.1265625</v>
      </c>
    </row>
    <row r="81" ht="18" spans="1:15">
      <c r="A81" s="55"/>
      <c r="B81" s="55"/>
      <c r="C81" s="56"/>
      <c r="D81" s="35" t="s">
        <v>98</v>
      </c>
      <c r="E81" s="35">
        <f t="shared" si="75"/>
        <v>1511</v>
      </c>
      <c r="F81" s="35">
        <f t="shared" si="76"/>
        <v>0.289351851851852</v>
      </c>
      <c r="G81" s="35">
        <f t="shared" si="77"/>
        <v>0.347222222222222</v>
      </c>
      <c r="H81" s="35">
        <f t="shared" si="81"/>
        <v>0.416666666666667</v>
      </c>
      <c r="I81" s="35">
        <f t="shared" si="49"/>
        <v>0.5</v>
      </c>
      <c r="J81" s="61">
        <f t="shared" si="78"/>
        <v>0.6</v>
      </c>
      <c r="K81" s="35">
        <f t="shared" si="82"/>
        <v>0.72</v>
      </c>
      <c r="L81" s="35">
        <f t="shared" si="83"/>
        <v>0.864</v>
      </c>
      <c r="M81" s="35">
        <f t="shared" si="84"/>
        <v>1.0368</v>
      </c>
      <c r="O81" s="61">
        <f t="shared" si="80"/>
        <v>1.1265625</v>
      </c>
    </row>
    <row r="82" ht="18" spans="1:15">
      <c r="A82" s="55"/>
      <c r="B82" s="55"/>
      <c r="C82" s="56"/>
      <c r="D82" s="35" t="s">
        <v>99</v>
      </c>
      <c r="E82" s="35">
        <f t="shared" si="75"/>
        <v>1711</v>
      </c>
      <c r="F82" s="35">
        <f t="shared" si="76"/>
        <v>0.289351851851852</v>
      </c>
      <c r="G82" s="35">
        <f t="shared" si="77"/>
        <v>0.347222222222222</v>
      </c>
      <c r="H82" s="35">
        <f t="shared" si="81"/>
        <v>0.416666666666667</v>
      </c>
      <c r="I82" s="35">
        <f t="shared" si="49"/>
        <v>0.5</v>
      </c>
      <c r="J82" s="61">
        <f t="shared" si="78"/>
        <v>0.6</v>
      </c>
      <c r="K82" s="35">
        <f t="shared" si="82"/>
        <v>0.72</v>
      </c>
      <c r="L82" s="35">
        <f t="shared" si="83"/>
        <v>0.864</v>
      </c>
      <c r="M82" s="35">
        <f t="shared" si="84"/>
        <v>1.0368</v>
      </c>
      <c r="O82" s="61">
        <f t="shared" si="80"/>
        <v>1.1265625</v>
      </c>
    </row>
    <row r="83" ht="18" spans="1:15">
      <c r="A83" s="55"/>
      <c r="B83" s="55"/>
      <c r="C83" s="56"/>
      <c r="D83" s="35" t="s">
        <v>100</v>
      </c>
      <c r="E83" s="35">
        <f t="shared" si="75"/>
        <v>1011</v>
      </c>
      <c r="F83" s="35">
        <f t="shared" si="76"/>
        <v>0.289351851851852</v>
      </c>
      <c r="G83" s="35">
        <f t="shared" si="77"/>
        <v>0.347222222222222</v>
      </c>
      <c r="H83" s="35">
        <f t="shared" si="81"/>
        <v>0.416666666666667</v>
      </c>
      <c r="I83" s="35">
        <f t="shared" si="49"/>
        <v>0.5</v>
      </c>
      <c r="J83" s="61">
        <f t="shared" si="78"/>
        <v>0.6</v>
      </c>
      <c r="K83" s="35">
        <f t="shared" si="82"/>
        <v>0.72</v>
      </c>
      <c r="L83" s="35">
        <f t="shared" si="83"/>
        <v>0.864</v>
      </c>
      <c r="M83" s="35">
        <f t="shared" si="84"/>
        <v>1.0368</v>
      </c>
      <c r="O83" s="61">
        <f t="shared" si="80"/>
        <v>1.1265625</v>
      </c>
    </row>
    <row r="84" ht="18" spans="1:15">
      <c r="A84" s="55"/>
      <c r="B84" s="55"/>
      <c r="C84" s="56"/>
      <c r="I84" s="35">
        <f t="shared" si="49"/>
        <v>0</v>
      </c>
    </row>
    <row r="85" ht="18" spans="1:15">
      <c r="A85" s="55"/>
      <c r="B85" s="55"/>
      <c r="C85" s="56"/>
      <c r="D85" s="35" t="s">
        <v>101</v>
      </c>
      <c r="E85" s="35">
        <v>616</v>
      </c>
      <c r="F85" s="35">
        <v>0.08</v>
      </c>
      <c r="G85" s="35">
        <v>0.1</v>
      </c>
      <c r="H85" s="35">
        <f t="shared" si="81"/>
        <v>0.125</v>
      </c>
      <c r="I85" s="35">
        <v>0.15</v>
      </c>
      <c r="J85" s="61">
        <f>0.12/0.67</f>
        <v>0.17910447761194</v>
      </c>
      <c r="K85" s="35">
        <v>0.216</v>
      </c>
      <c r="L85" s="35">
        <f t="shared" si="83"/>
        <v>0.2592</v>
      </c>
      <c r="M85" s="35">
        <f t="shared" si="84"/>
        <v>0.31104</v>
      </c>
      <c r="O85" s="61">
        <f>0.18/0.55</f>
        <v>0.327272727272727</v>
      </c>
    </row>
    <row r="86" ht="18" spans="1:15">
      <c r="A86" s="55"/>
      <c r="B86" s="55"/>
      <c r="C86" s="56"/>
      <c r="D86" s="35" t="s">
        <v>102</v>
      </c>
      <c r="E86" s="35">
        <v>617</v>
      </c>
      <c r="F86" s="35">
        <v>0.08</v>
      </c>
      <c r="G86" s="35">
        <v>0.1</v>
      </c>
      <c r="H86" s="35">
        <f t="shared" si="81"/>
        <v>0.125</v>
      </c>
      <c r="I86" s="35">
        <v>0.15</v>
      </c>
      <c r="J86" s="61">
        <f>0.135/0.75</f>
        <v>0.18</v>
      </c>
      <c r="K86" s="35">
        <v>0.216</v>
      </c>
      <c r="L86" s="35">
        <f t="shared" si="83"/>
        <v>0.2592</v>
      </c>
      <c r="M86" s="35">
        <f t="shared" si="84"/>
        <v>0.31104</v>
      </c>
      <c r="O86" s="61">
        <f>0.18/0.55</f>
        <v>0.327272727272727</v>
      </c>
    </row>
    <row r="87" ht="18" spans="1:15">
      <c r="A87" s="55"/>
      <c r="B87" s="55"/>
      <c r="C87" s="56"/>
    </row>
    <row r="88" ht="18" spans="1:15">
      <c r="A88" s="55"/>
      <c r="B88" s="55"/>
      <c r="C88" s="56"/>
      <c r="D88" s="35" t="s">
        <v>103</v>
      </c>
      <c r="E88" s="35" t="s">
        <v>104</v>
      </c>
    </row>
    <row r="89" ht="18" spans="1:15">
      <c r="A89" s="55"/>
      <c r="B89" s="55"/>
      <c r="C89" s="56"/>
      <c r="D89" s="69" t="s">
        <v>48</v>
      </c>
      <c r="E89" s="69">
        <v>0.833333333333333</v>
      </c>
    </row>
    <row r="90" ht="18" spans="1:15">
      <c r="A90" s="55"/>
      <c r="B90" s="55"/>
      <c r="C90" s="56"/>
      <c r="D90" s="69" t="s">
        <v>49</v>
      </c>
      <c r="E90" s="69">
        <v>0.8</v>
      </c>
    </row>
    <row r="91" ht="18" spans="1:15">
      <c r="A91" s="55"/>
      <c r="B91" s="55"/>
      <c r="C91" s="56"/>
      <c r="D91" s="69" t="s">
        <v>50</v>
      </c>
      <c r="E91" s="69">
        <v>0.833333333333333</v>
      </c>
    </row>
    <row r="92" ht="18" spans="1:15">
      <c r="A92" s="55"/>
      <c r="B92" s="55"/>
      <c r="C92" s="56"/>
      <c r="D92" s="69" t="s">
        <v>51</v>
      </c>
      <c r="E92" s="69">
        <v>1</v>
      </c>
    </row>
    <row r="93" ht="18" spans="1:15">
      <c r="A93" s="55"/>
      <c r="B93" s="55"/>
      <c r="C93" s="56"/>
      <c r="D93" s="69" t="s">
        <v>52</v>
      </c>
      <c r="E93" s="69">
        <v>1.2</v>
      </c>
    </row>
    <row r="94" ht="18" spans="1:15">
      <c r="A94" s="55"/>
      <c r="B94" s="55"/>
      <c r="C94" s="56"/>
      <c r="D94" s="69" t="s">
        <v>53</v>
      </c>
      <c r="E94" s="69">
        <v>1.44</v>
      </c>
    </row>
    <row r="95" ht="18" spans="1:15">
      <c r="A95" s="55"/>
      <c r="B95" s="55"/>
      <c r="C95" s="56"/>
      <c r="D95" s="69" t="s">
        <v>54</v>
      </c>
      <c r="E95" s="69">
        <v>1.8</v>
      </c>
    </row>
    <row r="96" ht="18" spans="1:15">
      <c r="A96" s="55"/>
      <c r="B96" s="55"/>
      <c r="C96" s="56"/>
      <c r="D96" s="69" t="s">
        <v>55</v>
      </c>
      <c r="E96" s="69">
        <v>2.25</v>
      </c>
    </row>
    <row r="97" ht="18" spans="1:17">
      <c r="A97" s="55"/>
      <c r="B97" s="55"/>
      <c r="C97" s="56"/>
      <c r="D97" s="69" t="s">
        <v>56</v>
      </c>
      <c r="E97" s="69">
        <v>2.7</v>
      </c>
    </row>
    <row r="98" ht="18" spans="1:17">
      <c r="A98" s="55"/>
      <c r="B98" s="55"/>
      <c r="C98" s="56"/>
      <c r="D98" s="69" t="s">
        <v>57</v>
      </c>
      <c r="E98" s="69">
        <v>3.24</v>
      </c>
    </row>
    <row r="99" ht="18" spans="1:17">
      <c r="A99" s="55"/>
      <c r="B99" s="55"/>
      <c r="C99" s="56"/>
    </row>
    <row r="100" ht="18" spans="1:17">
      <c r="A100" s="55"/>
      <c r="B100" s="55"/>
      <c r="C100" s="56"/>
      <c r="D100" s="35" t="s">
        <v>46</v>
      </c>
      <c r="E100" s="70" t="s">
        <v>105</v>
      </c>
      <c r="F100" s="70" t="s">
        <v>47</v>
      </c>
      <c r="G100" s="71" t="s">
        <v>106</v>
      </c>
      <c r="H100" s="72" t="s">
        <v>48</v>
      </c>
      <c r="I100" s="72" t="s">
        <v>49</v>
      </c>
      <c r="J100" s="72" t="s">
        <v>50</v>
      </c>
      <c r="K100" s="72" t="s">
        <v>51</v>
      </c>
      <c r="L100" s="72" t="s">
        <v>52</v>
      </c>
      <c r="M100" s="72" t="s">
        <v>53</v>
      </c>
      <c r="N100" s="72" t="s">
        <v>54</v>
      </c>
      <c r="O100" s="72" t="s">
        <v>55</v>
      </c>
      <c r="P100" s="72" t="s">
        <v>56</v>
      </c>
      <c r="Q100" s="72" t="s">
        <v>57</v>
      </c>
    </row>
    <row r="101" ht="17.25" spans="1:17">
      <c r="A101" s="55"/>
      <c r="B101" s="55"/>
      <c r="D101" t="s">
        <v>107</v>
      </c>
      <c r="E101">
        <f>500</f>
        <v>500</v>
      </c>
      <c r="F101">
        <v>613</v>
      </c>
      <c r="G101" s="35">
        <v>0.15</v>
      </c>
      <c r="H101">
        <v>0.0833333333333333</v>
      </c>
      <c r="I101">
        <f>秘宝属性[[#This Row],[秘宝属性基数]]*_xlfn.XLOOKUP(秘宝属性[[#Headers],[优秀]],秘宝品质系数[秘宝品质],秘宝品质系数[秘宝属性系数])</f>
        <v>0.12</v>
      </c>
      <c r="J101">
        <f>秘宝属性[[#This Row],[秘宝属性基数]]*_xlfn.XLOOKUP(秘宝属性[[#Headers],[稀有]],秘宝品质系数[秘宝品质],秘宝品质系数[秘宝属性系数])</f>
        <v>0.125</v>
      </c>
      <c r="K101">
        <f>秘宝属性[[#This Row],[秘宝属性基数]]*_xlfn.XLOOKUP(秘宝属性[[#Headers],[史诗]],秘宝品质系数[秘宝品质],秘宝品质系数[秘宝属性系数])</f>
        <v>0.15</v>
      </c>
      <c r="L101">
        <f>秘宝属性[[#This Row],[秘宝属性基数]]*_xlfn.XLOOKUP(秘宝属性[[#Headers],[传说]],秘宝品质系数[秘宝品质],秘宝品质系数[秘宝属性系数])</f>
        <v>0.18</v>
      </c>
      <c r="M101">
        <f>秘宝属性[[#This Row],[秘宝属性基数]]*_xlfn.XLOOKUP(秘宝属性[[#Headers],[神话]],秘宝品质系数[秘宝品质],秘宝品质系数[秘宝属性系数])</f>
        <v>0.216</v>
      </c>
      <c r="N101">
        <f>秘宝属性[[#This Row],[秘宝属性基数]]*_xlfn.XLOOKUP(秘宝属性[[#Headers],[创世]],秘宝品质系数[秘宝品质],秘宝品质系数[秘宝属性系数])</f>
        <v>0.27</v>
      </c>
      <c r="O101">
        <f>秘宝属性[[#This Row],[秘宝属性基数]]*_xlfn.XLOOKUP(秘宝属性[[#Headers],[炫彩1]],秘宝品质系数[秘宝品质],秘宝品质系数[秘宝属性系数])</f>
        <v>0.3375</v>
      </c>
      <c r="P101">
        <f>秘宝属性[[#This Row],[秘宝属性基数]]*_xlfn.XLOOKUP(秘宝属性[[#Headers],[炫彩2]],秘宝品质系数[秘宝品质],秘宝品质系数[秘宝属性系数])</f>
        <v>0.405</v>
      </c>
      <c r="Q101">
        <f>秘宝属性[[#This Row],[秘宝属性基数]]*_xlfn.XLOOKUP(秘宝属性[[#Headers],[炫彩3]],秘宝品质系数[秘宝品质],秘宝品质系数[秘宝属性系数])</f>
        <v>0.486</v>
      </c>
    </row>
    <row r="102" ht="17.25" spans="1:17">
      <c r="A102" s="55"/>
      <c r="B102" s="55"/>
      <c r="D102" t="s">
        <v>108</v>
      </c>
      <c r="E102">
        <f>500</f>
        <v>500</v>
      </c>
      <c r="F102">
        <v>614</v>
      </c>
      <c r="G102" s="35">
        <v>0.15</v>
      </c>
      <c r="H102">
        <v>0.0833333333333333</v>
      </c>
      <c r="I102">
        <f>秘宝属性[[#This Row],[秘宝属性基数]]*_xlfn.XLOOKUP(秘宝属性[[#Headers],[优秀]],秘宝品质系数[秘宝品质],秘宝品质系数[秘宝属性系数])</f>
        <v>0.12</v>
      </c>
      <c r="J102">
        <f>秘宝属性[[#This Row],[秘宝属性基数]]*_xlfn.XLOOKUP(秘宝属性[[#Headers],[稀有]],秘宝品质系数[秘宝品质],秘宝品质系数[秘宝属性系数])</f>
        <v>0.125</v>
      </c>
      <c r="K102">
        <f>秘宝属性[[#This Row],[秘宝属性基数]]*_xlfn.XLOOKUP(秘宝属性[[#Headers],[史诗]],秘宝品质系数[秘宝品质],秘宝品质系数[秘宝属性系数])</f>
        <v>0.15</v>
      </c>
      <c r="L102">
        <f>秘宝属性[[#This Row],[秘宝属性基数]]*_xlfn.XLOOKUP(秘宝属性[[#Headers],[传说]],秘宝品质系数[秘宝品质],秘宝品质系数[秘宝属性系数])</f>
        <v>0.18</v>
      </c>
      <c r="M102">
        <f>秘宝属性[[#This Row],[秘宝属性基数]]*_xlfn.XLOOKUP(秘宝属性[[#Headers],[神话]],秘宝品质系数[秘宝品质],秘宝品质系数[秘宝属性系数])</f>
        <v>0.216</v>
      </c>
      <c r="N102">
        <f>秘宝属性[[#This Row],[秘宝属性基数]]*_xlfn.XLOOKUP(秘宝属性[[#Headers],[创世]],秘宝品质系数[秘宝品质],秘宝品质系数[秘宝属性系数])</f>
        <v>0.27</v>
      </c>
      <c r="O102">
        <f>秘宝属性[[#This Row],[秘宝属性基数]]*_xlfn.XLOOKUP(秘宝属性[[#Headers],[炫彩1]],秘宝品质系数[秘宝品质],秘宝品质系数[秘宝属性系数])</f>
        <v>0.3375</v>
      </c>
      <c r="P102">
        <f>秘宝属性[[#This Row],[秘宝属性基数]]*_xlfn.XLOOKUP(秘宝属性[[#Headers],[炫彩2]],秘宝品质系数[秘宝品质],秘宝品质系数[秘宝属性系数])</f>
        <v>0.405</v>
      </c>
      <c r="Q102">
        <f>秘宝属性[[#This Row],[秘宝属性基数]]*_xlfn.XLOOKUP(秘宝属性[[#Headers],[炫彩3]],秘宝品质系数[秘宝品质],秘宝品质系数[秘宝属性系数])</f>
        <v>0.486</v>
      </c>
    </row>
    <row r="103" spans="1:17">
      <c r="D103" t="s">
        <v>109</v>
      </c>
      <c r="E103">
        <f>500</f>
        <v>500</v>
      </c>
      <c r="F103">
        <v>615</v>
      </c>
      <c r="G103" s="35">
        <v>0.15</v>
      </c>
      <c r="H103">
        <v>0.0833333333333333</v>
      </c>
      <c r="I103">
        <f>秘宝属性[[#This Row],[秘宝属性基数]]*_xlfn.XLOOKUP(秘宝属性[[#Headers],[优秀]],秘宝品质系数[秘宝品质],秘宝品质系数[秘宝属性系数])</f>
        <v>0.12</v>
      </c>
      <c r="J103">
        <f>秘宝属性[[#This Row],[秘宝属性基数]]*_xlfn.XLOOKUP(秘宝属性[[#Headers],[稀有]],秘宝品质系数[秘宝品质],秘宝品质系数[秘宝属性系数])</f>
        <v>0.125</v>
      </c>
      <c r="K103">
        <f>秘宝属性[[#This Row],[秘宝属性基数]]*_xlfn.XLOOKUP(秘宝属性[[#Headers],[史诗]],秘宝品质系数[秘宝品质],秘宝品质系数[秘宝属性系数])</f>
        <v>0.15</v>
      </c>
      <c r="L103">
        <f>秘宝属性[[#This Row],[秘宝属性基数]]*_xlfn.XLOOKUP(秘宝属性[[#Headers],[传说]],秘宝品质系数[秘宝品质],秘宝品质系数[秘宝属性系数])</f>
        <v>0.18</v>
      </c>
      <c r="M103">
        <f>秘宝属性[[#This Row],[秘宝属性基数]]*_xlfn.XLOOKUP(秘宝属性[[#Headers],[神话]],秘宝品质系数[秘宝品质],秘宝品质系数[秘宝属性系数])</f>
        <v>0.216</v>
      </c>
      <c r="N103">
        <f>秘宝属性[[#This Row],[秘宝属性基数]]*_xlfn.XLOOKUP(秘宝属性[[#Headers],[创世]],秘宝品质系数[秘宝品质],秘宝品质系数[秘宝属性系数])</f>
        <v>0.27</v>
      </c>
      <c r="O103">
        <f>秘宝属性[[#This Row],[秘宝属性基数]]*_xlfn.XLOOKUP(秘宝属性[[#Headers],[炫彩1]],秘宝品质系数[秘宝品质],秘宝品质系数[秘宝属性系数])</f>
        <v>0.3375</v>
      </c>
      <c r="P103">
        <f>秘宝属性[[#This Row],[秘宝属性基数]]*_xlfn.XLOOKUP(秘宝属性[[#Headers],[炫彩2]],秘宝品质系数[秘宝品质],秘宝品质系数[秘宝属性系数])</f>
        <v>0.405</v>
      </c>
      <c r="Q103">
        <f>秘宝属性[[#This Row],[秘宝属性基数]]*_xlfn.XLOOKUP(秘宝属性[[#Headers],[炫彩3]],秘宝品质系数[秘宝品质],秘宝品质系数[秘宝属性系数])</f>
        <v>0.486</v>
      </c>
    </row>
    <row r="104" spans="1:17">
      <c r="D104" t="s">
        <v>73</v>
      </c>
      <c r="E104">
        <f>500</f>
        <v>500</v>
      </c>
      <c r="F104">
        <v>610</v>
      </c>
      <c r="G104" s="35">
        <v>0.3</v>
      </c>
      <c r="H104">
        <v>0.166666666666667</v>
      </c>
      <c r="I104">
        <f>秘宝属性[[#This Row],[秘宝属性基数]]*_xlfn.XLOOKUP(秘宝属性[[#Headers],[优秀]],秘宝品质系数[秘宝品质],秘宝品质系数[秘宝属性系数])</f>
        <v>0.24</v>
      </c>
      <c r="J104">
        <f>秘宝属性[[#This Row],[秘宝属性基数]]*_xlfn.XLOOKUP(秘宝属性[[#Headers],[稀有]],秘宝品质系数[秘宝品质],秘宝品质系数[秘宝属性系数])</f>
        <v>0.25</v>
      </c>
      <c r="K104">
        <f>秘宝属性[[#This Row],[秘宝属性基数]]*_xlfn.XLOOKUP(秘宝属性[[#Headers],[史诗]],秘宝品质系数[秘宝品质],秘宝品质系数[秘宝属性系数])</f>
        <v>0.3</v>
      </c>
      <c r="L104">
        <f>秘宝属性[[#This Row],[秘宝属性基数]]*_xlfn.XLOOKUP(秘宝属性[[#Headers],[传说]],秘宝品质系数[秘宝品质],秘宝品质系数[秘宝属性系数])</f>
        <v>0.36</v>
      </c>
      <c r="M104">
        <f>秘宝属性[[#This Row],[秘宝属性基数]]*_xlfn.XLOOKUP(秘宝属性[[#Headers],[神话]],秘宝品质系数[秘宝品质],秘宝品质系数[秘宝属性系数])</f>
        <v>0.432</v>
      </c>
      <c r="N104">
        <f>秘宝属性[[#This Row],[秘宝属性基数]]*_xlfn.XLOOKUP(秘宝属性[[#Headers],[创世]],秘宝品质系数[秘宝品质],秘宝品质系数[秘宝属性系数])</f>
        <v>0.54</v>
      </c>
      <c r="O104">
        <f>秘宝属性[[#This Row],[秘宝属性基数]]*_xlfn.XLOOKUP(秘宝属性[[#Headers],[炫彩1]],秘宝品质系数[秘宝品质],秘宝品质系数[秘宝属性系数])</f>
        <v>0.675</v>
      </c>
      <c r="P104">
        <f>秘宝属性[[#This Row],[秘宝属性基数]]*_xlfn.XLOOKUP(秘宝属性[[#Headers],[炫彩2]],秘宝品质系数[秘宝品质],秘宝品质系数[秘宝属性系数])</f>
        <v>0.81</v>
      </c>
      <c r="Q104">
        <f>秘宝属性[[#This Row],[秘宝属性基数]]*_xlfn.XLOOKUP(秘宝属性[[#Headers],[炫彩3]],秘宝品质系数[秘宝品质],秘宝品质系数[秘宝属性系数])</f>
        <v>0.972</v>
      </c>
    </row>
    <row r="105" spans="1:17">
      <c r="D105" t="s">
        <v>110</v>
      </c>
      <c r="E105">
        <v>150</v>
      </c>
      <c r="F105">
        <v>1113</v>
      </c>
      <c r="G105" s="35">
        <v>0.1</v>
      </c>
      <c r="H105">
        <v>0.0578703703703704</v>
      </c>
      <c r="I105">
        <f>秘宝属性[[#This Row],[秘宝属性基数]]*_xlfn.XLOOKUP(秘宝属性[[#Headers],[优秀]],秘宝品质系数[秘宝品质],秘宝品质系数[秘宝属性系数])</f>
        <v>0.08</v>
      </c>
      <c r="J105">
        <f>秘宝属性[[#This Row],[秘宝属性基数]]*_xlfn.XLOOKUP(秘宝属性[[#Headers],[稀有]],秘宝品质系数[秘宝品质],秘宝品质系数[秘宝属性系数])</f>
        <v>0.0833333333333333</v>
      </c>
      <c r="K105">
        <f>秘宝属性[[#This Row],[秘宝属性基数]]*_xlfn.XLOOKUP(秘宝属性[[#Headers],[史诗]],秘宝品质系数[秘宝品质],秘宝品质系数[秘宝属性系数])</f>
        <v>0.1</v>
      </c>
      <c r="L105">
        <f>秘宝属性[[#This Row],[秘宝属性基数]]*_xlfn.XLOOKUP(秘宝属性[[#Headers],[传说]],秘宝品质系数[秘宝品质],秘宝品质系数[秘宝属性系数])</f>
        <v>0.12</v>
      </c>
      <c r="M105">
        <f>秘宝属性[[#This Row],[秘宝属性基数]]*_xlfn.XLOOKUP(秘宝属性[[#Headers],[神话]],秘宝品质系数[秘宝品质],秘宝品质系数[秘宝属性系数])</f>
        <v>0.144</v>
      </c>
      <c r="N105">
        <f>秘宝属性[[#This Row],[秘宝属性基数]]*_xlfn.XLOOKUP(秘宝属性[[#Headers],[创世]],秘宝品质系数[秘宝品质],秘宝品质系数[秘宝属性系数])</f>
        <v>0.18</v>
      </c>
      <c r="O105">
        <f>秘宝属性[[#This Row],[秘宝属性基数]]*_xlfn.XLOOKUP(秘宝属性[[#Headers],[炫彩1]],秘宝品质系数[秘宝品质],秘宝品质系数[秘宝属性系数])</f>
        <v>0.225</v>
      </c>
      <c r="P105">
        <f>秘宝属性[[#This Row],[秘宝属性基数]]*_xlfn.XLOOKUP(秘宝属性[[#Headers],[炫彩2]],秘宝品质系数[秘宝品质],秘宝品质系数[秘宝属性系数])</f>
        <v>0.27</v>
      </c>
      <c r="Q105">
        <f>秘宝属性[[#This Row],[秘宝属性基数]]*_xlfn.XLOOKUP(秘宝属性[[#Headers],[炫彩3]],秘宝品质系数[秘宝品质],秘宝品质系数[秘宝属性系数])</f>
        <v>0.324</v>
      </c>
    </row>
    <row r="106" spans="1:17">
      <c r="D106" t="s">
        <v>111</v>
      </c>
      <c r="E106">
        <v>150</v>
      </c>
      <c r="F106">
        <v>1213</v>
      </c>
      <c r="G106" s="35">
        <v>0.1</v>
      </c>
      <c r="H106">
        <v>0.0578703703703704</v>
      </c>
      <c r="I106">
        <f>秘宝属性[[#This Row],[秘宝属性基数]]*_xlfn.XLOOKUP(秘宝属性[[#Headers],[优秀]],秘宝品质系数[秘宝品质],秘宝品质系数[秘宝属性系数])</f>
        <v>0.08</v>
      </c>
      <c r="J106">
        <f>秘宝属性[[#This Row],[秘宝属性基数]]*_xlfn.XLOOKUP(秘宝属性[[#Headers],[稀有]],秘宝品质系数[秘宝品质],秘宝品质系数[秘宝属性系数])</f>
        <v>0.0833333333333333</v>
      </c>
      <c r="K106">
        <f>秘宝属性[[#This Row],[秘宝属性基数]]*_xlfn.XLOOKUP(秘宝属性[[#Headers],[史诗]],秘宝品质系数[秘宝品质],秘宝品质系数[秘宝属性系数])</f>
        <v>0.1</v>
      </c>
      <c r="L106">
        <f>秘宝属性[[#This Row],[秘宝属性基数]]*_xlfn.XLOOKUP(秘宝属性[[#Headers],[传说]],秘宝品质系数[秘宝品质],秘宝品质系数[秘宝属性系数])</f>
        <v>0.12</v>
      </c>
      <c r="M106">
        <f>秘宝属性[[#This Row],[秘宝属性基数]]*_xlfn.XLOOKUP(秘宝属性[[#Headers],[神话]],秘宝品质系数[秘宝品质],秘宝品质系数[秘宝属性系数])</f>
        <v>0.144</v>
      </c>
      <c r="N106">
        <f>秘宝属性[[#This Row],[秘宝属性基数]]*_xlfn.XLOOKUP(秘宝属性[[#Headers],[创世]],秘宝品质系数[秘宝品质],秘宝品质系数[秘宝属性系数])</f>
        <v>0.18</v>
      </c>
      <c r="O106">
        <f>秘宝属性[[#This Row],[秘宝属性基数]]*_xlfn.XLOOKUP(秘宝属性[[#Headers],[炫彩1]],秘宝品质系数[秘宝品质],秘宝品质系数[秘宝属性系数])</f>
        <v>0.225</v>
      </c>
      <c r="P106">
        <f>秘宝属性[[#This Row],[秘宝属性基数]]*_xlfn.XLOOKUP(秘宝属性[[#Headers],[炫彩2]],秘宝品质系数[秘宝品质],秘宝品质系数[秘宝属性系数])</f>
        <v>0.27</v>
      </c>
      <c r="Q106">
        <f>秘宝属性[[#This Row],[秘宝属性基数]]*_xlfn.XLOOKUP(秘宝属性[[#Headers],[炫彩3]],秘宝品质系数[秘宝品质],秘宝品质系数[秘宝属性系数])</f>
        <v>0.324</v>
      </c>
    </row>
    <row r="107" spans="1:17">
      <c r="D107" t="s">
        <v>112</v>
      </c>
      <c r="E107">
        <v>150</v>
      </c>
      <c r="F107">
        <v>1413</v>
      </c>
      <c r="G107" s="35">
        <v>0.1</v>
      </c>
      <c r="H107">
        <v>0.0578703703703704</v>
      </c>
      <c r="I107">
        <f>秘宝属性[[#This Row],[秘宝属性基数]]*_xlfn.XLOOKUP(秘宝属性[[#Headers],[优秀]],秘宝品质系数[秘宝品质],秘宝品质系数[秘宝属性系数])</f>
        <v>0.08</v>
      </c>
      <c r="J107">
        <f>秘宝属性[[#This Row],[秘宝属性基数]]*_xlfn.XLOOKUP(秘宝属性[[#Headers],[稀有]],秘宝品质系数[秘宝品质],秘宝品质系数[秘宝属性系数])</f>
        <v>0.0833333333333333</v>
      </c>
      <c r="K107">
        <f>秘宝属性[[#This Row],[秘宝属性基数]]*_xlfn.XLOOKUP(秘宝属性[[#Headers],[史诗]],秘宝品质系数[秘宝品质],秘宝品质系数[秘宝属性系数])</f>
        <v>0.1</v>
      </c>
      <c r="L107">
        <f>秘宝属性[[#This Row],[秘宝属性基数]]*_xlfn.XLOOKUP(秘宝属性[[#Headers],[传说]],秘宝品质系数[秘宝品质],秘宝品质系数[秘宝属性系数])</f>
        <v>0.12</v>
      </c>
      <c r="M107">
        <f>秘宝属性[[#This Row],[秘宝属性基数]]*_xlfn.XLOOKUP(秘宝属性[[#Headers],[神话]],秘宝品质系数[秘宝品质],秘宝品质系数[秘宝属性系数])</f>
        <v>0.144</v>
      </c>
      <c r="N107">
        <f>秘宝属性[[#This Row],[秘宝属性基数]]*_xlfn.XLOOKUP(秘宝属性[[#Headers],[创世]],秘宝品质系数[秘宝品质],秘宝品质系数[秘宝属性系数])</f>
        <v>0.18</v>
      </c>
      <c r="O107">
        <f>秘宝属性[[#This Row],[秘宝属性基数]]*_xlfn.XLOOKUP(秘宝属性[[#Headers],[炫彩1]],秘宝品质系数[秘宝品质],秘宝品质系数[秘宝属性系数])</f>
        <v>0.225</v>
      </c>
      <c r="P107">
        <f>秘宝属性[[#This Row],[秘宝属性基数]]*_xlfn.XLOOKUP(秘宝属性[[#Headers],[炫彩2]],秘宝品质系数[秘宝品质],秘宝品质系数[秘宝属性系数])</f>
        <v>0.27</v>
      </c>
      <c r="Q107">
        <f>秘宝属性[[#This Row],[秘宝属性基数]]*_xlfn.XLOOKUP(秘宝属性[[#Headers],[炫彩3]],秘宝品质系数[秘宝品质],秘宝品质系数[秘宝属性系数])</f>
        <v>0.324</v>
      </c>
    </row>
    <row r="108" spans="1:17">
      <c r="D108" t="s">
        <v>113</v>
      </c>
      <c r="E108">
        <v>150</v>
      </c>
      <c r="F108">
        <v>1513</v>
      </c>
      <c r="G108" s="35">
        <v>0.1</v>
      </c>
      <c r="H108">
        <v>0.0578703703703704</v>
      </c>
      <c r="I108">
        <f>秘宝属性[[#This Row],[秘宝属性基数]]*_xlfn.XLOOKUP(秘宝属性[[#Headers],[优秀]],秘宝品质系数[秘宝品质],秘宝品质系数[秘宝属性系数])</f>
        <v>0.08</v>
      </c>
      <c r="J108">
        <f>秘宝属性[[#This Row],[秘宝属性基数]]*_xlfn.XLOOKUP(秘宝属性[[#Headers],[稀有]],秘宝品质系数[秘宝品质],秘宝品质系数[秘宝属性系数])</f>
        <v>0.0833333333333333</v>
      </c>
      <c r="K108">
        <f>秘宝属性[[#This Row],[秘宝属性基数]]*_xlfn.XLOOKUP(秘宝属性[[#Headers],[史诗]],秘宝品质系数[秘宝品质],秘宝品质系数[秘宝属性系数])</f>
        <v>0.1</v>
      </c>
      <c r="L108">
        <f>秘宝属性[[#This Row],[秘宝属性基数]]*_xlfn.XLOOKUP(秘宝属性[[#Headers],[传说]],秘宝品质系数[秘宝品质],秘宝品质系数[秘宝属性系数])</f>
        <v>0.12</v>
      </c>
      <c r="M108">
        <f>秘宝属性[[#This Row],[秘宝属性基数]]*_xlfn.XLOOKUP(秘宝属性[[#Headers],[神话]],秘宝品质系数[秘宝品质],秘宝品质系数[秘宝属性系数])</f>
        <v>0.144</v>
      </c>
      <c r="N108">
        <f>秘宝属性[[#This Row],[秘宝属性基数]]*_xlfn.XLOOKUP(秘宝属性[[#Headers],[创世]],秘宝品质系数[秘宝品质],秘宝品质系数[秘宝属性系数])</f>
        <v>0.18</v>
      </c>
      <c r="O108">
        <f>秘宝属性[[#This Row],[秘宝属性基数]]*_xlfn.XLOOKUP(秘宝属性[[#Headers],[炫彩1]],秘宝品质系数[秘宝品质],秘宝品质系数[秘宝属性系数])</f>
        <v>0.225</v>
      </c>
      <c r="P108">
        <f>秘宝属性[[#This Row],[秘宝属性基数]]*_xlfn.XLOOKUP(秘宝属性[[#Headers],[炫彩2]],秘宝品质系数[秘宝品质],秘宝品质系数[秘宝属性系数])</f>
        <v>0.27</v>
      </c>
      <c r="Q108">
        <f>秘宝属性[[#This Row],[秘宝属性基数]]*_xlfn.XLOOKUP(秘宝属性[[#Headers],[炫彩3]],秘宝品质系数[秘宝品质],秘宝品质系数[秘宝属性系数])</f>
        <v>0.324</v>
      </c>
    </row>
    <row r="109" spans="1:17">
      <c r="D109" t="s">
        <v>114</v>
      </c>
      <c r="E109">
        <v>150</v>
      </c>
      <c r="F109">
        <v>1713</v>
      </c>
      <c r="G109" s="35">
        <v>0.1</v>
      </c>
      <c r="H109">
        <v>0.0578703703703704</v>
      </c>
      <c r="I109">
        <f>秘宝属性[[#This Row],[秘宝属性基数]]*_xlfn.XLOOKUP(秘宝属性[[#Headers],[优秀]],秘宝品质系数[秘宝品质],秘宝品质系数[秘宝属性系数])</f>
        <v>0.08</v>
      </c>
      <c r="J109">
        <f>秘宝属性[[#This Row],[秘宝属性基数]]*_xlfn.XLOOKUP(秘宝属性[[#Headers],[稀有]],秘宝品质系数[秘宝品质],秘宝品质系数[秘宝属性系数])</f>
        <v>0.0833333333333333</v>
      </c>
      <c r="K109">
        <f>秘宝属性[[#This Row],[秘宝属性基数]]*_xlfn.XLOOKUP(秘宝属性[[#Headers],[史诗]],秘宝品质系数[秘宝品质],秘宝品质系数[秘宝属性系数])</f>
        <v>0.1</v>
      </c>
      <c r="L109">
        <f>秘宝属性[[#This Row],[秘宝属性基数]]*_xlfn.XLOOKUP(秘宝属性[[#Headers],[传说]],秘宝品质系数[秘宝品质],秘宝品质系数[秘宝属性系数])</f>
        <v>0.12</v>
      </c>
      <c r="M109">
        <f>秘宝属性[[#This Row],[秘宝属性基数]]*_xlfn.XLOOKUP(秘宝属性[[#Headers],[神话]],秘宝品质系数[秘宝品质],秘宝品质系数[秘宝属性系数])</f>
        <v>0.144</v>
      </c>
      <c r="N109">
        <f>秘宝属性[[#This Row],[秘宝属性基数]]*_xlfn.XLOOKUP(秘宝属性[[#Headers],[创世]],秘宝品质系数[秘宝品质],秘宝品质系数[秘宝属性系数])</f>
        <v>0.18</v>
      </c>
      <c r="O109">
        <f>秘宝属性[[#This Row],[秘宝属性基数]]*_xlfn.XLOOKUP(秘宝属性[[#Headers],[炫彩1]],秘宝品质系数[秘宝品质],秘宝品质系数[秘宝属性系数])</f>
        <v>0.225</v>
      </c>
      <c r="P109">
        <f>秘宝属性[[#This Row],[秘宝属性基数]]*_xlfn.XLOOKUP(秘宝属性[[#Headers],[炫彩2]],秘宝品质系数[秘宝品质],秘宝品质系数[秘宝属性系数])</f>
        <v>0.27</v>
      </c>
      <c r="Q109">
        <f>秘宝属性[[#This Row],[秘宝属性基数]]*_xlfn.XLOOKUP(秘宝属性[[#Headers],[炫彩3]],秘宝品质系数[秘宝品质],秘宝品质系数[秘宝属性系数])</f>
        <v>0.324</v>
      </c>
    </row>
    <row r="110" spans="1:17">
      <c r="D110" t="s">
        <v>115</v>
      </c>
      <c r="E110">
        <v>525</v>
      </c>
      <c r="F110">
        <v>806</v>
      </c>
      <c r="G110" s="35">
        <v>0.15</v>
      </c>
      <c r="H110">
        <v>0.0833333333333333</v>
      </c>
      <c r="I110">
        <f>秘宝属性[[#This Row],[秘宝属性基数]]*_xlfn.XLOOKUP(秘宝属性[[#Headers],[优秀]],秘宝品质系数[秘宝品质],秘宝品质系数[秘宝属性系数])</f>
        <v>0.12</v>
      </c>
      <c r="J110">
        <f>秘宝属性[[#This Row],[秘宝属性基数]]*_xlfn.XLOOKUP(秘宝属性[[#Headers],[稀有]],秘宝品质系数[秘宝品质],秘宝品质系数[秘宝属性系数])</f>
        <v>0.125</v>
      </c>
      <c r="K110">
        <f>秘宝属性[[#This Row],[秘宝属性基数]]*_xlfn.XLOOKUP(秘宝属性[[#Headers],[史诗]],秘宝品质系数[秘宝品质],秘宝品质系数[秘宝属性系数])</f>
        <v>0.15</v>
      </c>
      <c r="L110">
        <f>秘宝属性[[#This Row],[秘宝属性基数]]*_xlfn.XLOOKUP(秘宝属性[[#Headers],[传说]],秘宝品质系数[秘宝品质],秘宝品质系数[秘宝属性系数])</f>
        <v>0.18</v>
      </c>
      <c r="M110">
        <f>秘宝属性[[#This Row],[秘宝属性基数]]*_xlfn.XLOOKUP(秘宝属性[[#Headers],[神话]],秘宝品质系数[秘宝品质],秘宝品质系数[秘宝属性系数])</f>
        <v>0.216</v>
      </c>
      <c r="N110">
        <f>秘宝属性[[#This Row],[秘宝属性基数]]*_xlfn.XLOOKUP(秘宝属性[[#Headers],[创世]],秘宝品质系数[秘宝品质],秘宝品质系数[秘宝属性系数])</f>
        <v>0.27</v>
      </c>
      <c r="O110">
        <f>秘宝属性[[#This Row],[秘宝属性基数]]*_xlfn.XLOOKUP(秘宝属性[[#Headers],[炫彩1]],秘宝品质系数[秘宝品质],秘宝品质系数[秘宝属性系数])</f>
        <v>0.3375</v>
      </c>
      <c r="P110">
        <f>秘宝属性[[#This Row],[秘宝属性基数]]*_xlfn.XLOOKUP(秘宝属性[[#Headers],[炫彩2]],秘宝品质系数[秘宝品质],秘宝品质系数[秘宝属性系数])</f>
        <v>0.405</v>
      </c>
      <c r="Q110">
        <f>秘宝属性[[#This Row],[秘宝属性基数]]*_xlfn.XLOOKUP(秘宝属性[[#Headers],[炫彩3]],秘宝品质系数[秘宝品质],秘宝品质系数[秘宝属性系数])</f>
        <v>0.486</v>
      </c>
    </row>
    <row r="111" spans="1:17">
      <c r="D111" t="s">
        <v>116</v>
      </c>
      <c r="E111">
        <v>525</v>
      </c>
      <c r="F111">
        <v>908</v>
      </c>
      <c r="G111" s="35">
        <v>0.1</v>
      </c>
      <c r="H111">
        <v>0.0578703703703704</v>
      </c>
      <c r="I111">
        <f>秘宝属性[[#This Row],[秘宝属性基数]]*_xlfn.XLOOKUP(秘宝属性[[#Headers],[优秀]],秘宝品质系数[秘宝品质],秘宝品质系数[秘宝属性系数])</f>
        <v>0.08</v>
      </c>
      <c r="J111">
        <f>秘宝属性[[#This Row],[秘宝属性基数]]*_xlfn.XLOOKUP(秘宝属性[[#Headers],[稀有]],秘宝品质系数[秘宝品质],秘宝品质系数[秘宝属性系数])</f>
        <v>0.0833333333333333</v>
      </c>
      <c r="K111">
        <f>秘宝属性[[#This Row],[秘宝属性基数]]*_xlfn.XLOOKUP(秘宝属性[[#Headers],[史诗]],秘宝品质系数[秘宝品质],秘宝品质系数[秘宝属性系数])</f>
        <v>0.1</v>
      </c>
      <c r="L111">
        <f>秘宝属性[[#This Row],[秘宝属性基数]]*_xlfn.XLOOKUP(秘宝属性[[#Headers],[传说]],秘宝品质系数[秘宝品质],秘宝品质系数[秘宝属性系数])</f>
        <v>0.12</v>
      </c>
      <c r="M111">
        <f>秘宝属性[[#This Row],[秘宝属性基数]]*_xlfn.XLOOKUP(秘宝属性[[#Headers],[神话]],秘宝品质系数[秘宝品质],秘宝品质系数[秘宝属性系数])</f>
        <v>0.144</v>
      </c>
      <c r="N111">
        <f>秘宝属性[[#This Row],[秘宝属性基数]]*_xlfn.XLOOKUP(秘宝属性[[#Headers],[创世]],秘宝品质系数[秘宝品质],秘宝品质系数[秘宝属性系数])</f>
        <v>0.18</v>
      </c>
      <c r="O111">
        <f>秘宝属性[[#This Row],[秘宝属性基数]]*_xlfn.XLOOKUP(秘宝属性[[#Headers],[炫彩1]],秘宝品质系数[秘宝品质],秘宝品质系数[秘宝属性系数])</f>
        <v>0.225</v>
      </c>
      <c r="P111">
        <f>秘宝属性[[#This Row],[秘宝属性基数]]*_xlfn.XLOOKUP(秘宝属性[[#Headers],[炫彩2]],秘宝品质系数[秘宝品质],秘宝品质系数[秘宝属性系数])</f>
        <v>0.27</v>
      </c>
      <c r="Q111">
        <f>秘宝属性[[#This Row],[秘宝属性基数]]*_xlfn.XLOOKUP(秘宝属性[[#Headers],[炫彩3]],秘宝品质系数[秘宝品质],秘宝品质系数[秘宝属性系数])</f>
        <v>0.324</v>
      </c>
    </row>
    <row r="112" spans="1:17">
      <c r="D112" t="s">
        <v>117</v>
      </c>
      <c r="E112">
        <v>525</v>
      </c>
      <c r="F112">
        <v>1106</v>
      </c>
      <c r="G112" s="35">
        <v>0.15</v>
      </c>
      <c r="H112">
        <v>0.0833333333333333</v>
      </c>
      <c r="I112">
        <f>秘宝属性[[#This Row],[秘宝属性基数]]*_xlfn.XLOOKUP(秘宝属性[[#Headers],[优秀]],秘宝品质系数[秘宝品质],秘宝品质系数[秘宝属性系数])</f>
        <v>0.12</v>
      </c>
      <c r="J112">
        <f>秘宝属性[[#This Row],[秘宝属性基数]]*_xlfn.XLOOKUP(秘宝属性[[#Headers],[稀有]],秘宝品质系数[秘宝品质],秘宝品质系数[秘宝属性系数])</f>
        <v>0.125</v>
      </c>
      <c r="K112">
        <f>秘宝属性[[#This Row],[秘宝属性基数]]*_xlfn.XLOOKUP(秘宝属性[[#Headers],[史诗]],秘宝品质系数[秘宝品质],秘宝品质系数[秘宝属性系数])</f>
        <v>0.15</v>
      </c>
      <c r="L112">
        <f>秘宝属性[[#This Row],[秘宝属性基数]]*_xlfn.XLOOKUP(秘宝属性[[#Headers],[传说]],秘宝品质系数[秘宝品质],秘宝品质系数[秘宝属性系数])</f>
        <v>0.18</v>
      </c>
      <c r="M112">
        <f>秘宝属性[[#This Row],[秘宝属性基数]]*_xlfn.XLOOKUP(秘宝属性[[#Headers],[神话]],秘宝品质系数[秘宝品质],秘宝品质系数[秘宝属性系数])</f>
        <v>0.216</v>
      </c>
      <c r="N112">
        <f>秘宝属性[[#This Row],[秘宝属性基数]]*_xlfn.XLOOKUP(秘宝属性[[#Headers],[创世]],秘宝品质系数[秘宝品质],秘宝品质系数[秘宝属性系数])</f>
        <v>0.27</v>
      </c>
      <c r="O112">
        <f>秘宝属性[[#This Row],[秘宝属性基数]]*_xlfn.XLOOKUP(秘宝属性[[#Headers],[炫彩1]],秘宝品质系数[秘宝品质],秘宝品质系数[秘宝属性系数])</f>
        <v>0.3375</v>
      </c>
      <c r="P112">
        <f>秘宝属性[[#This Row],[秘宝属性基数]]*_xlfn.XLOOKUP(秘宝属性[[#Headers],[炫彩2]],秘宝品质系数[秘宝品质],秘宝品质系数[秘宝属性系数])</f>
        <v>0.405</v>
      </c>
      <c r="Q112">
        <f>秘宝属性[[#This Row],[秘宝属性基数]]*_xlfn.XLOOKUP(秘宝属性[[#Headers],[炫彩3]],秘宝品质系数[秘宝品质],秘宝品质系数[秘宝属性系数])</f>
        <v>0.486</v>
      </c>
    </row>
    <row r="113" spans="4:17">
      <c r="D113" t="s">
        <v>118</v>
      </c>
      <c r="E113">
        <v>525</v>
      </c>
      <c r="F113">
        <v>1206</v>
      </c>
      <c r="G113" s="35">
        <v>0.15</v>
      </c>
      <c r="H113">
        <v>0.0833333333333333</v>
      </c>
      <c r="I113">
        <f>秘宝属性[[#This Row],[秘宝属性基数]]*_xlfn.XLOOKUP(秘宝属性[[#Headers],[优秀]],秘宝品质系数[秘宝品质],秘宝品质系数[秘宝属性系数])</f>
        <v>0.12</v>
      </c>
      <c r="J113">
        <f>秘宝属性[[#This Row],[秘宝属性基数]]*_xlfn.XLOOKUP(秘宝属性[[#Headers],[稀有]],秘宝品质系数[秘宝品质],秘宝品质系数[秘宝属性系数])</f>
        <v>0.125</v>
      </c>
      <c r="K113">
        <f>秘宝属性[[#This Row],[秘宝属性基数]]*_xlfn.XLOOKUP(秘宝属性[[#Headers],[史诗]],秘宝品质系数[秘宝品质],秘宝品质系数[秘宝属性系数])</f>
        <v>0.15</v>
      </c>
      <c r="L113">
        <f>秘宝属性[[#This Row],[秘宝属性基数]]*_xlfn.XLOOKUP(秘宝属性[[#Headers],[传说]],秘宝品质系数[秘宝品质],秘宝品质系数[秘宝属性系数])</f>
        <v>0.18</v>
      </c>
      <c r="M113">
        <f>秘宝属性[[#This Row],[秘宝属性基数]]*_xlfn.XLOOKUP(秘宝属性[[#Headers],[神话]],秘宝品质系数[秘宝品质],秘宝品质系数[秘宝属性系数])</f>
        <v>0.216</v>
      </c>
      <c r="N113">
        <f>秘宝属性[[#This Row],[秘宝属性基数]]*_xlfn.XLOOKUP(秘宝属性[[#Headers],[创世]],秘宝品质系数[秘宝品质],秘宝品质系数[秘宝属性系数])</f>
        <v>0.27</v>
      </c>
      <c r="O113">
        <f>秘宝属性[[#This Row],[秘宝属性基数]]*_xlfn.XLOOKUP(秘宝属性[[#Headers],[炫彩1]],秘宝品质系数[秘宝品质],秘宝品质系数[秘宝属性系数])</f>
        <v>0.3375</v>
      </c>
      <c r="P113">
        <f>秘宝属性[[#This Row],[秘宝属性基数]]*_xlfn.XLOOKUP(秘宝属性[[#Headers],[炫彩2]],秘宝品质系数[秘宝品质],秘宝品质系数[秘宝属性系数])</f>
        <v>0.405</v>
      </c>
      <c r="Q113">
        <f>秘宝属性[[#This Row],[秘宝属性基数]]*_xlfn.XLOOKUP(秘宝属性[[#Headers],[炫彩3]],秘宝品质系数[秘宝品质],秘宝品质系数[秘宝属性系数])</f>
        <v>0.486</v>
      </c>
    </row>
    <row r="114" spans="4:17">
      <c r="D114" t="s">
        <v>119</v>
      </c>
      <c r="E114">
        <v>525</v>
      </c>
      <c r="F114">
        <v>1406</v>
      </c>
      <c r="G114" s="35">
        <v>0.15</v>
      </c>
      <c r="H114">
        <v>0.0833333333333333</v>
      </c>
      <c r="I114">
        <f>秘宝属性[[#This Row],[秘宝属性基数]]*_xlfn.XLOOKUP(秘宝属性[[#Headers],[优秀]],秘宝品质系数[秘宝品质],秘宝品质系数[秘宝属性系数])</f>
        <v>0.12</v>
      </c>
      <c r="J114">
        <f>秘宝属性[[#This Row],[秘宝属性基数]]*_xlfn.XLOOKUP(秘宝属性[[#Headers],[稀有]],秘宝品质系数[秘宝品质],秘宝品质系数[秘宝属性系数])</f>
        <v>0.125</v>
      </c>
      <c r="K114">
        <f>秘宝属性[[#This Row],[秘宝属性基数]]*_xlfn.XLOOKUP(秘宝属性[[#Headers],[史诗]],秘宝品质系数[秘宝品质],秘宝品质系数[秘宝属性系数])</f>
        <v>0.15</v>
      </c>
      <c r="L114">
        <f>秘宝属性[[#This Row],[秘宝属性基数]]*_xlfn.XLOOKUP(秘宝属性[[#Headers],[传说]],秘宝品质系数[秘宝品质],秘宝品质系数[秘宝属性系数])</f>
        <v>0.18</v>
      </c>
      <c r="M114">
        <f>秘宝属性[[#This Row],[秘宝属性基数]]*_xlfn.XLOOKUP(秘宝属性[[#Headers],[神话]],秘宝品质系数[秘宝品质],秘宝品质系数[秘宝属性系数])</f>
        <v>0.216</v>
      </c>
      <c r="N114">
        <f>秘宝属性[[#This Row],[秘宝属性基数]]*_xlfn.XLOOKUP(秘宝属性[[#Headers],[创世]],秘宝品质系数[秘宝品质],秘宝品质系数[秘宝属性系数])</f>
        <v>0.27</v>
      </c>
      <c r="O114">
        <f>秘宝属性[[#This Row],[秘宝属性基数]]*_xlfn.XLOOKUP(秘宝属性[[#Headers],[炫彩1]],秘宝品质系数[秘宝品质],秘宝品质系数[秘宝属性系数])</f>
        <v>0.3375</v>
      </c>
      <c r="P114">
        <f>秘宝属性[[#This Row],[秘宝属性基数]]*_xlfn.XLOOKUP(秘宝属性[[#Headers],[炫彩2]],秘宝品质系数[秘宝品质],秘宝品质系数[秘宝属性系数])</f>
        <v>0.405</v>
      </c>
      <c r="Q114">
        <f>秘宝属性[[#This Row],[秘宝属性基数]]*_xlfn.XLOOKUP(秘宝属性[[#Headers],[炫彩3]],秘宝品质系数[秘宝品质],秘宝品质系数[秘宝属性系数])</f>
        <v>0.486</v>
      </c>
    </row>
    <row r="115" spans="4:17">
      <c r="D115" t="s">
        <v>120</v>
      </c>
      <c r="E115">
        <v>525</v>
      </c>
      <c r="F115">
        <v>1506</v>
      </c>
      <c r="G115" s="35">
        <v>0.15</v>
      </c>
      <c r="H115">
        <v>0.0833333333333333</v>
      </c>
      <c r="I115">
        <f>秘宝属性[[#This Row],[秘宝属性基数]]*_xlfn.XLOOKUP(秘宝属性[[#Headers],[优秀]],秘宝品质系数[秘宝品质],秘宝品质系数[秘宝属性系数])</f>
        <v>0.12</v>
      </c>
      <c r="J115">
        <f>秘宝属性[[#This Row],[秘宝属性基数]]*_xlfn.XLOOKUP(秘宝属性[[#Headers],[稀有]],秘宝品质系数[秘宝品质],秘宝品质系数[秘宝属性系数])</f>
        <v>0.125</v>
      </c>
      <c r="K115">
        <f>秘宝属性[[#This Row],[秘宝属性基数]]*_xlfn.XLOOKUP(秘宝属性[[#Headers],[史诗]],秘宝品质系数[秘宝品质],秘宝品质系数[秘宝属性系数])</f>
        <v>0.15</v>
      </c>
      <c r="L115">
        <f>秘宝属性[[#This Row],[秘宝属性基数]]*_xlfn.XLOOKUP(秘宝属性[[#Headers],[传说]],秘宝品质系数[秘宝品质],秘宝品质系数[秘宝属性系数])</f>
        <v>0.18</v>
      </c>
      <c r="M115">
        <f>秘宝属性[[#This Row],[秘宝属性基数]]*_xlfn.XLOOKUP(秘宝属性[[#Headers],[神话]],秘宝品质系数[秘宝品质],秘宝品质系数[秘宝属性系数])</f>
        <v>0.216</v>
      </c>
      <c r="N115">
        <f>秘宝属性[[#This Row],[秘宝属性基数]]*_xlfn.XLOOKUP(秘宝属性[[#Headers],[创世]],秘宝品质系数[秘宝品质],秘宝品质系数[秘宝属性系数])</f>
        <v>0.27</v>
      </c>
      <c r="O115">
        <f>秘宝属性[[#This Row],[秘宝属性基数]]*_xlfn.XLOOKUP(秘宝属性[[#Headers],[炫彩1]],秘宝品质系数[秘宝品质],秘宝品质系数[秘宝属性系数])</f>
        <v>0.3375</v>
      </c>
      <c r="P115">
        <f>秘宝属性[[#This Row],[秘宝属性基数]]*_xlfn.XLOOKUP(秘宝属性[[#Headers],[炫彩2]],秘宝品质系数[秘宝品质],秘宝品质系数[秘宝属性系数])</f>
        <v>0.405</v>
      </c>
      <c r="Q115">
        <f>秘宝属性[[#This Row],[秘宝属性基数]]*_xlfn.XLOOKUP(秘宝属性[[#Headers],[炫彩3]],秘宝品质系数[秘宝品质],秘宝品质系数[秘宝属性系数])</f>
        <v>0.486</v>
      </c>
    </row>
    <row r="116" spans="4:17">
      <c r="D116" t="s">
        <v>121</v>
      </c>
      <c r="E116">
        <v>525</v>
      </c>
      <c r="F116">
        <v>1706</v>
      </c>
      <c r="G116" s="35">
        <v>0.15</v>
      </c>
      <c r="H116">
        <v>0.0833333333333333</v>
      </c>
      <c r="I116">
        <f>秘宝属性[[#This Row],[秘宝属性基数]]*_xlfn.XLOOKUP(秘宝属性[[#Headers],[优秀]],秘宝品质系数[秘宝品质],秘宝品质系数[秘宝属性系数])</f>
        <v>0.12</v>
      </c>
      <c r="J116">
        <f>秘宝属性[[#This Row],[秘宝属性基数]]*_xlfn.XLOOKUP(秘宝属性[[#Headers],[稀有]],秘宝品质系数[秘宝品质],秘宝品质系数[秘宝属性系数])</f>
        <v>0.125</v>
      </c>
      <c r="K116">
        <f>秘宝属性[[#This Row],[秘宝属性基数]]*_xlfn.XLOOKUP(秘宝属性[[#Headers],[史诗]],秘宝品质系数[秘宝品质],秘宝品质系数[秘宝属性系数])</f>
        <v>0.15</v>
      </c>
      <c r="L116">
        <f>秘宝属性[[#This Row],[秘宝属性基数]]*_xlfn.XLOOKUP(秘宝属性[[#Headers],[传说]],秘宝品质系数[秘宝品质],秘宝品质系数[秘宝属性系数])</f>
        <v>0.18</v>
      </c>
      <c r="M116">
        <f>秘宝属性[[#This Row],[秘宝属性基数]]*_xlfn.XLOOKUP(秘宝属性[[#Headers],[神话]],秘宝品质系数[秘宝品质],秘宝品质系数[秘宝属性系数])</f>
        <v>0.216</v>
      </c>
      <c r="N116">
        <f>秘宝属性[[#This Row],[秘宝属性基数]]*_xlfn.XLOOKUP(秘宝属性[[#Headers],[创世]],秘宝品质系数[秘宝品质],秘宝品质系数[秘宝属性系数])</f>
        <v>0.27</v>
      </c>
      <c r="O116">
        <f>秘宝属性[[#This Row],[秘宝属性基数]]*_xlfn.XLOOKUP(秘宝属性[[#Headers],[炫彩1]],秘宝品质系数[秘宝品质],秘宝品质系数[秘宝属性系数])</f>
        <v>0.3375</v>
      </c>
      <c r="P116">
        <f>秘宝属性[[#This Row],[秘宝属性基数]]*_xlfn.XLOOKUP(秘宝属性[[#Headers],[炫彩2]],秘宝品质系数[秘宝品质],秘宝品质系数[秘宝属性系数])</f>
        <v>0.405</v>
      </c>
      <c r="Q116">
        <f>秘宝属性[[#This Row],[秘宝属性基数]]*_xlfn.XLOOKUP(秘宝属性[[#Headers],[炫彩3]],秘宝品质系数[秘宝品质],秘宝品质系数[秘宝属性系数])</f>
        <v>0.486</v>
      </c>
    </row>
    <row r="117" spans="4:17">
      <c r="D117" t="s">
        <v>122</v>
      </c>
      <c r="E117">
        <v>525</v>
      </c>
      <c r="F117">
        <v>1006</v>
      </c>
      <c r="G117" s="35">
        <v>0.15</v>
      </c>
      <c r="H117">
        <v>0.0833333333333333</v>
      </c>
      <c r="I117">
        <f>秘宝属性[[#This Row],[秘宝属性基数]]*_xlfn.XLOOKUP(秘宝属性[[#Headers],[优秀]],秘宝品质系数[秘宝品质],秘宝品质系数[秘宝属性系数])</f>
        <v>0.12</v>
      </c>
      <c r="J117">
        <f>秘宝属性[[#This Row],[秘宝属性基数]]*_xlfn.XLOOKUP(秘宝属性[[#Headers],[稀有]],秘宝品质系数[秘宝品质],秘宝品质系数[秘宝属性系数])</f>
        <v>0.125</v>
      </c>
      <c r="K117">
        <f>秘宝属性[[#This Row],[秘宝属性基数]]*_xlfn.XLOOKUP(秘宝属性[[#Headers],[史诗]],秘宝品质系数[秘宝品质],秘宝品质系数[秘宝属性系数])</f>
        <v>0.15</v>
      </c>
      <c r="L117">
        <f>秘宝属性[[#This Row],[秘宝属性基数]]*_xlfn.XLOOKUP(秘宝属性[[#Headers],[传说]],秘宝品质系数[秘宝品质],秘宝品质系数[秘宝属性系数])</f>
        <v>0.18</v>
      </c>
      <c r="M117">
        <f>秘宝属性[[#This Row],[秘宝属性基数]]*_xlfn.XLOOKUP(秘宝属性[[#Headers],[神话]],秘宝品质系数[秘宝品质],秘宝品质系数[秘宝属性系数])</f>
        <v>0.216</v>
      </c>
      <c r="N117">
        <f>秘宝属性[[#This Row],[秘宝属性基数]]*_xlfn.XLOOKUP(秘宝属性[[#Headers],[创世]],秘宝品质系数[秘宝品质],秘宝品质系数[秘宝属性系数])</f>
        <v>0.27</v>
      </c>
      <c r="O117">
        <f>秘宝属性[[#This Row],[秘宝属性基数]]*_xlfn.XLOOKUP(秘宝属性[[#Headers],[炫彩1]],秘宝品质系数[秘宝品质],秘宝品质系数[秘宝属性系数])</f>
        <v>0.3375</v>
      </c>
      <c r="P117">
        <f>秘宝属性[[#This Row],[秘宝属性基数]]*_xlfn.XLOOKUP(秘宝属性[[#Headers],[炫彩2]],秘宝品质系数[秘宝品质],秘宝品质系数[秘宝属性系数])</f>
        <v>0.405</v>
      </c>
      <c r="Q117">
        <f>秘宝属性[[#This Row],[秘宝属性基数]]*_xlfn.XLOOKUP(秘宝属性[[#Headers],[炫彩3]],秘宝品质系数[秘宝品质],秘宝品质系数[秘宝属性系数])</f>
        <v>0.486</v>
      </c>
    </row>
    <row r="118" spans="4:17">
      <c r="D118" t="s">
        <v>70</v>
      </c>
      <c r="E118">
        <v>350</v>
      </c>
      <c r="F118">
        <v>907</v>
      </c>
      <c r="G118" s="35">
        <v>0.416666666666667</v>
      </c>
      <c r="H118">
        <v>0.241126543209877</v>
      </c>
      <c r="I118">
        <f>秘宝属性[[#This Row],[秘宝属性基数]]*_xlfn.XLOOKUP(秘宝属性[[#Headers],[优秀]],秘宝品质系数[秘宝品质],秘宝品质系数[秘宝属性系数])</f>
        <v>0.333333333333334</v>
      </c>
      <c r="J118">
        <f>秘宝属性[[#This Row],[秘宝属性基数]]*_xlfn.XLOOKUP(秘宝属性[[#Headers],[稀有]],秘宝品质系数[秘宝品质],秘宝品质系数[秘宝属性系数])</f>
        <v>0.347222222222223</v>
      </c>
      <c r="K118">
        <f>秘宝属性[[#This Row],[秘宝属性基数]]*_xlfn.XLOOKUP(秘宝属性[[#Headers],[史诗]],秘宝品质系数[秘宝品质],秘宝品质系数[秘宝属性系数])</f>
        <v>0.416666666666667</v>
      </c>
      <c r="L118">
        <f>秘宝属性[[#This Row],[秘宝属性基数]]*_xlfn.XLOOKUP(秘宝属性[[#Headers],[传说]],秘宝品质系数[秘宝品质],秘宝品质系数[秘宝属性系数])</f>
        <v>0.5</v>
      </c>
      <c r="M118">
        <f>秘宝属性[[#This Row],[秘宝属性基数]]*_xlfn.XLOOKUP(秘宝属性[[#Headers],[神话]],秘宝品质系数[秘宝品质],秘宝品质系数[秘宝属性系数])</f>
        <v>0.6</v>
      </c>
      <c r="N118">
        <f>秘宝属性[[#This Row],[秘宝属性基数]]*_xlfn.XLOOKUP(秘宝属性[[#Headers],[创世]],秘宝品质系数[秘宝品质],秘宝品质系数[秘宝属性系数])</f>
        <v>0.750000000000001</v>
      </c>
      <c r="O118">
        <f>秘宝属性[[#This Row],[秘宝属性基数]]*_xlfn.XLOOKUP(秘宝属性[[#Headers],[炫彩1]],秘宝品质系数[秘宝品质],秘宝品质系数[秘宝属性系数])</f>
        <v>0.937500000000001</v>
      </c>
      <c r="P118">
        <f>秘宝属性[[#This Row],[秘宝属性基数]]*_xlfn.XLOOKUP(秘宝属性[[#Headers],[炫彩2]],秘宝品质系数[秘宝品质],秘宝品质系数[秘宝属性系数])</f>
        <v>1.125</v>
      </c>
      <c r="Q118">
        <f>秘宝属性[[#This Row],[秘宝属性基数]]*_xlfn.XLOOKUP(秘宝属性[[#Headers],[炫彩3]],秘宝品质系数[秘宝品质],秘宝品质系数[秘宝属性系数])</f>
        <v>1.35</v>
      </c>
    </row>
    <row r="119" spans="4:17">
      <c r="D119" t="s">
        <v>96</v>
      </c>
      <c r="E119">
        <v>350</v>
      </c>
      <c r="F119">
        <v>1111</v>
      </c>
      <c r="G119" s="35">
        <v>0.5</v>
      </c>
      <c r="H119">
        <v>0.289351851851852</v>
      </c>
      <c r="I119">
        <f>秘宝属性[[#This Row],[秘宝属性基数]]*_xlfn.XLOOKUP(秘宝属性[[#Headers],[优秀]],秘宝品质系数[秘宝品质],秘宝品质系数[秘宝属性系数])</f>
        <v>0.4</v>
      </c>
      <c r="J119">
        <f>秘宝属性[[#This Row],[秘宝属性基数]]*_xlfn.XLOOKUP(秘宝属性[[#Headers],[稀有]],秘宝品质系数[秘宝品质],秘宝品质系数[秘宝属性系数])</f>
        <v>0.416666666666667</v>
      </c>
      <c r="K119">
        <f>秘宝属性[[#This Row],[秘宝属性基数]]*_xlfn.XLOOKUP(秘宝属性[[#Headers],[史诗]],秘宝品质系数[秘宝品质],秘宝品质系数[秘宝属性系数])</f>
        <v>0.5</v>
      </c>
      <c r="L119">
        <f>秘宝属性[[#This Row],[秘宝属性基数]]*_xlfn.XLOOKUP(秘宝属性[[#Headers],[传说]],秘宝品质系数[秘宝品质],秘宝品质系数[秘宝属性系数])</f>
        <v>0.6</v>
      </c>
      <c r="M119">
        <f>秘宝属性[[#This Row],[秘宝属性基数]]*_xlfn.XLOOKUP(秘宝属性[[#Headers],[神话]],秘宝品质系数[秘宝品质],秘宝品质系数[秘宝属性系数])</f>
        <v>0.72</v>
      </c>
      <c r="N119">
        <f>秘宝属性[[#This Row],[秘宝属性基数]]*_xlfn.XLOOKUP(秘宝属性[[#Headers],[创世]],秘宝品质系数[秘宝品质],秘宝品质系数[秘宝属性系数])</f>
        <v>0.9</v>
      </c>
      <c r="O119">
        <f>秘宝属性[[#This Row],[秘宝属性基数]]*_xlfn.XLOOKUP(秘宝属性[[#Headers],[炫彩1]],秘宝品质系数[秘宝品质],秘宝品质系数[秘宝属性系数])</f>
        <v>1.125</v>
      </c>
      <c r="P119">
        <f>秘宝属性[[#This Row],[秘宝属性基数]]*_xlfn.XLOOKUP(秘宝属性[[#Headers],[炫彩2]],秘宝品质系数[秘宝品质],秘宝品质系数[秘宝属性系数])</f>
        <v>1.35</v>
      </c>
      <c r="Q119">
        <f>秘宝属性[[#This Row],[秘宝属性基数]]*_xlfn.XLOOKUP(秘宝属性[[#Headers],[炫彩3]],秘宝品质系数[秘宝品质],秘宝品质系数[秘宝属性系数])</f>
        <v>1.62</v>
      </c>
    </row>
    <row r="120" spans="4:17">
      <c r="D120" t="s">
        <v>97</v>
      </c>
      <c r="E120">
        <v>350</v>
      </c>
      <c r="F120">
        <v>1211</v>
      </c>
      <c r="G120" s="35">
        <v>0.5</v>
      </c>
      <c r="H120">
        <v>0.289351851851852</v>
      </c>
      <c r="I120">
        <f>秘宝属性[[#This Row],[秘宝属性基数]]*_xlfn.XLOOKUP(秘宝属性[[#Headers],[优秀]],秘宝品质系数[秘宝品质],秘宝品质系数[秘宝属性系数])</f>
        <v>0.4</v>
      </c>
      <c r="J120">
        <f>秘宝属性[[#This Row],[秘宝属性基数]]*_xlfn.XLOOKUP(秘宝属性[[#Headers],[稀有]],秘宝品质系数[秘宝品质],秘宝品质系数[秘宝属性系数])</f>
        <v>0.416666666666667</v>
      </c>
      <c r="K120">
        <f>秘宝属性[[#This Row],[秘宝属性基数]]*_xlfn.XLOOKUP(秘宝属性[[#Headers],[史诗]],秘宝品质系数[秘宝品质],秘宝品质系数[秘宝属性系数])</f>
        <v>0.5</v>
      </c>
      <c r="L120">
        <f>秘宝属性[[#This Row],[秘宝属性基数]]*_xlfn.XLOOKUP(秘宝属性[[#Headers],[传说]],秘宝品质系数[秘宝品质],秘宝品质系数[秘宝属性系数])</f>
        <v>0.6</v>
      </c>
      <c r="M120">
        <f>秘宝属性[[#This Row],[秘宝属性基数]]*_xlfn.XLOOKUP(秘宝属性[[#Headers],[神话]],秘宝品质系数[秘宝品质],秘宝品质系数[秘宝属性系数])</f>
        <v>0.72</v>
      </c>
      <c r="N120">
        <f>秘宝属性[[#This Row],[秘宝属性基数]]*_xlfn.XLOOKUP(秘宝属性[[#Headers],[创世]],秘宝品质系数[秘宝品质],秘宝品质系数[秘宝属性系数])</f>
        <v>0.9</v>
      </c>
      <c r="O120">
        <f>秘宝属性[[#This Row],[秘宝属性基数]]*_xlfn.XLOOKUP(秘宝属性[[#Headers],[炫彩1]],秘宝品质系数[秘宝品质],秘宝品质系数[秘宝属性系数])</f>
        <v>1.125</v>
      </c>
      <c r="P120">
        <f>秘宝属性[[#This Row],[秘宝属性基数]]*_xlfn.XLOOKUP(秘宝属性[[#Headers],[炫彩2]],秘宝品质系数[秘宝品质],秘宝品质系数[秘宝属性系数])</f>
        <v>1.35</v>
      </c>
      <c r="Q120">
        <f>秘宝属性[[#This Row],[秘宝属性基数]]*_xlfn.XLOOKUP(秘宝属性[[#Headers],[炫彩3]],秘宝品质系数[秘宝品质],秘宝品质系数[秘宝属性系数])</f>
        <v>1.62</v>
      </c>
    </row>
    <row r="121" spans="4:17">
      <c r="D121" t="s">
        <v>100</v>
      </c>
      <c r="E121">
        <v>350</v>
      </c>
      <c r="F121">
        <v>1411</v>
      </c>
      <c r="G121" s="35">
        <v>0.5</v>
      </c>
      <c r="H121">
        <v>0.289351851851852</v>
      </c>
      <c r="I121">
        <f>秘宝属性[[#This Row],[秘宝属性基数]]*_xlfn.XLOOKUP(秘宝属性[[#Headers],[优秀]],秘宝品质系数[秘宝品质],秘宝品质系数[秘宝属性系数])</f>
        <v>0.4</v>
      </c>
      <c r="J121">
        <f>秘宝属性[[#This Row],[秘宝属性基数]]*_xlfn.XLOOKUP(秘宝属性[[#Headers],[稀有]],秘宝品质系数[秘宝品质],秘宝品质系数[秘宝属性系数])</f>
        <v>0.416666666666667</v>
      </c>
      <c r="K121">
        <f>秘宝属性[[#This Row],[秘宝属性基数]]*_xlfn.XLOOKUP(秘宝属性[[#Headers],[史诗]],秘宝品质系数[秘宝品质],秘宝品质系数[秘宝属性系数])</f>
        <v>0.5</v>
      </c>
      <c r="L121">
        <f>秘宝属性[[#This Row],[秘宝属性基数]]*_xlfn.XLOOKUP(秘宝属性[[#Headers],[传说]],秘宝品质系数[秘宝品质],秘宝品质系数[秘宝属性系数])</f>
        <v>0.6</v>
      </c>
      <c r="M121">
        <f>秘宝属性[[#This Row],[秘宝属性基数]]*_xlfn.XLOOKUP(秘宝属性[[#Headers],[神话]],秘宝品质系数[秘宝品质],秘宝品质系数[秘宝属性系数])</f>
        <v>0.72</v>
      </c>
      <c r="N121">
        <f>秘宝属性[[#This Row],[秘宝属性基数]]*_xlfn.XLOOKUP(秘宝属性[[#Headers],[创世]],秘宝品质系数[秘宝品质],秘宝品质系数[秘宝属性系数])</f>
        <v>0.9</v>
      </c>
      <c r="O121">
        <f>秘宝属性[[#This Row],[秘宝属性基数]]*_xlfn.XLOOKUP(秘宝属性[[#Headers],[炫彩1]],秘宝品质系数[秘宝品质],秘宝品质系数[秘宝属性系数])</f>
        <v>1.125</v>
      </c>
      <c r="P121">
        <f>秘宝属性[[#This Row],[秘宝属性基数]]*_xlfn.XLOOKUP(秘宝属性[[#Headers],[炫彩2]],秘宝品质系数[秘宝品质],秘宝品质系数[秘宝属性系数])</f>
        <v>1.35</v>
      </c>
      <c r="Q121">
        <f>秘宝属性[[#This Row],[秘宝属性基数]]*_xlfn.XLOOKUP(秘宝属性[[#Headers],[炫彩3]],秘宝品质系数[秘宝品质],秘宝品质系数[秘宝属性系数])</f>
        <v>1.62</v>
      </c>
    </row>
    <row r="122" spans="4:17">
      <c r="D122" t="s">
        <v>98</v>
      </c>
      <c r="E122">
        <v>350</v>
      </c>
      <c r="F122">
        <v>1511</v>
      </c>
      <c r="G122" s="35">
        <v>0.5</v>
      </c>
      <c r="H122">
        <v>0.289351851851852</v>
      </c>
      <c r="I122">
        <f>秘宝属性[[#This Row],[秘宝属性基数]]*_xlfn.XLOOKUP(秘宝属性[[#Headers],[优秀]],秘宝品质系数[秘宝品质],秘宝品质系数[秘宝属性系数])</f>
        <v>0.4</v>
      </c>
      <c r="J122">
        <f>秘宝属性[[#This Row],[秘宝属性基数]]*_xlfn.XLOOKUP(秘宝属性[[#Headers],[稀有]],秘宝品质系数[秘宝品质],秘宝品质系数[秘宝属性系数])</f>
        <v>0.416666666666667</v>
      </c>
      <c r="K122">
        <f>秘宝属性[[#This Row],[秘宝属性基数]]*_xlfn.XLOOKUP(秘宝属性[[#Headers],[史诗]],秘宝品质系数[秘宝品质],秘宝品质系数[秘宝属性系数])</f>
        <v>0.5</v>
      </c>
      <c r="L122">
        <f>秘宝属性[[#This Row],[秘宝属性基数]]*_xlfn.XLOOKUP(秘宝属性[[#Headers],[传说]],秘宝品质系数[秘宝品质],秘宝品质系数[秘宝属性系数])</f>
        <v>0.6</v>
      </c>
      <c r="M122">
        <f>秘宝属性[[#This Row],[秘宝属性基数]]*_xlfn.XLOOKUP(秘宝属性[[#Headers],[神话]],秘宝品质系数[秘宝品质],秘宝品质系数[秘宝属性系数])</f>
        <v>0.72</v>
      </c>
      <c r="N122">
        <f>秘宝属性[[#This Row],[秘宝属性基数]]*_xlfn.XLOOKUP(秘宝属性[[#Headers],[创世]],秘宝品质系数[秘宝品质],秘宝品质系数[秘宝属性系数])</f>
        <v>0.9</v>
      </c>
      <c r="O122">
        <f>秘宝属性[[#This Row],[秘宝属性基数]]*_xlfn.XLOOKUP(秘宝属性[[#Headers],[炫彩1]],秘宝品质系数[秘宝品质],秘宝品质系数[秘宝属性系数])</f>
        <v>1.125</v>
      </c>
      <c r="P122">
        <f>秘宝属性[[#This Row],[秘宝属性基数]]*_xlfn.XLOOKUP(秘宝属性[[#Headers],[炫彩2]],秘宝品质系数[秘宝品质],秘宝品质系数[秘宝属性系数])</f>
        <v>1.35</v>
      </c>
      <c r="Q122">
        <f>秘宝属性[[#This Row],[秘宝属性基数]]*_xlfn.XLOOKUP(秘宝属性[[#Headers],[炫彩3]],秘宝品质系数[秘宝品质],秘宝品质系数[秘宝属性系数])</f>
        <v>1.62</v>
      </c>
    </row>
    <row r="123" spans="4:17">
      <c r="D123" t="s">
        <v>99</v>
      </c>
      <c r="E123">
        <v>350</v>
      </c>
      <c r="F123">
        <v>1711</v>
      </c>
      <c r="G123" s="35">
        <v>0.5</v>
      </c>
      <c r="H123">
        <v>0.289351851851852</v>
      </c>
      <c r="I123">
        <f>秘宝属性[[#This Row],[秘宝属性基数]]*_xlfn.XLOOKUP(秘宝属性[[#Headers],[优秀]],秘宝品质系数[秘宝品质],秘宝品质系数[秘宝属性系数])</f>
        <v>0.4</v>
      </c>
      <c r="J123">
        <f>秘宝属性[[#This Row],[秘宝属性基数]]*_xlfn.XLOOKUP(秘宝属性[[#Headers],[稀有]],秘宝品质系数[秘宝品质],秘宝品质系数[秘宝属性系数])</f>
        <v>0.416666666666667</v>
      </c>
      <c r="K123">
        <f>秘宝属性[[#This Row],[秘宝属性基数]]*_xlfn.XLOOKUP(秘宝属性[[#Headers],[史诗]],秘宝品质系数[秘宝品质],秘宝品质系数[秘宝属性系数])</f>
        <v>0.5</v>
      </c>
      <c r="L123">
        <f>秘宝属性[[#This Row],[秘宝属性基数]]*_xlfn.XLOOKUP(秘宝属性[[#Headers],[传说]],秘宝品质系数[秘宝品质],秘宝品质系数[秘宝属性系数])</f>
        <v>0.6</v>
      </c>
      <c r="M123">
        <f>秘宝属性[[#This Row],[秘宝属性基数]]*_xlfn.XLOOKUP(秘宝属性[[#Headers],[神话]],秘宝品质系数[秘宝品质],秘宝品质系数[秘宝属性系数])</f>
        <v>0.72</v>
      </c>
      <c r="N123">
        <f>秘宝属性[[#This Row],[秘宝属性基数]]*_xlfn.XLOOKUP(秘宝属性[[#Headers],[创世]],秘宝品质系数[秘宝品质],秘宝品质系数[秘宝属性系数])</f>
        <v>0.9</v>
      </c>
      <c r="O123">
        <f>秘宝属性[[#This Row],[秘宝属性基数]]*_xlfn.XLOOKUP(秘宝属性[[#Headers],[炫彩1]],秘宝品质系数[秘宝品质],秘宝品质系数[秘宝属性系数])</f>
        <v>1.125</v>
      </c>
      <c r="P123">
        <f>秘宝属性[[#This Row],[秘宝属性基数]]*_xlfn.XLOOKUP(秘宝属性[[#Headers],[炫彩2]],秘宝品质系数[秘宝品质],秘宝品质系数[秘宝属性系数])</f>
        <v>1.35</v>
      </c>
      <c r="Q123">
        <f>秘宝属性[[#This Row],[秘宝属性基数]]*_xlfn.XLOOKUP(秘宝属性[[#Headers],[炫彩3]],秘宝品质系数[秘宝品质],秘宝品质系数[秘宝属性系数])</f>
        <v>1.62</v>
      </c>
    </row>
    <row r="124" spans="4:17">
      <c r="D124" t="s">
        <v>95</v>
      </c>
      <c r="E124">
        <v>350</v>
      </c>
      <c r="F124">
        <v>1011</v>
      </c>
      <c r="G124" s="35">
        <v>0.5</v>
      </c>
      <c r="H124">
        <v>0.289351851851852</v>
      </c>
      <c r="I124">
        <f>秘宝属性[[#This Row],[秘宝属性基数]]*_xlfn.XLOOKUP(秘宝属性[[#Headers],[优秀]],秘宝品质系数[秘宝品质],秘宝品质系数[秘宝属性系数])</f>
        <v>0.4</v>
      </c>
      <c r="J124">
        <f>秘宝属性[[#This Row],[秘宝属性基数]]*_xlfn.XLOOKUP(秘宝属性[[#Headers],[稀有]],秘宝品质系数[秘宝品质],秘宝品质系数[秘宝属性系数])</f>
        <v>0.416666666666667</v>
      </c>
      <c r="K124">
        <f>秘宝属性[[#This Row],[秘宝属性基数]]*_xlfn.XLOOKUP(秘宝属性[[#Headers],[史诗]],秘宝品质系数[秘宝品质],秘宝品质系数[秘宝属性系数])</f>
        <v>0.5</v>
      </c>
      <c r="L124">
        <f>秘宝属性[[#This Row],[秘宝属性基数]]*_xlfn.XLOOKUP(秘宝属性[[#Headers],[传说]],秘宝品质系数[秘宝品质],秘宝品质系数[秘宝属性系数])</f>
        <v>0.6</v>
      </c>
      <c r="M124">
        <f>秘宝属性[[#This Row],[秘宝属性基数]]*_xlfn.XLOOKUP(秘宝属性[[#Headers],[神话]],秘宝品质系数[秘宝品质],秘宝品质系数[秘宝属性系数])</f>
        <v>0.72</v>
      </c>
      <c r="N124">
        <f>秘宝属性[[#This Row],[秘宝属性基数]]*_xlfn.XLOOKUP(秘宝属性[[#Headers],[创世]],秘宝品质系数[秘宝品质],秘宝品质系数[秘宝属性系数])</f>
        <v>0.9</v>
      </c>
      <c r="O124">
        <f>秘宝属性[[#This Row],[秘宝属性基数]]*_xlfn.XLOOKUP(秘宝属性[[#Headers],[炫彩1]],秘宝品质系数[秘宝品质],秘宝品质系数[秘宝属性系数])</f>
        <v>1.125</v>
      </c>
      <c r="P124">
        <f>秘宝属性[[#This Row],[秘宝属性基数]]*_xlfn.XLOOKUP(秘宝属性[[#Headers],[炫彩2]],秘宝品质系数[秘宝品质],秘宝品质系数[秘宝属性系数])</f>
        <v>1.35</v>
      </c>
      <c r="Q124">
        <f>秘宝属性[[#This Row],[秘宝属性基数]]*_xlfn.XLOOKUP(秘宝属性[[#Headers],[炫彩3]],秘宝品质系数[秘宝品质],秘宝品质系数[秘宝属性系数])</f>
        <v>1.62</v>
      </c>
    </row>
    <row r="125" spans="4:17">
      <c r="D125" t="s">
        <v>123</v>
      </c>
      <c r="E125">
        <v>300</v>
      </c>
      <c r="F125">
        <v>616</v>
      </c>
      <c r="G125" s="35">
        <v>0.15</v>
      </c>
      <c r="H125">
        <v>0.08</v>
      </c>
      <c r="I125">
        <f>秘宝属性[[#This Row],[秘宝属性基数]]*_xlfn.XLOOKUP(秘宝属性[[#Headers],[优秀]],秘宝品质系数[秘宝品质],秘宝品质系数[秘宝属性系数])</f>
        <v>0.12</v>
      </c>
      <c r="J125">
        <f>秘宝属性[[#This Row],[秘宝属性基数]]*_xlfn.XLOOKUP(秘宝属性[[#Headers],[稀有]],秘宝品质系数[秘宝品质],秘宝品质系数[秘宝属性系数])</f>
        <v>0.125</v>
      </c>
      <c r="K125">
        <f>秘宝属性[[#This Row],[秘宝属性基数]]*_xlfn.XLOOKUP(秘宝属性[[#Headers],[史诗]],秘宝品质系数[秘宝品质],秘宝品质系数[秘宝属性系数])</f>
        <v>0.15</v>
      </c>
      <c r="L125">
        <f>秘宝属性[[#This Row],[秘宝属性基数]]*_xlfn.XLOOKUP(秘宝属性[[#Headers],[传说]],秘宝品质系数[秘宝品质],秘宝品质系数[秘宝属性系数])</f>
        <v>0.18</v>
      </c>
      <c r="M125">
        <f>秘宝属性[[#This Row],[秘宝属性基数]]*_xlfn.XLOOKUP(秘宝属性[[#Headers],[神话]],秘宝品质系数[秘宝品质],秘宝品质系数[秘宝属性系数])</f>
        <v>0.216</v>
      </c>
      <c r="N125">
        <f>秘宝属性[[#This Row],[秘宝属性基数]]*_xlfn.XLOOKUP(秘宝属性[[#Headers],[创世]],秘宝品质系数[秘宝品质],秘宝品质系数[秘宝属性系数])</f>
        <v>0.27</v>
      </c>
      <c r="O125">
        <f>秘宝属性[[#This Row],[秘宝属性基数]]*_xlfn.XLOOKUP(秘宝属性[[#Headers],[炫彩1]],秘宝品质系数[秘宝品质],秘宝品质系数[秘宝属性系数])</f>
        <v>0.3375</v>
      </c>
      <c r="P125">
        <f>秘宝属性[[#This Row],[秘宝属性基数]]*_xlfn.XLOOKUP(秘宝属性[[#Headers],[炫彩2]],秘宝品质系数[秘宝品质],秘宝品质系数[秘宝属性系数])</f>
        <v>0.405</v>
      </c>
      <c r="Q125">
        <f>秘宝属性[[#This Row],[秘宝属性基数]]*_xlfn.XLOOKUP(秘宝属性[[#Headers],[炫彩3]],秘宝品质系数[秘宝品质],秘宝品质系数[秘宝属性系数])</f>
        <v>0.486</v>
      </c>
    </row>
    <row r="126" spans="4:17">
      <c r="D126" t="s">
        <v>124</v>
      </c>
      <c r="E126">
        <f>300</f>
        <v>300</v>
      </c>
      <c r="F126">
        <v>617</v>
      </c>
      <c r="G126" s="35">
        <v>0.15</v>
      </c>
      <c r="H126">
        <v>0.08</v>
      </c>
      <c r="I126">
        <f>秘宝属性[[#This Row],[秘宝属性基数]]*_xlfn.XLOOKUP(秘宝属性[[#Headers],[优秀]],秘宝品质系数[秘宝品质],秘宝品质系数[秘宝属性系数])</f>
        <v>0.12</v>
      </c>
      <c r="J126">
        <f>秘宝属性[[#This Row],[秘宝属性基数]]*_xlfn.XLOOKUP(秘宝属性[[#Headers],[稀有]],秘宝品质系数[秘宝品质],秘宝品质系数[秘宝属性系数])</f>
        <v>0.125</v>
      </c>
      <c r="K126">
        <f>秘宝属性[[#This Row],[秘宝属性基数]]*_xlfn.XLOOKUP(秘宝属性[[#Headers],[史诗]],秘宝品质系数[秘宝品质],秘宝品质系数[秘宝属性系数])</f>
        <v>0.15</v>
      </c>
      <c r="L126">
        <f>秘宝属性[[#This Row],[秘宝属性基数]]*_xlfn.XLOOKUP(秘宝属性[[#Headers],[传说]],秘宝品质系数[秘宝品质],秘宝品质系数[秘宝属性系数])</f>
        <v>0.18</v>
      </c>
      <c r="M126">
        <f>秘宝属性[[#This Row],[秘宝属性基数]]*_xlfn.XLOOKUP(秘宝属性[[#Headers],[神话]],秘宝品质系数[秘宝品质],秘宝品质系数[秘宝属性系数])</f>
        <v>0.216</v>
      </c>
      <c r="N126">
        <f>秘宝属性[[#This Row],[秘宝属性基数]]*_xlfn.XLOOKUP(秘宝属性[[#Headers],[创世]],秘宝品质系数[秘宝品质],秘宝品质系数[秘宝属性系数])</f>
        <v>0.27</v>
      </c>
      <c r="O126">
        <f>秘宝属性[[#This Row],[秘宝属性基数]]*_xlfn.XLOOKUP(秘宝属性[[#Headers],[炫彩1]],秘宝品质系数[秘宝品质],秘宝品质系数[秘宝属性系数])</f>
        <v>0.3375</v>
      </c>
      <c r="P126">
        <f>秘宝属性[[#This Row],[秘宝属性基数]]*_xlfn.XLOOKUP(秘宝属性[[#Headers],[炫彩2]],秘宝品质系数[秘宝品质],秘宝品质系数[秘宝属性系数])</f>
        <v>0.405</v>
      </c>
      <c r="Q126">
        <f>秘宝属性[[#This Row],[秘宝属性基数]]*_xlfn.XLOOKUP(秘宝属性[[#Headers],[炫彩3]],秘宝品质系数[秘宝品质],秘宝品质系数[秘宝属性系数])</f>
        <v>0.486</v>
      </c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因升级">
    <tabColor rgb="FFFFFFFF"/>
  </sheetPr>
  <dimension ref="A1:U65"/>
  <sheetViews>
    <sheetView tabSelected="1" topLeftCell="A19" workbookViewId="0">
      <selection activeCell="F44" sqref="F44"/>
    </sheetView>
  </sheetViews>
  <sheetFormatPr defaultColWidth="10.2857142857143" defaultRowHeight="16.5"/>
  <cols>
    <col min="1" max="1" width="9.71428571428571" style="34" customWidth="1"/>
    <col min="2" max="3" width="2.71428571428571" style="34" customWidth="1"/>
    <col min="4" max="4" width="18.5714285714286" style="34" customWidth="1"/>
    <col min="5" max="5" width="15.1428571428571" style="34" customWidth="1"/>
    <col min="6" max="6" width="22.5714285714286" style="34" customWidth="1"/>
    <col min="7" max="7" width="21.8571428571429" style="34" customWidth="1"/>
    <col min="8" max="9" width="21.1428571428571" style="34" customWidth="1"/>
    <col min="10" max="10" width="24.7142857142857" style="34" customWidth="1"/>
    <col min="11" max="12" width="21.1428571428571" style="34" customWidth="1"/>
    <col min="13" max="13" width="18.4285714285714" style="34" customWidth="1"/>
    <col min="14" max="15" width="9.71428571428571" style="34" customWidth="1"/>
    <col min="16" max="17" width="17.5714285714286" style="34" customWidth="1"/>
    <col min="18" max="19" width="15.5714285714286" style="34" customWidth="1"/>
    <col min="20" max="20" width="16.1428571428571" style="34" customWidth="1"/>
    <col min="21" max="21" width="32.7142857142857" style="35" customWidth="1"/>
    <col min="22" max="23" width="17.5714285714286" style="34" customWidth="1"/>
    <col min="24" max="26" width="12.8571428571429" style="34"/>
    <col min="27" max="27" width="18.1428571428571" style="34" customWidth="1"/>
    <col min="28" max="29" width="12.8571428571429" style="34"/>
    <col min="30" max="30" width="14.5714285714286" style="34"/>
    <col min="31" max="33" width="16.2857142857143" style="34"/>
    <col min="34" max="35" width="14.5714285714286" style="34"/>
    <col min="36" max="37" width="10.2857142857143" style="34"/>
    <col min="38" max="38" width="12.8571428571429" style="34"/>
    <col min="39" max="39" width="10.2857142857143" style="34"/>
    <col min="40" max="40" width="14.5714285714286" style="34"/>
    <col min="41" max="41" width="10.2857142857143" style="34"/>
    <col min="42" max="42" width="14.5714285714286" style="34"/>
    <col min="43" max="43" width="10.2857142857143" style="34"/>
    <col min="44" max="44" width="15.7142857142857" style="34"/>
    <col min="45" max="45" width="14.5714285714286" style="34"/>
    <col min="46" max="46" width="10.2857142857143" style="34"/>
    <col min="47" max="47" width="12.8571428571429" style="34"/>
    <col min="48" max="51" width="14.5714285714286" style="34"/>
    <col min="52" max="52" width="10.2857142857143" style="34"/>
    <col min="53" max="53" width="15.7142857142857" style="34"/>
    <col min="54" max="56" width="14.5714285714286" style="34"/>
    <col min="57" max="57" width="10.2857142857143" style="34"/>
    <col min="58" max="58" width="12.8571428571429" style="34"/>
    <col min="59" max="60" width="15.7142857142857" style="34"/>
    <col min="61" max="61" width="14.5714285714286" style="34"/>
    <col min="62" max="16384" width="10.2857142857143" style="34"/>
  </cols>
  <sheetData>
    <row r="1" ht="18" spans="1:21">
      <c r="A1" s="36" t="s">
        <v>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ht="18" spans="1:21">
      <c r="A2" s="37"/>
      <c r="B2" s="37"/>
      <c r="C2" s="38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21">
      <c r="A3" s="39"/>
      <c r="B3" s="40"/>
      <c r="C3" s="41" t="s">
        <v>125</v>
      </c>
      <c r="U3" s="34"/>
    </row>
    <row r="4" spans="1:21">
      <c r="A4" s="39"/>
      <c r="B4" s="39"/>
      <c r="C4" s="41"/>
      <c r="F4" s="34">
        <v>100</v>
      </c>
      <c r="G4" s="34">
        <v>240</v>
      </c>
      <c r="U4" s="34"/>
    </row>
    <row r="5" ht="18" spans="1:21">
      <c r="A5" s="37"/>
      <c r="B5" s="37"/>
      <c r="C5" s="38"/>
      <c r="D5" s="34" t="s">
        <v>126</v>
      </c>
      <c r="E5" s="34" t="s">
        <v>127</v>
      </c>
      <c r="F5" s="34" t="s">
        <v>128</v>
      </c>
      <c r="G5" s="34" t="s">
        <v>129</v>
      </c>
      <c r="H5" s="34" t="s">
        <v>130</v>
      </c>
      <c r="I5" s="34" t="s">
        <v>131</v>
      </c>
      <c r="J5" s="34" t="s">
        <v>132</v>
      </c>
      <c r="K5" s="34" t="s">
        <v>133</v>
      </c>
      <c r="U5" s="34"/>
    </row>
    <row r="6" ht="18" spans="1:21">
      <c r="A6" s="37"/>
      <c r="B6" s="37"/>
      <c r="C6" s="38"/>
      <c r="D6" s="34" t="s">
        <v>134</v>
      </c>
      <c r="E6" s="34" t="s">
        <v>135</v>
      </c>
      <c r="F6" s="34">
        <f>10*60</f>
        <v>600</v>
      </c>
      <c r="G6" s="34">
        <f>2*60</f>
        <v>120</v>
      </c>
      <c r="H6" s="34" cm="1">
        <f t="array" ref="H6">SUMPRODUCT(F$4:G$4,F6:G6)</f>
        <v>88800</v>
      </c>
      <c r="I6" s="42">
        <f>H6/SUM($H$6:$H$10)</f>
        <v>0.275348837209302</v>
      </c>
      <c r="J6" s="34">
        <f>SUM(H6:H9)</f>
        <v>296100</v>
      </c>
      <c r="K6" s="34">
        <f>J6*1.5</f>
        <v>444150</v>
      </c>
      <c r="U6" s="34"/>
    </row>
    <row r="7" ht="18" spans="1:21">
      <c r="A7" s="37"/>
      <c r="B7" s="37"/>
      <c r="C7" s="38"/>
      <c r="E7" s="34" t="s">
        <v>136</v>
      </c>
      <c r="F7" s="34">
        <f>15*60</f>
        <v>900</v>
      </c>
      <c r="H7" s="34" cm="1">
        <f t="array" ref="H7">SUMPRODUCT(F$4:G$4,F7:G7)</f>
        <v>90000</v>
      </c>
      <c r="I7" s="42">
        <f>H7/SUM($H$6:$H$10)</f>
        <v>0.27906976744186</v>
      </c>
      <c r="U7" s="34"/>
    </row>
    <row r="8" ht="18" spans="1:21">
      <c r="A8" s="37"/>
      <c r="B8" s="37"/>
      <c r="C8" s="38"/>
      <c r="E8" s="34" t="s">
        <v>137</v>
      </c>
      <c r="F8" s="34">
        <f>10*60</f>
        <v>600</v>
      </c>
      <c r="G8" s="34">
        <f>2*60</f>
        <v>120</v>
      </c>
      <c r="H8" s="34" cm="1">
        <f t="array" ref="H8">SUMPRODUCT(F$4:G$4,F8:G8)</f>
        <v>88800</v>
      </c>
      <c r="I8" s="42">
        <f>H8/SUM($H$6:$H$10)</f>
        <v>0.275348837209302</v>
      </c>
      <c r="M8" s="34">
        <f>32*0.3</f>
        <v>9.6</v>
      </c>
      <c r="U8" s="34"/>
    </row>
    <row r="9" ht="18" spans="1:21">
      <c r="A9" s="37"/>
      <c r="B9" s="37"/>
      <c r="C9" s="38"/>
      <c r="E9" s="34" t="s">
        <v>138</v>
      </c>
      <c r="F9" s="34">
        <f>5*57</f>
        <v>285</v>
      </c>
      <c r="H9" s="34" cm="1">
        <f t="array" ref="H9">SUMPRODUCT(F$4:G$4,F9:G9)</f>
        <v>28500</v>
      </c>
      <c r="I9" s="42">
        <f>H9/SUM($H$6:$H$10)</f>
        <v>0.0883720930232558</v>
      </c>
      <c r="U9" s="34"/>
    </row>
    <row r="10" ht="18" spans="1:21">
      <c r="A10" s="37"/>
      <c r="B10" s="37"/>
      <c r="C10" s="38"/>
      <c r="E10" s="34" t="s">
        <v>139</v>
      </c>
      <c r="F10" s="34">
        <f>2*60</f>
        <v>120</v>
      </c>
      <c r="G10" s="34">
        <f>60*1</f>
        <v>60</v>
      </c>
      <c r="H10" s="34" cm="1">
        <f t="array" ref="H10">SUMPRODUCT(F$4:G$4,F10:G10)</f>
        <v>26400</v>
      </c>
      <c r="I10" s="42">
        <f>H10/SUM($H$6:$H$10)</f>
        <v>0.0818604651162791</v>
      </c>
      <c r="U10" s="34"/>
    </row>
    <row r="11" ht="18" spans="1:21">
      <c r="A11" s="37"/>
      <c r="B11" s="37"/>
      <c r="C11" s="38"/>
      <c r="D11" s="34" t="s">
        <v>140</v>
      </c>
      <c r="E11" s="34" t="s">
        <v>135</v>
      </c>
      <c r="F11" s="34">
        <f t="shared" ref="F11:F15" si="0">H11*57</f>
        <v>57000</v>
      </c>
      <c r="H11" s="34">
        <v>1000</v>
      </c>
      <c r="I11" s="42">
        <f>F11/SUM($F$11:$F$16)</f>
        <v>0.186213655668082</v>
      </c>
      <c r="J11" s="34">
        <f>SUM(H11:H14)</f>
        <v>3200</v>
      </c>
      <c r="K11" s="34">
        <f>J11+H11+H12</f>
        <v>5400</v>
      </c>
      <c r="U11" s="34"/>
    </row>
    <row r="12" ht="18" spans="1:21">
      <c r="A12" s="37"/>
      <c r="B12" s="37"/>
      <c r="C12" s="38"/>
      <c r="E12" s="34" t="s">
        <v>141</v>
      </c>
      <c r="F12" s="34">
        <f t="shared" si="0"/>
        <v>68400</v>
      </c>
      <c r="H12" s="43">
        <v>1200</v>
      </c>
      <c r="I12" s="42">
        <f>F12/SUM($F$11:$F$16)</f>
        <v>0.223456386801699</v>
      </c>
      <c r="U12" s="34"/>
    </row>
    <row r="13" spans="1:21">
      <c r="E13" s="34" t="s">
        <v>142</v>
      </c>
      <c r="H13" s="43"/>
      <c r="I13" s="42"/>
      <c r="U13" s="34"/>
    </row>
    <row r="14" spans="1:21">
      <c r="E14" s="34" t="s">
        <v>137</v>
      </c>
      <c r="F14" s="34">
        <f t="shared" si="0"/>
        <v>57000</v>
      </c>
      <c r="H14" s="34">
        <v>1000</v>
      </c>
      <c r="I14" s="42">
        <f>F14/SUM($F$11:$F$16)</f>
        <v>0.186213655668082</v>
      </c>
      <c r="U14" s="34"/>
    </row>
    <row r="15" spans="1:21">
      <c r="E15" s="34" t="s">
        <v>138</v>
      </c>
      <c r="F15" s="34">
        <f t="shared" si="0"/>
        <v>91200</v>
      </c>
      <c r="H15" s="34">
        <v>1600</v>
      </c>
      <c r="I15" s="42">
        <f>F15/SUM($F$11:$F$16)</f>
        <v>0.297941849068932</v>
      </c>
      <c r="U15" s="34"/>
    </row>
    <row r="16" spans="1:21">
      <c r="E16" s="34" t="s">
        <v>139</v>
      </c>
      <c r="F16" s="34">
        <f>65*500</f>
        <v>32500</v>
      </c>
      <c r="I16" s="42">
        <f>F16/SUM($F$11:$F$16)</f>
        <v>0.106174452793205</v>
      </c>
      <c r="U16" s="34"/>
    </row>
    <row r="17" spans="1:21">
      <c r="U17" s="34"/>
    </row>
    <row r="18" spans="1:21">
      <c r="D18" s="34" t="s">
        <v>143</v>
      </c>
      <c r="E18" s="34" t="s">
        <v>144</v>
      </c>
      <c r="U18" s="34"/>
    </row>
    <row r="19" ht="18" spans="1:21">
      <c r="A19" s="37"/>
      <c r="B19" s="37"/>
      <c r="C19" s="38"/>
      <c r="D19" s="42">
        <f>SUM(H11:H12)/SUM(H11:H14)</f>
        <v>0.6875</v>
      </c>
      <c r="E19" s="42">
        <f>SUM(H13:H14)/SUM(H11:H14)</f>
        <v>0.3125</v>
      </c>
      <c r="U19" s="34"/>
    </row>
    <row r="20" ht="18" spans="1:21">
      <c r="A20" s="37"/>
      <c r="B20" s="37"/>
      <c r="C20" s="38"/>
      <c r="U20" s="34"/>
    </row>
    <row r="21" spans="1:21">
      <c r="A21" s="39"/>
      <c r="B21" s="40"/>
      <c r="C21" s="41" t="s">
        <v>145</v>
      </c>
      <c r="U21" s="34"/>
    </row>
    <row r="22" ht="18" spans="1:21">
      <c r="A22" s="37"/>
      <c r="B22" s="37"/>
      <c r="C22" s="38"/>
      <c r="D22" s="34" t="s">
        <v>146</v>
      </c>
      <c r="U22" s="34"/>
    </row>
    <row r="23" ht="18" spans="1:21">
      <c r="A23" s="37"/>
      <c r="B23" s="37"/>
      <c r="C23" s="38"/>
      <c r="G23" s="34" t="s">
        <v>147</v>
      </c>
      <c r="U23" s="34"/>
    </row>
    <row r="24" ht="18" spans="1:21">
      <c r="A24" s="37"/>
      <c r="B24" s="37"/>
      <c r="C24" s="38"/>
      <c r="D24" s="44" t="s">
        <v>126</v>
      </c>
      <c r="E24" s="45" t="s">
        <v>127</v>
      </c>
      <c r="F24" s="45" t="s">
        <v>148</v>
      </c>
      <c r="G24" s="45" t="s">
        <v>149</v>
      </c>
      <c r="H24" s="45" t="s">
        <v>150</v>
      </c>
      <c r="I24" s="46" t="s">
        <v>151</v>
      </c>
      <c r="U24" s="34"/>
    </row>
    <row r="25" ht="18" spans="1:21">
      <c r="A25" s="37"/>
      <c r="B25" s="37"/>
      <c r="C25" s="38"/>
      <c r="D25" s="47" t="s">
        <v>134</v>
      </c>
      <c r="E25" s="48" t="s">
        <v>152</v>
      </c>
      <c r="F25" s="48"/>
      <c r="G25" s="48" t="s">
        <v>153</v>
      </c>
      <c r="H25" s="49"/>
      <c r="U25" s="34"/>
    </row>
    <row r="26" ht="18" spans="1:21">
      <c r="A26" s="37"/>
      <c r="B26" s="37"/>
      <c r="C26" s="38"/>
      <c r="D26" s="47"/>
      <c r="E26" s="48" t="s">
        <v>137</v>
      </c>
      <c r="F26" s="50" t="s">
        <v>154</v>
      </c>
      <c r="G26" s="48" t="s">
        <v>155</v>
      </c>
      <c r="H26" s="49">
        <f>I8</f>
        <v>0.275348837209302</v>
      </c>
      <c r="U26" s="34"/>
    </row>
    <row r="27" ht="18" spans="1:21">
      <c r="A27" s="37"/>
      <c r="B27" s="37"/>
      <c r="C27" s="38"/>
      <c r="D27" s="47"/>
      <c r="E27" s="48" t="s">
        <v>136</v>
      </c>
      <c r="F27" s="50" t="s">
        <v>156</v>
      </c>
      <c r="G27" s="48" t="s">
        <v>153</v>
      </c>
      <c r="H27" s="49">
        <f>I7</f>
        <v>0.27906976744186</v>
      </c>
      <c r="I27" s="34" t="s">
        <v>157</v>
      </c>
      <c r="U27" s="34"/>
    </row>
    <row r="28" ht="18" spans="1:21">
      <c r="A28" s="37"/>
      <c r="B28" s="37"/>
      <c r="C28" s="38"/>
      <c r="D28" s="47"/>
      <c r="E28" s="48" t="s">
        <v>135</v>
      </c>
      <c r="F28" s="50" t="s">
        <v>154</v>
      </c>
      <c r="G28" s="48" t="s">
        <v>158</v>
      </c>
      <c r="H28" s="49">
        <f>I6</f>
        <v>0.275348837209302</v>
      </c>
      <c r="U28" s="34"/>
    </row>
    <row r="29" ht="18" spans="1:21">
      <c r="A29" s="37"/>
      <c r="B29" s="37"/>
      <c r="C29" s="38"/>
      <c r="D29" s="47"/>
      <c r="E29" s="48" t="s">
        <v>138</v>
      </c>
      <c r="F29" s="48" t="s">
        <v>159</v>
      </c>
      <c r="G29" s="48" t="s">
        <v>158</v>
      </c>
      <c r="H29" s="49">
        <f>I9</f>
        <v>0.0883720930232558</v>
      </c>
      <c r="U29" s="34"/>
    </row>
    <row r="30" ht="18" spans="1:21">
      <c r="A30" s="37"/>
      <c r="B30" s="37"/>
      <c r="C30" s="38"/>
      <c r="D30" s="47"/>
      <c r="E30" s="48" t="s">
        <v>139</v>
      </c>
      <c r="F30" s="48" t="s">
        <v>160</v>
      </c>
      <c r="G30" s="51" t="s">
        <v>161</v>
      </c>
      <c r="H30" s="49">
        <f>I10</f>
        <v>0.0818604651162791</v>
      </c>
      <c r="U30" s="34"/>
    </row>
    <row r="31" ht="18" spans="1:21">
      <c r="A31" s="37"/>
      <c r="B31" s="37"/>
      <c r="C31" s="38"/>
      <c r="D31" s="47"/>
      <c r="E31" s="48"/>
      <c r="F31" s="48"/>
      <c r="G31" s="51"/>
      <c r="H31" s="49"/>
      <c r="U31" s="34"/>
    </row>
    <row r="32" ht="17.1" customHeight="1" spans="1:21">
      <c r="A32" s="37"/>
      <c r="B32" s="37"/>
      <c r="C32" s="38"/>
      <c r="D32" s="47" t="s">
        <v>140</v>
      </c>
      <c r="E32" s="47" t="s">
        <v>152</v>
      </c>
      <c r="F32" s="48"/>
      <c r="G32" s="51" t="s">
        <v>162</v>
      </c>
      <c r="H32" s="49"/>
      <c r="U32" s="34"/>
    </row>
    <row r="33" ht="18" spans="1:21">
      <c r="A33" s="37"/>
      <c r="B33" s="37"/>
      <c r="C33" s="38"/>
      <c r="D33" s="47"/>
      <c r="E33" s="48" t="s">
        <v>142</v>
      </c>
      <c r="F33" s="50" t="s">
        <v>163</v>
      </c>
      <c r="G33" s="51" t="s">
        <v>155</v>
      </c>
      <c r="H33" s="49">
        <f>I13</f>
        <v>0</v>
      </c>
      <c r="I33" s="34" t="s">
        <v>164</v>
      </c>
      <c r="J33" s="34" t="s">
        <v>165</v>
      </c>
      <c r="U33" s="34"/>
    </row>
    <row r="34" ht="18" spans="1:21">
      <c r="A34" s="37"/>
      <c r="B34" s="37"/>
      <c r="C34" s="38"/>
      <c r="D34" s="47"/>
      <c r="E34" s="48" t="s">
        <v>141</v>
      </c>
      <c r="F34" s="48" t="s">
        <v>166</v>
      </c>
      <c r="G34" s="48" t="s">
        <v>167</v>
      </c>
      <c r="H34" s="49">
        <f>I12</f>
        <v>0.223456386801699</v>
      </c>
      <c r="I34" s="34" t="s">
        <v>168</v>
      </c>
      <c r="U34" s="34"/>
    </row>
    <row r="35" ht="18" spans="1:21">
      <c r="A35" s="37"/>
      <c r="B35" s="37"/>
      <c r="C35" s="38"/>
      <c r="D35" s="47"/>
      <c r="E35" s="48" t="s">
        <v>135</v>
      </c>
      <c r="F35" s="50" t="s">
        <v>169</v>
      </c>
      <c r="G35" s="48" t="s">
        <v>170</v>
      </c>
      <c r="H35" s="49">
        <f>I11</f>
        <v>0.186213655668082</v>
      </c>
      <c r="U35" s="34"/>
    </row>
    <row r="36" ht="18" spans="1:21">
      <c r="A36" s="37"/>
      <c r="B36" s="37"/>
      <c r="C36" s="38"/>
      <c r="D36" s="52"/>
      <c r="E36" s="51" t="s">
        <v>137</v>
      </c>
      <c r="F36" s="53" t="s">
        <v>169</v>
      </c>
      <c r="G36" s="34" t="s">
        <v>171</v>
      </c>
      <c r="H36" s="49">
        <f>I14</f>
        <v>0.186213655668082</v>
      </c>
      <c r="U36" s="34"/>
    </row>
    <row r="37" ht="18" spans="1:21">
      <c r="A37" s="37"/>
      <c r="B37" s="37"/>
      <c r="C37" s="38"/>
      <c r="D37" s="52"/>
      <c r="E37" s="48" t="s">
        <v>172</v>
      </c>
      <c r="F37" s="48" t="s">
        <v>160</v>
      </c>
      <c r="G37" s="51" t="s">
        <v>161</v>
      </c>
      <c r="H37" s="49">
        <f>I16</f>
        <v>0.106174452793205</v>
      </c>
      <c r="U37" s="34"/>
    </row>
    <row r="38" ht="18" spans="1:21">
      <c r="A38" s="37"/>
      <c r="B38" s="37"/>
      <c r="C38" s="38"/>
      <c r="U38" s="34"/>
    </row>
    <row r="39" ht="18" spans="1:21">
      <c r="A39" s="37"/>
      <c r="B39" s="37"/>
      <c r="C39" s="38"/>
      <c r="U39" s="34"/>
    </row>
    <row r="40" ht="18" spans="1:21">
      <c r="A40" s="37"/>
      <c r="B40" s="37"/>
      <c r="C40" s="38"/>
      <c r="U40" s="34"/>
    </row>
    <row r="41" ht="18" spans="1:21">
      <c r="A41" s="37"/>
      <c r="B41" s="37"/>
      <c r="C41" s="38"/>
      <c r="U41" s="34"/>
    </row>
    <row r="42" ht="18" spans="1:21">
      <c r="A42" s="37"/>
      <c r="B42" s="37"/>
      <c r="C42" s="38"/>
      <c r="U42" s="34"/>
    </row>
    <row r="43" ht="18" spans="1:21">
      <c r="A43" s="37"/>
      <c r="B43" s="37"/>
      <c r="C43" s="38"/>
      <c r="U43" s="34"/>
    </row>
    <row r="44" ht="18" spans="1:21">
      <c r="A44" s="37"/>
      <c r="B44" s="37"/>
      <c r="C44" s="38"/>
      <c r="U44" s="34"/>
    </row>
    <row r="45" ht="18" spans="1:21">
      <c r="A45" s="37"/>
      <c r="B45" s="37"/>
      <c r="C45" s="38"/>
      <c r="U45" s="34"/>
    </row>
    <row r="46" ht="18" spans="1:21">
      <c r="A46" s="37"/>
      <c r="B46" s="37"/>
      <c r="C46" s="38"/>
      <c r="U46" s="34"/>
    </row>
    <row r="47" ht="18" spans="1:21">
      <c r="A47" s="37"/>
      <c r="B47" s="37"/>
      <c r="C47" s="38"/>
      <c r="U47" s="34"/>
    </row>
    <row r="48" ht="18" spans="1:21">
      <c r="A48" s="37"/>
      <c r="B48" s="37"/>
      <c r="C48" s="38"/>
      <c r="U48" s="34"/>
    </row>
    <row r="49" ht="18" spans="1:21">
      <c r="A49" s="37"/>
      <c r="B49" s="37"/>
      <c r="C49" s="38"/>
      <c r="U49" s="34"/>
    </row>
    <row r="50" ht="18" spans="1:21">
      <c r="A50" s="37"/>
      <c r="B50" s="37"/>
      <c r="C50" s="38"/>
      <c r="U50" s="34"/>
    </row>
    <row r="51" ht="18" spans="1:21">
      <c r="A51" s="37"/>
      <c r="B51" s="37"/>
      <c r="C51" s="38"/>
      <c r="U51" s="34"/>
    </row>
    <row r="52" ht="18" spans="1:21">
      <c r="A52" s="37"/>
      <c r="B52" s="37"/>
      <c r="C52" s="38"/>
      <c r="U52" s="34"/>
    </row>
    <row r="53" ht="18" spans="1:21">
      <c r="A53" s="37"/>
      <c r="B53" s="37"/>
      <c r="C53" s="38"/>
      <c r="U53" s="34"/>
    </row>
    <row r="54" ht="18" spans="1:21">
      <c r="A54" s="37"/>
      <c r="B54" s="37"/>
      <c r="C54" s="38"/>
      <c r="U54" s="34"/>
    </row>
    <row r="55" ht="18" spans="1:21">
      <c r="A55" s="37"/>
      <c r="B55" s="37"/>
      <c r="C55" s="38"/>
      <c r="U55" s="34"/>
    </row>
    <row r="56" ht="18" spans="1:21">
      <c r="A56" s="37"/>
      <c r="B56" s="37"/>
      <c r="C56" s="38"/>
      <c r="U56" s="34"/>
    </row>
    <row r="57" ht="18" spans="1:21">
      <c r="A57" s="37"/>
      <c r="B57" s="37"/>
      <c r="C57" s="38"/>
      <c r="U57" s="34"/>
    </row>
    <row r="58" ht="18" spans="1:21">
      <c r="A58" s="37"/>
      <c r="B58" s="37"/>
      <c r="C58" s="38"/>
      <c r="U58" s="34"/>
    </row>
    <row r="59" ht="18" spans="1:21">
      <c r="A59" s="37"/>
      <c r="B59" s="37"/>
      <c r="C59" s="38"/>
      <c r="U59" s="34"/>
    </row>
    <row r="60" ht="18" spans="1:21">
      <c r="A60" s="37"/>
      <c r="B60" s="37"/>
      <c r="C60" s="38"/>
      <c r="U60" s="34"/>
    </row>
    <row r="61" ht="18" spans="1:21">
      <c r="A61" s="37"/>
      <c r="B61" s="37"/>
      <c r="C61" s="38"/>
      <c r="U61" s="34"/>
    </row>
    <row r="62" ht="18" spans="1:21">
      <c r="A62" s="37"/>
      <c r="B62" s="37"/>
      <c r="C62" s="38"/>
      <c r="U62" s="34"/>
    </row>
    <row r="63" ht="18" spans="1:21">
      <c r="A63" s="37"/>
      <c r="B63" s="37"/>
      <c r="C63" s="38"/>
      <c r="U63" s="34"/>
    </row>
    <row r="64" ht="18" spans="1:21">
      <c r="A64" s="37"/>
      <c r="B64" s="37"/>
      <c r="C64" s="38"/>
      <c r="U64" s="34"/>
    </row>
    <row r="65" ht="18" spans="1:21">
      <c r="A65" s="37"/>
      <c r="B65" s="37"/>
      <c r="C65" s="38"/>
      <c r="U65" s="34"/>
    </row>
  </sheetData>
  <conditionalFormatting sqref="H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{2815019a-ecbf-427f-9526-16e10a194416}</x14:id>
        </ext>
      </extLst>
    </cfRule>
  </conditionalFormatting>
  <conditionalFormatting sqref="H26:H3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{803bdffa-973e-44ad-92ef-9b4245bc98ab}</x14:id>
        </ext>
      </extLst>
    </cfRule>
  </conditionalFormatting>
  <pageMargins left="0.75" right="0.75" top="1" bottom="1" header="0.5" footer="0.5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15019a-ecbf-427f-9526-16e10a194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803bdffa-973e-44ad-92ef-9b4245bc98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H26:H37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3:AD61"/>
  <sheetViews>
    <sheetView workbookViewId="0">
      <selection activeCell="H20" sqref="H20"/>
    </sheetView>
  </sheetViews>
  <sheetFormatPr defaultColWidth="9.14285714285714" defaultRowHeight="12.75"/>
  <cols>
    <col min="1" max="1" width="12.8571428571429"/>
    <col min="2" max="2" width="21" customWidth="1"/>
    <col min="4" max="15" width="12.8571428571429"/>
    <col min="18" max="29" width="12.8571428571429"/>
  </cols>
  <sheetData>
    <row r="3" spans="1:29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R3">
        <v>1</v>
      </c>
      <c r="S3">
        <v>2</v>
      </c>
      <c r="T3">
        <v>3</v>
      </c>
      <c r="U3">
        <v>4</v>
      </c>
      <c r="V3">
        <v>5</v>
      </c>
      <c r="W3">
        <v>6</v>
      </c>
      <c r="X3">
        <v>7</v>
      </c>
      <c r="Y3">
        <v>8</v>
      </c>
      <c r="Z3">
        <v>9</v>
      </c>
      <c r="AA3">
        <v>10</v>
      </c>
      <c r="AB3">
        <v>11</v>
      </c>
      <c r="AC3">
        <v>12</v>
      </c>
    </row>
    <row r="4" spans="1:29">
      <c r="A4">
        <f>500</f>
        <v>500</v>
      </c>
      <c r="B4" t="s">
        <v>67</v>
      </c>
      <c r="C4">
        <v>613</v>
      </c>
      <c r="D4">
        <f>秘宝养成!H101</f>
        <v>0.0833333333333333</v>
      </c>
      <c r="E4">
        <f>秘宝养成!I101</f>
        <v>0.12</v>
      </c>
      <c r="F4">
        <f>秘宝养成!J101</f>
        <v>0.125</v>
      </c>
      <c r="G4">
        <f>秘宝养成!K101</f>
        <v>0.15</v>
      </c>
      <c r="H4">
        <f>秘宝养成!L101</f>
        <v>0.18</v>
      </c>
      <c r="I4">
        <f>秘宝养成!M101</f>
        <v>0.216</v>
      </c>
      <c r="J4">
        <f>秘宝养成!N101</f>
        <v>0.27</v>
      </c>
      <c r="K4">
        <f>秘宝养成!O101</f>
        <v>0.3375</v>
      </c>
      <c r="L4">
        <f>秘宝养成!P101</f>
        <v>0.405</v>
      </c>
      <c r="M4">
        <f>秘宝养成!Q101</f>
        <v>0.486</v>
      </c>
      <c r="N4">
        <f t="shared" ref="N4:N12" si="0">M4*1.2</f>
        <v>0.5832</v>
      </c>
      <c r="O4">
        <f t="shared" ref="O4:O29" si="1">N4*1.2</f>
        <v>0.69984</v>
      </c>
      <c r="Q4">
        <v>1</v>
      </c>
      <c r="R4">
        <f ca="1">INT(OFFSET($C$3,$Q4,_xlfn.XLOOKUP(R$3,秘宝养成!$D$20:$D$31,秘宝养成!$C$20:$C$31))*10000)</f>
        <v>1500</v>
      </c>
      <c r="S4">
        <f ca="1">INT(OFFSET($C$3,$Q4,_xlfn.XLOOKUP(S$3,秘宝养成!$D$20:$D$31,秘宝养成!$C$20:$C$31))*10000)</f>
        <v>1500</v>
      </c>
      <c r="T4">
        <f ca="1">INT(OFFSET($C$3,$Q4,_xlfn.XLOOKUP(T$3,秘宝养成!$D$20:$D$31,秘宝养成!$C$20:$C$31))*10000)</f>
        <v>1800</v>
      </c>
      <c r="U4">
        <f ca="1">INT(OFFSET($C$3,$Q4,_xlfn.XLOOKUP(U$3,秘宝养成!$D$20:$D$31,秘宝养成!$C$20:$C$31))*10000)</f>
        <v>2160</v>
      </c>
      <c r="V4">
        <f ca="1">INT(OFFSET($C$3,$Q4,_xlfn.XLOOKUP(V$3,秘宝养成!$D$20:$D$31,秘宝养成!$C$20:$C$31))*10000)</f>
        <v>2700</v>
      </c>
      <c r="W4">
        <f ca="1">INT(OFFSET($C$3,$Q4,_xlfn.XLOOKUP(W$3,秘宝养成!$D$20:$D$31,秘宝养成!$C$20:$C$31))*10000)</f>
        <v>2700</v>
      </c>
      <c r="X4">
        <f ca="1">INT(OFFSET($C$3,$Q4,_xlfn.XLOOKUP(X$3,秘宝养成!$D$20:$D$31,秘宝养成!$C$20:$C$31))*10000)</f>
        <v>3375</v>
      </c>
      <c r="Y4">
        <f ca="1">INT(OFFSET($C$3,$Q4,_xlfn.XLOOKUP(Y$3,秘宝养成!$D$20:$D$31,秘宝养成!$C$20:$C$31))*10000)</f>
        <v>3375</v>
      </c>
      <c r="Z4">
        <f ca="1">INT(OFFSET($C$3,$Q4,_xlfn.XLOOKUP(Z$3,秘宝养成!$D$20:$D$31,秘宝养成!$C$20:$C$31))*10000)</f>
        <v>4050</v>
      </c>
      <c r="AA4">
        <f ca="1">INT(OFFSET($C$3,$Q4,_xlfn.XLOOKUP(AA$3,秘宝养成!$D$20:$D$31,秘宝养成!$C$20:$C$31))*10000)</f>
        <v>4050</v>
      </c>
      <c r="AB4">
        <f ca="1">INT(OFFSET($C$3,$Q4,_xlfn.XLOOKUP(AB$3,秘宝养成!$D$20:$D$31,秘宝养成!$C$20:$C$31))*10000)</f>
        <v>4860</v>
      </c>
      <c r="AC4">
        <f ca="1">INT(OFFSET($C$3,$Q4,_xlfn.XLOOKUP(AC$3,秘宝养成!$D$20:$D$31,秘宝养成!$C$20:$C$31))*10000)</f>
        <v>4860</v>
      </c>
    </row>
    <row r="5" spans="1:29">
      <c r="A5">
        <f>500</f>
        <v>500</v>
      </c>
      <c r="B5" t="s">
        <v>69</v>
      </c>
      <c r="C5">
        <v>614</v>
      </c>
      <c r="D5">
        <f>秘宝养成!H102</f>
        <v>0.0833333333333333</v>
      </c>
      <c r="E5">
        <f>秘宝养成!I102</f>
        <v>0.12</v>
      </c>
      <c r="F5">
        <f>秘宝养成!J102</f>
        <v>0.125</v>
      </c>
      <c r="G5">
        <f>秘宝养成!K102</f>
        <v>0.15</v>
      </c>
      <c r="H5">
        <f>秘宝养成!L102</f>
        <v>0.18</v>
      </c>
      <c r="I5">
        <f>秘宝养成!M102</f>
        <v>0.216</v>
      </c>
      <c r="J5">
        <f>秘宝养成!N102</f>
        <v>0.27</v>
      </c>
      <c r="K5">
        <f>秘宝养成!O102</f>
        <v>0.3375</v>
      </c>
      <c r="L5">
        <f>秘宝养成!P102</f>
        <v>0.405</v>
      </c>
      <c r="M5">
        <f>秘宝养成!Q102</f>
        <v>0.486</v>
      </c>
      <c r="N5">
        <f t="shared" si="0"/>
        <v>0.5832</v>
      </c>
      <c r="O5">
        <f t="shared" si="1"/>
        <v>0.69984</v>
      </c>
      <c r="Q5">
        <v>2</v>
      </c>
      <c r="R5">
        <f ca="1">INT(OFFSET($C$3,$Q5,_xlfn.XLOOKUP(R$3,秘宝养成!$D$20:$D$31,秘宝养成!$C$20:$C$31))*10000)</f>
        <v>1500</v>
      </c>
      <c r="S5">
        <f ca="1">INT(OFFSET($C$3,$Q5,_xlfn.XLOOKUP(S$3,秘宝养成!$D$20:$D$31,秘宝养成!$C$20:$C$31))*10000)</f>
        <v>1500</v>
      </c>
      <c r="T5">
        <f ca="1">INT(OFFSET($C$3,$Q5,_xlfn.XLOOKUP(T$3,秘宝养成!$D$20:$D$31,秘宝养成!$C$20:$C$31))*10000)</f>
        <v>1800</v>
      </c>
      <c r="U5">
        <f ca="1">INT(OFFSET($C$3,$Q5,_xlfn.XLOOKUP(U$3,秘宝养成!$D$20:$D$31,秘宝养成!$C$20:$C$31))*10000)</f>
        <v>2160</v>
      </c>
      <c r="V5">
        <f ca="1">INT(OFFSET($C$3,$Q5,_xlfn.XLOOKUP(V$3,秘宝养成!$D$20:$D$31,秘宝养成!$C$20:$C$31))*10000)</f>
        <v>2700</v>
      </c>
      <c r="W5">
        <f ca="1">INT(OFFSET($C$3,$Q5,_xlfn.XLOOKUP(W$3,秘宝养成!$D$20:$D$31,秘宝养成!$C$20:$C$31))*10000)</f>
        <v>2700</v>
      </c>
      <c r="X5">
        <f ca="1">INT(OFFSET($C$3,$Q5,_xlfn.XLOOKUP(X$3,秘宝养成!$D$20:$D$31,秘宝养成!$C$20:$C$31))*10000)</f>
        <v>3375</v>
      </c>
      <c r="Y5">
        <f ca="1">INT(OFFSET($C$3,$Q5,_xlfn.XLOOKUP(Y$3,秘宝养成!$D$20:$D$31,秘宝养成!$C$20:$C$31))*10000)</f>
        <v>3375</v>
      </c>
      <c r="Z5">
        <f ca="1">INT(OFFSET($C$3,$Q5,_xlfn.XLOOKUP(Z$3,秘宝养成!$D$20:$D$31,秘宝养成!$C$20:$C$31))*10000)</f>
        <v>4050</v>
      </c>
      <c r="AA5">
        <f ca="1">INT(OFFSET($C$3,$Q5,_xlfn.XLOOKUP(AA$3,秘宝养成!$D$20:$D$31,秘宝养成!$C$20:$C$31))*10000)</f>
        <v>4050</v>
      </c>
      <c r="AB5">
        <f ca="1">INT(OFFSET($C$3,$Q5,_xlfn.XLOOKUP(AB$3,秘宝养成!$D$20:$D$31,秘宝养成!$C$20:$C$31))*10000)</f>
        <v>4860</v>
      </c>
      <c r="AC5">
        <f ca="1">INT(OFFSET($C$3,$Q5,_xlfn.XLOOKUP(AC$3,秘宝养成!$D$20:$D$31,秘宝养成!$C$20:$C$31))*10000)</f>
        <v>4860</v>
      </c>
    </row>
    <row r="6" spans="1:29">
      <c r="A6">
        <f>500</f>
        <v>500</v>
      </c>
      <c r="B6" t="s">
        <v>71</v>
      </c>
      <c r="C6">
        <v>615</v>
      </c>
      <c r="D6">
        <f>秘宝养成!H103</f>
        <v>0.0833333333333333</v>
      </c>
      <c r="E6">
        <f>秘宝养成!I103</f>
        <v>0.12</v>
      </c>
      <c r="F6">
        <f>秘宝养成!J103</f>
        <v>0.125</v>
      </c>
      <c r="G6">
        <f>秘宝养成!K103</f>
        <v>0.15</v>
      </c>
      <c r="H6">
        <f>秘宝养成!L103</f>
        <v>0.18</v>
      </c>
      <c r="I6">
        <f>秘宝养成!M103</f>
        <v>0.216</v>
      </c>
      <c r="J6">
        <f>秘宝养成!N103</f>
        <v>0.27</v>
      </c>
      <c r="K6">
        <f>秘宝养成!O103</f>
        <v>0.3375</v>
      </c>
      <c r="L6">
        <f>秘宝养成!P103</f>
        <v>0.405</v>
      </c>
      <c r="M6">
        <f>秘宝养成!Q103</f>
        <v>0.486</v>
      </c>
      <c r="N6">
        <f t="shared" si="0"/>
        <v>0.5832</v>
      </c>
      <c r="O6">
        <f t="shared" si="1"/>
        <v>0.69984</v>
      </c>
      <c r="Q6">
        <v>3</v>
      </c>
      <c r="R6">
        <f ca="1">INT(OFFSET($C$3,$Q6,_xlfn.XLOOKUP(R$3,秘宝养成!$D$20:$D$31,秘宝养成!$C$20:$C$31))*10000)</f>
        <v>1500</v>
      </c>
      <c r="S6">
        <f ca="1">INT(OFFSET($C$3,$Q6,_xlfn.XLOOKUP(S$3,秘宝养成!$D$20:$D$31,秘宝养成!$C$20:$C$31))*10000)</f>
        <v>1500</v>
      </c>
      <c r="T6">
        <f ca="1">INT(OFFSET($C$3,$Q6,_xlfn.XLOOKUP(T$3,秘宝养成!$D$20:$D$31,秘宝养成!$C$20:$C$31))*10000)</f>
        <v>1800</v>
      </c>
      <c r="U6">
        <f ca="1">INT(OFFSET($C$3,$Q6,_xlfn.XLOOKUP(U$3,秘宝养成!$D$20:$D$31,秘宝养成!$C$20:$C$31))*10000)</f>
        <v>2160</v>
      </c>
      <c r="V6">
        <f ca="1">INT(OFFSET($C$3,$Q6,_xlfn.XLOOKUP(V$3,秘宝养成!$D$20:$D$31,秘宝养成!$C$20:$C$31))*10000)</f>
        <v>2700</v>
      </c>
      <c r="W6">
        <f ca="1">INT(OFFSET($C$3,$Q6,_xlfn.XLOOKUP(W$3,秘宝养成!$D$20:$D$31,秘宝养成!$C$20:$C$31))*10000)</f>
        <v>2700</v>
      </c>
      <c r="X6">
        <f ca="1">INT(OFFSET($C$3,$Q6,_xlfn.XLOOKUP(X$3,秘宝养成!$D$20:$D$31,秘宝养成!$C$20:$C$31))*10000)</f>
        <v>3375</v>
      </c>
      <c r="Y6">
        <f ca="1">INT(OFFSET($C$3,$Q6,_xlfn.XLOOKUP(Y$3,秘宝养成!$D$20:$D$31,秘宝养成!$C$20:$C$31))*10000)</f>
        <v>3375</v>
      </c>
      <c r="Z6">
        <f ca="1">INT(OFFSET($C$3,$Q6,_xlfn.XLOOKUP(Z$3,秘宝养成!$D$20:$D$31,秘宝养成!$C$20:$C$31))*10000)</f>
        <v>4050</v>
      </c>
      <c r="AA6">
        <f ca="1">INT(OFFSET($C$3,$Q6,_xlfn.XLOOKUP(AA$3,秘宝养成!$D$20:$D$31,秘宝养成!$C$20:$C$31))*10000)</f>
        <v>4050</v>
      </c>
      <c r="AB6">
        <f ca="1">INT(OFFSET($C$3,$Q6,_xlfn.XLOOKUP(AB$3,秘宝养成!$D$20:$D$31,秘宝养成!$C$20:$C$31))*10000)</f>
        <v>4860</v>
      </c>
      <c r="AC6">
        <f ca="1">INT(OFFSET($C$3,$Q6,_xlfn.XLOOKUP(AC$3,秘宝养成!$D$20:$D$31,秘宝养成!$C$20:$C$31))*10000)</f>
        <v>4860</v>
      </c>
    </row>
    <row r="7" spans="1:29">
      <c r="A7">
        <f>500</f>
        <v>500</v>
      </c>
      <c r="B7" t="s">
        <v>73</v>
      </c>
      <c r="C7">
        <v>610</v>
      </c>
      <c r="D7">
        <f>秘宝养成!H104</f>
        <v>0.166666666666667</v>
      </c>
      <c r="E7">
        <f>秘宝养成!I104</f>
        <v>0.24</v>
      </c>
      <c r="F7">
        <f>秘宝养成!J104</f>
        <v>0.25</v>
      </c>
      <c r="G7">
        <f>秘宝养成!K104</f>
        <v>0.3</v>
      </c>
      <c r="H7">
        <f>秘宝养成!L104</f>
        <v>0.36</v>
      </c>
      <c r="I7">
        <f>秘宝养成!M104</f>
        <v>0.432</v>
      </c>
      <c r="J7">
        <f>秘宝养成!N104</f>
        <v>0.54</v>
      </c>
      <c r="K7">
        <f>秘宝养成!O104</f>
        <v>0.675</v>
      </c>
      <c r="L7">
        <f>秘宝养成!P104</f>
        <v>0.81</v>
      </c>
      <c r="M7">
        <f>秘宝养成!Q104</f>
        <v>0.972</v>
      </c>
      <c r="N7">
        <f t="shared" si="0"/>
        <v>1.1664</v>
      </c>
      <c r="O7">
        <f t="shared" si="1"/>
        <v>1.39968</v>
      </c>
      <c r="Q7">
        <v>4</v>
      </c>
      <c r="R7">
        <f ca="1">INT(OFFSET($C$3,$Q7,_xlfn.XLOOKUP(R$3,秘宝养成!$D$20:$D$31,秘宝养成!$C$20:$C$31))*10000)</f>
        <v>3000</v>
      </c>
      <c r="S7">
        <f ca="1">INT(OFFSET($C$3,$Q7,_xlfn.XLOOKUP(S$3,秘宝养成!$D$20:$D$31,秘宝养成!$C$20:$C$31))*10000)</f>
        <v>3000</v>
      </c>
      <c r="T7">
        <f ca="1">INT(OFFSET($C$3,$Q7,_xlfn.XLOOKUP(T$3,秘宝养成!$D$20:$D$31,秘宝养成!$C$20:$C$31))*10000)</f>
        <v>3600</v>
      </c>
      <c r="U7">
        <f ca="1">INT(OFFSET($C$3,$Q7,_xlfn.XLOOKUP(U$3,秘宝养成!$D$20:$D$31,秘宝养成!$C$20:$C$31))*10000)</f>
        <v>4320</v>
      </c>
      <c r="V7">
        <f ca="1">INT(OFFSET($C$3,$Q7,_xlfn.XLOOKUP(V$3,秘宝养成!$D$20:$D$31,秘宝养成!$C$20:$C$31))*10000)</f>
        <v>5400</v>
      </c>
      <c r="W7">
        <f ca="1">INT(OFFSET($C$3,$Q7,_xlfn.XLOOKUP(W$3,秘宝养成!$D$20:$D$31,秘宝养成!$C$20:$C$31))*10000)</f>
        <v>5400</v>
      </c>
      <c r="X7">
        <f ca="1">INT(OFFSET($C$3,$Q7,_xlfn.XLOOKUP(X$3,秘宝养成!$D$20:$D$31,秘宝养成!$C$20:$C$31))*10000)</f>
        <v>6750</v>
      </c>
      <c r="Y7">
        <f ca="1">INT(OFFSET($C$3,$Q7,_xlfn.XLOOKUP(Y$3,秘宝养成!$D$20:$D$31,秘宝养成!$C$20:$C$31))*10000)</f>
        <v>6750</v>
      </c>
      <c r="Z7">
        <f ca="1">INT(OFFSET($C$3,$Q7,_xlfn.XLOOKUP(Z$3,秘宝养成!$D$20:$D$31,秘宝养成!$C$20:$C$31))*10000)</f>
        <v>8100</v>
      </c>
      <c r="AA7">
        <f ca="1">INT(OFFSET($C$3,$Q7,_xlfn.XLOOKUP(AA$3,秘宝养成!$D$20:$D$31,秘宝养成!$C$20:$C$31))*10000)</f>
        <v>8100</v>
      </c>
      <c r="AB7">
        <f ca="1">INT(OFFSET($C$3,$Q7,_xlfn.XLOOKUP(AB$3,秘宝养成!$D$20:$D$31,秘宝养成!$C$20:$C$31))*10000)</f>
        <v>9720</v>
      </c>
      <c r="AC7">
        <f ca="1">INT(OFFSET($C$3,$Q7,_xlfn.XLOOKUP(AC$3,秘宝养成!$D$20:$D$31,秘宝养成!$C$20:$C$31))*10000)</f>
        <v>9720</v>
      </c>
    </row>
    <row r="8" spans="1:29">
      <c r="A8">
        <v>150</v>
      </c>
      <c r="B8" t="s">
        <v>78</v>
      </c>
      <c r="C8">
        <v>1113</v>
      </c>
      <c r="D8">
        <f>秘宝养成!H105</f>
        <v>0.0578703703703704</v>
      </c>
      <c r="E8">
        <f>秘宝养成!I105</f>
        <v>0.08</v>
      </c>
      <c r="F8">
        <f>秘宝养成!J105</f>
        <v>0.0833333333333333</v>
      </c>
      <c r="G8">
        <f>秘宝养成!K105</f>
        <v>0.1</v>
      </c>
      <c r="H8">
        <f>秘宝养成!L105</f>
        <v>0.12</v>
      </c>
      <c r="I8">
        <f>秘宝养成!M105</f>
        <v>0.144</v>
      </c>
      <c r="J8">
        <f>秘宝养成!N105</f>
        <v>0.18</v>
      </c>
      <c r="K8">
        <f>秘宝养成!O105</f>
        <v>0.225</v>
      </c>
      <c r="L8">
        <f>秘宝养成!P105</f>
        <v>0.27</v>
      </c>
      <c r="M8">
        <f>秘宝养成!Q105</f>
        <v>0.324</v>
      </c>
      <c r="N8">
        <f t="shared" si="0"/>
        <v>0.3888</v>
      </c>
      <c r="O8">
        <f t="shared" si="1"/>
        <v>0.46656</v>
      </c>
      <c r="Q8">
        <v>5</v>
      </c>
      <c r="R8">
        <f ca="1">INT(OFFSET($C$3,$Q8,_xlfn.XLOOKUP(R$3,秘宝养成!$D$20:$D$31,秘宝养成!$C$20:$C$31))*10000)</f>
        <v>1000</v>
      </c>
      <c r="S8">
        <f ca="1">INT(OFFSET($C$3,$Q8,_xlfn.XLOOKUP(S$3,秘宝养成!$D$20:$D$31,秘宝养成!$C$20:$C$31))*10000)</f>
        <v>1000</v>
      </c>
      <c r="T8">
        <f ca="1">INT(OFFSET($C$3,$Q8,_xlfn.XLOOKUP(T$3,秘宝养成!$D$20:$D$31,秘宝养成!$C$20:$C$31))*10000)</f>
        <v>1200</v>
      </c>
      <c r="U8">
        <f ca="1">INT(OFFSET($C$3,$Q8,_xlfn.XLOOKUP(U$3,秘宝养成!$D$20:$D$31,秘宝养成!$C$20:$C$31))*10000)</f>
        <v>1440</v>
      </c>
      <c r="V8">
        <f ca="1">INT(OFFSET($C$3,$Q8,_xlfn.XLOOKUP(V$3,秘宝养成!$D$20:$D$31,秘宝养成!$C$20:$C$31))*10000)</f>
        <v>1800</v>
      </c>
      <c r="W8">
        <f ca="1">INT(OFFSET($C$3,$Q8,_xlfn.XLOOKUP(W$3,秘宝养成!$D$20:$D$31,秘宝养成!$C$20:$C$31))*10000)</f>
        <v>1800</v>
      </c>
      <c r="X8">
        <f ca="1">INT(OFFSET($C$3,$Q8,_xlfn.XLOOKUP(X$3,秘宝养成!$D$20:$D$31,秘宝养成!$C$20:$C$31))*10000)</f>
        <v>2250</v>
      </c>
      <c r="Y8">
        <f ca="1">INT(OFFSET($C$3,$Q8,_xlfn.XLOOKUP(Y$3,秘宝养成!$D$20:$D$31,秘宝养成!$C$20:$C$31))*10000)</f>
        <v>2250</v>
      </c>
      <c r="Z8">
        <f ca="1">INT(OFFSET($C$3,$Q8,_xlfn.XLOOKUP(Z$3,秘宝养成!$D$20:$D$31,秘宝养成!$C$20:$C$31))*10000)</f>
        <v>2700</v>
      </c>
      <c r="AA8">
        <f ca="1">INT(OFFSET($C$3,$Q8,_xlfn.XLOOKUP(AA$3,秘宝养成!$D$20:$D$31,秘宝养成!$C$20:$C$31))*10000)</f>
        <v>2700</v>
      </c>
      <c r="AB8">
        <f ca="1">INT(OFFSET($C$3,$Q8,_xlfn.XLOOKUP(AB$3,秘宝养成!$D$20:$D$31,秘宝养成!$C$20:$C$31))*10000)</f>
        <v>3240</v>
      </c>
      <c r="AC8">
        <f ca="1">INT(OFFSET($C$3,$Q8,_xlfn.XLOOKUP(AC$3,秘宝养成!$D$20:$D$31,秘宝养成!$C$20:$C$31))*10000)</f>
        <v>3240</v>
      </c>
    </row>
    <row r="9" spans="1:29">
      <c r="A9">
        <v>150</v>
      </c>
      <c r="B9" t="s">
        <v>79</v>
      </c>
      <c r="C9">
        <v>1213</v>
      </c>
      <c r="D9">
        <f>秘宝养成!H106</f>
        <v>0.0578703703703704</v>
      </c>
      <c r="E9">
        <f>秘宝养成!I106</f>
        <v>0.08</v>
      </c>
      <c r="F9">
        <f>秘宝养成!J106</f>
        <v>0.0833333333333333</v>
      </c>
      <c r="G9">
        <f>秘宝养成!K106</f>
        <v>0.1</v>
      </c>
      <c r="H9">
        <f>秘宝养成!L106</f>
        <v>0.12</v>
      </c>
      <c r="I9">
        <f>秘宝养成!M106</f>
        <v>0.144</v>
      </c>
      <c r="J9">
        <f>秘宝养成!N106</f>
        <v>0.18</v>
      </c>
      <c r="K9">
        <f>秘宝养成!O106</f>
        <v>0.225</v>
      </c>
      <c r="L9">
        <f>秘宝养成!P106</f>
        <v>0.27</v>
      </c>
      <c r="M9">
        <f>秘宝养成!Q106</f>
        <v>0.324</v>
      </c>
      <c r="N9">
        <f t="shared" si="0"/>
        <v>0.3888</v>
      </c>
      <c r="O9">
        <f t="shared" si="1"/>
        <v>0.46656</v>
      </c>
      <c r="Q9">
        <v>6</v>
      </c>
      <c r="R9">
        <f ca="1">INT(OFFSET($C$3,$Q9,_xlfn.XLOOKUP(R$3,秘宝养成!$D$20:$D$31,秘宝养成!$C$20:$C$31))*10000)</f>
        <v>1000</v>
      </c>
      <c r="S9">
        <f ca="1">INT(OFFSET($C$3,$Q9,_xlfn.XLOOKUP(S$3,秘宝养成!$D$20:$D$31,秘宝养成!$C$20:$C$31))*10000)</f>
        <v>1000</v>
      </c>
      <c r="T9">
        <f ca="1">INT(OFFSET($C$3,$Q9,_xlfn.XLOOKUP(T$3,秘宝养成!$D$20:$D$31,秘宝养成!$C$20:$C$31))*10000)</f>
        <v>1200</v>
      </c>
      <c r="U9">
        <f ca="1">INT(OFFSET($C$3,$Q9,_xlfn.XLOOKUP(U$3,秘宝养成!$D$20:$D$31,秘宝养成!$C$20:$C$31))*10000)</f>
        <v>1440</v>
      </c>
      <c r="V9">
        <f ca="1">INT(OFFSET($C$3,$Q9,_xlfn.XLOOKUP(V$3,秘宝养成!$D$20:$D$31,秘宝养成!$C$20:$C$31))*10000)</f>
        <v>1800</v>
      </c>
      <c r="W9">
        <f ca="1">INT(OFFSET($C$3,$Q9,_xlfn.XLOOKUP(W$3,秘宝养成!$D$20:$D$31,秘宝养成!$C$20:$C$31))*10000)</f>
        <v>1800</v>
      </c>
      <c r="X9">
        <f ca="1">INT(OFFSET($C$3,$Q9,_xlfn.XLOOKUP(X$3,秘宝养成!$D$20:$D$31,秘宝养成!$C$20:$C$31))*10000)</f>
        <v>2250</v>
      </c>
      <c r="Y9">
        <f ca="1">INT(OFFSET($C$3,$Q9,_xlfn.XLOOKUP(Y$3,秘宝养成!$D$20:$D$31,秘宝养成!$C$20:$C$31))*10000)</f>
        <v>2250</v>
      </c>
      <c r="Z9">
        <f ca="1">INT(OFFSET($C$3,$Q9,_xlfn.XLOOKUP(Z$3,秘宝养成!$D$20:$D$31,秘宝养成!$C$20:$C$31))*10000)</f>
        <v>2700</v>
      </c>
      <c r="AA9">
        <f ca="1">INT(OFFSET($C$3,$Q9,_xlfn.XLOOKUP(AA$3,秘宝养成!$D$20:$D$31,秘宝养成!$C$20:$C$31))*10000)</f>
        <v>2700</v>
      </c>
      <c r="AB9">
        <f ca="1">INT(OFFSET($C$3,$Q9,_xlfn.XLOOKUP(AB$3,秘宝养成!$D$20:$D$31,秘宝养成!$C$20:$C$31))*10000)</f>
        <v>3240</v>
      </c>
      <c r="AC9">
        <f ca="1">INT(OFFSET($C$3,$Q9,_xlfn.XLOOKUP(AC$3,秘宝养成!$D$20:$D$31,秘宝养成!$C$20:$C$31))*10000)</f>
        <v>3240</v>
      </c>
    </row>
    <row r="10" spans="1:29">
      <c r="A10">
        <v>150</v>
      </c>
      <c r="B10" t="s">
        <v>81</v>
      </c>
      <c r="C10">
        <v>1413</v>
      </c>
      <c r="D10">
        <f>秘宝养成!H107</f>
        <v>0.0578703703703704</v>
      </c>
      <c r="E10">
        <f>秘宝养成!I107</f>
        <v>0.08</v>
      </c>
      <c r="F10">
        <f>秘宝养成!J107</f>
        <v>0.0833333333333333</v>
      </c>
      <c r="G10">
        <f>秘宝养成!K107</f>
        <v>0.1</v>
      </c>
      <c r="H10">
        <f>秘宝养成!L107</f>
        <v>0.12</v>
      </c>
      <c r="I10">
        <f>秘宝养成!M107</f>
        <v>0.144</v>
      </c>
      <c r="J10">
        <f>秘宝养成!N107</f>
        <v>0.18</v>
      </c>
      <c r="K10">
        <f>秘宝养成!O107</f>
        <v>0.225</v>
      </c>
      <c r="L10">
        <f>秘宝养成!P107</f>
        <v>0.27</v>
      </c>
      <c r="M10">
        <f>秘宝养成!Q107</f>
        <v>0.324</v>
      </c>
      <c r="N10">
        <f t="shared" si="0"/>
        <v>0.3888</v>
      </c>
      <c r="O10">
        <f t="shared" si="1"/>
        <v>0.46656</v>
      </c>
      <c r="Q10">
        <v>7</v>
      </c>
      <c r="R10">
        <f ca="1">INT(OFFSET($C$3,$Q10,_xlfn.XLOOKUP(R$3,秘宝养成!$D$20:$D$31,秘宝养成!$C$20:$C$31))*10000)</f>
        <v>1000</v>
      </c>
      <c r="S10">
        <f ca="1">INT(OFFSET($C$3,$Q10,_xlfn.XLOOKUP(S$3,秘宝养成!$D$20:$D$31,秘宝养成!$C$20:$C$31))*10000)</f>
        <v>1000</v>
      </c>
      <c r="T10">
        <f ca="1">INT(OFFSET($C$3,$Q10,_xlfn.XLOOKUP(T$3,秘宝养成!$D$20:$D$31,秘宝养成!$C$20:$C$31))*10000)</f>
        <v>1200</v>
      </c>
      <c r="U10">
        <f ca="1">INT(OFFSET($C$3,$Q10,_xlfn.XLOOKUP(U$3,秘宝养成!$D$20:$D$31,秘宝养成!$C$20:$C$31))*10000)</f>
        <v>1440</v>
      </c>
      <c r="V10">
        <f ca="1">INT(OFFSET($C$3,$Q10,_xlfn.XLOOKUP(V$3,秘宝养成!$D$20:$D$31,秘宝养成!$C$20:$C$31))*10000)</f>
        <v>1800</v>
      </c>
      <c r="W10">
        <f ca="1">INT(OFFSET($C$3,$Q10,_xlfn.XLOOKUP(W$3,秘宝养成!$D$20:$D$31,秘宝养成!$C$20:$C$31))*10000)</f>
        <v>1800</v>
      </c>
      <c r="X10">
        <f ca="1">INT(OFFSET($C$3,$Q10,_xlfn.XLOOKUP(X$3,秘宝养成!$D$20:$D$31,秘宝养成!$C$20:$C$31))*10000)</f>
        <v>2250</v>
      </c>
      <c r="Y10">
        <f ca="1">INT(OFFSET($C$3,$Q10,_xlfn.XLOOKUP(Y$3,秘宝养成!$D$20:$D$31,秘宝养成!$C$20:$C$31))*10000)</f>
        <v>2250</v>
      </c>
      <c r="Z10">
        <f ca="1">INT(OFFSET($C$3,$Q10,_xlfn.XLOOKUP(Z$3,秘宝养成!$D$20:$D$31,秘宝养成!$C$20:$C$31))*10000)</f>
        <v>2700</v>
      </c>
      <c r="AA10">
        <f ca="1">INT(OFFSET($C$3,$Q10,_xlfn.XLOOKUP(AA$3,秘宝养成!$D$20:$D$31,秘宝养成!$C$20:$C$31))*10000)</f>
        <v>2700</v>
      </c>
      <c r="AB10">
        <f ca="1">INT(OFFSET($C$3,$Q10,_xlfn.XLOOKUP(AB$3,秘宝养成!$D$20:$D$31,秘宝养成!$C$20:$C$31))*10000)</f>
        <v>3240</v>
      </c>
      <c r="AC10">
        <f ca="1">INT(OFFSET($C$3,$Q10,_xlfn.XLOOKUP(AC$3,秘宝养成!$D$20:$D$31,秘宝养成!$C$20:$C$31))*10000)</f>
        <v>3240</v>
      </c>
    </row>
    <row r="11" spans="1:29">
      <c r="A11">
        <v>150</v>
      </c>
      <c r="B11" t="s">
        <v>83</v>
      </c>
      <c r="C11">
        <v>1513</v>
      </c>
      <c r="D11">
        <f>秘宝养成!H108</f>
        <v>0.0578703703703704</v>
      </c>
      <c r="E11">
        <f>秘宝养成!I108</f>
        <v>0.08</v>
      </c>
      <c r="F11">
        <f>秘宝养成!J108</f>
        <v>0.0833333333333333</v>
      </c>
      <c r="G11">
        <f>秘宝养成!K108</f>
        <v>0.1</v>
      </c>
      <c r="H11">
        <f>秘宝养成!L108</f>
        <v>0.12</v>
      </c>
      <c r="I11">
        <f>秘宝养成!M108</f>
        <v>0.144</v>
      </c>
      <c r="J11">
        <f>秘宝养成!N108</f>
        <v>0.18</v>
      </c>
      <c r="K11">
        <f>秘宝养成!O108</f>
        <v>0.225</v>
      </c>
      <c r="L11">
        <f>秘宝养成!P108</f>
        <v>0.27</v>
      </c>
      <c r="M11">
        <f>秘宝养成!Q108</f>
        <v>0.324</v>
      </c>
      <c r="N11">
        <f t="shared" si="0"/>
        <v>0.3888</v>
      </c>
      <c r="O11">
        <f t="shared" si="1"/>
        <v>0.46656</v>
      </c>
      <c r="Q11">
        <v>8</v>
      </c>
      <c r="R11">
        <f ca="1">INT(OFFSET($C$3,$Q11,_xlfn.XLOOKUP(R$3,秘宝养成!$D$20:$D$31,秘宝养成!$C$20:$C$31))*10000)</f>
        <v>1000</v>
      </c>
      <c r="S11">
        <f ca="1">INT(OFFSET($C$3,$Q11,_xlfn.XLOOKUP(S$3,秘宝养成!$D$20:$D$31,秘宝养成!$C$20:$C$31))*10000)</f>
        <v>1000</v>
      </c>
      <c r="T11">
        <f ca="1">INT(OFFSET($C$3,$Q11,_xlfn.XLOOKUP(T$3,秘宝养成!$D$20:$D$31,秘宝养成!$C$20:$C$31))*10000)</f>
        <v>1200</v>
      </c>
      <c r="U11">
        <f ca="1">INT(OFFSET($C$3,$Q11,_xlfn.XLOOKUP(U$3,秘宝养成!$D$20:$D$31,秘宝养成!$C$20:$C$31))*10000)</f>
        <v>1440</v>
      </c>
      <c r="V11">
        <f ca="1">INT(OFFSET($C$3,$Q11,_xlfn.XLOOKUP(V$3,秘宝养成!$D$20:$D$31,秘宝养成!$C$20:$C$31))*10000)</f>
        <v>1800</v>
      </c>
      <c r="W11">
        <f ca="1">INT(OFFSET($C$3,$Q11,_xlfn.XLOOKUP(W$3,秘宝养成!$D$20:$D$31,秘宝养成!$C$20:$C$31))*10000)</f>
        <v>1800</v>
      </c>
      <c r="X11">
        <f ca="1">INT(OFFSET($C$3,$Q11,_xlfn.XLOOKUP(X$3,秘宝养成!$D$20:$D$31,秘宝养成!$C$20:$C$31))*10000)</f>
        <v>2250</v>
      </c>
      <c r="Y11">
        <f ca="1">INT(OFFSET($C$3,$Q11,_xlfn.XLOOKUP(Y$3,秘宝养成!$D$20:$D$31,秘宝养成!$C$20:$C$31))*10000)</f>
        <v>2250</v>
      </c>
      <c r="Z11">
        <f ca="1">INT(OFFSET($C$3,$Q11,_xlfn.XLOOKUP(Z$3,秘宝养成!$D$20:$D$31,秘宝养成!$C$20:$C$31))*10000)</f>
        <v>2700</v>
      </c>
      <c r="AA11">
        <f ca="1">INT(OFFSET($C$3,$Q11,_xlfn.XLOOKUP(AA$3,秘宝养成!$D$20:$D$31,秘宝养成!$C$20:$C$31))*10000)</f>
        <v>2700</v>
      </c>
      <c r="AB11">
        <f ca="1">INT(OFFSET($C$3,$Q11,_xlfn.XLOOKUP(AB$3,秘宝养成!$D$20:$D$31,秘宝养成!$C$20:$C$31))*10000)</f>
        <v>3240</v>
      </c>
      <c r="AC11">
        <f ca="1">INT(OFFSET($C$3,$Q11,_xlfn.XLOOKUP(AC$3,秘宝养成!$D$20:$D$31,秘宝养成!$C$20:$C$31))*10000)</f>
        <v>3240</v>
      </c>
    </row>
    <row r="12" spans="1:29">
      <c r="A12">
        <v>150</v>
      </c>
      <c r="B12" t="s">
        <v>84</v>
      </c>
      <c r="C12">
        <v>1713</v>
      </c>
      <c r="D12">
        <f>秘宝养成!H109</f>
        <v>0.0578703703703704</v>
      </c>
      <c r="E12">
        <f>秘宝养成!I109</f>
        <v>0.08</v>
      </c>
      <c r="F12">
        <f>秘宝养成!J109</f>
        <v>0.0833333333333333</v>
      </c>
      <c r="G12">
        <f>秘宝养成!K109</f>
        <v>0.1</v>
      </c>
      <c r="H12">
        <f>秘宝养成!L109</f>
        <v>0.12</v>
      </c>
      <c r="I12">
        <f>秘宝养成!M109</f>
        <v>0.144</v>
      </c>
      <c r="J12">
        <f>秘宝养成!N109</f>
        <v>0.18</v>
      </c>
      <c r="K12">
        <f>秘宝养成!O109</f>
        <v>0.225</v>
      </c>
      <c r="L12">
        <f>秘宝养成!P109</f>
        <v>0.27</v>
      </c>
      <c r="M12">
        <f>秘宝养成!Q109</f>
        <v>0.324</v>
      </c>
      <c r="N12">
        <f t="shared" si="0"/>
        <v>0.3888</v>
      </c>
      <c r="O12">
        <f t="shared" si="1"/>
        <v>0.46656</v>
      </c>
      <c r="Q12">
        <v>9</v>
      </c>
      <c r="R12">
        <f ca="1">INT(OFFSET($C$3,$Q12,_xlfn.XLOOKUP(R$3,秘宝养成!$D$20:$D$31,秘宝养成!$C$20:$C$31))*10000)</f>
        <v>1000</v>
      </c>
      <c r="S12">
        <f ca="1">INT(OFFSET($C$3,$Q12,_xlfn.XLOOKUP(S$3,秘宝养成!$D$20:$D$31,秘宝养成!$C$20:$C$31))*10000)</f>
        <v>1000</v>
      </c>
      <c r="T12">
        <f ca="1">INT(OFFSET($C$3,$Q12,_xlfn.XLOOKUP(T$3,秘宝养成!$D$20:$D$31,秘宝养成!$C$20:$C$31))*10000)</f>
        <v>1200</v>
      </c>
      <c r="U12">
        <f ca="1">INT(OFFSET($C$3,$Q12,_xlfn.XLOOKUP(U$3,秘宝养成!$D$20:$D$31,秘宝养成!$C$20:$C$31))*10000)</f>
        <v>1440</v>
      </c>
      <c r="V12">
        <f ca="1">INT(OFFSET($C$3,$Q12,_xlfn.XLOOKUP(V$3,秘宝养成!$D$20:$D$31,秘宝养成!$C$20:$C$31))*10000)</f>
        <v>1800</v>
      </c>
      <c r="W12">
        <f ca="1">INT(OFFSET($C$3,$Q12,_xlfn.XLOOKUP(W$3,秘宝养成!$D$20:$D$31,秘宝养成!$C$20:$C$31))*10000)</f>
        <v>1800</v>
      </c>
      <c r="X12">
        <f ca="1">INT(OFFSET($C$3,$Q12,_xlfn.XLOOKUP(X$3,秘宝养成!$D$20:$D$31,秘宝养成!$C$20:$C$31))*10000)</f>
        <v>2250</v>
      </c>
      <c r="Y12">
        <f ca="1">INT(OFFSET($C$3,$Q12,_xlfn.XLOOKUP(Y$3,秘宝养成!$D$20:$D$31,秘宝养成!$C$20:$C$31))*10000)</f>
        <v>2250</v>
      </c>
      <c r="Z12">
        <f ca="1">INT(OFFSET($C$3,$Q12,_xlfn.XLOOKUP(Z$3,秘宝养成!$D$20:$D$31,秘宝养成!$C$20:$C$31))*10000)</f>
        <v>2700</v>
      </c>
      <c r="AA12">
        <f ca="1">INT(OFFSET($C$3,$Q12,_xlfn.XLOOKUP(AA$3,秘宝养成!$D$20:$D$31,秘宝养成!$C$20:$C$31))*10000)</f>
        <v>2700</v>
      </c>
      <c r="AB12">
        <f ca="1">INT(OFFSET($C$3,$Q12,_xlfn.XLOOKUP(AB$3,秘宝养成!$D$20:$D$31,秘宝养成!$C$20:$C$31))*10000)</f>
        <v>3240</v>
      </c>
      <c r="AC12">
        <f ca="1">INT(OFFSET($C$3,$Q12,_xlfn.XLOOKUP(AC$3,秘宝养成!$D$20:$D$31,秘宝养成!$C$20:$C$31))*10000)</f>
        <v>3240</v>
      </c>
    </row>
    <row r="13" spans="1:29">
      <c r="A13">
        <v>525</v>
      </c>
      <c r="B13" t="s">
        <v>87</v>
      </c>
      <c r="C13">
        <v>806</v>
      </c>
      <c r="D13">
        <f>秘宝养成!H110</f>
        <v>0.0833333333333333</v>
      </c>
      <c r="E13">
        <f>秘宝养成!I110</f>
        <v>0.12</v>
      </c>
      <c r="F13">
        <f>秘宝养成!J110</f>
        <v>0.125</v>
      </c>
      <c r="G13">
        <f>秘宝养成!K110</f>
        <v>0.15</v>
      </c>
      <c r="H13">
        <f>秘宝养成!L110</f>
        <v>0.18</v>
      </c>
      <c r="I13">
        <f>秘宝养成!M110</f>
        <v>0.216</v>
      </c>
      <c r="J13">
        <f>秘宝养成!N110</f>
        <v>0.27</v>
      </c>
      <c r="K13">
        <f>秘宝养成!O110</f>
        <v>0.3375</v>
      </c>
      <c r="L13">
        <f>秘宝养成!P110</f>
        <v>0.405</v>
      </c>
      <c r="M13">
        <f>秘宝养成!Q110</f>
        <v>0.486</v>
      </c>
      <c r="N13">
        <f t="shared" ref="N13:N29" si="2">M13*1.2</f>
        <v>0.5832</v>
      </c>
      <c r="O13">
        <f t="shared" si="1"/>
        <v>0.69984</v>
      </c>
      <c r="Q13">
        <v>10</v>
      </c>
      <c r="R13">
        <f ca="1">INT(OFFSET($C$3,$Q13,_xlfn.XLOOKUP(R$3,秘宝养成!$D$20:$D$31,秘宝养成!$C$20:$C$31))*10000)</f>
        <v>1500</v>
      </c>
      <c r="S13">
        <f ca="1">INT(OFFSET($C$3,$Q13,_xlfn.XLOOKUP(S$3,秘宝养成!$D$20:$D$31,秘宝养成!$C$20:$C$31))*10000)</f>
        <v>1500</v>
      </c>
      <c r="T13">
        <f ca="1">INT(OFFSET($C$3,$Q13,_xlfn.XLOOKUP(T$3,秘宝养成!$D$20:$D$31,秘宝养成!$C$20:$C$31))*10000)</f>
        <v>1800</v>
      </c>
      <c r="U13">
        <f ca="1">INT(OFFSET($C$3,$Q13,_xlfn.XLOOKUP(U$3,秘宝养成!$D$20:$D$31,秘宝养成!$C$20:$C$31))*10000)</f>
        <v>2160</v>
      </c>
      <c r="V13">
        <f ca="1">INT(OFFSET($C$3,$Q13,_xlfn.XLOOKUP(V$3,秘宝养成!$D$20:$D$31,秘宝养成!$C$20:$C$31))*10000)</f>
        <v>2700</v>
      </c>
      <c r="W13">
        <f ca="1">INT(OFFSET($C$3,$Q13,_xlfn.XLOOKUP(W$3,秘宝养成!$D$20:$D$31,秘宝养成!$C$20:$C$31))*10000)</f>
        <v>2700</v>
      </c>
      <c r="X13">
        <f ca="1">INT(OFFSET($C$3,$Q13,_xlfn.XLOOKUP(X$3,秘宝养成!$D$20:$D$31,秘宝养成!$C$20:$C$31))*10000)</f>
        <v>3375</v>
      </c>
      <c r="Y13">
        <f ca="1">INT(OFFSET($C$3,$Q13,_xlfn.XLOOKUP(Y$3,秘宝养成!$D$20:$D$31,秘宝养成!$C$20:$C$31))*10000)</f>
        <v>3375</v>
      </c>
      <c r="Z13">
        <f ca="1">INT(OFFSET($C$3,$Q13,_xlfn.XLOOKUP(Z$3,秘宝养成!$D$20:$D$31,秘宝养成!$C$20:$C$31))*10000)</f>
        <v>4050</v>
      </c>
      <c r="AA13">
        <f ca="1">INT(OFFSET($C$3,$Q13,_xlfn.XLOOKUP(AA$3,秘宝养成!$D$20:$D$31,秘宝养成!$C$20:$C$31))*10000)</f>
        <v>4050</v>
      </c>
      <c r="AB13">
        <f ca="1">INT(OFFSET($C$3,$Q13,_xlfn.XLOOKUP(AB$3,秘宝养成!$D$20:$D$31,秘宝养成!$C$20:$C$31))*10000)</f>
        <v>4860</v>
      </c>
      <c r="AC13">
        <f ca="1">INT(OFFSET($C$3,$Q13,_xlfn.XLOOKUP(AC$3,秘宝养成!$D$20:$D$31,秘宝养成!$C$20:$C$31))*10000)</f>
        <v>4860</v>
      </c>
    </row>
    <row r="14" spans="1:29">
      <c r="A14">
        <v>525</v>
      </c>
      <c r="B14" t="s">
        <v>88</v>
      </c>
      <c r="C14">
        <v>908</v>
      </c>
      <c r="D14">
        <f>秘宝养成!H111</f>
        <v>0.0578703703703704</v>
      </c>
      <c r="E14">
        <f>秘宝养成!I111</f>
        <v>0.08</v>
      </c>
      <c r="F14">
        <f>秘宝养成!J111</f>
        <v>0.0833333333333333</v>
      </c>
      <c r="G14">
        <f>秘宝养成!K111</f>
        <v>0.1</v>
      </c>
      <c r="H14">
        <f>秘宝养成!L111</f>
        <v>0.12</v>
      </c>
      <c r="I14">
        <f>秘宝养成!M111</f>
        <v>0.144</v>
      </c>
      <c r="J14">
        <f>秘宝养成!N111</f>
        <v>0.18</v>
      </c>
      <c r="K14">
        <f>秘宝养成!O111</f>
        <v>0.225</v>
      </c>
      <c r="L14">
        <f>秘宝养成!P111</f>
        <v>0.27</v>
      </c>
      <c r="M14">
        <f>秘宝养成!Q111</f>
        <v>0.324</v>
      </c>
      <c r="N14">
        <f t="shared" si="2"/>
        <v>0.3888</v>
      </c>
      <c r="O14">
        <f t="shared" si="1"/>
        <v>0.46656</v>
      </c>
      <c r="Q14">
        <v>11</v>
      </c>
      <c r="R14">
        <f ca="1">INT(OFFSET($C$3,$Q14,_xlfn.XLOOKUP(R$3,秘宝养成!$D$20:$D$31,秘宝养成!$C$20:$C$31))*10000)</f>
        <v>1000</v>
      </c>
      <c r="S14">
        <f ca="1">INT(OFFSET($C$3,$Q14,_xlfn.XLOOKUP(S$3,秘宝养成!$D$20:$D$31,秘宝养成!$C$20:$C$31))*10000)</f>
        <v>1000</v>
      </c>
      <c r="T14">
        <f ca="1">INT(OFFSET($C$3,$Q14,_xlfn.XLOOKUP(T$3,秘宝养成!$D$20:$D$31,秘宝养成!$C$20:$C$31))*10000)</f>
        <v>1200</v>
      </c>
      <c r="U14">
        <f ca="1">INT(OFFSET($C$3,$Q14,_xlfn.XLOOKUP(U$3,秘宝养成!$D$20:$D$31,秘宝养成!$C$20:$C$31))*10000)</f>
        <v>1440</v>
      </c>
      <c r="V14">
        <f ca="1">INT(OFFSET($C$3,$Q14,_xlfn.XLOOKUP(V$3,秘宝养成!$D$20:$D$31,秘宝养成!$C$20:$C$31))*10000)</f>
        <v>1800</v>
      </c>
      <c r="W14">
        <f ca="1">INT(OFFSET($C$3,$Q14,_xlfn.XLOOKUP(W$3,秘宝养成!$D$20:$D$31,秘宝养成!$C$20:$C$31))*10000)</f>
        <v>1800</v>
      </c>
      <c r="X14">
        <f ca="1">INT(OFFSET($C$3,$Q14,_xlfn.XLOOKUP(X$3,秘宝养成!$D$20:$D$31,秘宝养成!$C$20:$C$31))*10000)</f>
        <v>2250</v>
      </c>
      <c r="Y14">
        <f ca="1">INT(OFFSET($C$3,$Q14,_xlfn.XLOOKUP(Y$3,秘宝养成!$D$20:$D$31,秘宝养成!$C$20:$C$31))*10000)</f>
        <v>2250</v>
      </c>
      <c r="Z14">
        <f ca="1">INT(OFFSET($C$3,$Q14,_xlfn.XLOOKUP(Z$3,秘宝养成!$D$20:$D$31,秘宝养成!$C$20:$C$31))*10000)</f>
        <v>2700</v>
      </c>
      <c r="AA14">
        <f ca="1">INT(OFFSET($C$3,$Q14,_xlfn.XLOOKUP(AA$3,秘宝养成!$D$20:$D$31,秘宝养成!$C$20:$C$31))*10000)</f>
        <v>2700</v>
      </c>
      <c r="AB14">
        <f ca="1">INT(OFFSET($C$3,$Q14,_xlfn.XLOOKUP(AB$3,秘宝养成!$D$20:$D$31,秘宝养成!$C$20:$C$31))*10000)</f>
        <v>3240</v>
      </c>
      <c r="AC14">
        <f ca="1">INT(OFFSET($C$3,$Q14,_xlfn.XLOOKUP(AC$3,秘宝养成!$D$20:$D$31,秘宝养成!$C$20:$C$31))*10000)</f>
        <v>3240</v>
      </c>
    </row>
    <row r="15" spans="1:29">
      <c r="A15">
        <v>525</v>
      </c>
      <c r="B15" t="s">
        <v>89</v>
      </c>
      <c r="C15">
        <v>1106</v>
      </c>
      <c r="D15">
        <f>秘宝养成!H112</f>
        <v>0.0833333333333333</v>
      </c>
      <c r="E15">
        <f>秘宝养成!I112</f>
        <v>0.12</v>
      </c>
      <c r="F15">
        <f>秘宝养成!J112</f>
        <v>0.125</v>
      </c>
      <c r="G15">
        <f>秘宝养成!K112</f>
        <v>0.15</v>
      </c>
      <c r="H15">
        <f>秘宝养成!L112</f>
        <v>0.18</v>
      </c>
      <c r="I15">
        <f>秘宝养成!M112</f>
        <v>0.216</v>
      </c>
      <c r="J15">
        <f>秘宝养成!N112</f>
        <v>0.27</v>
      </c>
      <c r="K15">
        <f>秘宝养成!O112</f>
        <v>0.3375</v>
      </c>
      <c r="L15">
        <f>秘宝养成!P112</f>
        <v>0.405</v>
      </c>
      <c r="M15">
        <f>秘宝养成!Q112</f>
        <v>0.486</v>
      </c>
      <c r="N15">
        <f t="shared" si="2"/>
        <v>0.5832</v>
      </c>
      <c r="O15">
        <f t="shared" si="1"/>
        <v>0.69984</v>
      </c>
      <c r="Q15">
        <v>12</v>
      </c>
      <c r="R15">
        <f ca="1">INT(OFFSET($C$3,$Q15,_xlfn.XLOOKUP(R$3,秘宝养成!$D$20:$D$31,秘宝养成!$C$20:$C$31))*10000)</f>
        <v>1500</v>
      </c>
      <c r="S15">
        <f ca="1">INT(OFFSET($C$3,$Q15,_xlfn.XLOOKUP(S$3,秘宝养成!$D$20:$D$31,秘宝养成!$C$20:$C$31))*10000)</f>
        <v>1500</v>
      </c>
      <c r="T15">
        <f ca="1">INT(OFFSET($C$3,$Q15,_xlfn.XLOOKUP(T$3,秘宝养成!$D$20:$D$31,秘宝养成!$C$20:$C$31))*10000)</f>
        <v>1800</v>
      </c>
      <c r="U15">
        <f ca="1">INT(OFFSET($C$3,$Q15,_xlfn.XLOOKUP(U$3,秘宝养成!$D$20:$D$31,秘宝养成!$C$20:$C$31))*10000)</f>
        <v>2160</v>
      </c>
      <c r="V15">
        <f ca="1">INT(OFFSET($C$3,$Q15,_xlfn.XLOOKUP(V$3,秘宝养成!$D$20:$D$31,秘宝养成!$C$20:$C$31))*10000)</f>
        <v>2700</v>
      </c>
      <c r="W15">
        <f ca="1">INT(OFFSET($C$3,$Q15,_xlfn.XLOOKUP(W$3,秘宝养成!$D$20:$D$31,秘宝养成!$C$20:$C$31))*10000)</f>
        <v>2700</v>
      </c>
      <c r="X15">
        <f ca="1">INT(OFFSET($C$3,$Q15,_xlfn.XLOOKUP(X$3,秘宝养成!$D$20:$D$31,秘宝养成!$C$20:$C$31))*10000)</f>
        <v>3375</v>
      </c>
      <c r="Y15">
        <f ca="1">INT(OFFSET($C$3,$Q15,_xlfn.XLOOKUP(Y$3,秘宝养成!$D$20:$D$31,秘宝养成!$C$20:$C$31))*10000)</f>
        <v>3375</v>
      </c>
      <c r="Z15">
        <f ca="1">INT(OFFSET($C$3,$Q15,_xlfn.XLOOKUP(Z$3,秘宝养成!$D$20:$D$31,秘宝养成!$C$20:$C$31))*10000)</f>
        <v>4050</v>
      </c>
      <c r="AA15">
        <f ca="1">INT(OFFSET($C$3,$Q15,_xlfn.XLOOKUP(AA$3,秘宝养成!$D$20:$D$31,秘宝养成!$C$20:$C$31))*10000)</f>
        <v>4050</v>
      </c>
      <c r="AB15">
        <f ca="1">INT(OFFSET($C$3,$Q15,_xlfn.XLOOKUP(AB$3,秘宝养成!$D$20:$D$31,秘宝养成!$C$20:$C$31))*10000)</f>
        <v>4860</v>
      </c>
      <c r="AC15">
        <f ca="1">INT(OFFSET($C$3,$Q15,_xlfn.XLOOKUP(AC$3,秘宝养成!$D$20:$D$31,秘宝养成!$C$20:$C$31))*10000)</f>
        <v>4860</v>
      </c>
    </row>
    <row r="16" spans="1:29">
      <c r="A16">
        <v>525</v>
      </c>
      <c r="B16" t="s">
        <v>90</v>
      </c>
      <c r="C16">
        <v>1206</v>
      </c>
      <c r="D16">
        <f>秘宝养成!H113</f>
        <v>0.0833333333333333</v>
      </c>
      <c r="E16">
        <f>秘宝养成!I113</f>
        <v>0.12</v>
      </c>
      <c r="F16">
        <f>秘宝养成!J113</f>
        <v>0.125</v>
      </c>
      <c r="G16">
        <f>秘宝养成!K113</f>
        <v>0.15</v>
      </c>
      <c r="H16">
        <f>秘宝养成!L113</f>
        <v>0.18</v>
      </c>
      <c r="I16">
        <f>秘宝养成!M113</f>
        <v>0.216</v>
      </c>
      <c r="J16">
        <f>秘宝养成!N113</f>
        <v>0.27</v>
      </c>
      <c r="K16">
        <f>秘宝养成!O113</f>
        <v>0.3375</v>
      </c>
      <c r="L16">
        <f>秘宝养成!P113</f>
        <v>0.405</v>
      </c>
      <c r="M16">
        <f>秘宝养成!Q113</f>
        <v>0.486</v>
      </c>
      <c r="N16">
        <f t="shared" si="2"/>
        <v>0.5832</v>
      </c>
      <c r="O16">
        <f t="shared" si="1"/>
        <v>0.69984</v>
      </c>
      <c r="Q16">
        <v>13</v>
      </c>
      <c r="R16">
        <f ca="1">INT(OFFSET($C$3,$Q16,_xlfn.XLOOKUP(R$3,秘宝养成!$D$20:$D$31,秘宝养成!$C$20:$C$31))*10000)</f>
        <v>1500</v>
      </c>
      <c r="S16">
        <f ca="1">INT(OFFSET($C$3,$Q16,_xlfn.XLOOKUP(S$3,秘宝养成!$D$20:$D$31,秘宝养成!$C$20:$C$31))*10000)</f>
        <v>1500</v>
      </c>
      <c r="T16">
        <f ca="1">INT(OFFSET($C$3,$Q16,_xlfn.XLOOKUP(T$3,秘宝养成!$D$20:$D$31,秘宝养成!$C$20:$C$31))*10000)</f>
        <v>1800</v>
      </c>
      <c r="U16">
        <f ca="1">INT(OFFSET($C$3,$Q16,_xlfn.XLOOKUP(U$3,秘宝养成!$D$20:$D$31,秘宝养成!$C$20:$C$31))*10000)</f>
        <v>2160</v>
      </c>
      <c r="V16">
        <f ca="1">INT(OFFSET($C$3,$Q16,_xlfn.XLOOKUP(V$3,秘宝养成!$D$20:$D$31,秘宝养成!$C$20:$C$31))*10000)</f>
        <v>2700</v>
      </c>
      <c r="W16">
        <f ca="1">INT(OFFSET($C$3,$Q16,_xlfn.XLOOKUP(W$3,秘宝养成!$D$20:$D$31,秘宝养成!$C$20:$C$31))*10000)</f>
        <v>2700</v>
      </c>
      <c r="X16">
        <f ca="1">INT(OFFSET($C$3,$Q16,_xlfn.XLOOKUP(X$3,秘宝养成!$D$20:$D$31,秘宝养成!$C$20:$C$31))*10000)</f>
        <v>3375</v>
      </c>
      <c r="Y16">
        <f ca="1">INT(OFFSET($C$3,$Q16,_xlfn.XLOOKUP(Y$3,秘宝养成!$D$20:$D$31,秘宝养成!$C$20:$C$31))*10000)</f>
        <v>3375</v>
      </c>
      <c r="Z16">
        <f ca="1">INT(OFFSET($C$3,$Q16,_xlfn.XLOOKUP(Z$3,秘宝养成!$D$20:$D$31,秘宝养成!$C$20:$C$31))*10000)</f>
        <v>4050</v>
      </c>
      <c r="AA16">
        <f ca="1">INT(OFFSET($C$3,$Q16,_xlfn.XLOOKUP(AA$3,秘宝养成!$D$20:$D$31,秘宝养成!$C$20:$C$31))*10000)</f>
        <v>4050</v>
      </c>
      <c r="AB16">
        <f ca="1">INT(OFFSET($C$3,$Q16,_xlfn.XLOOKUP(AB$3,秘宝养成!$D$20:$D$31,秘宝养成!$C$20:$C$31))*10000)</f>
        <v>4860</v>
      </c>
      <c r="AC16">
        <f ca="1">INT(OFFSET($C$3,$Q16,_xlfn.XLOOKUP(AC$3,秘宝养成!$D$20:$D$31,秘宝养成!$C$20:$C$31))*10000)</f>
        <v>4860</v>
      </c>
    </row>
    <row r="17" spans="1:29">
      <c r="A17">
        <v>525</v>
      </c>
      <c r="B17" t="s">
        <v>91</v>
      </c>
      <c r="C17">
        <v>1406</v>
      </c>
      <c r="D17">
        <f>秘宝养成!H114</f>
        <v>0.0833333333333333</v>
      </c>
      <c r="E17">
        <f>秘宝养成!I114</f>
        <v>0.12</v>
      </c>
      <c r="F17">
        <f>秘宝养成!J114</f>
        <v>0.125</v>
      </c>
      <c r="G17">
        <f>秘宝养成!K114</f>
        <v>0.15</v>
      </c>
      <c r="H17">
        <f>秘宝养成!L114</f>
        <v>0.18</v>
      </c>
      <c r="I17">
        <f>秘宝养成!M114</f>
        <v>0.216</v>
      </c>
      <c r="J17">
        <f>秘宝养成!N114</f>
        <v>0.27</v>
      </c>
      <c r="K17">
        <f>秘宝养成!O114</f>
        <v>0.3375</v>
      </c>
      <c r="L17">
        <f>秘宝养成!P114</f>
        <v>0.405</v>
      </c>
      <c r="M17">
        <f>秘宝养成!Q114</f>
        <v>0.486</v>
      </c>
      <c r="N17">
        <f t="shared" si="2"/>
        <v>0.5832</v>
      </c>
      <c r="O17">
        <f t="shared" si="1"/>
        <v>0.69984</v>
      </c>
      <c r="Q17">
        <v>14</v>
      </c>
      <c r="R17">
        <f ca="1">INT(OFFSET($C$3,$Q17,_xlfn.XLOOKUP(R$3,秘宝养成!$D$20:$D$31,秘宝养成!$C$20:$C$31))*10000)</f>
        <v>1500</v>
      </c>
      <c r="S17">
        <f ca="1">INT(OFFSET($C$3,$Q17,_xlfn.XLOOKUP(S$3,秘宝养成!$D$20:$D$31,秘宝养成!$C$20:$C$31))*10000)</f>
        <v>1500</v>
      </c>
      <c r="T17">
        <f ca="1">INT(OFFSET($C$3,$Q17,_xlfn.XLOOKUP(T$3,秘宝养成!$D$20:$D$31,秘宝养成!$C$20:$C$31))*10000)</f>
        <v>1800</v>
      </c>
      <c r="U17">
        <f ca="1">INT(OFFSET($C$3,$Q17,_xlfn.XLOOKUP(U$3,秘宝养成!$D$20:$D$31,秘宝养成!$C$20:$C$31))*10000)</f>
        <v>2160</v>
      </c>
      <c r="V17">
        <f ca="1">INT(OFFSET($C$3,$Q17,_xlfn.XLOOKUP(V$3,秘宝养成!$D$20:$D$31,秘宝养成!$C$20:$C$31))*10000)</f>
        <v>2700</v>
      </c>
      <c r="W17">
        <f ca="1">INT(OFFSET($C$3,$Q17,_xlfn.XLOOKUP(W$3,秘宝养成!$D$20:$D$31,秘宝养成!$C$20:$C$31))*10000)</f>
        <v>2700</v>
      </c>
      <c r="X17">
        <f ca="1">INT(OFFSET($C$3,$Q17,_xlfn.XLOOKUP(X$3,秘宝养成!$D$20:$D$31,秘宝养成!$C$20:$C$31))*10000)</f>
        <v>3375</v>
      </c>
      <c r="Y17">
        <f ca="1">INT(OFFSET($C$3,$Q17,_xlfn.XLOOKUP(Y$3,秘宝养成!$D$20:$D$31,秘宝养成!$C$20:$C$31))*10000)</f>
        <v>3375</v>
      </c>
      <c r="Z17">
        <f ca="1">INT(OFFSET($C$3,$Q17,_xlfn.XLOOKUP(Z$3,秘宝养成!$D$20:$D$31,秘宝养成!$C$20:$C$31))*10000)</f>
        <v>4050</v>
      </c>
      <c r="AA17">
        <f ca="1">INT(OFFSET($C$3,$Q17,_xlfn.XLOOKUP(AA$3,秘宝养成!$D$20:$D$31,秘宝养成!$C$20:$C$31))*10000)</f>
        <v>4050</v>
      </c>
      <c r="AB17">
        <f ca="1">INT(OFFSET($C$3,$Q17,_xlfn.XLOOKUP(AB$3,秘宝养成!$D$20:$D$31,秘宝养成!$C$20:$C$31))*10000)</f>
        <v>4860</v>
      </c>
      <c r="AC17">
        <f ca="1">INT(OFFSET($C$3,$Q17,_xlfn.XLOOKUP(AC$3,秘宝养成!$D$20:$D$31,秘宝养成!$C$20:$C$31))*10000)</f>
        <v>4860</v>
      </c>
    </row>
    <row r="18" spans="1:29">
      <c r="A18">
        <v>525</v>
      </c>
      <c r="B18" t="s">
        <v>92</v>
      </c>
      <c r="C18">
        <v>1506</v>
      </c>
      <c r="D18">
        <f>秘宝养成!H115</f>
        <v>0.0833333333333333</v>
      </c>
      <c r="E18">
        <f>秘宝养成!I115</f>
        <v>0.12</v>
      </c>
      <c r="F18">
        <f>秘宝养成!J115</f>
        <v>0.125</v>
      </c>
      <c r="G18">
        <f>秘宝养成!K115</f>
        <v>0.15</v>
      </c>
      <c r="H18">
        <f>秘宝养成!L115</f>
        <v>0.18</v>
      </c>
      <c r="I18">
        <f>秘宝养成!M115</f>
        <v>0.216</v>
      </c>
      <c r="J18">
        <f>秘宝养成!N115</f>
        <v>0.27</v>
      </c>
      <c r="K18">
        <f>秘宝养成!O115</f>
        <v>0.3375</v>
      </c>
      <c r="L18">
        <f>秘宝养成!P115</f>
        <v>0.405</v>
      </c>
      <c r="M18">
        <f>秘宝养成!Q115</f>
        <v>0.486</v>
      </c>
      <c r="N18">
        <f t="shared" si="2"/>
        <v>0.5832</v>
      </c>
      <c r="O18">
        <f t="shared" si="1"/>
        <v>0.69984</v>
      </c>
      <c r="Q18">
        <v>15</v>
      </c>
      <c r="R18">
        <f ca="1">INT(OFFSET($C$3,$Q18,_xlfn.XLOOKUP(R$3,秘宝养成!$D$20:$D$31,秘宝养成!$C$20:$C$31))*10000)</f>
        <v>1500</v>
      </c>
      <c r="S18">
        <f ca="1">INT(OFFSET($C$3,$Q18,_xlfn.XLOOKUP(S$3,秘宝养成!$D$20:$D$31,秘宝养成!$C$20:$C$31))*10000)</f>
        <v>1500</v>
      </c>
      <c r="T18">
        <f ca="1">INT(OFFSET($C$3,$Q18,_xlfn.XLOOKUP(T$3,秘宝养成!$D$20:$D$31,秘宝养成!$C$20:$C$31))*10000)</f>
        <v>1800</v>
      </c>
      <c r="U18">
        <f ca="1">INT(OFFSET($C$3,$Q18,_xlfn.XLOOKUP(U$3,秘宝养成!$D$20:$D$31,秘宝养成!$C$20:$C$31))*10000)</f>
        <v>2160</v>
      </c>
      <c r="V18">
        <f ca="1">INT(OFFSET($C$3,$Q18,_xlfn.XLOOKUP(V$3,秘宝养成!$D$20:$D$31,秘宝养成!$C$20:$C$31))*10000)</f>
        <v>2700</v>
      </c>
      <c r="W18">
        <f ca="1">INT(OFFSET($C$3,$Q18,_xlfn.XLOOKUP(W$3,秘宝养成!$D$20:$D$31,秘宝养成!$C$20:$C$31))*10000)</f>
        <v>2700</v>
      </c>
      <c r="X18">
        <f ca="1">INT(OFFSET($C$3,$Q18,_xlfn.XLOOKUP(X$3,秘宝养成!$D$20:$D$31,秘宝养成!$C$20:$C$31))*10000)</f>
        <v>3375</v>
      </c>
      <c r="Y18">
        <f ca="1">INT(OFFSET($C$3,$Q18,_xlfn.XLOOKUP(Y$3,秘宝养成!$D$20:$D$31,秘宝养成!$C$20:$C$31))*10000)</f>
        <v>3375</v>
      </c>
      <c r="Z18">
        <f ca="1">INT(OFFSET($C$3,$Q18,_xlfn.XLOOKUP(Z$3,秘宝养成!$D$20:$D$31,秘宝养成!$C$20:$C$31))*10000)</f>
        <v>4050</v>
      </c>
      <c r="AA18">
        <f ca="1">INT(OFFSET($C$3,$Q18,_xlfn.XLOOKUP(AA$3,秘宝养成!$D$20:$D$31,秘宝养成!$C$20:$C$31))*10000)</f>
        <v>4050</v>
      </c>
      <c r="AB18">
        <f ca="1">INT(OFFSET($C$3,$Q18,_xlfn.XLOOKUP(AB$3,秘宝养成!$D$20:$D$31,秘宝养成!$C$20:$C$31))*10000)</f>
        <v>4860</v>
      </c>
      <c r="AC18">
        <f ca="1">INT(OFFSET($C$3,$Q18,_xlfn.XLOOKUP(AC$3,秘宝养成!$D$20:$D$31,秘宝养成!$C$20:$C$31))*10000)</f>
        <v>4860</v>
      </c>
    </row>
    <row r="19" spans="1:29">
      <c r="A19">
        <v>525</v>
      </c>
      <c r="B19" t="s">
        <v>93</v>
      </c>
      <c r="C19">
        <v>1706</v>
      </c>
      <c r="D19">
        <f>秘宝养成!H116</f>
        <v>0.0833333333333333</v>
      </c>
      <c r="E19">
        <f>秘宝养成!I116</f>
        <v>0.12</v>
      </c>
      <c r="F19">
        <f>秘宝养成!J116</f>
        <v>0.125</v>
      </c>
      <c r="G19">
        <f>秘宝养成!K116</f>
        <v>0.15</v>
      </c>
      <c r="H19">
        <f>秘宝养成!L116</f>
        <v>0.18</v>
      </c>
      <c r="I19">
        <f>秘宝养成!M116</f>
        <v>0.216</v>
      </c>
      <c r="J19">
        <f>秘宝养成!N116</f>
        <v>0.27</v>
      </c>
      <c r="K19">
        <f>秘宝养成!O116</f>
        <v>0.3375</v>
      </c>
      <c r="L19">
        <f>秘宝养成!P116</f>
        <v>0.405</v>
      </c>
      <c r="M19">
        <f>秘宝养成!Q116</f>
        <v>0.486</v>
      </c>
      <c r="N19">
        <f t="shared" si="2"/>
        <v>0.5832</v>
      </c>
      <c r="O19">
        <f t="shared" si="1"/>
        <v>0.69984</v>
      </c>
      <c r="Q19">
        <v>16</v>
      </c>
      <c r="R19">
        <f ca="1">INT(OFFSET($C$3,$Q19,_xlfn.XLOOKUP(R$3,秘宝养成!$D$20:$D$31,秘宝养成!$C$20:$C$31))*10000)</f>
        <v>1500</v>
      </c>
      <c r="S19">
        <f ca="1">INT(OFFSET($C$3,$Q19,_xlfn.XLOOKUP(S$3,秘宝养成!$D$20:$D$31,秘宝养成!$C$20:$C$31))*10000)</f>
        <v>1500</v>
      </c>
      <c r="T19">
        <f ca="1">INT(OFFSET($C$3,$Q19,_xlfn.XLOOKUP(T$3,秘宝养成!$D$20:$D$31,秘宝养成!$C$20:$C$31))*10000)</f>
        <v>1800</v>
      </c>
      <c r="U19">
        <f ca="1">INT(OFFSET($C$3,$Q19,_xlfn.XLOOKUP(U$3,秘宝养成!$D$20:$D$31,秘宝养成!$C$20:$C$31))*10000)</f>
        <v>2160</v>
      </c>
      <c r="V19">
        <f ca="1">INT(OFFSET($C$3,$Q19,_xlfn.XLOOKUP(V$3,秘宝养成!$D$20:$D$31,秘宝养成!$C$20:$C$31))*10000)</f>
        <v>2700</v>
      </c>
      <c r="W19">
        <f ca="1">INT(OFFSET($C$3,$Q19,_xlfn.XLOOKUP(W$3,秘宝养成!$D$20:$D$31,秘宝养成!$C$20:$C$31))*10000)</f>
        <v>2700</v>
      </c>
      <c r="X19">
        <f ca="1">INT(OFFSET($C$3,$Q19,_xlfn.XLOOKUP(X$3,秘宝养成!$D$20:$D$31,秘宝养成!$C$20:$C$31))*10000)</f>
        <v>3375</v>
      </c>
      <c r="Y19">
        <f ca="1">INT(OFFSET($C$3,$Q19,_xlfn.XLOOKUP(Y$3,秘宝养成!$D$20:$D$31,秘宝养成!$C$20:$C$31))*10000)</f>
        <v>3375</v>
      </c>
      <c r="Z19">
        <f ca="1">INT(OFFSET($C$3,$Q19,_xlfn.XLOOKUP(Z$3,秘宝养成!$D$20:$D$31,秘宝养成!$C$20:$C$31))*10000)</f>
        <v>4050</v>
      </c>
      <c r="AA19">
        <f ca="1">INT(OFFSET($C$3,$Q19,_xlfn.XLOOKUP(AA$3,秘宝养成!$D$20:$D$31,秘宝养成!$C$20:$C$31))*10000)</f>
        <v>4050</v>
      </c>
      <c r="AB19">
        <f ca="1">INT(OFFSET($C$3,$Q19,_xlfn.XLOOKUP(AB$3,秘宝养成!$D$20:$D$31,秘宝养成!$C$20:$C$31))*10000)</f>
        <v>4860</v>
      </c>
      <c r="AC19">
        <f ca="1">INT(OFFSET($C$3,$Q19,_xlfn.XLOOKUP(AC$3,秘宝养成!$D$20:$D$31,秘宝养成!$C$20:$C$31))*10000)</f>
        <v>4860</v>
      </c>
    </row>
    <row r="20" spans="1:29">
      <c r="A20">
        <v>525</v>
      </c>
      <c r="B20" t="s">
        <v>94</v>
      </c>
      <c r="C20">
        <v>1006</v>
      </c>
      <c r="D20">
        <f>秘宝养成!H117</f>
        <v>0.0833333333333333</v>
      </c>
      <c r="E20">
        <f>秘宝养成!I117</f>
        <v>0.12</v>
      </c>
      <c r="F20">
        <f>秘宝养成!J117</f>
        <v>0.125</v>
      </c>
      <c r="G20">
        <f>秘宝养成!K117</f>
        <v>0.15</v>
      </c>
      <c r="H20">
        <f>秘宝养成!L117</f>
        <v>0.18</v>
      </c>
      <c r="I20">
        <f>秘宝养成!M117</f>
        <v>0.216</v>
      </c>
      <c r="J20">
        <f>秘宝养成!N117</f>
        <v>0.27</v>
      </c>
      <c r="K20">
        <f>秘宝养成!O117</f>
        <v>0.3375</v>
      </c>
      <c r="L20">
        <f>秘宝养成!P117</f>
        <v>0.405</v>
      </c>
      <c r="M20">
        <f>秘宝养成!Q117</f>
        <v>0.486</v>
      </c>
      <c r="N20">
        <f t="shared" si="2"/>
        <v>0.5832</v>
      </c>
      <c r="O20">
        <f t="shared" si="1"/>
        <v>0.69984</v>
      </c>
      <c r="Q20">
        <v>17</v>
      </c>
      <c r="R20">
        <f ca="1">INT(OFFSET($C$3,$Q20,_xlfn.XLOOKUP(R$3,秘宝养成!$D$20:$D$31,秘宝养成!$C$20:$C$31))*10000)</f>
        <v>1500</v>
      </c>
      <c r="S20">
        <f ca="1">INT(OFFSET($C$3,$Q20,_xlfn.XLOOKUP(S$3,秘宝养成!$D$20:$D$31,秘宝养成!$C$20:$C$31))*10000)</f>
        <v>1500</v>
      </c>
      <c r="T20">
        <f ca="1">INT(OFFSET($C$3,$Q20,_xlfn.XLOOKUP(T$3,秘宝养成!$D$20:$D$31,秘宝养成!$C$20:$C$31))*10000)</f>
        <v>1800</v>
      </c>
      <c r="U20">
        <f ca="1">INT(OFFSET($C$3,$Q20,_xlfn.XLOOKUP(U$3,秘宝养成!$D$20:$D$31,秘宝养成!$C$20:$C$31))*10000)</f>
        <v>2160</v>
      </c>
      <c r="V20">
        <f ca="1">INT(OFFSET($C$3,$Q20,_xlfn.XLOOKUP(V$3,秘宝养成!$D$20:$D$31,秘宝养成!$C$20:$C$31))*10000)</f>
        <v>2700</v>
      </c>
      <c r="W20">
        <f ca="1">INT(OFFSET($C$3,$Q20,_xlfn.XLOOKUP(W$3,秘宝养成!$D$20:$D$31,秘宝养成!$C$20:$C$31))*10000)</f>
        <v>2700</v>
      </c>
      <c r="X20">
        <f ca="1">INT(OFFSET($C$3,$Q20,_xlfn.XLOOKUP(X$3,秘宝养成!$D$20:$D$31,秘宝养成!$C$20:$C$31))*10000)</f>
        <v>3375</v>
      </c>
      <c r="Y20">
        <f ca="1">INT(OFFSET($C$3,$Q20,_xlfn.XLOOKUP(Y$3,秘宝养成!$D$20:$D$31,秘宝养成!$C$20:$C$31))*10000)</f>
        <v>3375</v>
      </c>
      <c r="Z20">
        <f ca="1">INT(OFFSET($C$3,$Q20,_xlfn.XLOOKUP(Z$3,秘宝养成!$D$20:$D$31,秘宝养成!$C$20:$C$31))*10000)</f>
        <v>4050</v>
      </c>
      <c r="AA20">
        <f ca="1">INT(OFFSET($C$3,$Q20,_xlfn.XLOOKUP(AA$3,秘宝养成!$D$20:$D$31,秘宝养成!$C$20:$C$31))*10000)</f>
        <v>4050</v>
      </c>
      <c r="AB20">
        <f ca="1">INT(OFFSET($C$3,$Q20,_xlfn.XLOOKUP(AB$3,秘宝养成!$D$20:$D$31,秘宝养成!$C$20:$C$31))*10000)</f>
        <v>4860</v>
      </c>
      <c r="AC20">
        <f ca="1">INT(OFFSET($C$3,$Q20,_xlfn.XLOOKUP(AC$3,秘宝养成!$D$20:$D$31,秘宝养成!$C$20:$C$31))*10000)</f>
        <v>4860</v>
      </c>
    </row>
    <row r="21" spans="1:29">
      <c r="A21">
        <v>350</v>
      </c>
      <c r="B21" t="s">
        <v>70</v>
      </c>
      <c r="C21">
        <v>907</v>
      </c>
      <c r="D21">
        <f>秘宝养成!H118</f>
        <v>0.241126543209877</v>
      </c>
      <c r="E21">
        <f>秘宝养成!I118</f>
        <v>0.333333333333334</v>
      </c>
      <c r="F21">
        <f>秘宝养成!J118</f>
        <v>0.347222222222223</v>
      </c>
      <c r="G21">
        <f>秘宝养成!K118</f>
        <v>0.416666666666667</v>
      </c>
      <c r="H21">
        <f>秘宝养成!L118</f>
        <v>0.5</v>
      </c>
      <c r="I21">
        <f>秘宝养成!M118</f>
        <v>0.6</v>
      </c>
      <c r="J21">
        <f>秘宝养成!N118</f>
        <v>0.750000000000001</v>
      </c>
      <c r="K21">
        <f>秘宝养成!O118</f>
        <v>0.937500000000001</v>
      </c>
      <c r="L21">
        <f>秘宝养成!P118</f>
        <v>1.125</v>
      </c>
      <c r="M21">
        <f>秘宝养成!Q118</f>
        <v>1.35</v>
      </c>
      <c r="N21">
        <f t="shared" si="2"/>
        <v>1.62</v>
      </c>
      <c r="O21">
        <f t="shared" si="1"/>
        <v>1.944</v>
      </c>
      <c r="Q21">
        <v>18</v>
      </c>
      <c r="R21">
        <f ca="1">INT(OFFSET($C$3,$Q21,_xlfn.XLOOKUP(R$3,秘宝养成!$D$20:$D$31,秘宝养成!$C$20:$C$31))*10000)</f>
        <v>4166</v>
      </c>
      <c r="S21">
        <f ca="1">INT(OFFSET($C$3,$Q21,_xlfn.XLOOKUP(S$3,秘宝养成!$D$20:$D$31,秘宝养成!$C$20:$C$31))*10000)</f>
        <v>4166</v>
      </c>
      <c r="T21">
        <f ca="1">INT(OFFSET($C$3,$Q21,_xlfn.XLOOKUP(T$3,秘宝养成!$D$20:$D$31,秘宝养成!$C$20:$C$31))*10000)</f>
        <v>5000</v>
      </c>
      <c r="U21">
        <f ca="1">INT(OFFSET($C$3,$Q21,_xlfn.XLOOKUP(U$3,秘宝养成!$D$20:$D$31,秘宝养成!$C$20:$C$31))*10000)</f>
        <v>6000</v>
      </c>
      <c r="V21">
        <f ca="1">INT(OFFSET($C$3,$Q21,_xlfn.XLOOKUP(V$3,秘宝养成!$D$20:$D$31,秘宝养成!$C$20:$C$31))*10000)</f>
        <v>7500</v>
      </c>
      <c r="W21">
        <f ca="1">INT(OFFSET($C$3,$Q21,_xlfn.XLOOKUP(W$3,秘宝养成!$D$20:$D$31,秘宝养成!$C$20:$C$31))*10000)</f>
        <v>7500</v>
      </c>
      <c r="X21">
        <f ca="1">INT(OFFSET($C$3,$Q21,_xlfn.XLOOKUP(X$3,秘宝养成!$D$20:$D$31,秘宝养成!$C$20:$C$31))*10000)</f>
        <v>9375</v>
      </c>
      <c r="Y21">
        <f ca="1">INT(OFFSET($C$3,$Q21,_xlfn.XLOOKUP(Y$3,秘宝养成!$D$20:$D$31,秘宝养成!$C$20:$C$31))*10000)</f>
        <v>9375</v>
      </c>
      <c r="Z21">
        <f ca="1">INT(OFFSET($C$3,$Q21,_xlfn.XLOOKUP(Z$3,秘宝养成!$D$20:$D$31,秘宝养成!$C$20:$C$31))*10000)</f>
        <v>11250</v>
      </c>
      <c r="AA21">
        <f ca="1">INT(OFFSET($C$3,$Q21,_xlfn.XLOOKUP(AA$3,秘宝养成!$D$20:$D$31,秘宝养成!$C$20:$C$31))*10000)</f>
        <v>11250</v>
      </c>
      <c r="AB21">
        <f ca="1">INT(OFFSET($C$3,$Q21,_xlfn.XLOOKUP(AB$3,秘宝养成!$D$20:$D$31,秘宝养成!$C$20:$C$31))*10000)</f>
        <v>13500</v>
      </c>
      <c r="AC21">
        <f ca="1">INT(OFFSET($C$3,$Q21,_xlfn.XLOOKUP(AC$3,秘宝养成!$D$20:$D$31,秘宝养成!$C$20:$C$31))*10000)</f>
        <v>13500</v>
      </c>
    </row>
    <row r="22" spans="1:29">
      <c r="A22">
        <v>350</v>
      </c>
      <c r="B22" t="s">
        <v>95</v>
      </c>
      <c r="C22">
        <v>1111</v>
      </c>
      <c r="D22">
        <f>秘宝养成!H119</f>
        <v>0.289351851851852</v>
      </c>
      <c r="E22">
        <f>秘宝养成!I119</f>
        <v>0.4</v>
      </c>
      <c r="F22">
        <f>秘宝养成!J119</f>
        <v>0.416666666666667</v>
      </c>
      <c r="G22">
        <f>秘宝养成!K119</f>
        <v>0.5</v>
      </c>
      <c r="H22">
        <f>秘宝养成!L119</f>
        <v>0.6</v>
      </c>
      <c r="I22">
        <f>秘宝养成!M119</f>
        <v>0.72</v>
      </c>
      <c r="J22">
        <f>秘宝养成!N119</f>
        <v>0.9</v>
      </c>
      <c r="K22">
        <f>秘宝养成!O119</f>
        <v>1.125</v>
      </c>
      <c r="L22">
        <f>秘宝养成!P119</f>
        <v>1.35</v>
      </c>
      <c r="M22">
        <f>秘宝养成!Q119</f>
        <v>1.62</v>
      </c>
      <c r="N22">
        <f t="shared" si="2"/>
        <v>1.944</v>
      </c>
      <c r="O22">
        <f t="shared" si="1"/>
        <v>2.3328</v>
      </c>
      <c r="Q22">
        <v>19</v>
      </c>
      <c r="R22">
        <f ca="1">INT(OFFSET($C$3,$Q22,_xlfn.XLOOKUP(R$3,秘宝养成!$D$20:$D$31,秘宝养成!$C$20:$C$31))*10000)</f>
        <v>5000</v>
      </c>
      <c r="S22">
        <f ca="1">INT(OFFSET($C$3,$Q22,_xlfn.XLOOKUP(S$3,秘宝养成!$D$20:$D$31,秘宝养成!$C$20:$C$31))*10000)</f>
        <v>5000</v>
      </c>
      <c r="T22">
        <f ca="1">INT(OFFSET($C$3,$Q22,_xlfn.XLOOKUP(T$3,秘宝养成!$D$20:$D$31,秘宝养成!$C$20:$C$31))*10000)</f>
        <v>6000</v>
      </c>
      <c r="U22">
        <f ca="1">INT(OFFSET($C$3,$Q22,_xlfn.XLOOKUP(U$3,秘宝养成!$D$20:$D$31,秘宝养成!$C$20:$C$31))*10000)</f>
        <v>7200</v>
      </c>
      <c r="V22">
        <f ca="1">INT(OFFSET($C$3,$Q22,_xlfn.XLOOKUP(V$3,秘宝养成!$D$20:$D$31,秘宝养成!$C$20:$C$31))*10000)</f>
        <v>9000</v>
      </c>
      <c r="W22">
        <f ca="1">INT(OFFSET($C$3,$Q22,_xlfn.XLOOKUP(W$3,秘宝养成!$D$20:$D$31,秘宝养成!$C$20:$C$31))*10000)</f>
        <v>9000</v>
      </c>
      <c r="X22">
        <f ca="1">INT(OFFSET($C$3,$Q22,_xlfn.XLOOKUP(X$3,秘宝养成!$D$20:$D$31,秘宝养成!$C$20:$C$31))*10000)</f>
        <v>11250</v>
      </c>
      <c r="Y22">
        <f ca="1">INT(OFFSET($C$3,$Q22,_xlfn.XLOOKUP(Y$3,秘宝养成!$D$20:$D$31,秘宝养成!$C$20:$C$31))*10000)</f>
        <v>11250</v>
      </c>
      <c r="Z22">
        <f ca="1">INT(OFFSET($C$3,$Q22,_xlfn.XLOOKUP(Z$3,秘宝养成!$D$20:$D$31,秘宝养成!$C$20:$C$31))*10000)</f>
        <v>13500</v>
      </c>
      <c r="AA22">
        <f ca="1">INT(OFFSET($C$3,$Q22,_xlfn.XLOOKUP(AA$3,秘宝养成!$D$20:$D$31,秘宝养成!$C$20:$C$31))*10000)</f>
        <v>13500</v>
      </c>
      <c r="AB22">
        <f ca="1">INT(OFFSET($C$3,$Q22,_xlfn.XLOOKUP(AB$3,秘宝养成!$D$20:$D$31,秘宝养成!$C$20:$C$31))*10000)</f>
        <v>16200</v>
      </c>
      <c r="AC22">
        <f ca="1">INT(OFFSET($C$3,$Q22,_xlfn.XLOOKUP(AC$3,秘宝养成!$D$20:$D$31,秘宝养成!$C$20:$C$31))*10000)</f>
        <v>16200</v>
      </c>
    </row>
    <row r="23" spans="1:29">
      <c r="A23">
        <v>350</v>
      </c>
      <c r="B23" t="s">
        <v>96</v>
      </c>
      <c r="C23">
        <v>1211</v>
      </c>
      <c r="D23">
        <f>秘宝养成!H120</f>
        <v>0.289351851851852</v>
      </c>
      <c r="E23">
        <f>秘宝养成!I120</f>
        <v>0.4</v>
      </c>
      <c r="F23">
        <f>秘宝养成!J120</f>
        <v>0.416666666666667</v>
      </c>
      <c r="G23">
        <f>秘宝养成!K120</f>
        <v>0.5</v>
      </c>
      <c r="H23">
        <f>秘宝养成!L120</f>
        <v>0.6</v>
      </c>
      <c r="I23">
        <f>秘宝养成!M120</f>
        <v>0.72</v>
      </c>
      <c r="J23">
        <f>秘宝养成!N120</f>
        <v>0.9</v>
      </c>
      <c r="K23">
        <f>秘宝养成!O120</f>
        <v>1.125</v>
      </c>
      <c r="L23">
        <f>秘宝养成!P120</f>
        <v>1.35</v>
      </c>
      <c r="M23">
        <f>秘宝养成!Q120</f>
        <v>1.62</v>
      </c>
      <c r="N23">
        <f t="shared" si="2"/>
        <v>1.944</v>
      </c>
      <c r="O23">
        <f t="shared" si="1"/>
        <v>2.3328</v>
      </c>
      <c r="Q23">
        <v>20</v>
      </c>
      <c r="R23">
        <f ca="1">INT(OFFSET($C$3,$Q23,_xlfn.XLOOKUP(R$3,秘宝养成!$D$20:$D$31,秘宝养成!$C$20:$C$31))*10000)</f>
        <v>5000</v>
      </c>
      <c r="S23">
        <f ca="1">INT(OFFSET($C$3,$Q23,_xlfn.XLOOKUP(S$3,秘宝养成!$D$20:$D$31,秘宝养成!$C$20:$C$31))*10000)</f>
        <v>5000</v>
      </c>
      <c r="T23">
        <f ca="1">INT(OFFSET($C$3,$Q23,_xlfn.XLOOKUP(T$3,秘宝养成!$D$20:$D$31,秘宝养成!$C$20:$C$31))*10000)</f>
        <v>6000</v>
      </c>
      <c r="U23">
        <f ca="1">INT(OFFSET($C$3,$Q23,_xlfn.XLOOKUP(U$3,秘宝养成!$D$20:$D$31,秘宝养成!$C$20:$C$31))*10000)</f>
        <v>7200</v>
      </c>
      <c r="V23">
        <f ca="1">INT(OFFSET($C$3,$Q23,_xlfn.XLOOKUP(V$3,秘宝养成!$D$20:$D$31,秘宝养成!$C$20:$C$31))*10000)</f>
        <v>9000</v>
      </c>
      <c r="W23">
        <f ca="1">INT(OFFSET($C$3,$Q23,_xlfn.XLOOKUP(W$3,秘宝养成!$D$20:$D$31,秘宝养成!$C$20:$C$31))*10000)</f>
        <v>9000</v>
      </c>
      <c r="X23">
        <f ca="1">INT(OFFSET($C$3,$Q23,_xlfn.XLOOKUP(X$3,秘宝养成!$D$20:$D$31,秘宝养成!$C$20:$C$31))*10000)</f>
        <v>11250</v>
      </c>
      <c r="Y23">
        <f ca="1">INT(OFFSET($C$3,$Q23,_xlfn.XLOOKUP(Y$3,秘宝养成!$D$20:$D$31,秘宝养成!$C$20:$C$31))*10000)</f>
        <v>11250</v>
      </c>
      <c r="Z23">
        <f ca="1">INT(OFFSET($C$3,$Q23,_xlfn.XLOOKUP(Z$3,秘宝养成!$D$20:$D$31,秘宝养成!$C$20:$C$31))*10000)</f>
        <v>13500</v>
      </c>
      <c r="AA23">
        <f ca="1">INT(OFFSET($C$3,$Q23,_xlfn.XLOOKUP(AA$3,秘宝养成!$D$20:$D$31,秘宝养成!$C$20:$C$31))*10000)</f>
        <v>13500</v>
      </c>
      <c r="AB23">
        <f ca="1">INT(OFFSET($C$3,$Q23,_xlfn.XLOOKUP(AB$3,秘宝养成!$D$20:$D$31,秘宝养成!$C$20:$C$31))*10000)</f>
        <v>16200</v>
      </c>
      <c r="AC23">
        <f ca="1">INT(OFFSET($C$3,$Q23,_xlfn.XLOOKUP(AC$3,秘宝养成!$D$20:$D$31,秘宝养成!$C$20:$C$31))*10000)</f>
        <v>16200</v>
      </c>
    </row>
    <row r="24" spans="1:29">
      <c r="A24">
        <v>350</v>
      </c>
      <c r="B24" t="s">
        <v>97</v>
      </c>
      <c r="C24">
        <v>1411</v>
      </c>
      <c r="D24">
        <f>秘宝养成!H121</f>
        <v>0.289351851851852</v>
      </c>
      <c r="E24">
        <f>秘宝养成!I121</f>
        <v>0.4</v>
      </c>
      <c r="F24">
        <f>秘宝养成!J121</f>
        <v>0.416666666666667</v>
      </c>
      <c r="G24">
        <f>秘宝养成!K121</f>
        <v>0.5</v>
      </c>
      <c r="H24">
        <f>秘宝养成!L121</f>
        <v>0.6</v>
      </c>
      <c r="I24">
        <f>秘宝养成!M121</f>
        <v>0.72</v>
      </c>
      <c r="J24">
        <f>秘宝养成!N121</f>
        <v>0.9</v>
      </c>
      <c r="K24">
        <f>秘宝养成!O121</f>
        <v>1.125</v>
      </c>
      <c r="L24">
        <f>秘宝养成!P121</f>
        <v>1.35</v>
      </c>
      <c r="M24">
        <f>秘宝养成!Q121</f>
        <v>1.62</v>
      </c>
      <c r="N24">
        <f t="shared" si="2"/>
        <v>1.944</v>
      </c>
      <c r="O24">
        <f t="shared" si="1"/>
        <v>2.3328</v>
      </c>
      <c r="Q24">
        <v>21</v>
      </c>
      <c r="R24">
        <f ca="1">INT(OFFSET($C$3,$Q24,_xlfn.XLOOKUP(R$3,秘宝养成!$D$20:$D$31,秘宝养成!$C$20:$C$31))*10000)</f>
        <v>5000</v>
      </c>
      <c r="S24">
        <f ca="1">INT(OFFSET($C$3,$Q24,_xlfn.XLOOKUP(S$3,秘宝养成!$D$20:$D$31,秘宝养成!$C$20:$C$31))*10000)</f>
        <v>5000</v>
      </c>
      <c r="T24">
        <f ca="1">INT(OFFSET($C$3,$Q24,_xlfn.XLOOKUP(T$3,秘宝养成!$D$20:$D$31,秘宝养成!$C$20:$C$31))*10000)</f>
        <v>6000</v>
      </c>
      <c r="U24">
        <f ca="1">INT(OFFSET($C$3,$Q24,_xlfn.XLOOKUP(U$3,秘宝养成!$D$20:$D$31,秘宝养成!$C$20:$C$31))*10000)</f>
        <v>7200</v>
      </c>
      <c r="V24">
        <f ca="1">INT(OFFSET($C$3,$Q24,_xlfn.XLOOKUP(V$3,秘宝养成!$D$20:$D$31,秘宝养成!$C$20:$C$31))*10000)</f>
        <v>9000</v>
      </c>
      <c r="W24">
        <f ca="1">INT(OFFSET($C$3,$Q24,_xlfn.XLOOKUP(W$3,秘宝养成!$D$20:$D$31,秘宝养成!$C$20:$C$31))*10000)</f>
        <v>9000</v>
      </c>
      <c r="X24">
        <f ca="1">INT(OFFSET($C$3,$Q24,_xlfn.XLOOKUP(X$3,秘宝养成!$D$20:$D$31,秘宝养成!$C$20:$C$31))*10000)</f>
        <v>11250</v>
      </c>
      <c r="Y24">
        <f ca="1">INT(OFFSET($C$3,$Q24,_xlfn.XLOOKUP(Y$3,秘宝养成!$D$20:$D$31,秘宝养成!$C$20:$C$31))*10000)</f>
        <v>11250</v>
      </c>
      <c r="Z24">
        <f ca="1">INT(OFFSET($C$3,$Q24,_xlfn.XLOOKUP(Z$3,秘宝养成!$D$20:$D$31,秘宝养成!$C$20:$C$31))*10000)</f>
        <v>13500</v>
      </c>
      <c r="AA24">
        <f ca="1">INT(OFFSET($C$3,$Q24,_xlfn.XLOOKUP(AA$3,秘宝养成!$D$20:$D$31,秘宝养成!$C$20:$C$31))*10000)</f>
        <v>13500</v>
      </c>
      <c r="AB24">
        <f ca="1">INT(OFFSET($C$3,$Q24,_xlfn.XLOOKUP(AB$3,秘宝养成!$D$20:$D$31,秘宝养成!$C$20:$C$31))*10000)</f>
        <v>16200</v>
      </c>
      <c r="AC24">
        <f ca="1">INT(OFFSET($C$3,$Q24,_xlfn.XLOOKUP(AC$3,秘宝养成!$D$20:$D$31,秘宝养成!$C$20:$C$31))*10000)</f>
        <v>16200</v>
      </c>
    </row>
    <row r="25" spans="1:29">
      <c r="A25">
        <v>350</v>
      </c>
      <c r="B25" t="s">
        <v>98</v>
      </c>
      <c r="C25">
        <v>1511</v>
      </c>
      <c r="D25">
        <f>秘宝养成!H122</f>
        <v>0.289351851851852</v>
      </c>
      <c r="E25">
        <f>秘宝养成!I122</f>
        <v>0.4</v>
      </c>
      <c r="F25">
        <f>秘宝养成!J122</f>
        <v>0.416666666666667</v>
      </c>
      <c r="G25">
        <f>秘宝养成!K122</f>
        <v>0.5</v>
      </c>
      <c r="H25">
        <f>秘宝养成!L122</f>
        <v>0.6</v>
      </c>
      <c r="I25">
        <f>秘宝养成!M122</f>
        <v>0.72</v>
      </c>
      <c r="J25">
        <f>秘宝养成!N122</f>
        <v>0.9</v>
      </c>
      <c r="K25">
        <f>秘宝养成!O122</f>
        <v>1.125</v>
      </c>
      <c r="L25">
        <f>秘宝养成!P122</f>
        <v>1.35</v>
      </c>
      <c r="M25">
        <f>秘宝养成!Q122</f>
        <v>1.62</v>
      </c>
      <c r="N25">
        <f t="shared" si="2"/>
        <v>1.944</v>
      </c>
      <c r="O25">
        <f t="shared" si="1"/>
        <v>2.3328</v>
      </c>
      <c r="Q25">
        <v>22</v>
      </c>
      <c r="R25">
        <f ca="1">INT(OFFSET($C$3,$Q25,_xlfn.XLOOKUP(R$3,秘宝养成!$D$20:$D$31,秘宝养成!$C$20:$C$31))*10000)</f>
        <v>5000</v>
      </c>
      <c r="S25">
        <f ca="1">INT(OFFSET($C$3,$Q25,_xlfn.XLOOKUP(S$3,秘宝养成!$D$20:$D$31,秘宝养成!$C$20:$C$31))*10000)</f>
        <v>5000</v>
      </c>
      <c r="T25">
        <f ca="1">INT(OFFSET($C$3,$Q25,_xlfn.XLOOKUP(T$3,秘宝养成!$D$20:$D$31,秘宝养成!$C$20:$C$31))*10000)</f>
        <v>6000</v>
      </c>
      <c r="U25">
        <f ca="1">INT(OFFSET($C$3,$Q25,_xlfn.XLOOKUP(U$3,秘宝养成!$D$20:$D$31,秘宝养成!$C$20:$C$31))*10000)</f>
        <v>7200</v>
      </c>
      <c r="V25">
        <f ca="1">INT(OFFSET($C$3,$Q25,_xlfn.XLOOKUP(V$3,秘宝养成!$D$20:$D$31,秘宝养成!$C$20:$C$31))*10000)</f>
        <v>9000</v>
      </c>
      <c r="W25">
        <f ca="1">INT(OFFSET($C$3,$Q25,_xlfn.XLOOKUP(W$3,秘宝养成!$D$20:$D$31,秘宝养成!$C$20:$C$31))*10000)</f>
        <v>9000</v>
      </c>
      <c r="X25">
        <f ca="1">INT(OFFSET($C$3,$Q25,_xlfn.XLOOKUP(X$3,秘宝养成!$D$20:$D$31,秘宝养成!$C$20:$C$31))*10000)</f>
        <v>11250</v>
      </c>
      <c r="Y25">
        <f ca="1">INT(OFFSET($C$3,$Q25,_xlfn.XLOOKUP(Y$3,秘宝养成!$D$20:$D$31,秘宝养成!$C$20:$C$31))*10000)</f>
        <v>11250</v>
      </c>
      <c r="Z25">
        <f ca="1">INT(OFFSET($C$3,$Q25,_xlfn.XLOOKUP(Z$3,秘宝养成!$D$20:$D$31,秘宝养成!$C$20:$C$31))*10000)</f>
        <v>13500</v>
      </c>
      <c r="AA25">
        <f ca="1">INT(OFFSET($C$3,$Q25,_xlfn.XLOOKUP(AA$3,秘宝养成!$D$20:$D$31,秘宝养成!$C$20:$C$31))*10000)</f>
        <v>13500</v>
      </c>
      <c r="AB25">
        <f ca="1">INT(OFFSET($C$3,$Q25,_xlfn.XLOOKUP(AB$3,秘宝养成!$D$20:$D$31,秘宝养成!$C$20:$C$31))*10000)</f>
        <v>16200</v>
      </c>
      <c r="AC25">
        <f ca="1">INT(OFFSET($C$3,$Q25,_xlfn.XLOOKUP(AC$3,秘宝养成!$D$20:$D$31,秘宝养成!$C$20:$C$31))*10000)</f>
        <v>16200</v>
      </c>
    </row>
    <row r="26" spans="1:29">
      <c r="A26">
        <v>350</v>
      </c>
      <c r="B26" t="s">
        <v>99</v>
      </c>
      <c r="C26">
        <v>1711</v>
      </c>
      <c r="D26">
        <f>秘宝养成!H123</f>
        <v>0.289351851851852</v>
      </c>
      <c r="E26">
        <f>秘宝养成!I123</f>
        <v>0.4</v>
      </c>
      <c r="F26">
        <f>秘宝养成!J123</f>
        <v>0.416666666666667</v>
      </c>
      <c r="G26">
        <f>秘宝养成!K123</f>
        <v>0.5</v>
      </c>
      <c r="H26">
        <f>秘宝养成!L123</f>
        <v>0.6</v>
      </c>
      <c r="I26">
        <f>秘宝养成!M123</f>
        <v>0.72</v>
      </c>
      <c r="J26">
        <f>秘宝养成!N123</f>
        <v>0.9</v>
      </c>
      <c r="K26">
        <f>秘宝养成!O123</f>
        <v>1.125</v>
      </c>
      <c r="L26">
        <f>秘宝养成!P123</f>
        <v>1.35</v>
      </c>
      <c r="M26">
        <f>秘宝养成!Q123</f>
        <v>1.62</v>
      </c>
      <c r="N26">
        <f t="shared" si="2"/>
        <v>1.944</v>
      </c>
      <c r="O26">
        <f t="shared" si="1"/>
        <v>2.3328</v>
      </c>
      <c r="Q26">
        <v>23</v>
      </c>
      <c r="R26">
        <f ca="1">INT(OFFSET($C$3,$Q26,_xlfn.XLOOKUP(R$3,秘宝养成!$D$20:$D$31,秘宝养成!$C$20:$C$31))*10000)</f>
        <v>5000</v>
      </c>
      <c r="S26">
        <f ca="1">INT(OFFSET($C$3,$Q26,_xlfn.XLOOKUP(S$3,秘宝养成!$D$20:$D$31,秘宝养成!$C$20:$C$31))*10000)</f>
        <v>5000</v>
      </c>
      <c r="T26">
        <f ca="1">INT(OFFSET($C$3,$Q26,_xlfn.XLOOKUP(T$3,秘宝养成!$D$20:$D$31,秘宝养成!$C$20:$C$31))*10000)</f>
        <v>6000</v>
      </c>
      <c r="U26">
        <f ca="1">INT(OFFSET($C$3,$Q26,_xlfn.XLOOKUP(U$3,秘宝养成!$D$20:$D$31,秘宝养成!$C$20:$C$31))*10000)</f>
        <v>7200</v>
      </c>
      <c r="V26">
        <f ca="1">INT(OFFSET($C$3,$Q26,_xlfn.XLOOKUP(V$3,秘宝养成!$D$20:$D$31,秘宝养成!$C$20:$C$31))*10000)</f>
        <v>9000</v>
      </c>
      <c r="W26">
        <f ca="1">INT(OFFSET($C$3,$Q26,_xlfn.XLOOKUP(W$3,秘宝养成!$D$20:$D$31,秘宝养成!$C$20:$C$31))*10000)</f>
        <v>9000</v>
      </c>
      <c r="X26">
        <f ca="1">INT(OFFSET($C$3,$Q26,_xlfn.XLOOKUP(X$3,秘宝养成!$D$20:$D$31,秘宝养成!$C$20:$C$31))*10000)</f>
        <v>11250</v>
      </c>
      <c r="Y26">
        <f ca="1">INT(OFFSET($C$3,$Q26,_xlfn.XLOOKUP(Y$3,秘宝养成!$D$20:$D$31,秘宝养成!$C$20:$C$31))*10000)</f>
        <v>11250</v>
      </c>
      <c r="Z26">
        <f ca="1">INT(OFFSET($C$3,$Q26,_xlfn.XLOOKUP(Z$3,秘宝养成!$D$20:$D$31,秘宝养成!$C$20:$C$31))*10000)</f>
        <v>13500</v>
      </c>
      <c r="AA26">
        <f ca="1">INT(OFFSET($C$3,$Q26,_xlfn.XLOOKUP(AA$3,秘宝养成!$D$20:$D$31,秘宝养成!$C$20:$C$31))*10000)</f>
        <v>13500</v>
      </c>
      <c r="AB26">
        <f ca="1">INT(OFFSET($C$3,$Q26,_xlfn.XLOOKUP(AB$3,秘宝养成!$D$20:$D$31,秘宝养成!$C$20:$C$31))*10000)</f>
        <v>16200</v>
      </c>
      <c r="AC26">
        <f ca="1">INT(OFFSET($C$3,$Q26,_xlfn.XLOOKUP(AC$3,秘宝养成!$D$20:$D$31,秘宝养成!$C$20:$C$31))*10000)</f>
        <v>16200</v>
      </c>
    </row>
    <row r="27" spans="1:29">
      <c r="A27">
        <v>350</v>
      </c>
      <c r="B27" t="s">
        <v>100</v>
      </c>
      <c r="C27">
        <v>1011</v>
      </c>
      <c r="D27">
        <f>秘宝养成!H124</f>
        <v>0.289351851851852</v>
      </c>
      <c r="E27">
        <f>秘宝养成!I124</f>
        <v>0.4</v>
      </c>
      <c r="F27">
        <f>秘宝养成!J124</f>
        <v>0.416666666666667</v>
      </c>
      <c r="G27">
        <f>秘宝养成!K124</f>
        <v>0.5</v>
      </c>
      <c r="H27">
        <f>秘宝养成!L124</f>
        <v>0.6</v>
      </c>
      <c r="I27">
        <f>秘宝养成!M124</f>
        <v>0.72</v>
      </c>
      <c r="J27">
        <f>秘宝养成!N124</f>
        <v>0.9</v>
      </c>
      <c r="K27">
        <f>秘宝养成!O124</f>
        <v>1.125</v>
      </c>
      <c r="L27">
        <f>秘宝养成!P124</f>
        <v>1.35</v>
      </c>
      <c r="M27">
        <f>秘宝养成!Q124</f>
        <v>1.62</v>
      </c>
      <c r="N27">
        <f t="shared" si="2"/>
        <v>1.944</v>
      </c>
      <c r="O27">
        <f t="shared" si="1"/>
        <v>2.3328</v>
      </c>
      <c r="Q27">
        <v>24</v>
      </c>
      <c r="R27">
        <f ca="1">INT(OFFSET($C$3,$Q27,_xlfn.XLOOKUP(R$3,秘宝养成!$D$20:$D$31,秘宝养成!$C$20:$C$31))*10000)</f>
        <v>5000</v>
      </c>
      <c r="S27">
        <f ca="1">INT(OFFSET($C$3,$Q27,_xlfn.XLOOKUP(S$3,秘宝养成!$D$20:$D$31,秘宝养成!$C$20:$C$31))*10000)</f>
        <v>5000</v>
      </c>
      <c r="T27">
        <f ca="1">INT(OFFSET($C$3,$Q27,_xlfn.XLOOKUP(T$3,秘宝养成!$D$20:$D$31,秘宝养成!$C$20:$C$31))*10000)</f>
        <v>6000</v>
      </c>
      <c r="U27">
        <f ca="1">INT(OFFSET($C$3,$Q27,_xlfn.XLOOKUP(U$3,秘宝养成!$D$20:$D$31,秘宝养成!$C$20:$C$31))*10000)</f>
        <v>7200</v>
      </c>
      <c r="V27">
        <f ca="1">INT(OFFSET($C$3,$Q27,_xlfn.XLOOKUP(V$3,秘宝养成!$D$20:$D$31,秘宝养成!$C$20:$C$31))*10000)</f>
        <v>9000</v>
      </c>
      <c r="W27">
        <f ca="1">INT(OFFSET($C$3,$Q27,_xlfn.XLOOKUP(W$3,秘宝养成!$D$20:$D$31,秘宝养成!$C$20:$C$31))*10000)</f>
        <v>9000</v>
      </c>
      <c r="X27">
        <f ca="1">INT(OFFSET($C$3,$Q27,_xlfn.XLOOKUP(X$3,秘宝养成!$D$20:$D$31,秘宝养成!$C$20:$C$31))*10000)</f>
        <v>11250</v>
      </c>
      <c r="Y27">
        <f ca="1">INT(OFFSET($C$3,$Q27,_xlfn.XLOOKUP(Y$3,秘宝养成!$D$20:$D$31,秘宝养成!$C$20:$C$31))*10000)</f>
        <v>11250</v>
      </c>
      <c r="Z27">
        <f ca="1">INT(OFFSET($C$3,$Q27,_xlfn.XLOOKUP(Z$3,秘宝养成!$D$20:$D$31,秘宝养成!$C$20:$C$31))*10000)</f>
        <v>13500</v>
      </c>
      <c r="AA27">
        <f ca="1">INT(OFFSET($C$3,$Q27,_xlfn.XLOOKUP(AA$3,秘宝养成!$D$20:$D$31,秘宝养成!$C$20:$C$31))*10000)</f>
        <v>13500</v>
      </c>
      <c r="AB27">
        <f ca="1">INT(OFFSET($C$3,$Q27,_xlfn.XLOOKUP(AB$3,秘宝养成!$D$20:$D$31,秘宝养成!$C$20:$C$31))*10000)</f>
        <v>16200</v>
      </c>
      <c r="AC27">
        <f ca="1">INT(OFFSET($C$3,$Q27,_xlfn.XLOOKUP(AC$3,秘宝养成!$D$20:$D$31,秘宝养成!$C$20:$C$31))*10000)</f>
        <v>16200</v>
      </c>
    </row>
    <row r="28" spans="1:29">
      <c r="A28">
        <v>300</v>
      </c>
      <c r="B28" t="s">
        <v>101</v>
      </c>
      <c r="C28">
        <v>616</v>
      </c>
      <c r="D28">
        <f>秘宝养成!H125</f>
        <v>0.08</v>
      </c>
      <c r="E28">
        <f>秘宝养成!I125</f>
        <v>0.12</v>
      </c>
      <c r="F28">
        <f>秘宝养成!J125</f>
        <v>0.125</v>
      </c>
      <c r="G28">
        <f>秘宝养成!K125</f>
        <v>0.15</v>
      </c>
      <c r="H28">
        <f>秘宝养成!L125</f>
        <v>0.18</v>
      </c>
      <c r="I28">
        <f>秘宝养成!M125</f>
        <v>0.216</v>
      </c>
      <c r="J28">
        <f>秘宝养成!N125</f>
        <v>0.27</v>
      </c>
      <c r="K28">
        <f>秘宝养成!O125</f>
        <v>0.3375</v>
      </c>
      <c r="L28">
        <f>秘宝养成!P125</f>
        <v>0.405</v>
      </c>
      <c r="M28">
        <f>秘宝养成!Q125</f>
        <v>0.486</v>
      </c>
      <c r="N28">
        <f t="shared" si="2"/>
        <v>0.5832</v>
      </c>
      <c r="O28">
        <f t="shared" si="1"/>
        <v>0.69984</v>
      </c>
      <c r="Q28">
        <v>25</v>
      </c>
      <c r="R28">
        <f ca="1">INT(OFFSET($C$3,$Q28,_xlfn.XLOOKUP(R$3,秘宝养成!$D$20:$D$31,秘宝养成!$C$20:$C$31))*10000)</f>
        <v>1500</v>
      </c>
      <c r="S28">
        <f ca="1">INT(OFFSET($C$3,$Q28,_xlfn.XLOOKUP(S$3,秘宝养成!$D$20:$D$31,秘宝养成!$C$20:$C$31))*10000)</f>
        <v>1500</v>
      </c>
      <c r="T28">
        <f ca="1">INT(OFFSET($C$3,$Q28,_xlfn.XLOOKUP(T$3,秘宝养成!$D$20:$D$31,秘宝养成!$C$20:$C$31))*10000)</f>
        <v>1800</v>
      </c>
      <c r="U28">
        <f ca="1">INT(OFFSET($C$3,$Q28,_xlfn.XLOOKUP(U$3,秘宝养成!$D$20:$D$31,秘宝养成!$C$20:$C$31))*10000)</f>
        <v>2160</v>
      </c>
      <c r="V28">
        <f ca="1">INT(OFFSET($C$3,$Q28,_xlfn.XLOOKUP(V$3,秘宝养成!$D$20:$D$31,秘宝养成!$C$20:$C$31))*10000)</f>
        <v>2700</v>
      </c>
      <c r="W28">
        <f ca="1">INT(OFFSET($C$3,$Q28,_xlfn.XLOOKUP(W$3,秘宝养成!$D$20:$D$31,秘宝养成!$C$20:$C$31))*10000)</f>
        <v>2700</v>
      </c>
      <c r="X28">
        <f ca="1">INT(OFFSET($C$3,$Q28,_xlfn.XLOOKUP(X$3,秘宝养成!$D$20:$D$31,秘宝养成!$C$20:$C$31))*10000)</f>
        <v>3375</v>
      </c>
      <c r="Y28">
        <f ca="1">INT(OFFSET($C$3,$Q28,_xlfn.XLOOKUP(Y$3,秘宝养成!$D$20:$D$31,秘宝养成!$C$20:$C$31))*10000)</f>
        <v>3375</v>
      </c>
      <c r="Z28">
        <f ca="1">INT(OFFSET($C$3,$Q28,_xlfn.XLOOKUP(Z$3,秘宝养成!$D$20:$D$31,秘宝养成!$C$20:$C$31))*10000)</f>
        <v>4050</v>
      </c>
      <c r="AA28">
        <f ca="1">INT(OFFSET($C$3,$Q28,_xlfn.XLOOKUP(AA$3,秘宝养成!$D$20:$D$31,秘宝养成!$C$20:$C$31))*10000)</f>
        <v>4050</v>
      </c>
      <c r="AB28">
        <f ca="1">INT(OFFSET($C$3,$Q28,_xlfn.XLOOKUP(AB$3,秘宝养成!$D$20:$D$31,秘宝养成!$C$20:$C$31))*10000)</f>
        <v>4860</v>
      </c>
      <c r="AC28">
        <f ca="1">INT(OFFSET($C$3,$Q28,_xlfn.XLOOKUP(AC$3,秘宝养成!$D$20:$D$31,秘宝养成!$C$20:$C$31))*10000)</f>
        <v>4860</v>
      </c>
    </row>
    <row r="29" spans="1:29">
      <c r="A29">
        <f>300</f>
        <v>300</v>
      </c>
      <c r="B29" s="33" t="s">
        <v>124</v>
      </c>
      <c r="C29">
        <v>617</v>
      </c>
      <c r="D29">
        <f>秘宝养成!H126</f>
        <v>0.08</v>
      </c>
      <c r="E29">
        <f>秘宝养成!I126</f>
        <v>0.12</v>
      </c>
      <c r="F29">
        <f>秘宝养成!J126</f>
        <v>0.125</v>
      </c>
      <c r="G29">
        <f>秘宝养成!K126</f>
        <v>0.15</v>
      </c>
      <c r="H29">
        <f>秘宝养成!L126</f>
        <v>0.18</v>
      </c>
      <c r="I29">
        <f>秘宝养成!M126</f>
        <v>0.216</v>
      </c>
      <c r="J29">
        <f>秘宝养成!N126</f>
        <v>0.27</v>
      </c>
      <c r="K29">
        <f>秘宝养成!O126</f>
        <v>0.3375</v>
      </c>
      <c r="L29">
        <f>秘宝养成!P126</f>
        <v>0.405</v>
      </c>
      <c r="M29">
        <f>秘宝养成!Q126</f>
        <v>0.486</v>
      </c>
      <c r="N29">
        <f t="shared" si="2"/>
        <v>0.5832</v>
      </c>
      <c r="O29">
        <f t="shared" si="1"/>
        <v>0.69984</v>
      </c>
      <c r="Q29">
        <v>26</v>
      </c>
      <c r="R29">
        <f ca="1">INT(OFFSET($C$3,$Q29,_xlfn.XLOOKUP(R$3,秘宝养成!$D$20:$D$31,秘宝养成!$C$20:$C$31))*10000)</f>
        <v>1500</v>
      </c>
      <c r="S29">
        <f ca="1">INT(OFFSET($C$3,$Q29,_xlfn.XLOOKUP(S$3,秘宝养成!$D$20:$D$31,秘宝养成!$C$20:$C$31))*10000)</f>
        <v>1500</v>
      </c>
      <c r="T29">
        <f ca="1">INT(OFFSET($C$3,$Q29,_xlfn.XLOOKUP(T$3,秘宝养成!$D$20:$D$31,秘宝养成!$C$20:$C$31))*10000)</f>
        <v>1800</v>
      </c>
      <c r="U29">
        <f ca="1">INT(OFFSET($C$3,$Q29,_xlfn.XLOOKUP(U$3,秘宝养成!$D$20:$D$31,秘宝养成!$C$20:$C$31))*10000)</f>
        <v>2160</v>
      </c>
      <c r="V29">
        <f ca="1">INT(OFFSET($C$3,$Q29,_xlfn.XLOOKUP(V$3,秘宝养成!$D$20:$D$31,秘宝养成!$C$20:$C$31))*10000)</f>
        <v>2700</v>
      </c>
      <c r="W29">
        <f ca="1">INT(OFFSET($C$3,$Q29,_xlfn.XLOOKUP(W$3,秘宝养成!$D$20:$D$31,秘宝养成!$C$20:$C$31))*10000)</f>
        <v>2700</v>
      </c>
      <c r="X29">
        <f ca="1">INT(OFFSET($C$3,$Q29,_xlfn.XLOOKUP(X$3,秘宝养成!$D$20:$D$31,秘宝养成!$C$20:$C$31))*10000)</f>
        <v>3375</v>
      </c>
      <c r="Y29">
        <f ca="1">INT(OFFSET($C$3,$Q29,_xlfn.XLOOKUP(Y$3,秘宝养成!$D$20:$D$31,秘宝养成!$C$20:$C$31))*10000)</f>
        <v>3375</v>
      </c>
      <c r="Z29">
        <f ca="1">INT(OFFSET($C$3,$Q29,_xlfn.XLOOKUP(Z$3,秘宝养成!$D$20:$D$31,秘宝养成!$C$20:$C$31))*10000)</f>
        <v>4050</v>
      </c>
      <c r="AA29">
        <f ca="1">INT(OFFSET($C$3,$Q29,_xlfn.XLOOKUP(AA$3,秘宝养成!$D$20:$D$31,秘宝养成!$C$20:$C$31))*10000)</f>
        <v>4050</v>
      </c>
      <c r="AB29">
        <f ca="1">INT(OFFSET($C$3,$Q29,_xlfn.XLOOKUP(AB$3,秘宝养成!$D$20:$D$31,秘宝养成!$C$20:$C$31))*10000)</f>
        <v>4860</v>
      </c>
      <c r="AC29">
        <f ca="1">INT(OFFSET($C$3,$Q29,_xlfn.XLOOKUP(AC$3,秘宝养成!$D$20:$D$31,秘宝养成!$C$20:$C$31))*10000)</f>
        <v>4860</v>
      </c>
    </row>
    <row r="36" spans="2:30">
      <c r="B36" t="s">
        <v>67</v>
      </c>
      <c r="C36">
        <v>613</v>
      </c>
      <c r="D36" t="str">
        <f t="shared" ref="D36:D44" si="3">"{"&amp;INT(D4*0.5*10000)&amp;","&amp;INT((D4)*10000)&amp;"}"</f>
        <v>{416,833}</v>
      </c>
      <c r="E36" t="str">
        <f>"{"&amp;INT((D4)*10000)+1&amp;","&amp;INT((E4)*10000)&amp;"}"</f>
        <v>{834,1200}</v>
      </c>
      <c r="F36" t="str">
        <f t="shared" ref="F36:M36" si="4">"{"&amp;INT((E4)*10000)+1&amp;","&amp;INT((F4)*10000)&amp;"}"</f>
        <v>{1201,1250}</v>
      </c>
      <c r="G36" t="str">
        <f t="shared" si="4"/>
        <v>{1251,1500}</v>
      </c>
      <c r="H36" t="str">
        <f t="shared" si="4"/>
        <v>{1501,1800}</v>
      </c>
      <c r="I36" t="str">
        <f t="shared" si="4"/>
        <v>{1801,2160}</v>
      </c>
      <c r="J36" t="str">
        <f t="shared" si="4"/>
        <v>{2161,2700}</v>
      </c>
      <c r="K36" t="str">
        <f t="shared" si="4"/>
        <v>{2701,3375}</v>
      </c>
      <c r="L36" t="str">
        <f t="shared" si="4"/>
        <v>{3376,4050}</v>
      </c>
      <c r="M36" t="str">
        <f t="shared" si="4"/>
        <v>{4051,4860}</v>
      </c>
    </row>
    <row r="37" spans="2:30">
      <c r="B37" t="s">
        <v>69</v>
      </c>
      <c r="C37">
        <v>614</v>
      </c>
      <c r="D37" t="str">
        <f t="shared" si="3"/>
        <v>{416,833}</v>
      </c>
      <c r="E37" t="str">
        <f t="shared" ref="E37:M37" si="5">"{"&amp;INT((D5)*10000)+1&amp;","&amp;INT((E5)*10000)&amp;"}"</f>
        <v>{834,1200}</v>
      </c>
      <c r="F37" t="str">
        <f t="shared" si="5"/>
        <v>{1201,1250}</v>
      </c>
      <c r="G37" t="str">
        <f t="shared" si="5"/>
        <v>{1251,1500}</v>
      </c>
      <c r="H37" t="str">
        <f t="shared" si="5"/>
        <v>{1501,1800}</v>
      </c>
      <c r="I37" t="str">
        <f t="shared" si="5"/>
        <v>{1801,2160}</v>
      </c>
      <c r="J37" t="str">
        <f t="shared" si="5"/>
        <v>{2161,2700}</v>
      </c>
      <c r="K37" t="str">
        <f t="shared" si="5"/>
        <v>{2701,3375}</v>
      </c>
      <c r="L37" t="str">
        <f t="shared" si="5"/>
        <v>{3376,4050}</v>
      </c>
      <c r="M37" t="str">
        <f t="shared" si="5"/>
        <v>{4051,4860}</v>
      </c>
      <c r="Q37">
        <v>1</v>
      </c>
      <c r="R37" t="str">
        <f ca="1">"{"&amp;R$3&amp;","&amp;R4&amp;"}"</f>
        <v>{1,1500}</v>
      </c>
      <c r="S37" t="str">
        <f ca="1" t="shared" ref="S37:AC37" si="6">"{"&amp;S$3&amp;","&amp;S4&amp;"}"</f>
        <v>{2,1500}</v>
      </c>
      <c r="T37" t="str">
        <f ca="1" t="shared" si="6"/>
        <v>{3,1800}</v>
      </c>
      <c r="U37" t="str">
        <f ca="1" t="shared" si="6"/>
        <v>{4,2160}</v>
      </c>
      <c r="V37" t="str">
        <f ca="1" t="shared" si="6"/>
        <v>{5,2700}</v>
      </c>
      <c r="W37" t="str">
        <f ca="1" t="shared" si="6"/>
        <v>{6,2700}</v>
      </c>
      <c r="X37" t="str">
        <f ca="1" t="shared" si="6"/>
        <v>{7,3375}</v>
      </c>
      <c r="Y37" t="str">
        <f ca="1" t="shared" si="6"/>
        <v>{8,3375}</v>
      </c>
      <c r="Z37" t="str">
        <f ca="1" t="shared" si="6"/>
        <v>{9,4050}</v>
      </c>
      <c r="AA37" t="str">
        <f ca="1" t="shared" si="6"/>
        <v>{10,4050}</v>
      </c>
      <c r="AB37" t="str">
        <f ca="1" t="shared" si="6"/>
        <v>{11,4860}</v>
      </c>
      <c r="AC37" t="str">
        <f ca="1" t="shared" si="6"/>
        <v>{12,4860}</v>
      </c>
      <c r="AD37" t="str">
        <f ca="1" t="shared" ref="AD37:AD44" si="7">"["&amp;_xlfn.TEXTJOIN(",",1,$R37:$AC37)&amp;"]"</f>
        <v>[{1,1500},{2,1500},{3,1800},{4,2160},{5,2700},{6,2700},{7,3375},{8,3375},{9,4050},{10,4050},{11,4860},{12,4860}]</v>
      </c>
    </row>
    <row r="38" spans="2:30">
      <c r="B38" t="s">
        <v>71</v>
      </c>
      <c r="C38">
        <v>615</v>
      </c>
      <c r="D38" t="str">
        <f t="shared" si="3"/>
        <v>{416,833}</v>
      </c>
      <c r="E38" t="str">
        <f t="shared" ref="E38:M38" si="8">"{"&amp;INT((D6)*10000)+1&amp;","&amp;INT((E6)*10000)&amp;"}"</f>
        <v>{834,1200}</v>
      </c>
      <c r="F38" t="str">
        <f t="shared" si="8"/>
        <v>{1201,1250}</v>
      </c>
      <c r="G38" t="str">
        <f t="shared" si="8"/>
        <v>{1251,1500}</v>
      </c>
      <c r="H38" t="str">
        <f t="shared" si="8"/>
        <v>{1501,1800}</v>
      </c>
      <c r="I38" t="str">
        <f t="shared" si="8"/>
        <v>{1801,2160}</v>
      </c>
      <c r="J38" t="str">
        <f t="shared" si="8"/>
        <v>{2161,2700}</v>
      </c>
      <c r="K38" t="str">
        <f t="shared" si="8"/>
        <v>{2701,3375}</v>
      </c>
      <c r="L38" t="str">
        <f t="shared" si="8"/>
        <v>{3376,4050}</v>
      </c>
      <c r="M38" t="str">
        <f t="shared" si="8"/>
        <v>{4051,4860}</v>
      </c>
      <c r="Q38">
        <v>2</v>
      </c>
      <c r="R38" t="str">
        <f ca="1" t="shared" ref="R38:R67" si="9">"{"&amp;R$3&amp;","&amp;R5&amp;"}"</f>
        <v>{1,1500}</v>
      </c>
      <c r="S38" t="str">
        <f ca="1" t="shared" ref="S38:S67" si="10">"{"&amp;S$3&amp;","&amp;S5&amp;"}"</f>
        <v>{2,1500}</v>
      </c>
      <c r="T38" t="str">
        <f ca="1" t="shared" ref="T38:T67" si="11">"{"&amp;T$3&amp;","&amp;T5&amp;"}"</f>
        <v>{3,1800}</v>
      </c>
      <c r="U38" t="str">
        <f ca="1" t="shared" ref="U38:U67" si="12">"{"&amp;U$3&amp;","&amp;U5&amp;"}"</f>
        <v>{4,2160}</v>
      </c>
      <c r="V38" t="str">
        <f ca="1" t="shared" ref="V38:V67" si="13">"{"&amp;V$3&amp;","&amp;V5&amp;"}"</f>
        <v>{5,2700}</v>
      </c>
      <c r="W38" t="str">
        <f ca="1" t="shared" ref="W38:W67" si="14">"{"&amp;W$3&amp;","&amp;W5&amp;"}"</f>
        <v>{6,2700}</v>
      </c>
      <c r="X38" t="str">
        <f ca="1" t="shared" ref="X38:X67" si="15">"{"&amp;X$3&amp;","&amp;X5&amp;"}"</f>
        <v>{7,3375}</v>
      </c>
      <c r="Y38" t="str">
        <f ca="1" t="shared" ref="Y38:Y67" si="16">"{"&amp;Y$3&amp;","&amp;Y5&amp;"}"</f>
        <v>{8,3375}</v>
      </c>
      <c r="Z38" t="str">
        <f ca="1" t="shared" ref="Z38:Z67" si="17">"{"&amp;Z$3&amp;","&amp;Z5&amp;"}"</f>
        <v>{9,4050}</v>
      </c>
      <c r="AA38" t="str">
        <f ca="1" t="shared" ref="AA38:AA67" si="18">"{"&amp;AA$3&amp;","&amp;AA5&amp;"}"</f>
        <v>{10,4050}</v>
      </c>
      <c r="AB38" t="str">
        <f ca="1" t="shared" ref="AB38:AB67" si="19">"{"&amp;AB$3&amp;","&amp;AB5&amp;"}"</f>
        <v>{11,4860}</v>
      </c>
      <c r="AC38" t="str">
        <f ca="1" t="shared" ref="AC38:AC67" si="20">"{"&amp;AC$3&amp;","&amp;AC5&amp;"}"</f>
        <v>{12,4860}</v>
      </c>
      <c r="AD38" t="str">
        <f ca="1" t="shared" si="7"/>
        <v>[{1,1500},{2,1500},{3,1800},{4,2160},{5,2700},{6,2700},{7,3375},{8,3375},{9,4050},{10,4050},{11,4860},{12,4860}]</v>
      </c>
    </row>
    <row r="39" spans="2:30">
      <c r="B39" t="s">
        <v>73</v>
      </c>
      <c r="C39">
        <v>610</v>
      </c>
      <c r="D39" t="str">
        <f t="shared" si="3"/>
        <v>{833,1666}</v>
      </c>
      <c r="E39" t="str">
        <f t="shared" ref="E39:M39" si="21">"{"&amp;INT((D7)*10000)+1&amp;","&amp;INT((E7)*10000)&amp;"}"</f>
        <v>{1667,2400}</v>
      </c>
      <c r="F39" t="str">
        <f t="shared" si="21"/>
        <v>{2401,2500}</v>
      </c>
      <c r="G39" t="str">
        <f t="shared" si="21"/>
        <v>{2501,3000}</v>
      </c>
      <c r="H39" t="str">
        <f t="shared" si="21"/>
        <v>{3001,3600}</v>
      </c>
      <c r="I39" t="str">
        <f t="shared" si="21"/>
        <v>{3601,4320}</v>
      </c>
      <c r="J39" t="str">
        <f t="shared" si="21"/>
        <v>{4321,5400}</v>
      </c>
      <c r="K39" t="str">
        <f t="shared" si="21"/>
        <v>{5401,6750}</v>
      </c>
      <c r="L39" t="str">
        <f t="shared" si="21"/>
        <v>{6751,8100}</v>
      </c>
      <c r="M39" t="str">
        <f t="shared" si="21"/>
        <v>{8101,9720}</v>
      </c>
      <c r="Q39">
        <v>3</v>
      </c>
      <c r="R39" t="str">
        <f ca="1" t="shared" si="9"/>
        <v>{1,1500}</v>
      </c>
      <c r="S39" t="str">
        <f ca="1" t="shared" si="10"/>
        <v>{2,1500}</v>
      </c>
      <c r="T39" t="str">
        <f ca="1" t="shared" si="11"/>
        <v>{3,1800}</v>
      </c>
      <c r="U39" t="str">
        <f ca="1" t="shared" si="12"/>
        <v>{4,2160}</v>
      </c>
      <c r="V39" t="str">
        <f ca="1" t="shared" si="13"/>
        <v>{5,2700}</v>
      </c>
      <c r="W39" t="str">
        <f ca="1" t="shared" si="14"/>
        <v>{6,2700}</v>
      </c>
      <c r="X39" t="str">
        <f ca="1" t="shared" si="15"/>
        <v>{7,3375}</v>
      </c>
      <c r="Y39" t="str">
        <f ca="1" t="shared" si="16"/>
        <v>{8,3375}</v>
      </c>
      <c r="Z39" t="str">
        <f ca="1" t="shared" si="17"/>
        <v>{9,4050}</v>
      </c>
      <c r="AA39" t="str">
        <f ca="1" t="shared" si="18"/>
        <v>{10,4050}</v>
      </c>
      <c r="AB39" t="str">
        <f ca="1" t="shared" si="19"/>
        <v>{11,4860}</v>
      </c>
      <c r="AC39" t="str">
        <f ca="1" t="shared" si="20"/>
        <v>{12,4860}</v>
      </c>
      <c r="AD39" t="str">
        <f ca="1" t="shared" si="7"/>
        <v>[{1,1500},{2,1500},{3,1800},{4,2160},{5,2700},{6,2700},{7,3375},{8,3375},{9,4050},{10,4050},{11,4860},{12,4860}]</v>
      </c>
    </row>
    <row r="40" spans="2:30">
      <c r="B40" t="s">
        <v>78</v>
      </c>
      <c r="C40">
        <v>1113</v>
      </c>
      <c r="D40" t="str">
        <f t="shared" si="3"/>
        <v>{289,578}</v>
      </c>
      <c r="E40" t="str">
        <f t="shared" ref="E40:M40" si="22">"{"&amp;INT((D8)*10000)+1&amp;","&amp;INT((E8)*10000)&amp;"}"</f>
        <v>{579,800}</v>
      </c>
      <c r="F40" t="str">
        <f t="shared" si="22"/>
        <v>{801,833}</v>
      </c>
      <c r="G40" t="str">
        <f t="shared" si="22"/>
        <v>{834,1000}</v>
      </c>
      <c r="H40" t="str">
        <f t="shared" si="22"/>
        <v>{1001,1200}</v>
      </c>
      <c r="I40" t="str">
        <f t="shared" si="22"/>
        <v>{1201,1440}</v>
      </c>
      <c r="J40" t="str">
        <f t="shared" si="22"/>
        <v>{1441,1800}</v>
      </c>
      <c r="K40" t="str">
        <f t="shared" si="22"/>
        <v>{1801,2250}</v>
      </c>
      <c r="L40" t="str">
        <f t="shared" si="22"/>
        <v>{2251,2700}</v>
      </c>
      <c r="M40" t="str">
        <f t="shared" si="22"/>
        <v>{2701,3240}</v>
      </c>
      <c r="Q40">
        <v>4</v>
      </c>
      <c r="R40" t="str">
        <f ca="1" t="shared" si="9"/>
        <v>{1,3000}</v>
      </c>
      <c r="S40" t="str">
        <f ca="1" t="shared" si="10"/>
        <v>{2,3000}</v>
      </c>
      <c r="T40" t="str">
        <f ca="1" t="shared" si="11"/>
        <v>{3,3600}</v>
      </c>
      <c r="U40" t="str">
        <f ca="1" t="shared" si="12"/>
        <v>{4,4320}</v>
      </c>
      <c r="V40" t="str">
        <f ca="1" t="shared" si="13"/>
        <v>{5,5400}</v>
      </c>
      <c r="W40" t="str">
        <f ca="1" t="shared" si="14"/>
        <v>{6,5400}</v>
      </c>
      <c r="X40" t="str">
        <f ca="1" t="shared" si="15"/>
        <v>{7,6750}</v>
      </c>
      <c r="Y40" t="str">
        <f ca="1" t="shared" si="16"/>
        <v>{8,6750}</v>
      </c>
      <c r="Z40" t="str">
        <f ca="1" t="shared" si="17"/>
        <v>{9,8100}</v>
      </c>
      <c r="AA40" t="str">
        <f ca="1" t="shared" si="18"/>
        <v>{10,8100}</v>
      </c>
      <c r="AB40" t="str">
        <f ca="1" t="shared" si="19"/>
        <v>{11,9720}</v>
      </c>
      <c r="AC40" t="str">
        <f ca="1" t="shared" si="20"/>
        <v>{12,9720}</v>
      </c>
      <c r="AD40" t="str">
        <f ca="1" t="shared" si="7"/>
        <v>[{1,3000},{2,3000},{3,3600},{4,4320},{5,5400},{6,5400},{7,6750},{8,6750},{9,8100},{10,8100},{11,9720},{12,9720}]</v>
      </c>
    </row>
    <row r="41" spans="2:30">
      <c r="B41" t="s">
        <v>79</v>
      </c>
      <c r="C41">
        <v>1213</v>
      </c>
      <c r="D41" t="str">
        <f t="shared" si="3"/>
        <v>{289,578}</v>
      </c>
      <c r="E41" t="str">
        <f t="shared" ref="E41:M41" si="23">"{"&amp;INT((D9)*10000)+1&amp;","&amp;INT((E9)*10000)&amp;"}"</f>
        <v>{579,800}</v>
      </c>
      <c r="F41" t="str">
        <f t="shared" si="23"/>
        <v>{801,833}</v>
      </c>
      <c r="G41" t="str">
        <f t="shared" si="23"/>
        <v>{834,1000}</v>
      </c>
      <c r="H41" t="str">
        <f t="shared" si="23"/>
        <v>{1001,1200}</v>
      </c>
      <c r="I41" t="str">
        <f t="shared" si="23"/>
        <v>{1201,1440}</v>
      </c>
      <c r="J41" t="str">
        <f t="shared" si="23"/>
        <v>{1441,1800}</v>
      </c>
      <c r="K41" t="str">
        <f t="shared" si="23"/>
        <v>{1801,2250}</v>
      </c>
      <c r="L41" t="str">
        <f t="shared" si="23"/>
        <v>{2251,2700}</v>
      </c>
      <c r="M41" t="str">
        <f t="shared" si="23"/>
        <v>{2701,3240}</v>
      </c>
      <c r="Q41">
        <v>5</v>
      </c>
      <c r="R41" t="str">
        <f ca="1" t="shared" si="9"/>
        <v>{1,1000}</v>
      </c>
      <c r="S41" t="str">
        <f ca="1" t="shared" si="10"/>
        <v>{2,1000}</v>
      </c>
      <c r="T41" t="str">
        <f ca="1" t="shared" si="11"/>
        <v>{3,1200}</v>
      </c>
      <c r="U41" t="str">
        <f ca="1" t="shared" si="12"/>
        <v>{4,1440}</v>
      </c>
      <c r="V41" t="str">
        <f ca="1" t="shared" si="13"/>
        <v>{5,1800}</v>
      </c>
      <c r="W41" t="str">
        <f ca="1" t="shared" si="14"/>
        <v>{6,1800}</v>
      </c>
      <c r="X41" t="str">
        <f ca="1" t="shared" si="15"/>
        <v>{7,2250}</v>
      </c>
      <c r="Y41" t="str">
        <f ca="1" t="shared" si="16"/>
        <v>{8,2250}</v>
      </c>
      <c r="Z41" t="str">
        <f ca="1" t="shared" si="17"/>
        <v>{9,2700}</v>
      </c>
      <c r="AA41" t="str">
        <f ca="1" t="shared" si="18"/>
        <v>{10,2700}</v>
      </c>
      <c r="AB41" t="str">
        <f ca="1" t="shared" si="19"/>
        <v>{11,3240}</v>
      </c>
      <c r="AC41" t="str">
        <f ca="1" t="shared" si="20"/>
        <v>{12,3240}</v>
      </c>
      <c r="AD41" t="str">
        <f ca="1" t="shared" si="7"/>
        <v>[{1,1000},{2,1000},{3,1200},{4,1440},{5,1800},{6,1800},{7,2250},{8,2250},{9,2700},{10,2700},{11,3240},{12,3240}]</v>
      </c>
    </row>
    <row r="42" spans="2:30">
      <c r="B42" t="s">
        <v>81</v>
      </c>
      <c r="C42">
        <v>1413</v>
      </c>
      <c r="D42" t="str">
        <f t="shared" si="3"/>
        <v>{289,578}</v>
      </c>
      <c r="E42" t="str">
        <f t="shared" ref="E42:M42" si="24">"{"&amp;INT((D10)*10000)+1&amp;","&amp;INT((E10)*10000)&amp;"}"</f>
        <v>{579,800}</v>
      </c>
      <c r="F42" t="str">
        <f t="shared" si="24"/>
        <v>{801,833}</v>
      </c>
      <c r="G42" t="str">
        <f t="shared" si="24"/>
        <v>{834,1000}</v>
      </c>
      <c r="H42" t="str">
        <f t="shared" si="24"/>
        <v>{1001,1200}</v>
      </c>
      <c r="I42" t="str">
        <f t="shared" si="24"/>
        <v>{1201,1440}</v>
      </c>
      <c r="J42" t="str">
        <f t="shared" si="24"/>
        <v>{1441,1800}</v>
      </c>
      <c r="K42" t="str">
        <f t="shared" si="24"/>
        <v>{1801,2250}</v>
      </c>
      <c r="L42" t="str">
        <f t="shared" si="24"/>
        <v>{2251,2700}</v>
      </c>
      <c r="M42" t="str">
        <f t="shared" si="24"/>
        <v>{2701,3240}</v>
      </c>
      <c r="Q42">
        <v>6</v>
      </c>
      <c r="R42" t="str">
        <f ca="1" t="shared" si="9"/>
        <v>{1,1000}</v>
      </c>
      <c r="S42" t="str">
        <f ca="1" t="shared" si="10"/>
        <v>{2,1000}</v>
      </c>
      <c r="T42" t="str">
        <f ca="1" t="shared" si="11"/>
        <v>{3,1200}</v>
      </c>
      <c r="U42" t="str">
        <f ca="1" t="shared" si="12"/>
        <v>{4,1440}</v>
      </c>
      <c r="V42" t="str">
        <f ca="1" t="shared" si="13"/>
        <v>{5,1800}</v>
      </c>
      <c r="W42" t="str">
        <f ca="1" t="shared" si="14"/>
        <v>{6,1800}</v>
      </c>
      <c r="X42" t="str">
        <f ca="1" t="shared" si="15"/>
        <v>{7,2250}</v>
      </c>
      <c r="Y42" t="str">
        <f ca="1" t="shared" si="16"/>
        <v>{8,2250}</v>
      </c>
      <c r="Z42" t="str">
        <f ca="1" t="shared" si="17"/>
        <v>{9,2700}</v>
      </c>
      <c r="AA42" t="str">
        <f ca="1" t="shared" si="18"/>
        <v>{10,2700}</v>
      </c>
      <c r="AB42" t="str">
        <f ca="1" t="shared" si="19"/>
        <v>{11,3240}</v>
      </c>
      <c r="AC42" t="str">
        <f ca="1" t="shared" si="20"/>
        <v>{12,3240}</v>
      </c>
      <c r="AD42" t="str">
        <f ca="1" t="shared" si="7"/>
        <v>[{1,1000},{2,1000},{3,1200},{4,1440},{5,1800},{6,1800},{7,2250},{8,2250},{9,2700},{10,2700},{11,3240},{12,3240}]</v>
      </c>
    </row>
    <row r="43" spans="2:30">
      <c r="B43" t="s">
        <v>83</v>
      </c>
      <c r="C43">
        <v>1513</v>
      </c>
      <c r="D43" t="str">
        <f t="shared" si="3"/>
        <v>{289,578}</v>
      </c>
      <c r="E43" t="str">
        <f t="shared" ref="E43:M43" si="25">"{"&amp;INT((D11)*10000)+1&amp;","&amp;INT((E11)*10000)&amp;"}"</f>
        <v>{579,800}</v>
      </c>
      <c r="F43" t="str">
        <f t="shared" si="25"/>
        <v>{801,833}</v>
      </c>
      <c r="G43" t="str">
        <f t="shared" si="25"/>
        <v>{834,1000}</v>
      </c>
      <c r="H43" t="str">
        <f t="shared" si="25"/>
        <v>{1001,1200}</v>
      </c>
      <c r="I43" t="str">
        <f t="shared" si="25"/>
        <v>{1201,1440}</v>
      </c>
      <c r="J43" t="str">
        <f t="shared" si="25"/>
        <v>{1441,1800}</v>
      </c>
      <c r="K43" t="str">
        <f t="shared" si="25"/>
        <v>{1801,2250}</v>
      </c>
      <c r="L43" t="str">
        <f t="shared" si="25"/>
        <v>{2251,2700}</v>
      </c>
      <c r="M43" t="str">
        <f t="shared" si="25"/>
        <v>{2701,3240}</v>
      </c>
      <c r="Q43">
        <v>7</v>
      </c>
      <c r="R43" t="str">
        <f ca="1" t="shared" si="9"/>
        <v>{1,1000}</v>
      </c>
      <c r="S43" t="str">
        <f ca="1" t="shared" si="10"/>
        <v>{2,1000}</v>
      </c>
      <c r="T43" t="str">
        <f ca="1" t="shared" si="11"/>
        <v>{3,1200}</v>
      </c>
      <c r="U43" t="str">
        <f ca="1" t="shared" si="12"/>
        <v>{4,1440}</v>
      </c>
      <c r="V43" t="str">
        <f ca="1" t="shared" si="13"/>
        <v>{5,1800}</v>
      </c>
      <c r="W43" t="str">
        <f ca="1" t="shared" si="14"/>
        <v>{6,1800}</v>
      </c>
      <c r="X43" t="str">
        <f ca="1" t="shared" si="15"/>
        <v>{7,2250}</v>
      </c>
      <c r="Y43" t="str">
        <f ca="1" t="shared" si="16"/>
        <v>{8,2250}</v>
      </c>
      <c r="Z43" t="str">
        <f ca="1" t="shared" si="17"/>
        <v>{9,2700}</v>
      </c>
      <c r="AA43" t="str">
        <f ca="1" t="shared" si="18"/>
        <v>{10,2700}</v>
      </c>
      <c r="AB43" t="str">
        <f ca="1" t="shared" si="19"/>
        <v>{11,3240}</v>
      </c>
      <c r="AC43" t="str">
        <f ca="1" t="shared" si="20"/>
        <v>{12,3240}</v>
      </c>
      <c r="AD43" t="str">
        <f ca="1" t="shared" si="7"/>
        <v>[{1,1000},{2,1000},{3,1200},{4,1440},{5,1800},{6,1800},{7,2250},{8,2250},{9,2700},{10,2700},{11,3240},{12,3240}]</v>
      </c>
    </row>
    <row r="44" spans="2:30">
      <c r="B44" t="s">
        <v>84</v>
      </c>
      <c r="C44">
        <v>1713</v>
      </c>
      <c r="D44" t="str">
        <f t="shared" si="3"/>
        <v>{289,578}</v>
      </c>
      <c r="E44" t="str">
        <f t="shared" ref="E44:M44" si="26">"{"&amp;INT((D12)*10000)+1&amp;","&amp;INT((E12)*10000)&amp;"}"</f>
        <v>{579,800}</v>
      </c>
      <c r="F44" t="str">
        <f t="shared" si="26"/>
        <v>{801,833}</v>
      </c>
      <c r="G44" t="str">
        <f t="shared" si="26"/>
        <v>{834,1000}</v>
      </c>
      <c r="H44" t="str">
        <f t="shared" si="26"/>
        <v>{1001,1200}</v>
      </c>
      <c r="I44" t="str">
        <f t="shared" si="26"/>
        <v>{1201,1440}</v>
      </c>
      <c r="J44" t="str">
        <f t="shared" si="26"/>
        <v>{1441,1800}</v>
      </c>
      <c r="K44" t="str">
        <f t="shared" si="26"/>
        <v>{1801,2250}</v>
      </c>
      <c r="L44" t="str">
        <f t="shared" si="26"/>
        <v>{2251,2700}</v>
      </c>
      <c r="M44" t="str">
        <f t="shared" si="26"/>
        <v>{2701,3240}</v>
      </c>
      <c r="Q44">
        <v>8</v>
      </c>
      <c r="R44" t="str">
        <f ca="1" t="shared" si="9"/>
        <v>{1,1000}</v>
      </c>
      <c r="S44" t="str">
        <f ca="1" t="shared" si="10"/>
        <v>{2,1000}</v>
      </c>
      <c r="T44" t="str">
        <f ca="1" t="shared" si="11"/>
        <v>{3,1200}</v>
      </c>
      <c r="U44" t="str">
        <f ca="1" t="shared" si="12"/>
        <v>{4,1440}</v>
      </c>
      <c r="V44" t="str">
        <f ca="1" t="shared" si="13"/>
        <v>{5,1800}</v>
      </c>
      <c r="W44" t="str">
        <f ca="1" t="shared" si="14"/>
        <v>{6,1800}</v>
      </c>
      <c r="X44" t="str">
        <f ca="1" t="shared" si="15"/>
        <v>{7,2250}</v>
      </c>
      <c r="Y44" t="str">
        <f ca="1" t="shared" si="16"/>
        <v>{8,2250}</v>
      </c>
      <c r="Z44" t="str">
        <f ca="1" t="shared" si="17"/>
        <v>{9,2700}</v>
      </c>
      <c r="AA44" t="str">
        <f ca="1" t="shared" si="18"/>
        <v>{10,2700}</v>
      </c>
      <c r="AB44" t="str">
        <f ca="1" t="shared" si="19"/>
        <v>{11,3240}</v>
      </c>
      <c r="AC44" t="str">
        <f ca="1" t="shared" si="20"/>
        <v>{12,3240}</v>
      </c>
      <c r="AD44" t="str">
        <f ca="1" t="shared" si="7"/>
        <v>[{1,1000},{2,1000},{3,1200},{4,1440},{5,1800},{6,1800},{7,2250},{8,2250},{9,2700},{10,2700},{11,3240},{12,3240}]</v>
      </c>
    </row>
    <row r="45" spans="2:30">
      <c r="B45" t="s">
        <v>87</v>
      </c>
      <c r="C45">
        <v>806</v>
      </c>
      <c r="D45" t="str">
        <f t="shared" ref="D45:D66" si="27">"{"&amp;INT(D13*0.5*10000)&amp;","&amp;INT((D13)*10000)&amp;"}"</f>
        <v>{416,833}</v>
      </c>
      <c r="E45" t="str">
        <f t="shared" ref="E45:E66" si="28">"{"&amp;INT((D13)*10000)+1&amp;","&amp;INT((E13)*10000)&amp;"}"</f>
        <v>{834,1200}</v>
      </c>
      <c r="F45" t="str">
        <f t="shared" ref="F45:F66" si="29">"{"&amp;INT((E13)*10000)+1&amp;","&amp;INT((F13)*10000)&amp;"}"</f>
        <v>{1201,1250}</v>
      </c>
      <c r="G45" t="str">
        <f t="shared" ref="G45:G66" si="30">"{"&amp;INT((F13)*10000)+1&amp;","&amp;INT((G13)*10000)&amp;"}"</f>
        <v>{1251,1500}</v>
      </c>
      <c r="H45" t="str">
        <f t="shared" ref="H45:H66" si="31">"{"&amp;INT((G13)*10000)+1&amp;","&amp;INT((H13)*10000)&amp;"}"</f>
        <v>{1501,1800}</v>
      </c>
      <c r="I45" t="str">
        <f t="shared" ref="I45:I66" si="32">"{"&amp;INT((H13)*10000)+1&amp;","&amp;INT((I13)*10000)&amp;"}"</f>
        <v>{1801,2160}</v>
      </c>
      <c r="J45" t="str">
        <f t="shared" ref="J45:J66" si="33">"{"&amp;INT((I13)*10000)+1&amp;","&amp;INT((J13)*10000)&amp;"}"</f>
        <v>{2161,2700}</v>
      </c>
      <c r="K45" t="str">
        <f t="shared" ref="K45:K66" si="34">"{"&amp;INT((J13)*10000)+1&amp;","&amp;INT((K13)*10000)&amp;"}"</f>
        <v>{2701,3375}</v>
      </c>
      <c r="L45" t="str">
        <f t="shared" ref="L45:L66" si="35">"{"&amp;INT((K13)*10000)+1&amp;","&amp;INT((L13)*10000)&amp;"}"</f>
        <v>{3376,4050}</v>
      </c>
      <c r="M45" t="str">
        <f t="shared" ref="M45:M66" si="36">"{"&amp;INT((L13)*10000)+1&amp;","&amp;INT((M13)*10000)&amp;"}"</f>
        <v>{4051,4860}</v>
      </c>
      <c r="Q45">
        <v>10</v>
      </c>
      <c r="R45" t="str">
        <f ca="1" t="shared" si="9"/>
        <v>{1,1000}</v>
      </c>
      <c r="S45" t="str">
        <f ca="1" t="shared" si="10"/>
        <v>{2,1000}</v>
      </c>
      <c r="T45" t="str">
        <f ca="1" t="shared" si="11"/>
        <v>{3,1200}</v>
      </c>
      <c r="U45" t="str">
        <f ca="1" t="shared" si="12"/>
        <v>{4,1440}</v>
      </c>
      <c r="V45" t="str">
        <f ca="1" t="shared" si="13"/>
        <v>{5,1800}</v>
      </c>
      <c r="W45" t="str">
        <f ca="1" t="shared" si="14"/>
        <v>{6,1800}</v>
      </c>
      <c r="X45" t="str">
        <f ca="1" t="shared" si="15"/>
        <v>{7,2250}</v>
      </c>
      <c r="Y45" t="str">
        <f ca="1" t="shared" si="16"/>
        <v>{8,2250}</v>
      </c>
      <c r="Z45" t="str">
        <f ca="1" t="shared" si="17"/>
        <v>{9,2700}</v>
      </c>
      <c r="AA45" t="str">
        <f ca="1" t="shared" si="18"/>
        <v>{10,2700}</v>
      </c>
      <c r="AB45" t="str">
        <f ca="1" t="shared" si="19"/>
        <v>{11,3240}</v>
      </c>
      <c r="AC45" t="str">
        <f ca="1" t="shared" si="20"/>
        <v>{12,3240}</v>
      </c>
      <c r="AD45" t="str">
        <f ca="1" t="shared" ref="AD45:AD67" si="37">"["&amp;_xlfn.TEXTJOIN(",",1,$R45:$AC45)&amp;"]"</f>
        <v>[{1,1000},{2,1000},{3,1200},{4,1440},{5,1800},{6,1800},{7,2250},{8,2250},{9,2700},{10,2700},{11,3240},{12,3240}]</v>
      </c>
    </row>
    <row r="46" spans="2:30">
      <c r="B46" t="s">
        <v>88</v>
      </c>
      <c r="C46">
        <v>908</v>
      </c>
      <c r="D46" t="str">
        <f t="shared" si="27"/>
        <v>{289,578}</v>
      </c>
      <c r="E46" t="str">
        <f t="shared" si="28"/>
        <v>{579,800}</v>
      </c>
      <c r="F46" t="str">
        <f t="shared" si="29"/>
        <v>{801,833}</v>
      </c>
      <c r="G46" t="str">
        <f t="shared" si="30"/>
        <v>{834,1000}</v>
      </c>
      <c r="H46" t="str">
        <f t="shared" si="31"/>
        <v>{1001,1200}</v>
      </c>
      <c r="I46" t="str">
        <f t="shared" si="32"/>
        <v>{1201,1440}</v>
      </c>
      <c r="J46" t="str">
        <f t="shared" si="33"/>
        <v>{1441,1800}</v>
      </c>
      <c r="K46" t="str">
        <f t="shared" si="34"/>
        <v>{1801,2250}</v>
      </c>
      <c r="L46" t="str">
        <f t="shared" si="35"/>
        <v>{2251,2700}</v>
      </c>
      <c r="M46" t="str">
        <f t="shared" si="36"/>
        <v>{2701,3240}</v>
      </c>
      <c r="Q46">
        <v>11</v>
      </c>
      <c r="R46" t="str">
        <f ca="1" t="shared" si="9"/>
        <v>{1,1500}</v>
      </c>
      <c r="S46" t="str">
        <f ca="1" t="shared" si="10"/>
        <v>{2,1500}</v>
      </c>
      <c r="T46" t="str">
        <f ca="1" t="shared" si="11"/>
        <v>{3,1800}</v>
      </c>
      <c r="U46" t="str">
        <f ca="1" t="shared" si="12"/>
        <v>{4,2160}</v>
      </c>
      <c r="V46" t="str">
        <f ca="1" t="shared" si="13"/>
        <v>{5,2700}</v>
      </c>
      <c r="W46" t="str">
        <f ca="1" t="shared" si="14"/>
        <v>{6,2700}</v>
      </c>
      <c r="X46" t="str">
        <f ca="1" t="shared" si="15"/>
        <v>{7,3375}</v>
      </c>
      <c r="Y46" t="str">
        <f ca="1" t="shared" si="16"/>
        <v>{8,3375}</v>
      </c>
      <c r="Z46" t="str">
        <f ca="1" t="shared" si="17"/>
        <v>{9,4050}</v>
      </c>
      <c r="AA46" t="str">
        <f ca="1" t="shared" si="18"/>
        <v>{10,4050}</v>
      </c>
      <c r="AB46" t="str">
        <f ca="1" t="shared" si="19"/>
        <v>{11,4860}</v>
      </c>
      <c r="AC46" t="str">
        <f ca="1" t="shared" si="20"/>
        <v>{12,4860}</v>
      </c>
      <c r="AD46" t="str">
        <f ca="1" t="shared" si="37"/>
        <v>[{1,1500},{2,1500},{3,1800},{4,2160},{5,2700},{6,2700},{7,3375},{8,3375},{9,4050},{10,4050},{11,4860},{12,4860}]</v>
      </c>
    </row>
    <row r="47" spans="2:30">
      <c r="B47" t="s">
        <v>89</v>
      </c>
      <c r="C47">
        <v>1106</v>
      </c>
      <c r="D47" t="str">
        <f t="shared" si="27"/>
        <v>{416,833}</v>
      </c>
      <c r="E47" t="str">
        <f t="shared" si="28"/>
        <v>{834,1200}</v>
      </c>
      <c r="F47" t="str">
        <f t="shared" si="29"/>
        <v>{1201,1250}</v>
      </c>
      <c r="G47" t="str">
        <f t="shared" si="30"/>
        <v>{1251,1500}</v>
      </c>
      <c r="H47" t="str">
        <f t="shared" si="31"/>
        <v>{1501,1800}</v>
      </c>
      <c r="I47" t="str">
        <f t="shared" si="32"/>
        <v>{1801,2160}</v>
      </c>
      <c r="J47" t="str">
        <f t="shared" si="33"/>
        <v>{2161,2700}</v>
      </c>
      <c r="K47" t="str">
        <f t="shared" si="34"/>
        <v>{2701,3375}</v>
      </c>
      <c r="L47" t="str">
        <f t="shared" si="35"/>
        <v>{3376,4050}</v>
      </c>
      <c r="M47" t="str">
        <f t="shared" si="36"/>
        <v>{4051,4860}</v>
      </c>
      <c r="Q47">
        <v>12</v>
      </c>
      <c r="R47" t="str">
        <f ca="1" t="shared" si="9"/>
        <v>{1,1000}</v>
      </c>
      <c r="S47" t="str">
        <f ca="1" t="shared" si="10"/>
        <v>{2,1000}</v>
      </c>
      <c r="T47" t="str">
        <f ca="1" t="shared" si="11"/>
        <v>{3,1200}</v>
      </c>
      <c r="U47" t="str">
        <f ca="1" t="shared" si="12"/>
        <v>{4,1440}</v>
      </c>
      <c r="V47" t="str">
        <f ca="1" t="shared" si="13"/>
        <v>{5,1800}</v>
      </c>
      <c r="W47" t="str">
        <f ca="1" t="shared" si="14"/>
        <v>{6,1800}</v>
      </c>
      <c r="X47" t="str">
        <f ca="1" t="shared" si="15"/>
        <v>{7,2250}</v>
      </c>
      <c r="Y47" t="str">
        <f ca="1" t="shared" si="16"/>
        <v>{8,2250}</v>
      </c>
      <c r="Z47" t="str">
        <f ca="1" t="shared" si="17"/>
        <v>{9,2700}</v>
      </c>
      <c r="AA47" t="str">
        <f ca="1" t="shared" si="18"/>
        <v>{10,2700}</v>
      </c>
      <c r="AB47" t="str">
        <f ca="1" t="shared" si="19"/>
        <v>{11,3240}</v>
      </c>
      <c r="AC47" t="str">
        <f ca="1" t="shared" si="20"/>
        <v>{12,3240}</v>
      </c>
      <c r="AD47" t="str">
        <f ca="1" t="shared" si="37"/>
        <v>[{1,1000},{2,1000},{3,1200},{4,1440},{5,1800},{6,1800},{7,2250},{8,2250},{9,2700},{10,2700},{11,3240},{12,3240}]</v>
      </c>
    </row>
    <row r="48" spans="2:30">
      <c r="B48" t="s">
        <v>90</v>
      </c>
      <c r="C48">
        <v>1206</v>
      </c>
      <c r="D48" t="str">
        <f t="shared" si="27"/>
        <v>{416,833}</v>
      </c>
      <c r="E48" t="str">
        <f t="shared" si="28"/>
        <v>{834,1200}</v>
      </c>
      <c r="F48" t="str">
        <f t="shared" si="29"/>
        <v>{1201,1250}</v>
      </c>
      <c r="G48" t="str">
        <f t="shared" si="30"/>
        <v>{1251,1500}</v>
      </c>
      <c r="H48" t="str">
        <f t="shared" si="31"/>
        <v>{1501,1800}</v>
      </c>
      <c r="I48" t="str">
        <f t="shared" si="32"/>
        <v>{1801,2160}</v>
      </c>
      <c r="J48" t="str">
        <f t="shared" si="33"/>
        <v>{2161,2700}</v>
      </c>
      <c r="K48" t="str">
        <f t="shared" si="34"/>
        <v>{2701,3375}</v>
      </c>
      <c r="L48" t="str">
        <f t="shared" si="35"/>
        <v>{3376,4050}</v>
      </c>
      <c r="M48" t="str">
        <f t="shared" si="36"/>
        <v>{4051,4860}</v>
      </c>
      <c r="Q48">
        <v>13</v>
      </c>
      <c r="R48" t="str">
        <f ca="1" t="shared" si="9"/>
        <v>{1,1500}</v>
      </c>
      <c r="S48" t="str">
        <f ca="1" t="shared" si="10"/>
        <v>{2,1500}</v>
      </c>
      <c r="T48" t="str">
        <f ca="1" t="shared" si="11"/>
        <v>{3,1800}</v>
      </c>
      <c r="U48" t="str">
        <f ca="1" t="shared" si="12"/>
        <v>{4,2160}</v>
      </c>
      <c r="V48" t="str">
        <f ca="1" t="shared" si="13"/>
        <v>{5,2700}</v>
      </c>
      <c r="W48" t="str">
        <f ca="1" t="shared" si="14"/>
        <v>{6,2700}</v>
      </c>
      <c r="X48" t="str">
        <f ca="1" t="shared" si="15"/>
        <v>{7,3375}</v>
      </c>
      <c r="Y48" t="str">
        <f ca="1" t="shared" si="16"/>
        <v>{8,3375}</v>
      </c>
      <c r="Z48" t="str">
        <f ca="1" t="shared" si="17"/>
        <v>{9,4050}</v>
      </c>
      <c r="AA48" t="str">
        <f ca="1" t="shared" si="18"/>
        <v>{10,4050}</v>
      </c>
      <c r="AB48" t="str">
        <f ca="1" t="shared" si="19"/>
        <v>{11,4860}</v>
      </c>
      <c r="AC48" t="str">
        <f ca="1" t="shared" si="20"/>
        <v>{12,4860}</v>
      </c>
      <c r="AD48" t="str">
        <f ca="1" t="shared" si="37"/>
        <v>[{1,1500},{2,1500},{3,1800},{4,2160},{5,2700},{6,2700},{7,3375},{8,3375},{9,4050},{10,4050},{11,4860},{12,4860}]</v>
      </c>
    </row>
    <row r="49" spans="2:30">
      <c r="B49" t="s">
        <v>91</v>
      </c>
      <c r="C49">
        <v>1406</v>
      </c>
      <c r="D49" t="str">
        <f t="shared" si="27"/>
        <v>{416,833}</v>
      </c>
      <c r="E49" t="str">
        <f t="shared" si="28"/>
        <v>{834,1200}</v>
      </c>
      <c r="F49" t="str">
        <f t="shared" si="29"/>
        <v>{1201,1250}</v>
      </c>
      <c r="G49" t="str">
        <f t="shared" si="30"/>
        <v>{1251,1500}</v>
      </c>
      <c r="H49" t="str">
        <f t="shared" si="31"/>
        <v>{1501,1800}</v>
      </c>
      <c r="I49" t="str">
        <f t="shared" si="32"/>
        <v>{1801,2160}</v>
      </c>
      <c r="J49" t="str">
        <f t="shared" si="33"/>
        <v>{2161,2700}</v>
      </c>
      <c r="K49" t="str">
        <f t="shared" si="34"/>
        <v>{2701,3375}</v>
      </c>
      <c r="L49" t="str">
        <f t="shared" si="35"/>
        <v>{3376,4050}</v>
      </c>
      <c r="M49" t="str">
        <f t="shared" si="36"/>
        <v>{4051,4860}</v>
      </c>
      <c r="Q49">
        <v>14</v>
      </c>
      <c r="R49" t="str">
        <f ca="1" t="shared" si="9"/>
        <v>{1,1500}</v>
      </c>
      <c r="S49" t="str">
        <f ca="1" t="shared" si="10"/>
        <v>{2,1500}</v>
      </c>
      <c r="T49" t="str">
        <f ca="1" t="shared" si="11"/>
        <v>{3,1800}</v>
      </c>
      <c r="U49" t="str">
        <f ca="1" t="shared" si="12"/>
        <v>{4,2160}</v>
      </c>
      <c r="V49" t="str">
        <f ca="1" t="shared" si="13"/>
        <v>{5,2700}</v>
      </c>
      <c r="W49" t="str">
        <f ca="1" t="shared" si="14"/>
        <v>{6,2700}</v>
      </c>
      <c r="X49" t="str">
        <f ca="1" t="shared" si="15"/>
        <v>{7,3375}</v>
      </c>
      <c r="Y49" t="str">
        <f ca="1" t="shared" si="16"/>
        <v>{8,3375}</v>
      </c>
      <c r="Z49" t="str">
        <f ca="1" t="shared" si="17"/>
        <v>{9,4050}</v>
      </c>
      <c r="AA49" t="str">
        <f ca="1" t="shared" si="18"/>
        <v>{10,4050}</v>
      </c>
      <c r="AB49" t="str">
        <f ca="1" t="shared" si="19"/>
        <v>{11,4860}</v>
      </c>
      <c r="AC49" t="str">
        <f ca="1" t="shared" si="20"/>
        <v>{12,4860}</v>
      </c>
      <c r="AD49" t="str">
        <f ca="1" t="shared" si="37"/>
        <v>[{1,1500},{2,1500},{3,1800},{4,2160},{5,2700},{6,2700},{7,3375},{8,3375},{9,4050},{10,4050},{11,4860},{12,4860}]</v>
      </c>
    </row>
    <row r="50" spans="2:30">
      <c r="B50" t="s">
        <v>92</v>
      </c>
      <c r="C50">
        <v>1506</v>
      </c>
      <c r="D50" t="str">
        <f t="shared" si="27"/>
        <v>{416,833}</v>
      </c>
      <c r="E50" t="str">
        <f t="shared" si="28"/>
        <v>{834,1200}</v>
      </c>
      <c r="F50" t="str">
        <f t="shared" si="29"/>
        <v>{1201,1250}</v>
      </c>
      <c r="G50" t="str">
        <f t="shared" si="30"/>
        <v>{1251,1500}</v>
      </c>
      <c r="H50" t="str">
        <f t="shared" si="31"/>
        <v>{1501,1800}</v>
      </c>
      <c r="I50" t="str">
        <f t="shared" si="32"/>
        <v>{1801,2160}</v>
      </c>
      <c r="J50" t="str">
        <f t="shared" si="33"/>
        <v>{2161,2700}</v>
      </c>
      <c r="K50" t="str">
        <f t="shared" si="34"/>
        <v>{2701,3375}</v>
      </c>
      <c r="L50" t="str">
        <f t="shared" si="35"/>
        <v>{3376,4050}</v>
      </c>
      <c r="M50" t="str">
        <f t="shared" si="36"/>
        <v>{4051,4860}</v>
      </c>
      <c r="Q50">
        <v>15</v>
      </c>
      <c r="R50" t="str">
        <f ca="1" t="shared" si="9"/>
        <v>{1,1500}</v>
      </c>
      <c r="S50" t="str">
        <f ca="1" t="shared" si="10"/>
        <v>{2,1500}</v>
      </c>
      <c r="T50" t="str">
        <f ca="1" t="shared" si="11"/>
        <v>{3,1800}</v>
      </c>
      <c r="U50" t="str">
        <f ca="1" t="shared" si="12"/>
        <v>{4,2160}</v>
      </c>
      <c r="V50" t="str">
        <f ca="1" t="shared" si="13"/>
        <v>{5,2700}</v>
      </c>
      <c r="W50" t="str">
        <f ca="1" t="shared" si="14"/>
        <v>{6,2700}</v>
      </c>
      <c r="X50" t="str">
        <f ca="1" t="shared" si="15"/>
        <v>{7,3375}</v>
      </c>
      <c r="Y50" t="str">
        <f ca="1" t="shared" si="16"/>
        <v>{8,3375}</v>
      </c>
      <c r="Z50" t="str">
        <f ca="1" t="shared" si="17"/>
        <v>{9,4050}</v>
      </c>
      <c r="AA50" t="str">
        <f ca="1" t="shared" si="18"/>
        <v>{10,4050}</v>
      </c>
      <c r="AB50" t="str">
        <f ca="1" t="shared" si="19"/>
        <v>{11,4860}</v>
      </c>
      <c r="AC50" t="str">
        <f ca="1" t="shared" si="20"/>
        <v>{12,4860}</v>
      </c>
      <c r="AD50" t="str">
        <f ca="1" t="shared" si="37"/>
        <v>[{1,1500},{2,1500},{3,1800},{4,2160},{5,2700},{6,2700},{7,3375},{8,3375},{9,4050},{10,4050},{11,4860},{12,4860}]</v>
      </c>
    </row>
    <row r="51" spans="2:30">
      <c r="B51" t="s">
        <v>93</v>
      </c>
      <c r="C51">
        <v>1706</v>
      </c>
      <c r="D51" t="str">
        <f t="shared" si="27"/>
        <v>{416,833}</v>
      </c>
      <c r="E51" t="str">
        <f t="shared" si="28"/>
        <v>{834,1200}</v>
      </c>
      <c r="F51" t="str">
        <f t="shared" si="29"/>
        <v>{1201,1250}</v>
      </c>
      <c r="G51" t="str">
        <f t="shared" si="30"/>
        <v>{1251,1500}</v>
      </c>
      <c r="H51" t="str">
        <f t="shared" si="31"/>
        <v>{1501,1800}</v>
      </c>
      <c r="I51" t="str">
        <f t="shared" si="32"/>
        <v>{1801,2160}</v>
      </c>
      <c r="J51" t="str">
        <f t="shared" si="33"/>
        <v>{2161,2700}</v>
      </c>
      <c r="K51" t="str">
        <f t="shared" si="34"/>
        <v>{2701,3375}</v>
      </c>
      <c r="L51" t="str">
        <f t="shared" si="35"/>
        <v>{3376,4050}</v>
      </c>
      <c r="M51" t="str">
        <f t="shared" si="36"/>
        <v>{4051,4860}</v>
      </c>
      <c r="Q51">
        <v>16</v>
      </c>
      <c r="R51" t="str">
        <f ca="1" t="shared" si="9"/>
        <v>{1,1500}</v>
      </c>
      <c r="S51" t="str">
        <f ca="1" t="shared" si="10"/>
        <v>{2,1500}</v>
      </c>
      <c r="T51" t="str">
        <f ca="1" t="shared" si="11"/>
        <v>{3,1800}</v>
      </c>
      <c r="U51" t="str">
        <f ca="1" t="shared" si="12"/>
        <v>{4,2160}</v>
      </c>
      <c r="V51" t="str">
        <f ca="1" t="shared" si="13"/>
        <v>{5,2700}</v>
      </c>
      <c r="W51" t="str">
        <f ca="1" t="shared" si="14"/>
        <v>{6,2700}</v>
      </c>
      <c r="X51" t="str">
        <f ca="1" t="shared" si="15"/>
        <v>{7,3375}</v>
      </c>
      <c r="Y51" t="str">
        <f ca="1" t="shared" si="16"/>
        <v>{8,3375}</v>
      </c>
      <c r="Z51" t="str">
        <f ca="1" t="shared" si="17"/>
        <v>{9,4050}</v>
      </c>
      <c r="AA51" t="str">
        <f ca="1" t="shared" si="18"/>
        <v>{10,4050}</v>
      </c>
      <c r="AB51" t="str">
        <f ca="1" t="shared" si="19"/>
        <v>{11,4860}</v>
      </c>
      <c r="AC51" t="str">
        <f ca="1" t="shared" si="20"/>
        <v>{12,4860}</v>
      </c>
      <c r="AD51" t="str">
        <f ca="1" t="shared" si="37"/>
        <v>[{1,1500},{2,1500},{3,1800},{4,2160},{5,2700},{6,2700},{7,3375},{8,3375},{9,4050},{10,4050},{11,4860},{12,4860}]</v>
      </c>
    </row>
    <row r="52" spans="2:30">
      <c r="B52" t="s">
        <v>94</v>
      </c>
      <c r="C52">
        <v>1006</v>
      </c>
      <c r="D52" t="str">
        <f t="shared" si="27"/>
        <v>{416,833}</v>
      </c>
      <c r="E52" t="str">
        <f t="shared" si="28"/>
        <v>{834,1200}</v>
      </c>
      <c r="F52" t="str">
        <f t="shared" si="29"/>
        <v>{1201,1250}</v>
      </c>
      <c r="G52" t="str">
        <f t="shared" si="30"/>
        <v>{1251,1500}</v>
      </c>
      <c r="H52" t="str">
        <f t="shared" si="31"/>
        <v>{1501,1800}</v>
      </c>
      <c r="I52" t="str">
        <f t="shared" si="32"/>
        <v>{1801,2160}</v>
      </c>
      <c r="J52" t="str">
        <f t="shared" si="33"/>
        <v>{2161,2700}</v>
      </c>
      <c r="K52" t="str">
        <f t="shared" si="34"/>
        <v>{2701,3375}</v>
      </c>
      <c r="L52" t="str">
        <f t="shared" si="35"/>
        <v>{3376,4050}</v>
      </c>
      <c r="M52" t="str">
        <f t="shared" si="36"/>
        <v>{4051,4860}</v>
      </c>
      <c r="Q52">
        <v>17</v>
      </c>
      <c r="R52" t="str">
        <f ca="1" t="shared" si="9"/>
        <v>{1,1500}</v>
      </c>
      <c r="S52" t="str">
        <f ca="1" t="shared" si="10"/>
        <v>{2,1500}</v>
      </c>
      <c r="T52" t="str">
        <f ca="1" t="shared" si="11"/>
        <v>{3,1800}</v>
      </c>
      <c r="U52" t="str">
        <f ca="1" t="shared" si="12"/>
        <v>{4,2160}</v>
      </c>
      <c r="V52" t="str">
        <f ca="1" t="shared" si="13"/>
        <v>{5,2700}</v>
      </c>
      <c r="W52" t="str">
        <f ca="1" t="shared" si="14"/>
        <v>{6,2700}</v>
      </c>
      <c r="X52" t="str">
        <f ca="1" t="shared" si="15"/>
        <v>{7,3375}</v>
      </c>
      <c r="Y52" t="str">
        <f ca="1" t="shared" si="16"/>
        <v>{8,3375}</v>
      </c>
      <c r="Z52" t="str">
        <f ca="1" t="shared" si="17"/>
        <v>{9,4050}</v>
      </c>
      <c r="AA52" t="str">
        <f ca="1" t="shared" si="18"/>
        <v>{10,4050}</v>
      </c>
      <c r="AB52" t="str">
        <f ca="1" t="shared" si="19"/>
        <v>{11,4860}</v>
      </c>
      <c r="AC52" t="str">
        <f ca="1" t="shared" si="20"/>
        <v>{12,4860}</v>
      </c>
      <c r="AD52" t="str">
        <f ca="1" t="shared" si="37"/>
        <v>[{1,1500},{2,1500},{3,1800},{4,2160},{5,2700},{6,2700},{7,3375},{8,3375},{9,4050},{10,4050},{11,4860},{12,4860}]</v>
      </c>
    </row>
    <row r="53" spans="2:30">
      <c r="B53" t="s">
        <v>70</v>
      </c>
      <c r="C53">
        <v>907</v>
      </c>
      <c r="D53" t="str">
        <f t="shared" si="27"/>
        <v>{1205,2411}</v>
      </c>
      <c r="E53" t="str">
        <f t="shared" si="28"/>
        <v>{2412,3333}</v>
      </c>
      <c r="F53" t="str">
        <f t="shared" si="29"/>
        <v>{3334,3472}</v>
      </c>
      <c r="G53" t="str">
        <f t="shared" si="30"/>
        <v>{3473,4166}</v>
      </c>
      <c r="H53" t="str">
        <f t="shared" si="31"/>
        <v>{4167,5000}</v>
      </c>
      <c r="I53" t="str">
        <f t="shared" si="32"/>
        <v>{5001,6000}</v>
      </c>
      <c r="J53" t="str">
        <f t="shared" si="33"/>
        <v>{6001,7500}</v>
      </c>
      <c r="K53" t="str">
        <f t="shared" si="34"/>
        <v>{7501,9375}</v>
      </c>
      <c r="L53" t="str">
        <f t="shared" si="35"/>
        <v>{9376,11250}</v>
      </c>
      <c r="M53" t="str">
        <f t="shared" si="36"/>
        <v>{11251,13500}</v>
      </c>
      <c r="Q53">
        <v>18</v>
      </c>
      <c r="R53" t="str">
        <f ca="1" t="shared" si="9"/>
        <v>{1,1500}</v>
      </c>
      <c r="S53" t="str">
        <f ca="1" t="shared" si="10"/>
        <v>{2,1500}</v>
      </c>
      <c r="T53" t="str">
        <f ca="1" t="shared" si="11"/>
        <v>{3,1800}</v>
      </c>
      <c r="U53" t="str">
        <f ca="1" t="shared" si="12"/>
        <v>{4,2160}</v>
      </c>
      <c r="V53" t="str">
        <f ca="1" t="shared" si="13"/>
        <v>{5,2700}</v>
      </c>
      <c r="W53" t="str">
        <f ca="1" t="shared" si="14"/>
        <v>{6,2700}</v>
      </c>
      <c r="X53" t="str">
        <f ca="1" t="shared" si="15"/>
        <v>{7,3375}</v>
      </c>
      <c r="Y53" t="str">
        <f ca="1" t="shared" si="16"/>
        <v>{8,3375}</v>
      </c>
      <c r="Z53" t="str">
        <f ca="1" t="shared" si="17"/>
        <v>{9,4050}</v>
      </c>
      <c r="AA53" t="str">
        <f ca="1" t="shared" si="18"/>
        <v>{10,4050}</v>
      </c>
      <c r="AB53" t="str">
        <f ca="1" t="shared" si="19"/>
        <v>{11,4860}</v>
      </c>
      <c r="AC53" t="str">
        <f ca="1" t="shared" si="20"/>
        <v>{12,4860}</v>
      </c>
      <c r="AD53" t="str">
        <f ca="1" t="shared" si="37"/>
        <v>[{1,1500},{2,1500},{3,1800},{4,2160},{5,2700},{6,2700},{7,3375},{8,3375},{9,4050},{10,4050},{11,4860},{12,4860}]</v>
      </c>
    </row>
    <row r="54" spans="2:30">
      <c r="B54" t="s">
        <v>95</v>
      </c>
      <c r="C54">
        <v>1111</v>
      </c>
      <c r="D54" t="str">
        <f t="shared" si="27"/>
        <v>{1446,2893}</v>
      </c>
      <c r="E54" t="str">
        <f t="shared" si="28"/>
        <v>{2894,4000}</v>
      </c>
      <c r="F54" t="str">
        <f t="shared" si="29"/>
        <v>{4001,4166}</v>
      </c>
      <c r="G54" t="str">
        <f t="shared" si="30"/>
        <v>{4167,5000}</v>
      </c>
      <c r="H54" t="str">
        <f t="shared" si="31"/>
        <v>{5001,6000}</v>
      </c>
      <c r="I54" t="str">
        <f t="shared" si="32"/>
        <v>{6001,7200}</v>
      </c>
      <c r="J54" t="str">
        <f t="shared" si="33"/>
        <v>{7201,9000}</v>
      </c>
      <c r="K54" t="str">
        <f t="shared" si="34"/>
        <v>{9001,11250}</v>
      </c>
      <c r="L54" t="str">
        <f t="shared" si="35"/>
        <v>{11251,13500}</v>
      </c>
      <c r="M54" t="str">
        <f t="shared" si="36"/>
        <v>{13501,16200}</v>
      </c>
      <c r="Q54">
        <v>19</v>
      </c>
      <c r="R54" t="str">
        <f ca="1" t="shared" si="9"/>
        <v>{1,4166}</v>
      </c>
      <c r="S54" t="str">
        <f ca="1" t="shared" si="10"/>
        <v>{2,4166}</v>
      </c>
      <c r="T54" t="str">
        <f ca="1" t="shared" si="11"/>
        <v>{3,5000}</v>
      </c>
      <c r="U54" t="str">
        <f ca="1" t="shared" si="12"/>
        <v>{4,6000}</v>
      </c>
      <c r="V54" t="str">
        <f ca="1" t="shared" si="13"/>
        <v>{5,7500}</v>
      </c>
      <c r="W54" t="str">
        <f ca="1" t="shared" si="14"/>
        <v>{6,7500}</v>
      </c>
      <c r="X54" t="str">
        <f ca="1" t="shared" si="15"/>
        <v>{7,9375}</v>
      </c>
      <c r="Y54" t="str">
        <f ca="1" t="shared" si="16"/>
        <v>{8,9375}</v>
      </c>
      <c r="Z54" t="str">
        <f ca="1" t="shared" si="17"/>
        <v>{9,11250}</v>
      </c>
      <c r="AA54" t="str">
        <f ca="1" t="shared" si="18"/>
        <v>{10,11250}</v>
      </c>
      <c r="AB54" t="str">
        <f ca="1" t="shared" si="19"/>
        <v>{11,13500}</v>
      </c>
      <c r="AC54" t="str">
        <f ca="1" t="shared" si="20"/>
        <v>{12,13500}</v>
      </c>
      <c r="AD54" t="str">
        <f ca="1" t="shared" si="37"/>
        <v>[{1,4166},{2,4166},{3,5000},{4,6000},{5,7500},{6,7500},{7,9375},{8,9375},{9,11250},{10,11250},{11,13500},{12,13500}]</v>
      </c>
    </row>
    <row r="55" spans="2:30">
      <c r="B55" t="s">
        <v>96</v>
      </c>
      <c r="C55">
        <v>1211</v>
      </c>
      <c r="D55" t="str">
        <f t="shared" si="27"/>
        <v>{1446,2893}</v>
      </c>
      <c r="E55" t="str">
        <f t="shared" si="28"/>
        <v>{2894,4000}</v>
      </c>
      <c r="F55" t="str">
        <f t="shared" si="29"/>
        <v>{4001,4166}</v>
      </c>
      <c r="G55" t="str">
        <f t="shared" si="30"/>
        <v>{4167,5000}</v>
      </c>
      <c r="H55" t="str">
        <f t="shared" si="31"/>
        <v>{5001,6000}</v>
      </c>
      <c r="I55" t="str">
        <f t="shared" si="32"/>
        <v>{6001,7200}</v>
      </c>
      <c r="J55" t="str">
        <f t="shared" si="33"/>
        <v>{7201,9000}</v>
      </c>
      <c r="K55" t="str">
        <f t="shared" si="34"/>
        <v>{9001,11250}</v>
      </c>
      <c r="L55" t="str">
        <f t="shared" si="35"/>
        <v>{11251,13500}</v>
      </c>
      <c r="M55" t="str">
        <f t="shared" si="36"/>
        <v>{13501,16200}</v>
      </c>
      <c r="Q55">
        <v>20</v>
      </c>
      <c r="R55" t="str">
        <f ca="1" t="shared" si="9"/>
        <v>{1,5000}</v>
      </c>
      <c r="S55" t="str">
        <f ca="1" t="shared" si="10"/>
        <v>{2,5000}</v>
      </c>
      <c r="T55" t="str">
        <f ca="1" t="shared" si="11"/>
        <v>{3,6000}</v>
      </c>
      <c r="U55" t="str">
        <f ca="1" t="shared" si="12"/>
        <v>{4,7200}</v>
      </c>
      <c r="V55" t="str">
        <f ca="1" t="shared" si="13"/>
        <v>{5,9000}</v>
      </c>
      <c r="W55" t="str">
        <f ca="1" t="shared" si="14"/>
        <v>{6,9000}</v>
      </c>
      <c r="X55" t="str">
        <f ca="1" t="shared" si="15"/>
        <v>{7,11250}</v>
      </c>
      <c r="Y55" t="str">
        <f ca="1" t="shared" si="16"/>
        <v>{8,11250}</v>
      </c>
      <c r="Z55" t="str">
        <f ca="1" t="shared" si="17"/>
        <v>{9,13500}</v>
      </c>
      <c r="AA55" t="str">
        <f ca="1" t="shared" si="18"/>
        <v>{10,13500}</v>
      </c>
      <c r="AB55" t="str">
        <f ca="1" t="shared" si="19"/>
        <v>{11,16200}</v>
      </c>
      <c r="AC55" t="str">
        <f ca="1" t="shared" si="20"/>
        <v>{12,16200}</v>
      </c>
      <c r="AD55" t="str">
        <f ca="1" t="shared" si="37"/>
        <v>[{1,5000},{2,5000},{3,6000},{4,7200},{5,9000},{6,9000},{7,11250},{8,11250},{9,13500},{10,13500},{11,16200},{12,16200}]</v>
      </c>
    </row>
    <row r="56" spans="2:30">
      <c r="B56" t="s">
        <v>97</v>
      </c>
      <c r="C56">
        <v>1411</v>
      </c>
      <c r="D56" t="str">
        <f t="shared" si="27"/>
        <v>{1446,2893}</v>
      </c>
      <c r="E56" t="str">
        <f t="shared" si="28"/>
        <v>{2894,4000}</v>
      </c>
      <c r="F56" t="str">
        <f t="shared" si="29"/>
        <v>{4001,4166}</v>
      </c>
      <c r="G56" t="str">
        <f t="shared" si="30"/>
        <v>{4167,5000}</v>
      </c>
      <c r="H56" t="str">
        <f t="shared" si="31"/>
        <v>{5001,6000}</v>
      </c>
      <c r="I56" t="str">
        <f t="shared" si="32"/>
        <v>{6001,7200}</v>
      </c>
      <c r="J56" t="str">
        <f t="shared" si="33"/>
        <v>{7201,9000}</v>
      </c>
      <c r="K56" t="str">
        <f t="shared" si="34"/>
        <v>{9001,11250}</v>
      </c>
      <c r="L56" t="str">
        <f t="shared" si="35"/>
        <v>{11251,13500}</v>
      </c>
      <c r="M56" t="str">
        <f t="shared" si="36"/>
        <v>{13501,16200}</v>
      </c>
      <c r="Q56">
        <v>21</v>
      </c>
      <c r="R56" t="str">
        <f ca="1" t="shared" si="9"/>
        <v>{1,5000}</v>
      </c>
      <c r="S56" t="str">
        <f ca="1" t="shared" si="10"/>
        <v>{2,5000}</v>
      </c>
      <c r="T56" t="str">
        <f ca="1" t="shared" si="11"/>
        <v>{3,6000}</v>
      </c>
      <c r="U56" t="str">
        <f ca="1" t="shared" si="12"/>
        <v>{4,7200}</v>
      </c>
      <c r="V56" t="str">
        <f ca="1" t="shared" si="13"/>
        <v>{5,9000}</v>
      </c>
      <c r="W56" t="str">
        <f ca="1" t="shared" si="14"/>
        <v>{6,9000}</v>
      </c>
      <c r="X56" t="str">
        <f ca="1" t="shared" si="15"/>
        <v>{7,11250}</v>
      </c>
      <c r="Y56" t="str">
        <f ca="1" t="shared" si="16"/>
        <v>{8,11250}</v>
      </c>
      <c r="Z56" t="str">
        <f ca="1" t="shared" si="17"/>
        <v>{9,13500}</v>
      </c>
      <c r="AA56" t="str">
        <f ca="1" t="shared" si="18"/>
        <v>{10,13500}</v>
      </c>
      <c r="AB56" t="str">
        <f ca="1" t="shared" si="19"/>
        <v>{11,16200}</v>
      </c>
      <c r="AC56" t="str">
        <f ca="1" t="shared" si="20"/>
        <v>{12,16200}</v>
      </c>
      <c r="AD56" t="str">
        <f ca="1" t="shared" si="37"/>
        <v>[{1,5000},{2,5000},{3,6000},{4,7200},{5,9000},{6,9000},{7,11250},{8,11250},{9,13500},{10,13500},{11,16200},{12,16200}]</v>
      </c>
    </row>
    <row r="57" spans="2:30">
      <c r="B57" t="s">
        <v>98</v>
      </c>
      <c r="C57">
        <v>1511</v>
      </c>
      <c r="D57" t="str">
        <f t="shared" si="27"/>
        <v>{1446,2893}</v>
      </c>
      <c r="E57" t="str">
        <f t="shared" si="28"/>
        <v>{2894,4000}</v>
      </c>
      <c r="F57" t="str">
        <f t="shared" si="29"/>
        <v>{4001,4166}</v>
      </c>
      <c r="G57" t="str">
        <f t="shared" si="30"/>
        <v>{4167,5000}</v>
      </c>
      <c r="H57" t="str">
        <f t="shared" si="31"/>
        <v>{5001,6000}</v>
      </c>
      <c r="I57" t="str">
        <f t="shared" si="32"/>
        <v>{6001,7200}</v>
      </c>
      <c r="J57" t="str">
        <f t="shared" si="33"/>
        <v>{7201,9000}</v>
      </c>
      <c r="K57" t="str">
        <f t="shared" si="34"/>
        <v>{9001,11250}</v>
      </c>
      <c r="L57" t="str">
        <f t="shared" si="35"/>
        <v>{11251,13500}</v>
      </c>
      <c r="M57" t="str">
        <f t="shared" si="36"/>
        <v>{13501,16200}</v>
      </c>
      <c r="Q57">
        <v>22</v>
      </c>
      <c r="R57" t="str">
        <f ca="1" t="shared" si="9"/>
        <v>{1,5000}</v>
      </c>
      <c r="S57" t="str">
        <f ca="1" t="shared" si="10"/>
        <v>{2,5000}</v>
      </c>
      <c r="T57" t="str">
        <f ca="1" t="shared" si="11"/>
        <v>{3,6000}</v>
      </c>
      <c r="U57" t="str">
        <f ca="1" t="shared" si="12"/>
        <v>{4,7200}</v>
      </c>
      <c r="V57" t="str">
        <f ca="1" t="shared" si="13"/>
        <v>{5,9000}</v>
      </c>
      <c r="W57" t="str">
        <f ca="1" t="shared" si="14"/>
        <v>{6,9000}</v>
      </c>
      <c r="X57" t="str">
        <f ca="1" t="shared" si="15"/>
        <v>{7,11250}</v>
      </c>
      <c r="Y57" t="str">
        <f ca="1" t="shared" si="16"/>
        <v>{8,11250}</v>
      </c>
      <c r="Z57" t="str">
        <f ca="1" t="shared" si="17"/>
        <v>{9,13500}</v>
      </c>
      <c r="AA57" t="str">
        <f ca="1" t="shared" si="18"/>
        <v>{10,13500}</v>
      </c>
      <c r="AB57" t="str">
        <f ca="1" t="shared" si="19"/>
        <v>{11,16200}</v>
      </c>
      <c r="AC57" t="str">
        <f ca="1" t="shared" si="20"/>
        <v>{12,16200}</v>
      </c>
      <c r="AD57" t="str">
        <f ca="1" t="shared" si="37"/>
        <v>[{1,5000},{2,5000},{3,6000},{4,7200},{5,9000},{6,9000},{7,11250},{8,11250},{9,13500},{10,13500},{11,16200},{12,16200}]</v>
      </c>
    </row>
    <row r="58" spans="2:30">
      <c r="B58" t="s">
        <v>99</v>
      </c>
      <c r="C58">
        <v>1711</v>
      </c>
      <c r="D58" t="str">
        <f t="shared" si="27"/>
        <v>{1446,2893}</v>
      </c>
      <c r="E58" t="str">
        <f t="shared" si="28"/>
        <v>{2894,4000}</v>
      </c>
      <c r="F58" t="str">
        <f t="shared" si="29"/>
        <v>{4001,4166}</v>
      </c>
      <c r="G58" t="str">
        <f t="shared" si="30"/>
        <v>{4167,5000}</v>
      </c>
      <c r="H58" t="str">
        <f t="shared" si="31"/>
        <v>{5001,6000}</v>
      </c>
      <c r="I58" t="str">
        <f t="shared" si="32"/>
        <v>{6001,7200}</v>
      </c>
      <c r="J58" t="str">
        <f t="shared" si="33"/>
        <v>{7201,9000}</v>
      </c>
      <c r="K58" t="str">
        <f t="shared" si="34"/>
        <v>{9001,11250}</v>
      </c>
      <c r="L58" t="str">
        <f t="shared" si="35"/>
        <v>{11251,13500}</v>
      </c>
      <c r="M58" t="str">
        <f t="shared" si="36"/>
        <v>{13501,16200}</v>
      </c>
      <c r="Q58">
        <v>23</v>
      </c>
      <c r="R58" t="str">
        <f ca="1" t="shared" si="9"/>
        <v>{1,5000}</v>
      </c>
      <c r="S58" t="str">
        <f ca="1" t="shared" si="10"/>
        <v>{2,5000}</v>
      </c>
      <c r="T58" t="str">
        <f ca="1" t="shared" si="11"/>
        <v>{3,6000}</v>
      </c>
      <c r="U58" t="str">
        <f ca="1" t="shared" si="12"/>
        <v>{4,7200}</v>
      </c>
      <c r="V58" t="str">
        <f ca="1" t="shared" si="13"/>
        <v>{5,9000}</v>
      </c>
      <c r="W58" t="str">
        <f ca="1" t="shared" si="14"/>
        <v>{6,9000}</v>
      </c>
      <c r="X58" t="str">
        <f ca="1" t="shared" si="15"/>
        <v>{7,11250}</v>
      </c>
      <c r="Y58" t="str">
        <f ca="1" t="shared" si="16"/>
        <v>{8,11250}</v>
      </c>
      <c r="Z58" t="str">
        <f ca="1" t="shared" si="17"/>
        <v>{9,13500}</v>
      </c>
      <c r="AA58" t="str">
        <f ca="1" t="shared" si="18"/>
        <v>{10,13500}</v>
      </c>
      <c r="AB58" t="str">
        <f ca="1" t="shared" si="19"/>
        <v>{11,16200}</v>
      </c>
      <c r="AC58" t="str">
        <f ca="1" t="shared" si="20"/>
        <v>{12,16200}</v>
      </c>
      <c r="AD58" t="str">
        <f ca="1" t="shared" si="37"/>
        <v>[{1,5000},{2,5000},{3,6000},{4,7200},{5,9000},{6,9000},{7,11250},{8,11250},{9,13500},{10,13500},{11,16200},{12,16200}]</v>
      </c>
    </row>
    <row r="59" spans="2:30">
      <c r="B59" t="s">
        <v>100</v>
      </c>
      <c r="C59">
        <v>1011</v>
      </c>
      <c r="D59" t="str">
        <f t="shared" si="27"/>
        <v>{1446,2893}</v>
      </c>
      <c r="E59" t="str">
        <f t="shared" si="28"/>
        <v>{2894,4000}</v>
      </c>
      <c r="F59" t="str">
        <f t="shared" si="29"/>
        <v>{4001,4166}</v>
      </c>
      <c r="G59" t="str">
        <f t="shared" si="30"/>
        <v>{4167,5000}</v>
      </c>
      <c r="H59" t="str">
        <f t="shared" si="31"/>
        <v>{5001,6000}</v>
      </c>
      <c r="I59" t="str">
        <f t="shared" si="32"/>
        <v>{6001,7200}</v>
      </c>
      <c r="J59" t="str">
        <f t="shared" si="33"/>
        <v>{7201,9000}</v>
      </c>
      <c r="K59" t="str">
        <f t="shared" si="34"/>
        <v>{9001,11250}</v>
      </c>
      <c r="L59" t="str">
        <f t="shared" si="35"/>
        <v>{11251,13500}</v>
      </c>
      <c r="M59" t="str">
        <f t="shared" si="36"/>
        <v>{13501,16200}</v>
      </c>
      <c r="Q59">
        <v>24</v>
      </c>
      <c r="R59" t="str">
        <f ca="1" t="shared" si="9"/>
        <v>{1,5000}</v>
      </c>
      <c r="S59" t="str">
        <f ca="1" t="shared" si="10"/>
        <v>{2,5000}</v>
      </c>
      <c r="T59" t="str">
        <f ca="1" t="shared" si="11"/>
        <v>{3,6000}</v>
      </c>
      <c r="U59" t="str">
        <f ca="1" t="shared" si="12"/>
        <v>{4,7200}</v>
      </c>
      <c r="V59" t="str">
        <f ca="1" t="shared" si="13"/>
        <v>{5,9000}</v>
      </c>
      <c r="W59" t="str">
        <f ca="1" t="shared" si="14"/>
        <v>{6,9000}</v>
      </c>
      <c r="X59" t="str">
        <f ca="1" t="shared" si="15"/>
        <v>{7,11250}</v>
      </c>
      <c r="Y59" t="str">
        <f ca="1" t="shared" si="16"/>
        <v>{8,11250}</v>
      </c>
      <c r="Z59" t="str">
        <f ca="1" t="shared" si="17"/>
        <v>{9,13500}</v>
      </c>
      <c r="AA59" t="str">
        <f ca="1" t="shared" si="18"/>
        <v>{10,13500}</v>
      </c>
      <c r="AB59" t="str">
        <f ca="1" t="shared" si="19"/>
        <v>{11,16200}</v>
      </c>
      <c r="AC59" t="str">
        <f ca="1" t="shared" si="20"/>
        <v>{12,16200}</v>
      </c>
      <c r="AD59" t="str">
        <f ca="1" t="shared" si="37"/>
        <v>[{1,5000},{2,5000},{3,6000},{4,7200},{5,9000},{6,9000},{7,11250},{8,11250},{9,13500},{10,13500},{11,16200},{12,16200}]</v>
      </c>
    </row>
    <row r="60" spans="2:30">
      <c r="B60" t="s">
        <v>101</v>
      </c>
      <c r="C60">
        <v>616</v>
      </c>
      <c r="D60" t="str">
        <f t="shared" si="27"/>
        <v>{400,800}</v>
      </c>
      <c r="E60" t="str">
        <f t="shared" si="28"/>
        <v>{801,1200}</v>
      </c>
      <c r="F60" t="str">
        <f t="shared" si="29"/>
        <v>{1201,1250}</v>
      </c>
      <c r="G60" t="str">
        <f t="shared" si="30"/>
        <v>{1251,1500}</v>
      </c>
      <c r="H60" t="str">
        <f t="shared" si="31"/>
        <v>{1501,1800}</v>
      </c>
      <c r="I60" t="str">
        <f t="shared" si="32"/>
        <v>{1801,2160}</v>
      </c>
      <c r="J60" t="str">
        <f t="shared" si="33"/>
        <v>{2161,2700}</v>
      </c>
      <c r="K60" t="str">
        <f t="shared" si="34"/>
        <v>{2701,3375}</v>
      </c>
      <c r="L60" t="str">
        <f t="shared" si="35"/>
        <v>{3376,4050}</v>
      </c>
      <c r="M60" t="str">
        <f t="shared" si="36"/>
        <v>{4051,4860}</v>
      </c>
      <c r="Q60">
        <v>25</v>
      </c>
      <c r="R60" t="str">
        <f ca="1" t="shared" si="9"/>
        <v>{1,5000}</v>
      </c>
      <c r="S60" t="str">
        <f ca="1" t="shared" si="10"/>
        <v>{2,5000}</v>
      </c>
      <c r="T60" t="str">
        <f ca="1" t="shared" si="11"/>
        <v>{3,6000}</v>
      </c>
      <c r="U60" t="str">
        <f ca="1" t="shared" si="12"/>
        <v>{4,7200}</v>
      </c>
      <c r="V60" t="str">
        <f ca="1" t="shared" si="13"/>
        <v>{5,9000}</v>
      </c>
      <c r="W60" t="str">
        <f ca="1" t="shared" si="14"/>
        <v>{6,9000}</v>
      </c>
      <c r="X60" t="str">
        <f ca="1" t="shared" si="15"/>
        <v>{7,11250}</v>
      </c>
      <c r="Y60" t="str">
        <f ca="1" t="shared" si="16"/>
        <v>{8,11250}</v>
      </c>
      <c r="Z60" t="str">
        <f ca="1" t="shared" si="17"/>
        <v>{9,13500}</v>
      </c>
      <c r="AA60" t="str">
        <f ca="1" t="shared" si="18"/>
        <v>{10,13500}</v>
      </c>
      <c r="AB60" t="str">
        <f ca="1" t="shared" si="19"/>
        <v>{11,16200}</v>
      </c>
      <c r="AC60" t="str">
        <f ca="1" t="shared" si="20"/>
        <v>{12,16200}</v>
      </c>
      <c r="AD60" t="str">
        <f ca="1" t="shared" si="37"/>
        <v>[{1,5000},{2,5000},{3,6000},{4,7200},{5,9000},{6,9000},{7,11250},{8,11250},{9,13500},{10,13500},{11,16200},{12,16200}]</v>
      </c>
    </row>
    <row r="61" spans="2:30">
      <c r="B61" s="33" t="s">
        <v>124</v>
      </c>
      <c r="C61">
        <v>617</v>
      </c>
      <c r="D61" t="str">
        <f t="shared" si="27"/>
        <v>{400,800}</v>
      </c>
      <c r="E61" t="str">
        <f t="shared" si="28"/>
        <v>{801,1200}</v>
      </c>
      <c r="F61" t="str">
        <f t="shared" si="29"/>
        <v>{1201,1250}</v>
      </c>
      <c r="G61" t="str">
        <f t="shared" si="30"/>
        <v>{1251,1500}</v>
      </c>
      <c r="H61" t="str">
        <f t="shared" si="31"/>
        <v>{1501,1800}</v>
      </c>
      <c r="I61" t="str">
        <f t="shared" si="32"/>
        <v>{1801,2160}</v>
      </c>
      <c r="J61" t="str">
        <f t="shared" si="33"/>
        <v>{2161,2700}</v>
      </c>
      <c r="K61" t="str">
        <f t="shared" si="34"/>
        <v>{2701,3375}</v>
      </c>
      <c r="L61" t="str">
        <f t="shared" si="35"/>
        <v>{3376,4050}</v>
      </c>
      <c r="M61" t="str">
        <f t="shared" si="36"/>
        <v>{4051,4860}</v>
      </c>
      <c r="Q61">
        <v>26</v>
      </c>
      <c r="R61" t="str">
        <f ca="1" t="shared" si="9"/>
        <v>{1,1500}</v>
      </c>
      <c r="S61" t="str">
        <f ca="1" t="shared" si="10"/>
        <v>{2,1500}</v>
      </c>
      <c r="T61" t="str">
        <f ca="1" t="shared" si="11"/>
        <v>{3,1800}</v>
      </c>
      <c r="U61" t="str">
        <f ca="1" t="shared" si="12"/>
        <v>{4,2160}</v>
      </c>
      <c r="V61" t="str">
        <f ca="1" t="shared" si="13"/>
        <v>{5,2700}</v>
      </c>
      <c r="W61" t="str">
        <f ca="1" t="shared" si="14"/>
        <v>{6,2700}</v>
      </c>
      <c r="X61" t="str">
        <f ca="1" t="shared" si="15"/>
        <v>{7,3375}</v>
      </c>
      <c r="Y61" t="str">
        <f ca="1" t="shared" si="16"/>
        <v>{8,3375}</v>
      </c>
      <c r="Z61" t="str">
        <f ca="1" t="shared" si="17"/>
        <v>{9,4050}</v>
      </c>
      <c r="AA61" t="str">
        <f ca="1" t="shared" si="18"/>
        <v>{10,4050}</v>
      </c>
      <c r="AB61" t="str">
        <f ca="1" t="shared" si="19"/>
        <v>{11,4860}</v>
      </c>
      <c r="AC61" t="str">
        <f ca="1" t="shared" si="20"/>
        <v>{12,4860}</v>
      </c>
      <c r="AD61" t="str">
        <f ca="1" t="shared" si="37"/>
        <v>[{1,1500},{2,1500},{3,1800},{4,2160},{5,2700},{6,2700},{7,3375},{8,3375},{9,4050},{10,4050},{11,4860},{12,4860}]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J5:N506"/>
  <sheetViews>
    <sheetView workbookViewId="0">
      <selection activeCell="F46" sqref="F46"/>
    </sheetView>
  </sheetViews>
  <sheetFormatPr defaultColWidth="9.14285714285714" defaultRowHeight="12.75"/>
  <cols>
    <col min="10" max="10" width="12.8571428571429"/>
    <col min="14" max="14" width="12.8571428571429"/>
  </cols>
  <sheetData>
    <row r="5" spans="10:14">
      <c r="M5" s="31">
        <v>0.05556</v>
      </c>
      <c r="N5">
        <v>5</v>
      </c>
    </row>
    <row r="6" spans="10:14">
      <c r="J6" cm="1">
        <f t="array" ref="J6">SUMPRODUCT(L:L,M:M)</f>
        <v>21.9985601151818</v>
      </c>
      <c r="N6">
        <v>1</v>
      </c>
    </row>
    <row r="7" spans="10:14">
      <c r="J7">
        <f>1/J6</f>
        <v>0.0454575206179005</v>
      </c>
      <c r="L7">
        <v>1</v>
      </c>
      <c r="M7" s="32">
        <f t="shared" ref="M7:M16" si="0">IF(L7&gt;=$N$5,$M$5*N6,0)</f>
        <v>0</v>
      </c>
      <c r="N7">
        <f>1-SUM($M$7:M7)</f>
        <v>1</v>
      </c>
    </row>
    <row r="8" spans="10:14">
      <c r="L8">
        <f>L7+1</f>
        <v>2</v>
      </c>
      <c r="M8" s="32">
        <f t="shared" si="0"/>
        <v>0</v>
      </c>
      <c r="N8">
        <f>1-SUM($M$7:M8)</f>
        <v>1</v>
      </c>
    </row>
    <row r="9" spans="10:14">
      <c r="L9">
        <f t="shared" ref="L9:L72" si="1">L8+1</f>
        <v>3</v>
      </c>
      <c r="M9" s="32">
        <f t="shared" si="0"/>
        <v>0</v>
      </c>
      <c r="N9">
        <f>1-SUM($M$7:M9)</f>
        <v>1</v>
      </c>
    </row>
    <row r="10" spans="10:14">
      <c r="L10">
        <f t="shared" si="1"/>
        <v>4</v>
      </c>
      <c r="M10" s="32">
        <f t="shared" si="0"/>
        <v>0</v>
      </c>
      <c r="N10">
        <f>1-SUM($M$7:M10)</f>
        <v>1</v>
      </c>
    </row>
    <row r="11" spans="10:14">
      <c r="L11">
        <f t="shared" si="1"/>
        <v>5</v>
      </c>
      <c r="M11" s="32">
        <f t="shared" si="0"/>
        <v>0.05556</v>
      </c>
      <c r="N11">
        <f>1-SUM($M$7:M11)</f>
        <v>0.94444</v>
      </c>
    </row>
    <row r="12" spans="10:14">
      <c r="L12">
        <f t="shared" si="1"/>
        <v>6</v>
      </c>
      <c r="M12" s="32">
        <f t="shared" si="0"/>
        <v>0.0524730864</v>
      </c>
      <c r="N12">
        <f>1-SUM($M$7:M12)</f>
        <v>0.8919669136</v>
      </c>
    </row>
    <row r="13" spans="10:14">
      <c r="L13">
        <f t="shared" si="1"/>
        <v>7</v>
      </c>
      <c r="M13" s="32">
        <f t="shared" si="0"/>
        <v>0.049557681719616</v>
      </c>
      <c r="N13">
        <f>1-SUM($M$7:M13)</f>
        <v>0.842409231880384</v>
      </c>
    </row>
    <row r="14" spans="10:14">
      <c r="L14">
        <f t="shared" si="1"/>
        <v>8</v>
      </c>
      <c r="M14" s="32">
        <f t="shared" si="0"/>
        <v>0.0468042569232741</v>
      </c>
      <c r="N14">
        <f>1-SUM($M$7:M14)</f>
        <v>0.79560497495711</v>
      </c>
    </row>
    <row r="15" spans="10:14">
      <c r="L15">
        <f t="shared" si="1"/>
        <v>9</v>
      </c>
      <c r="M15" s="32">
        <f t="shared" si="0"/>
        <v>0.044203812408617</v>
      </c>
      <c r="N15">
        <f>1-SUM($M$7:M15)</f>
        <v>0.751401162548493</v>
      </c>
    </row>
    <row r="16" spans="10:14">
      <c r="L16">
        <f t="shared" si="1"/>
        <v>10</v>
      </c>
      <c r="M16" s="32">
        <f t="shared" si="0"/>
        <v>0.0417478485911943</v>
      </c>
      <c r="N16">
        <f>1-SUM($M$7:M16)</f>
        <v>0.709653313957299</v>
      </c>
    </row>
    <row r="17" spans="12:14">
      <c r="L17">
        <f t="shared" si="1"/>
        <v>11</v>
      </c>
      <c r="M17" s="32">
        <f t="shared" ref="M17:M37" si="2">IF(L17&gt;=$N$5,$M$5*N16,0)</f>
        <v>0.0394283381234675</v>
      </c>
      <c r="N17">
        <f>1-SUM($M$7:M17)</f>
        <v>0.670224975833831</v>
      </c>
    </row>
    <row r="18" spans="12:14">
      <c r="L18">
        <f t="shared" si="1"/>
        <v>12</v>
      </c>
      <c r="M18" s="32">
        <f t="shared" si="2"/>
        <v>0.0372376996573276</v>
      </c>
      <c r="N18">
        <f>1-SUM($M$7:M18)</f>
        <v>0.632987276176503</v>
      </c>
    </row>
    <row r="19" spans="12:14">
      <c r="L19">
        <f t="shared" si="1"/>
        <v>13</v>
      </c>
      <c r="M19" s="32">
        <f t="shared" si="2"/>
        <v>0.0351687730643665</v>
      </c>
      <c r="N19">
        <f>1-SUM($M$7:M19)</f>
        <v>0.597818503112137</v>
      </c>
    </row>
    <row r="20" spans="12:14">
      <c r="L20">
        <f t="shared" si="1"/>
        <v>14</v>
      </c>
      <c r="M20" s="32">
        <f t="shared" si="2"/>
        <v>0.0332147960329103</v>
      </c>
      <c r="N20">
        <f>1-SUM($M$7:M20)</f>
        <v>0.564603707079227</v>
      </c>
    </row>
    <row r="21" spans="12:14">
      <c r="L21">
        <f t="shared" si="1"/>
        <v>15</v>
      </c>
      <c r="M21" s="32">
        <f t="shared" si="2"/>
        <v>0.0313693819653218</v>
      </c>
      <c r="N21">
        <f>1-SUM($M$7:M21)</f>
        <v>0.533234325113905</v>
      </c>
    </row>
    <row r="22" spans="12:14">
      <c r="L22">
        <f t="shared" si="1"/>
        <v>16</v>
      </c>
      <c r="M22" s="32">
        <f t="shared" si="2"/>
        <v>0.0296264991033285</v>
      </c>
      <c r="N22">
        <f>1-SUM($M$7:M22)</f>
        <v>0.503607826010576</v>
      </c>
    </row>
    <row r="23" spans="12:14">
      <c r="L23">
        <f t="shared" si="1"/>
        <v>17</v>
      </c>
      <c r="M23" s="32">
        <f t="shared" si="2"/>
        <v>0.0279804508131476</v>
      </c>
      <c r="N23">
        <f>1-SUM($M$7:M23)</f>
        <v>0.475627375197429</v>
      </c>
    </row>
    <row r="24" spans="12:14">
      <c r="L24">
        <f t="shared" si="1"/>
        <v>18</v>
      </c>
      <c r="M24" s="32">
        <f t="shared" si="2"/>
        <v>0.0264258569659691</v>
      </c>
      <c r="N24">
        <f>1-SUM($M$7:M24)</f>
        <v>0.449201518231459</v>
      </c>
    </row>
    <row r="25" spans="12:14">
      <c r="L25">
        <f t="shared" si="1"/>
        <v>19</v>
      </c>
      <c r="M25" s="32">
        <f t="shared" si="2"/>
        <v>0.0249576363529399</v>
      </c>
      <c r="N25">
        <f>1-SUM($M$7:M25)</f>
        <v>0.42424388187852</v>
      </c>
    </row>
    <row r="26" spans="12:14">
      <c r="L26">
        <f t="shared" si="1"/>
        <v>20</v>
      </c>
      <c r="M26" s="32">
        <f t="shared" si="2"/>
        <v>0.0235709900771705</v>
      </c>
      <c r="N26">
        <f>1-SUM($M$7:M26)</f>
        <v>0.400672891801349</v>
      </c>
    </row>
    <row r="27" spans="12:14">
      <c r="L27">
        <f t="shared" si="1"/>
        <v>21</v>
      </c>
      <c r="M27" s="32">
        <f t="shared" si="2"/>
        <v>0.022261385868483</v>
      </c>
      <c r="N27">
        <f>1-SUM($M$7:M27)</f>
        <v>0.378411505932866</v>
      </c>
    </row>
    <row r="28" spans="12:14">
      <c r="L28">
        <f t="shared" si="1"/>
        <v>22</v>
      </c>
      <c r="M28" s="32">
        <f t="shared" si="2"/>
        <v>0.02102454326963</v>
      </c>
      <c r="N28">
        <f>1-SUM($M$7:M28)</f>
        <v>0.357386962663236</v>
      </c>
    </row>
    <row r="29" spans="12:14">
      <c r="L29">
        <f t="shared" si="1"/>
        <v>23</v>
      </c>
      <c r="M29" s="32">
        <f t="shared" si="2"/>
        <v>0.0198564196455694</v>
      </c>
      <c r="N29">
        <f>1-SUM($M$7:M29)</f>
        <v>0.337530543017667</v>
      </c>
    </row>
    <row r="30" spans="12:14">
      <c r="L30">
        <f t="shared" si="1"/>
        <v>24</v>
      </c>
      <c r="M30" s="32">
        <f t="shared" si="2"/>
        <v>0.0187531969700616</v>
      </c>
      <c r="N30">
        <f>1-SUM($M$7:M30)</f>
        <v>0.318777346047605</v>
      </c>
    </row>
    <row r="31" spans="12:14">
      <c r="L31">
        <f t="shared" si="1"/>
        <v>25</v>
      </c>
      <c r="M31" s="32">
        <f t="shared" si="2"/>
        <v>0.0177112693464049</v>
      </c>
      <c r="N31">
        <f>1-SUM($M$7:M31)</f>
        <v>0.3010660767012</v>
      </c>
    </row>
    <row r="32" spans="12:14">
      <c r="L32">
        <f t="shared" si="1"/>
        <v>26</v>
      </c>
      <c r="M32" s="32">
        <f t="shared" si="2"/>
        <v>0.0167272312215187</v>
      </c>
      <c r="N32">
        <f>1-SUM($M$7:M32)</f>
        <v>0.284338845479681</v>
      </c>
    </row>
    <row r="33" spans="12:14">
      <c r="L33">
        <f t="shared" si="1"/>
        <v>27</v>
      </c>
      <c r="M33" s="32">
        <f t="shared" si="2"/>
        <v>0.0157978662548511</v>
      </c>
      <c r="N33">
        <f>1-SUM($M$7:M33)</f>
        <v>0.26854097922483</v>
      </c>
    </row>
    <row r="34" spans="12:14">
      <c r="L34">
        <f t="shared" si="1"/>
        <v>28</v>
      </c>
      <c r="M34" s="32">
        <f t="shared" si="2"/>
        <v>0.0149201368057316</v>
      </c>
      <c r="N34">
        <f>1-SUM($M$7:M34)</f>
        <v>0.253620842419099</v>
      </c>
    </row>
    <row r="35" spans="12:14">
      <c r="L35">
        <f t="shared" si="1"/>
        <v>29</v>
      </c>
      <c r="M35" s="32">
        <f t="shared" si="2"/>
        <v>0.0140911740048051</v>
      </c>
      <c r="N35">
        <f>1-SUM($M$7:M35)</f>
        <v>0.239529668414294</v>
      </c>
    </row>
    <row r="36" spans="12:14">
      <c r="L36">
        <f t="shared" si="1"/>
        <v>30</v>
      </c>
      <c r="M36" s="32">
        <f t="shared" si="2"/>
        <v>0.0133082683770982</v>
      </c>
      <c r="N36">
        <f>1-SUM($M$7:M36)</f>
        <v>0.226221400037195</v>
      </c>
    </row>
    <row r="37" spans="12:14">
      <c r="L37">
        <f t="shared" si="1"/>
        <v>31</v>
      </c>
      <c r="M37" s="32">
        <f t="shared" si="2"/>
        <v>0.0125688609860666</v>
      </c>
      <c r="N37">
        <f>1-SUM($M$7:M37)</f>
        <v>0.213652539051129</v>
      </c>
    </row>
    <row r="38" spans="12:14">
      <c r="L38">
        <f t="shared" si="1"/>
        <v>32</v>
      </c>
      <c r="M38" s="32">
        <f t="shared" ref="M38:M69" si="3">IF(L38&gt;=$N$5,$M$5*N37,0)</f>
        <v>0.0118705350696807</v>
      </c>
      <c r="N38">
        <f>1-SUM($M$7:M38)</f>
        <v>0.201782003981448</v>
      </c>
    </row>
    <row r="39" spans="12:14">
      <c r="L39">
        <f t="shared" si="1"/>
        <v>33</v>
      </c>
      <c r="M39" s="32">
        <f t="shared" si="3"/>
        <v>0.0112110081412093</v>
      </c>
      <c r="N39">
        <f>1-SUM($M$7:M39)</f>
        <v>0.190570995840239</v>
      </c>
    </row>
    <row r="40" spans="12:14">
      <c r="L40">
        <f t="shared" si="1"/>
        <v>34</v>
      </c>
      <c r="M40" s="32">
        <f t="shared" si="3"/>
        <v>0.0105881245288837</v>
      </c>
      <c r="N40">
        <f>1-SUM($M$7:M40)</f>
        <v>0.179982871311355</v>
      </c>
    </row>
    <row r="41" spans="12:14">
      <c r="L41">
        <f t="shared" si="1"/>
        <v>35</v>
      </c>
      <c r="M41" s="32">
        <f t="shared" si="3"/>
        <v>0.0099998483300589</v>
      </c>
      <c r="N41">
        <f>1-SUM($M$7:M41)</f>
        <v>0.169983022981296</v>
      </c>
    </row>
    <row r="42" spans="12:14">
      <c r="L42">
        <f t="shared" si="1"/>
        <v>36</v>
      </c>
      <c r="M42" s="32">
        <f t="shared" si="3"/>
        <v>0.00944425675684083</v>
      </c>
      <c r="N42">
        <f>1-SUM($M$7:M42)</f>
        <v>0.160538766224456</v>
      </c>
    </row>
    <row r="43" spans="12:14">
      <c r="L43">
        <f t="shared" si="1"/>
        <v>37</v>
      </c>
      <c r="M43" s="32">
        <f t="shared" si="3"/>
        <v>0.00891953385143075</v>
      </c>
      <c r="N43">
        <f>1-SUM($M$7:M43)</f>
        <v>0.151619232373025</v>
      </c>
    </row>
    <row r="44" spans="12:14">
      <c r="L44">
        <f t="shared" si="1"/>
        <v>38</v>
      </c>
      <c r="M44" s="32">
        <f t="shared" si="3"/>
        <v>0.00842396455064526</v>
      </c>
      <c r="N44">
        <f>1-SUM($M$7:M44)</f>
        <v>0.14319526782238</v>
      </c>
    </row>
    <row r="45" spans="12:14">
      <c r="L45">
        <f t="shared" si="1"/>
        <v>39</v>
      </c>
      <c r="M45" s="32">
        <f t="shared" si="3"/>
        <v>0.00795592908021141</v>
      </c>
      <c r="N45">
        <f>1-SUM($M$7:M45)</f>
        <v>0.135239338742168</v>
      </c>
    </row>
    <row r="46" spans="12:14">
      <c r="L46">
        <f t="shared" si="1"/>
        <v>40</v>
      </c>
      <c r="M46" s="32">
        <f t="shared" si="3"/>
        <v>0.00751389766051487</v>
      </c>
      <c r="N46">
        <f>1-SUM($M$7:M46)</f>
        <v>0.127725441081653</v>
      </c>
    </row>
    <row r="47" spans="12:14">
      <c r="L47">
        <f t="shared" si="1"/>
        <v>41</v>
      </c>
      <c r="M47" s="32">
        <f t="shared" si="3"/>
        <v>0.00709642550649666</v>
      </c>
      <c r="N47">
        <f>1-SUM($M$7:M47)</f>
        <v>0.120629015575157</v>
      </c>
    </row>
    <row r="48" spans="12:14">
      <c r="L48">
        <f t="shared" si="1"/>
        <v>42</v>
      </c>
      <c r="M48" s="32">
        <f t="shared" si="3"/>
        <v>0.0067021481053557</v>
      </c>
      <c r="N48">
        <f>1-SUM($M$7:M48)</f>
        <v>0.113926867469801</v>
      </c>
    </row>
    <row r="49" spans="12:14">
      <c r="L49">
        <f t="shared" si="1"/>
        <v>43</v>
      </c>
      <c r="M49" s="32">
        <f t="shared" si="3"/>
        <v>0.00632977675662214</v>
      </c>
      <c r="N49">
        <f>1-SUM($M$7:M49)</f>
        <v>0.107597090713179</v>
      </c>
    </row>
    <row r="50" spans="12:14">
      <c r="L50">
        <f t="shared" si="1"/>
        <v>44</v>
      </c>
      <c r="M50" s="32">
        <f t="shared" si="3"/>
        <v>0.00597809436002421</v>
      </c>
      <c r="N50">
        <f>1-SUM($M$7:M50)</f>
        <v>0.101618996353155</v>
      </c>
    </row>
    <row r="51" spans="12:14">
      <c r="L51">
        <f t="shared" si="1"/>
        <v>45</v>
      </c>
      <c r="M51" s="32">
        <f t="shared" si="3"/>
        <v>0.00564595143738127</v>
      </c>
      <c r="N51">
        <f>1-SUM($M$7:M51)</f>
        <v>0.0959730449157733</v>
      </c>
    </row>
    <row r="52" spans="12:14">
      <c r="L52">
        <f t="shared" si="1"/>
        <v>46</v>
      </c>
      <c r="M52" s="32">
        <f t="shared" si="3"/>
        <v>0.00533226237552036</v>
      </c>
      <c r="N52">
        <f>1-SUM($M$7:M52)</f>
        <v>0.090640782540253</v>
      </c>
    </row>
    <row r="53" spans="12:14">
      <c r="L53">
        <f t="shared" si="1"/>
        <v>47</v>
      </c>
      <c r="M53" s="32">
        <f t="shared" si="3"/>
        <v>0.00503600187793646</v>
      </c>
      <c r="N53">
        <f>1-SUM($M$7:M53)</f>
        <v>0.0856047806623166</v>
      </c>
    </row>
    <row r="54" spans="12:14">
      <c r="L54">
        <f t="shared" si="1"/>
        <v>48</v>
      </c>
      <c r="M54" s="32">
        <f t="shared" si="3"/>
        <v>0.00475620161359831</v>
      </c>
      <c r="N54">
        <f>1-SUM($M$7:M54)</f>
        <v>0.0808485790487182</v>
      </c>
    </row>
    <row r="55" spans="12:14">
      <c r="L55">
        <f t="shared" si="1"/>
        <v>49</v>
      </c>
      <c r="M55" s="32">
        <f t="shared" si="3"/>
        <v>0.00449194705194679</v>
      </c>
      <c r="N55">
        <f>1-SUM($M$7:M55)</f>
        <v>0.0763566319967715</v>
      </c>
    </row>
    <row r="56" spans="12:14">
      <c r="L56">
        <f t="shared" si="1"/>
        <v>50</v>
      </c>
      <c r="M56" s="32">
        <f t="shared" si="3"/>
        <v>0.00424237447374062</v>
      </c>
      <c r="N56">
        <f>1-SUM($M$7:M56)</f>
        <v>0.0721142575230308</v>
      </c>
    </row>
    <row r="57" spans="12:14">
      <c r="L57">
        <f t="shared" si="1"/>
        <v>51</v>
      </c>
      <c r="M57" s="32">
        <f t="shared" si="3"/>
        <v>0.00400666814797959</v>
      </c>
      <c r="N57">
        <f>1-SUM($M$7:M57)</f>
        <v>0.0681075893750512</v>
      </c>
    </row>
    <row r="58" spans="12:14">
      <c r="L58">
        <f t="shared" si="1"/>
        <v>52</v>
      </c>
      <c r="M58" s="32">
        <f t="shared" si="3"/>
        <v>0.00378405766567785</v>
      </c>
      <c r="N58">
        <f>1-SUM($M$7:M58)</f>
        <v>0.0643235317093734</v>
      </c>
    </row>
    <row r="59" spans="12:14">
      <c r="L59">
        <f t="shared" si="1"/>
        <v>53</v>
      </c>
      <c r="M59" s="32">
        <f t="shared" si="3"/>
        <v>0.00357381542177279</v>
      </c>
      <c r="N59">
        <f>1-SUM($M$7:M59)</f>
        <v>0.0607497162876006</v>
      </c>
    </row>
    <row r="60" spans="12:14">
      <c r="L60">
        <f t="shared" si="1"/>
        <v>54</v>
      </c>
      <c r="M60" s="32">
        <f t="shared" si="3"/>
        <v>0.00337525423693909</v>
      </c>
      <c r="N60">
        <f>1-SUM($M$7:M60)</f>
        <v>0.0573744620506615</v>
      </c>
    </row>
    <row r="61" spans="12:14">
      <c r="L61">
        <f t="shared" si="1"/>
        <v>55</v>
      </c>
      <c r="M61" s="32">
        <f t="shared" si="3"/>
        <v>0.00318772511153476</v>
      </c>
      <c r="N61">
        <f>1-SUM($M$7:M61)</f>
        <v>0.0541867369391268</v>
      </c>
    </row>
    <row r="62" spans="12:14">
      <c r="L62">
        <f t="shared" si="1"/>
        <v>56</v>
      </c>
      <c r="M62" s="32">
        <f t="shared" si="3"/>
        <v>0.00301061510433788</v>
      </c>
      <c r="N62">
        <f>1-SUM($M$7:M62)</f>
        <v>0.0511761218347889</v>
      </c>
    </row>
    <row r="63" spans="12:14">
      <c r="L63">
        <f t="shared" si="1"/>
        <v>57</v>
      </c>
      <c r="M63" s="32">
        <f t="shared" si="3"/>
        <v>0.00284334532914087</v>
      </c>
      <c r="N63">
        <f>1-SUM($M$7:M63)</f>
        <v>0.048332776505648</v>
      </c>
    </row>
    <row r="64" spans="12:14">
      <c r="L64">
        <f t="shared" si="1"/>
        <v>58</v>
      </c>
      <c r="M64" s="32">
        <f t="shared" si="3"/>
        <v>0.00268536906265381</v>
      </c>
      <c r="N64">
        <f>1-SUM($M$7:M64)</f>
        <v>0.0456474074429942</v>
      </c>
    </row>
    <row r="65" spans="12:14">
      <c r="L65">
        <f t="shared" si="1"/>
        <v>59</v>
      </c>
      <c r="M65" s="32">
        <f t="shared" si="3"/>
        <v>0.00253616995753276</v>
      </c>
      <c r="N65">
        <f>1-SUM($M$7:M65)</f>
        <v>0.0431112374854614</v>
      </c>
    </row>
    <row r="66" spans="12:14">
      <c r="L66">
        <f t="shared" si="1"/>
        <v>60</v>
      </c>
      <c r="M66" s="32">
        <f t="shared" si="3"/>
        <v>0.00239526035469224</v>
      </c>
      <c r="N66">
        <f>1-SUM($M$7:M66)</f>
        <v>0.0407159771307691</v>
      </c>
    </row>
    <row r="67" spans="12:14">
      <c r="L67">
        <f t="shared" si="1"/>
        <v>61</v>
      </c>
      <c r="M67" s="32">
        <f t="shared" si="3"/>
        <v>0.00226217968938553</v>
      </c>
      <c r="N67">
        <f>1-SUM($M$7:M67)</f>
        <v>0.0384537974413836</v>
      </c>
    </row>
    <row r="68" spans="12:14">
      <c r="L68">
        <f t="shared" si="1"/>
        <v>62</v>
      </c>
      <c r="M68" s="32">
        <f t="shared" si="3"/>
        <v>0.00213649298584327</v>
      </c>
      <c r="N68">
        <f>1-SUM($M$7:M68)</f>
        <v>0.0363173044555403</v>
      </c>
    </row>
    <row r="69" spans="12:14">
      <c r="L69">
        <f t="shared" si="1"/>
        <v>63</v>
      </c>
      <c r="M69" s="32">
        <f t="shared" si="3"/>
        <v>0.00201778943554982</v>
      </c>
      <c r="N69">
        <f>1-SUM($M$7:M69)</f>
        <v>0.0342995150199904</v>
      </c>
    </row>
    <row r="70" spans="12:14">
      <c r="L70">
        <f t="shared" si="1"/>
        <v>64</v>
      </c>
      <c r="M70" s="32">
        <f t="shared" ref="M70:M101" si="4">IF(L70&gt;=$N$5,$M$5*N69,0)</f>
        <v>0.00190568105451067</v>
      </c>
      <c r="N70">
        <f>1-SUM($M$7:M70)</f>
        <v>0.0323938339654797</v>
      </c>
    </row>
    <row r="71" spans="12:14">
      <c r="L71">
        <f t="shared" si="1"/>
        <v>65</v>
      </c>
      <c r="M71" s="32">
        <f t="shared" si="4"/>
        <v>0.00179980141512205</v>
      </c>
      <c r="N71">
        <f>1-SUM($M$7:M71)</f>
        <v>0.0305940325503576</v>
      </c>
    </row>
    <row r="72" spans="12:14">
      <c r="L72">
        <f t="shared" si="1"/>
        <v>66</v>
      </c>
      <c r="M72" s="32">
        <f t="shared" si="4"/>
        <v>0.00169980444849787</v>
      </c>
      <c r="N72">
        <f>1-SUM($M$7:M72)</f>
        <v>0.0288942281018598</v>
      </c>
    </row>
    <row r="73" spans="12:14">
      <c r="L73">
        <f t="shared" ref="L73:L136" si="5">L72+1</f>
        <v>67</v>
      </c>
      <c r="M73" s="32">
        <f t="shared" si="4"/>
        <v>0.00160536331333933</v>
      </c>
      <c r="N73">
        <f>1-SUM($M$7:M73)</f>
        <v>0.0272888647885204</v>
      </c>
    </row>
    <row r="74" spans="12:14">
      <c r="L74">
        <f t="shared" si="5"/>
        <v>68</v>
      </c>
      <c r="M74" s="32">
        <f t="shared" si="4"/>
        <v>0.0015161693276502</v>
      </c>
      <c r="N74">
        <f>1-SUM($M$7:M74)</f>
        <v>0.0257726954608702</v>
      </c>
    </row>
    <row r="75" spans="12:14">
      <c r="L75">
        <f t="shared" si="5"/>
        <v>69</v>
      </c>
      <c r="M75" s="32">
        <f t="shared" si="4"/>
        <v>0.00143193095980595</v>
      </c>
      <c r="N75">
        <f>1-SUM($M$7:M75)</f>
        <v>0.0243407645010643</v>
      </c>
    </row>
    <row r="76" spans="12:14">
      <c r="L76">
        <f t="shared" si="5"/>
        <v>70</v>
      </c>
      <c r="M76" s="32">
        <f t="shared" si="4"/>
        <v>0.00135237287567913</v>
      </c>
      <c r="N76">
        <f>1-SUM($M$7:M76)</f>
        <v>0.0229883916253851</v>
      </c>
    </row>
    <row r="77" spans="12:14">
      <c r="L77">
        <f t="shared" si="5"/>
        <v>71</v>
      </c>
      <c r="M77" s="32">
        <f t="shared" si="4"/>
        <v>0.0012772350387064</v>
      </c>
      <c r="N77">
        <f>1-SUM($M$7:M77)</f>
        <v>0.0217111565866788</v>
      </c>
    </row>
    <row r="78" spans="12:14">
      <c r="L78">
        <f t="shared" si="5"/>
        <v>72</v>
      </c>
      <c r="M78" s="32">
        <f t="shared" si="4"/>
        <v>0.00120627185995587</v>
      </c>
      <c r="N78">
        <f>1-SUM($M$7:M78)</f>
        <v>0.0205048847267228</v>
      </c>
    </row>
    <row r="79" spans="12:14">
      <c r="L79">
        <f t="shared" si="5"/>
        <v>73</v>
      </c>
      <c r="M79" s="32">
        <f t="shared" si="4"/>
        <v>0.00113925139541672</v>
      </c>
      <c r="N79">
        <f>1-SUM($M$7:M79)</f>
        <v>0.0193656333313061</v>
      </c>
    </row>
    <row r="80" spans="12:14">
      <c r="L80">
        <f t="shared" si="5"/>
        <v>74</v>
      </c>
      <c r="M80" s="32">
        <f t="shared" si="4"/>
        <v>0.00107595458788737</v>
      </c>
      <c r="N80">
        <f>1-SUM($M$7:M80)</f>
        <v>0.0182896787434188</v>
      </c>
    </row>
    <row r="81" spans="12:14">
      <c r="L81">
        <f t="shared" si="5"/>
        <v>75</v>
      </c>
      <c r="M81" s="32">
        <f t="shared" si="4"/>
        <v>0.00101617455098435</v>
      </c>
      <c r="N81">
        <f>1-SUM($M$7:M81)</f>
        <v>0.0172735041924345</v>
      </c>
    </row>
    <row r="82" spans="12:14">
      <c r="L82">
        <f t="shared" si="5"/>
        <v>76</v>
      </c>
      <c r="M82" s="32">
        <f t="shared" si="4"/>
        <v>0.000959715892931658</v>
      </c>
      <c r="N82">
        <f>1-SUM($M$7:M82)</f>
        <v>0.0163137882995028</v>
      </c>
    </row>
    <row r="83" spans="12:14">
      <c r="L83">
        <f t="shared" si="5"/>
        <v>77</v>
      </c>
      <c r="M83" s="32">
        <f t="shared" si="4"/>
        <v>0.000906394077920376</v>
      </c>
      <c r="N83">
        <f>1-SUM($M$7:M83)</f>
        <v>0.0154073942215824</v>
      </c>
    </row>
    <row r="84" spans="12:14">
      <c r="L84">
        <f t="shared" si="5"/>
        <v>78</v>
      </c>
      <c r="M84" s="32">
        <f t="shared" si="4"/>
        <v>0.00085603482295112</v>
      </c>
      <c r="N84">
        <f>1-SUM($M$7:M84)</f>
        <v>0.0145513593986313</v>
      </c>
    </row>
    <row r="85" spans="12:14">
      <c r="L85">
        <f t="shared" si="5"/>
        <v>79</v>
      </c>
      <c r="M85" s="32">
        <f t="shared" si="4"/>
        <v>0.000808473528187954</v>
      </c>
      <c r="N85">
        <f>1-SUM($M$7:M85)</f>
        <v>0.0137428858704434</v>
      </c>
    </row>
    <row r="86" spans="12:14">
      <c r="L86">
        <f t="shared" si="5"/>
        <v>80</v>
      </c>
      <c r="M86" s="32">
        <f t="shared" si="4"/>
        <v>0.000763554738961833</v>
      </c>
      <c r="N86">
        <f>1-SUM($M$7:M86)</f>
        <v>0.0129793311314815</v>
      </c>
    </row>
    <row r="87" spans="12:14">
      <c r="L87">
        <f t="shared" si="5"/>
        <v>81</v>
      </c>
      <c r="M87" s="32">
        <f t="shared" si="4"/>
        <v>0.000721131637665114</v>
      </c>
      <c r="N87">
        <f>1-SUM($M$7:M87)</f>
        <v>0.0122581994938165</v>
      </c>
    </row>
    <row r="88" spans="12:14">
      <c r="L88">
        <f t="shared" si="5"/>
        <v>82</v>
      </c>
      <c r="M88" s="32">
        <f t="shared" si="4"/>
        <v>0.000681065563876442</v>
      </c>
      <c r="N88">
        <f>1-SUM($M$7:M88)</f>
        <v>0.01157713392994</v>
      </c>
    </row>
    <row r="89" spans="12:14">
      <c r="L89">
        <f t="shared" si="5"/>
        <v>83</v>
      </c>
      <c r="M89" s="32">
        <f t="shared" si="4"/>
        <v>0.000643225561147465</v>
      </c>
      <c r="N89">
        <f>1-SUM($M$7:M89)</f>
        <v>0.0109339083687925</v>
      </c>
    </row>
    <row r="90" spans="12:14">
      <c r="L90">
        <f t="shared" si="5"/>
        <v>84</v>
      </c>
      <c r="M90" s="32">
        <f t="shared" si="4"/>
        <v>0.000607487948970111</v>
      </c>
      <c r="N90">
        <f>1-SUM($M$7:M90)</f>
        <v>0.0103264204198223</v>
      </c>
    </row>
    <row r="91" spans="12:14">
      <c r="L91">
        <f t="shared" si="5"/>
        <v>85</v>
      </c>
      <c r="M91" s="32">
        <f t="shared" si="4"/>
        <v>0.000573735918525329</v>
      </c>
      <c r="N91">
        <f>1-SUM($M$7:M91)</f>
        <v>0.00975268450129707</v>
      </c>
    </row>
    <row r="92" spans="12:14">
      <c r="L92">
        <f t="shared" si="5"/>
        <v>86</v>
      </c>
      <c r="M92" s="32">
        <f t="shared" si="4"/>
        <v>0.000541859150892065</v>
      </c>
      <c r="N92">
        <f>1-SUM($M$7:M92)</f>
        <v>0.00921082535040496</v>
      </c>
    </row>
    <row r="93" spans="12:14">
      <c r="L93">
        <f t="shared" si="5"/>
        <v>87</v>
      </c>
      <c r="M93" s="32">
        <f t="shared" si="4"/>
        <v>0.0005117534564685</v>
      </c>
      <c r="N93">
        <f>1-SUM($M$7:M93)</f>
        <v>0.00869907189393648</v>
      </c>
    </row>
    <row r="94" spans="12:14">
      <c r="L94">
        <f t="shared" si="5"/>
        <v>88</v>
      </c>
      <c r="M94" s="32">
        <f t="shared" si="4"/>
        <v>0.000483320434427111</v>
      </c>
      <c r="N94">
        <f>1-SUM($M$7:M94)</f>
        <v>0.00821575145950937</v>
      </c>
    </row>
    <row r="95" spans="12:14">
      <c r="L95">
        <f t="shared" si="5"/>
        <v>89</v>
      </c>
      <c r="M95" s="32">
        <f t="shared" si="4"/>
        <v>0.00045646715109034</v>
      </c>
      <c r="N95">
        <f>1-SUM($M$7:M95)</f>
        <v>0.00775928430841899</v>
      </c>
    </row>
    <row r="96" spans="12:14">
      <c r="L96">
        <f t="shared" si="5"/>
        <v>90</v>
      </c>
      <c r="M96" s="32">
        <f t="shared" si="4"/>
        <v>0.000431105836175759</v>
      </c>
      <c r="N96">
        <f>1-SUM($M$7:M96)</f>
        <v>0.00732817847224321</v>
      </c>
    </row>
    <row r="97" spans="12:14">
      <c r="L97">
        <f t="shared" si="5"/>
        <v>91</v>
      </c>
      <c r="M97" s="32">
        <f t="shared" si="4"/>
        <v>0.000407153595917833</v>
      </c>
      <c r="N97">
        <f>1-SUM($M$7:M97)</f>
        <v>0.0069210248763254</v>
      </c>
    </row>
    <row r="98" spans="12:14">
      <c r="L98">
        <f t="shared" si="5"/>
        <v>92</v>
      </c>
      <c r="M98" s="32">
        <f t="shared" si="4"/>
        <v>0.000384532142128639</v>
      </c>
      <c r="N98">
        <f>1-SUM($M$7:M98)</f>
        <v>0.00653649273419676</v>
      </c>
    </row>
    <row r="99" spans="12:14">
      <c r="L99">
        <f t="shared" si="5"/>
        <v>93</v>
      </c>
      <c r="M99" s="32">
        <f t="shared" si="4"/>
        <v>0.000363167536311972</v>
      </c>
      <c r="N99">
        <f>1-SUM($M$7:M99)</f>
        <v>0.00617332519788483</v>
      </c>
    </row>
    <row r="100" spans="12:14">
      <c r="L100">
        <f t="shared" si="5"/>
        <v>94</v>
      </c>
      <c r="M100" s="32">
        <f t="shared" si="4"/>
        <v>0.000342989947994481</v>
      </c>
      <c r="N100">
        <f>1-SUM($M$7:M100)</f>
        <v>0.00583033524989029</v>
      </c>
    </row>
    <row r="101" spans="12:14">
      <c r="L101">
        <f t="shared" si="5"/>
        <v>95</v>
      </c>
      <c r="M101" s="32">
        <f t="shared" si="4"/>
        <v>0.000323933426483905</v>
      </c>
      <c r="N101">
        <f>1-SUM($M$7:M101)</f>
        <v>0.00550640182340634</v>
      </c>
    </row>
    <row r="102" spans="12:14">
      <c r="L102">
        <f t="shared" si="5"/>
        <v>96</v>
      </c>
      <c r="M102" s="32">
        <f t="shared" ref="M102:M133" si="6">IF(L102&gt;=$N$5,$M$5*N101,0)</f>
        <v>0.000305935685308456</v>
      </c>
      <c r="N102">
        <f>1-SUM($M$7:M102)</f>
        <v>0.00520046613809788</v>
      </c>
    </row>
    <row r="103" spans="12:14">
      <c r="L103">
        <f t="shared" si="5"/>
        <v>97</v>
      </c>
      <c r="M103" s="32">
        <f t="shared" si="6"/>
        <v>0.000288937898632718</v>
      </c>
      <c r="N103">
        <f>1-SUM($M$7:M103)</f>
        <v>0.00491152823946517</v>
      </c>
    </row>
    <row r="104" spans="12:14">
      <c r="L104">
        <f t="shared" si="5"/>
        <v>98</v>
      </c>
      <c r="M104" s="32">
        <f t="shared" si="6"/>
        <v>0.000272884508984685</v>
      </c>
      <c r="N104">
        <f>1-SUM($M$7:M104)</f>
        <v>0.00463864373048051</v>
      </c>
    </row>
    <row r="105" spans="12:14">
      <c r="L105">
        <f t="shared" si="5"/>
        <v>99</v>
      </c>
      <c r="M105" s="32">
        <f t="shared" si="6"/>
        <v>0.000257723045665497</v>
      </c>
      <c r="N105">
        <f>1-SUM($M$7:M105)</f>
        <v>0.00438092068481499</v>
      </c>
    </row>
    <row r="106" spans="12:14">
      <c r="L106">
        <f t="shared" si="5"/>
        <v>100</v>
      </c>
      <c r="M106" s="32">
        <f t="shared" si="6"/>
        <v>0.000243403953248321</v>
      </c>
      <c r="N106">
        <f>1-SUM($M$7:M106)</f>
        <v>0.0041375167315667</v>
      </c>
    </row>
    <row r="107" spans="12:14">
      <c r="L107">
        <f t="shared" si="5"/>
        <v>101</v>
      </c>
      <c r="M107" s="32">
        <f t="shared" si="6"/>
        <v>0.000229880429605846</v>
      </c>
      <c r="N107">
        <f>1-SUM($M$7:M107)</f>
        <v>0.00390763630196089</v>
      </c>
    </row>
    <row r="108" spans="12:14">
      <c r="L108">
        <f t="shared" si="5"/>
        <v>102</v>
      </c>
      <c r="M108" s="32">
        <f t="shared" si="6"/>
        <v>0.000217108272936947</v>
      </c>
      <c r="N108">
        <f>1-SUM($M$7:M108)</f>
        <v>0.00369052802902392</v>
      </c>
    </row>
    <row r="109" spans="12:14">
      <c r="L109">
        <f t="shared" si="5"/>
        <v>103</v>
      </c>
      <c r="M109" s="32">
        <f t="shared" si="6"/>
        <v>0.000205045737292569</v>
      </c>
      <c r="N109">
        <f>1-SUM($M$7:M109)</f>
        <v>0.0034854822917314</v>
      </c>
    </row>
    <row r="110" spans="12:14">
      <c r="L110">
        <f t="shared" si="5"/>
        <v>104</v>
      </c>
      <c r="M110" s="32">
        <f t="shared" si="6"/>
        <v>0.000193653396128597</v>
      </c>
      <c r="N110">
        <f>1-SUM($M$7:M110)</f>
        <v>0.00329182889560276</v>
      </c>
    </row>
    <row r="111" spans="12:14">
      <c r="L111">
        <f t="shared" si="5"/>
        <v>105</v>
      </c>
      <c r="M111" s="32">
        <f t="shared" si="6"/>
        <v>0.000182894013439689</v>
      </c>
      <c r="N111">
        <f>1-SUM($M$7:M111)</f>
        <v>0.00310893488216302</v>
      </c>
    </row>
    <row r="112" spans="12:14">
      <c r="L112">
        <f t="shared" si="5"/>
        <v>106</v>
      </c>
      <c r="M112" s="32">
        <f t="shared" si="6"/>
        <v>0.000172732422052977</v>
      </c>
      <c r="N112">
        <f>1-SUM($M$7:M112)</f>
        <v>0.00293620246011006</v>
      </c>
    </row>
    <row r="113" spans="12:14">
      <c r="L113">
        <f t="shared" si="5"/>
        <v>107</v>
      </c>
      <c r="M113" s="32">
        <f t="shared" si="6"/>
        <v>0.000163135408683715</v>
      </c>
      <c r="N113">
        <f>1-SUM($M$7:M113)</f>
        <v>0.00277306705142633</v>
      </c>
    </row>
    <row r="114" spans="12:14">
      <c r="L114">
        <f t="shared" si="5"/>
        <v>108</v>
      </c>
      <c r="M114" s="32">
        <f t="shared" si="6"/>
        <v>0.000154071605377247</v>
      </c>
      <c r="N114">
        <f>1-SUM($M$7:M114)</f>
        <v>0.00261899544604904</v>
      </c>
    </row>
    <row r="115" spans="12:14">
      <c r="L115">
        <f t="shared" si="5"/>
        <v>109</v>
      </c>
      <c r="M115" s="32">
        <f t="shared" si="6"/>
        <v>0.000145511386982485</v>
      </c>
      <c r="N115">
        <f>1-SUM($M$7:M115)</f>
        <v>0.00247348405906656</v>
      </c>
    </row>
    <row r="116" spans="12:14">
      <c r="L116">
        <f t="shared" si="5"/>
        <v>110</v>
      </c>
      <c r="M116" s="32">
        <f t="shared" si="6"/>
        <v>0.000137426774321738</v>
      </c>
      <c r="N116">
        <f>1-SUM($M$7:M116)</f>
        <v>0.00233605728474484</v>
      </c>
    </row>
    <row r="117" spans="12:14">
      <c r="L117">
        <f t="shared" si="5"/>
        <v>111</v>
      </c>
      <c r="M117" s="32">
        <f t="shared" si="6"/>
        <v>0.000129791342740423</v>
      </c>
      <c r="N117">
        <f>1-SUM($M$7:M117)</f>
        <v>0.00220626594200446</v>
      </c>
    </row>
    <row r="118" spans="12:14">
      <c r="L118">
        <f t="shared" si="5"/>
        <v>112</v>
      </c>
      <c r="M118" s="32">
        <f t="shared" si="6"/>
        <v>0.000122580135737768</v>
      </c>
      <c r="N118">
        <f>1-SUM($M$7:M118)</f>
        <v>0.00208368580626672</v>
      </c>
    </row>
    <row r="119" spans="12:14">
      <c r="L119">
        <f t="shared" si="5"/>
        <v>113</v>
      </c>
      <c r="M119" s="32">
        <f t="shared" si="6"/>
        <v>0.000115769583396179</v>
      </c>
      <c r="N119">
        <f>1-SUM($M$7:M119)</f>
        <v>0.00196791622287051</v>
      </c>
    </row>
    <row r="120" spans="12:14">
      <c r="L120">
        <f t="shared" si="5"/>
        <v>114</v>
      </c>
      <c r="M120" s="32">
        <f t="shared" si="6"/>
        <v>0.000109337425342686</v>
      </c>
      <c r="N120">
        <f>1-SUM($M$7:M120)</f>
        <v>0.00185857879752782</v>
      </c>
    </row>
    <row r="121" spans="12:14">
      <c r="L121">
        <f t="shared" si="5"/>
        <v>115</v>
      </c>
      <c r="M121" s="32">
        <f t="shared" si="6"/>
        <v>0.000103262637990646</v>
      </c>
      <c r="N121">
        <f>1-SUM($M$7:M121)</f>
        <v>0.00175531615953717</v>
      </c>
    </row>
    <row r="122" spans="12:14">
      <c r="L122">
        <f t="shared" si="5"/>
        <v>116</v>
      </c>
      <c r="M122" s="32">
        <f t="shared" si="6"/>
        <v>9.75253658238851e-5</v>
      </c>
      <c r="N122">
        <f>1-SUM($M$7:M122)</f>
        <v>0.00165779079371331</v>
      </c>
    </row>
    <row r="123" spans="12:14">
      <c r="L123">
        <f t="shared" si="5"/>
        <v>117</v>
      </c>
      <c r="M123" s="32">
        <f t="shared" si="6"/>
        <v>9.21068564987115e-5</v>
      </c>
      <c r="N123">
        <f>1-SUM($M$7:M123)</f>
        <v>0.00156568393721457</v>
      </c>
    </row>
    <row r="124" spans="12:14">
      <c r="L124">
        <f t="shared" si="5"/>
        <v>118</v>
      </c>
      <c r="M124" s="32">
        <f t="shared" si="6"/>
        <v>8.69893995516414e-5</v>
      </c>
      <c r="N124">
        <f>1-SUM($M$7:M124)</f>
        <v>0.00147869453766292</v>
      </c>
    </row>
    <row r="125" spans="12:14">
      <c r="L125">
        <f t="shared" si="5"/>
        <v>119</v>
      </c>
      <c r="M125" s="32">
        <f t="shared" si="6"/>
        <v>8.21562685125517e-5</v>
      </c>
      <c r="N125">
        <f>1-SUM($M$7:M125)</f>
        <v>0.00139653826915032</v>
      </c>
    </row>
    <row r="126" spans="12:14">
      <c r="L126">
        <f t="shared" si="5"/>
        <v>120</v>
      </c>
      <c r="M126" s="32">
        <f t="shared" si="6"/>
        <v>7.75916662339915e-5</v>
      </c>
      <c r="N126">
        <f>1-SUM($M$7:M126)</f>
        <v>0.00131894660291632</v>
      </c>
    </row>
    <row r="127" spans="12:14">
      <c r="L127">
        <f t="shared" si="5"/>
        <v>121</v>
      </c>
      <c r="M127" s="32">
        <f t="shared" si="6"/>
        <v>7.32806732580305e-5</v>
      </c>
      <c r="N127">
        <f>1-SUM($M$7:M127)</f>
        <v>0.00124566592965825</v>
      </c>
    </row>
    <row r="128" spans="12:14">
      <c r="L128">
        <f t="shared" si="5"/>
        <v>122</v>
      </c>
      <c r="M128" s="32">
        <f t="shared" si="6"/>
        <v>6.92091990518122e-5</v>
      </c>
      <c r="N128">
        <f>1-SUM($M$7:M128)</f>
        <v>0.0011764567306064</v>
      </c>
    </row>
    <row r="129" spans="12:14">
      <c r="L129">
        <f t="shared" si="5"/>
        <v>123</v>
      </c>
      <c r="M129" s="32">
        <f t="shared" si="6"/>
        <v>6.53639359524916e-5</v>
      </c>
      <c r="N129">
        <f>1-SUM($M$7:M129)</f>
        <v>0.00111109279465393</v>
      </c>
    </row>
    <row r="130" spans="12:14">
      <c r="L130">
        <f t="shared" si="5"/>
        <v>124</v>
      </c>
      <c r="M130" s="32">
        <f t="shared" si="6"/>
        <v>6.17323156709726e-5</v>
      </c>
      <c r="N130">
        <f>1-SUM($M$7:M130)</f>
        <v>0.00104936047898296</v>
      </c>
    </row>
    <row r="131" spans="12:14">
      <c r="L131">
        <f t="shared" si="5"/>
        <v>125</v>
      </c>
      <c r="M131" s="32">
        <f t="shared" si="6"/>
        <v>5.83024682122935e-5</v>
      </c>
      <c r="N131">
        <f>1-SUM($M$7:M131)</f>
        <v>0.000991058010770707</v>
      </c>
    </row>
    <row r="132" spans="12:14">
      <c r="L132">
        <f t="shared" si="5"/>
        <v>126</v>
      </c>
      <c r="M132" s="32">
        <f t="shared" si="6"/>
        <v>5.50631830784205e-5</v>
      </c>
      <c r="N132">
        <f>1-SUM($M$7:M132)</f>
        <v>0.000935994827692244</v>
      </c>
    </row>
    <row r="133" spans="12:14">
      <c r="L133">
        <f t="shared" si="5"/>
        <v>127</v>
      </c>
      <c r="M133" s="32">
        <f t="shared" si="6"/>
        <v>5.20038726265811e-5</v>
      </c>
      <c r="N133">
        <f>1-SUM($M$7:M133)</f>
        <v>0.000883990955065639</v>
      </c>
    </row>
    <row r="134" spans="12:14">
      <c r="L134">
        <f t="shared" si="5"/>
        <v>128</v>
      </c>
      <c r="M134" s="32">
        <f t="shared" ref="M134:M165" si="7">IF(L134&gt;=$N$5,$M$5*N133,0)</f>
        <v>4.91145374634469e-5</v>
      </c>
      <c r="N134">
        <f>1-SUM($M$7:M134)</f>
        <v>0.000834876417602159</v>
      </c>
    </row>
    <row r="135" spans="12:14">
      <c r="L135">
        <f t="shared" si="5"/>
        <v>129</v>
      </c>
      <c r="M135" s="32">
        <f t="shared" si="7"/>
        <v>4.6385733761976e-5</v>
      </c>
      <c r="N135">
        <f>1-SUM($M$7:M135)</f>
        <v>0.000788490683840237</v>
      </c>
    </row>
    <row r="136" spans="12:14">
      <c r="L136">
        <f t="shared" si="5"/>
        <v>130</v>
      </c>
      <c r="M136" s="32">
        <f t="shared" si="7"/>
        <v>4.38085423941636e-5</v>
      </c>
      <c r="N136">
        <f>1-SUM($M$7:M136)</f>
        <v>0.000744682141446074</v>
      </c>
    </row>
    <row r="137" spans="12:14">
      <c r="L137">
        <f t="shared" ref="L137:L200" si="8">L136+1</f>
        <v>131</v>
      </c>
      <c r="M137" s="32">
        <f t="shared" si="7"/>
        <v>4.13745397787438e-5</v>
      </c>
      <c r="N137">
        <f>1-SUM($M$7:M137)</f>
        <v>0.000703307601667369</v>
      </c>
    </row>
    <row r="138" spans="12:14">
      <c r="L138">
        <f t="shared" si="8"/>
        <v>132</v>
      </c>
      <c r="M138" s="32">
        <f t="shared" si="7"/>
        <v>3.9075770348639e-5</v>
      </c>
      <c r="N138">
        <f>1-SUM($M$7:M138)</f>
        <v>0.000664231831318696</v>
      </c>
    </row>
    <row r="139" spans="12:14">
      <c r="L139">
        <f t="shared" si="8"/>
        <v>133</v>
      </c>
      <c r="M139" s="32">
        <f t="shared" si="7"/>
        <v>3.69047205480667e-5</v>
      </c>
      <c r="N139">
        <f>1-SUM($M$7:M139)</f>
        <v>0.000627327110770626</v>
      </c>
    </row>
    <row r="140" spans="12:14">
      <c r="L140">
        <f t="shared" si="8"/>
        <v>134</v>
      </c>
      <c r="M140" s="32">
        <f t="shared" si="7"/>
        <v>3.4854294274416e-5</v>
      </c>
      <c r="N140">
        <f>1-SUM($M$7:M140)</f>
        <v>0.000592472816496215</v>
      </c>
    </row>
    <row r="141" spans="12:14">
      <c r="L141">
        <f t="shared" si="8"/>
        <v>135</v>
      </c>
      <c r="M141" s="32">
        <f t="shared" si="7"/>
        <v>3.29177896845297e-5</v>
      </c>
      <c r="N141">
        <f>1-SUM($M$7:M141)</f>
        <v>0.000559555026811709</v>
      </c>
    </row>
    <row r="142" spans="12:14">
      <c r="L142">
        <f t="shared" si="8"/>
        <v>136</v>
      </c>
      <c r="M142" s="32">
        <f t="shared" si="7"/>
        <v>3.10888772896585e-5</v>
      </c>
      <c r="N142">
        <f>1-SUM($M$7:M142)</f>
        <v>0.000528466149522067</v>
      </c>
    </row>
    <row r="143" spans="12:14">
      <c r="L143">
        <f t="shared" si="8"/>
        <v>137</v>
      </c>
      <c r="M143" s="32">
        <f t="shared" si="7"/>
        <v>2.9361579267446e-5</v>
      </c>
      <c r="N143">
        <f>1-SUM($M$7:M143)</f>
        <v>0.000499104570254594</v>
      </c>
    </row>
    <row r="144" spans="12:14">
      <c r="L144">
        <f t="shared" si="8"/>
        <v>138</v>
      </c>
      <c r="M144" s="32">
        <f t="shared" si="7"/>
        <v>2.77302499233452e-5</v>
      </c>
      <c r="N144">
        <f>1-SUM($M$7:M144)</f>
        <v>0.000471374320331286</v>
      </c>
    </row>
    <row r="145" spans="12:14">
      <c r="L145">
        <f t="shared" si="8"/>
        <v>139</v>
      </c>
      <c r="M145" s="32">
        <f t="shared" si="7"/>
        <v>2.61895572376062e-5</v>
      </c>
      <c r="N145">
        <f>1-SUM($M$7:M145)</f>
        <v>0.000445184763093631</v>
      </c>
    </row>
    <row r="146" spans="12:14">
      <c r="L146">
        <f t="shared" si="8"/>
        <v>140</v>
      </c>
      <c r="M146" s="32">
        <f t="shared" si="7"/>
        <v>2.47344654374821e-5</v>
      </c>
      <c r="N146">
        <f>1-SUM($M$7:M146)</f>
        <v>0.000420450297656139</v>
      </c>
    </row>
    <row r="147" spans="12:14">
      <c r="L147">
        <f t="shared" si="8"/>
        <v>141</v>
      </c>
      <c r="M147" s="32">
        <f t="shared" si="7"/>
        <v>2.33602185377751e-5</v>
      </c>
      <c r="N147">
        <f>1-SUM($M$7:M147)</f>
        <v>0.000397090079118367</v>
      </c>
    </row>
    <row r="148" spans="12:14">
      <c r="L148">
        <f t="shared" si="8"/>
        <v>142</v>
      </c>
      <c r="M148" s="32">
        <f t="shared" si="7"/>
        <v>2.20623247958165e-5</v>
      </c>
      <c r="N148">
        <f>1-SUM($M$7:M148)</f>
        <v>0.000375027754322521</v>
      </c>
    </row>
    <row r="149" spans="12:14">
      <c r="L149">
        <f t="shared" si="8"/>
        <v>143</v>
      </c>
      <c r="M149" s="32">
        <f t="shared" si="7"/>
        <v>2.08365420301593e-5</v>
      </c>
      <c r="N149">
        <f>1-SUM($M$7:M149)</f>
        <v>0.00035419121229241</v>
      </c>
    </row>
    <row r="150" spans="12:14">
      <c r="L150">
        <f t="shared" si="8"/>
        <v>144</v>
      </c>
      <c r="M150" s="32">
        <f t="shared" si="7"/>
        <v>1.96788637549663e-5</v>
      </c>
      <c r="N150">
        <f>1-SUM($M$7:M150)</f>
        <v>0.00033451234853743</v>
      </c>
    </row>
    <row r="151" spans="12:14">
      <c r="L151">
        <f t="shared" si="8"/>
        <v>145</v>
      </c>
      <c r="M151" s="32">
        <f t="shared" si="7"/>
        <v>1.85855060847396e-5</v>
      </c>
      <c r="N151">
        <f>1-SUM($M$7:M151)</f>
        <v>0.000315926842452741</v>
      </c>
    </row>
    <row r="152" spans="12:14">
      <c r="L152">
        <f t="shared" si="8"/>
        <v>146</v>
      </c>
      <c r="M152" s="32">
        <f t="shared" si="7"/>
        <v>1.75528953666743e-5</v>
      </c>
      <c r="N152">
        <f>1-SUM($M$7:M152)</f>
        <v>0.000298373947086095</v>
      </c>
    </row>
    <row r="153" spans="12:14">
      <c r="L153">
        <f t="shared" si="8"/>
        <v>147</v>
      </c>
      <c r="M153" s="32">
        <f t="shared" si="7"/>
        <v>1.65776565001034e-5</v>
      </c>
      <c r="N153">
        <f>1-SUM($M$7:M153)</f>
        <v>0.000281796290586001</v>
      </c>
    </row>
    <row r="154" spans="12:14">
      <c r="L154">
        <f t="shared" si="8"/>
        <v>148</v>
      </c>
      <c r="M154" s="32">
        <f t="shared" si="7"/>
        <v>1.56566019049582e-5</v>
      </c>
      <c r="N154">
        <f>1-SUM($M$7:M154)</f>
        <v>0.000266139688681055</v>
      </c>
    </row>
    <row r="155" spans="12:14">
      <c r="L155">
        <f t="shared" si="8"/>
        <v>149</v>
      </c>
      <c r="M155" s="32">
        <f t="shared" si="7"/>
        <v>1.47867211031194e-5</v>
      </c>
      <c r="N155">
        <f>1-SUM($M$7:M155)</f>
        <v>0.000251352967577945</v>
      </c>
    </row>
    <row r="156" spans="12:14">
      <c r="L156">
        <f t="shared" si="8"/>
        <v>150</v>
      </c>
      <c r="M156" s="32">
        <f t="shared" si="7"/>
        <v>1.39651708786306e-5</v>
      </c>
      <c r="N156">
        <f>1-SUM($M$7:M156)</f>
        <v>0.000237387796699351</v>
      </c>
    </row>
    <row r="157" spans="12:14">
      <c r="L157">
        <f t="shared" si="8"/>
        <v>151</v>
      </c>
      <c r="M157" s="32">
        <f t="shared" si="7"/>
        <v>1.31892659846159e-5</v>
      </c>
      <c r="N157">
        <f>1-SUM($M$7:M157)</f>
        <v>0.000224198530714759</v>
      </c>
    </row>
    <row r="158" spans="12:14">
      <c r="L158">
        <f t="shared" si="8"/>
        <v>152</v>
      </c>
      <c r="M158" s="32">
        <f t="shared" si="7"/>
        <v>1.2456470366512e-5</v>
      </c>
      <c r="N158">
        <f>1-SUM($M$7:M158)</f>
        <v>0.000211742060348241</v>
      </c>
    </row>
    <row r="159" spans="12:14">
      <c r="L159">
        <f t="shared" si="8"/>
        <v>153</v>
      </c>
      <c r="M159" s="32">
        <f t="shared" si="7"/>
        <v>1.17643888729483e-5</v>
      </c>
      <c r="N159">
        <f>1-SUM($M$7:M159)</f>
        <v>0.000199977671475282</v>
      </c>
    </row>
    <row r="160" spans="12:14">
      <c r="L160">
        <f t="shared" si="8"/>
        <v>154</v>
      </c>
      <c r="M160" s="32">
        <f t="shared" si="7"/>
        <v>1.11107594271667e-5</v>
      </c>
      <c r="N160">
        <f>1-SUM($M$7:M160)</f>
        <v>0.000188866912048113</v>
      </c>
    </row>
    <row r="161" spans="12:14">
      <c r="L161">
        <f t="shared" si="8"/>
        <v>155</v>
      </c>
      <c r="M161" s="32">
        <f t="shared" si="7"/>
        <v>1.04934456333932e-5</v>
      </c>
      <c r="N161">
        <f>1-SUM($M$7:M161)</f>
        <v>0.000178373466414694</v>
      </c>
    </row>
    <row r="162" spans="12:14">
      <c r="L162">
        <f t="shared" si="8"/>
        <v>156</v>
      </c>
      <c r="M162" s="32">
        <f t="shared" si="7"/>
        <v>9.9104297940004e-6</v>
      </c>
      <c r="N162">
        <f>1-SUM($M$7:M162)</f>
        <v>0.000168463036620659</v>
      </c>
    </row>
    <row r="163" spans="12:14">
      <c r="L163">
        <f t="shared" si="8"/>
        <v>157</v>
      </c>
      <c r="M163" s="32">
        <f t="shared" si="7"/>
        <v>9.35980631464379e-6</v>
      </c>
      <c r="N163">
        <f>1-SUM($M$7:M163)</f>
        <v>0.00015910323030599</v>
      </c>
    </row>
    <row r="164" spans="12:14">
      <c r="L164">
        <f t="shared" si="8"/>
        <v>158</v>
      </c>
      <c r="M164" s="32">
        <f t="shared" si="7"/>
        <v>8.83977547580082e-6</v>
      </c>
      <c r="N164">
        <f>1-SUM($M$7:M164)</f>
        <v>0.000150263454830157</v>
      </c>
    </row>
    <row r="165" spans="12:14">
      <c r="L165">
        <f t="shared" si="8"/>
        <v>159</v>
      </c>
      <c r="M165" s="32">
        <f t="shared" si="7"/>
        <v>8.34863755036354e-6</v>
      </c>
      <c r="N165">
        <f>1-SUM($M$7:M165)</f>
        <v>0.000141914817279765</v>
      </c>
    </row>
    <row r="166" spans="12:14">
      <c r="L166">
        <f t="shared" si="8"/>
        <v>160</v>
      </c>
      <c r="M166" s="32">
        <f t="shared" ref="M166:M205" si="9">IF(L166&gt;=$N$5,$M$5*N165,0)</f>
        <v>7.88478724806372e-6</v>
      </c>
      <c r="N166">
        <f>1-SUM($M$7:M166)</f>
        <v>0.000134030030031651</v>
      </c>
    </row>
    <row r="167" spans="12:14">
      <c r="L167">
        <f t="shared" si="8"/>
        <v>161</v>
      </c>
      <c r="M167" s="32">
        <f t="shared" si="9"/>
        <v>7.44670846855853e-6</v>
      </c>
      <c r="N167">
        <f>1-SUM($M$7:M167)</f>
        <v>0.000126583321563123</v>
      </c>
    </row>
    <row r="168" spans="12:14">
      <c r="L168">
        <f t="shared" si="8"/>
        <v>162</v>
      </c>
      <c r="M168" s="32">
        <f t="shared" si="9"/>
        <v>7.03296934604711e-6</v>
      </c>
      <c r="N168">
        <f>1-SUM($M$7:M168)</f>
        <v>0.000119550352217113</v>
      </c>
    </row>
    <row r="169" spans="12:14">
      <c r="L169">
        <f t="shared" si="8"/>
        <v>163</v>
      </c>
      <c r="M169" s="32">
        <f t="shared" si="9"/>
        <v>6.64221756918278e-6</v>
      </c>
      <c r="N169">
        <f>1-SUM($M$7:M169)</f>
        <v>0.000112908134647927</v>
      </c>
    </row>
    <row r="170" spans="12:14">
      <c r="L170">
        <f t="shared" si="8"/>
        <v>164</v>
      </c>
      <c r="M170" s="32">
        <f t="shared" si="9"/>
        <v>6.2731759610388e-6</v>
      </c>
      <c r="N170">
        <f>1-SUM($M$7:M170)</f>
        <v>0.000106634958686902</v>
      </c>
    </row>
    <row r="171" spans="12:14">
      <c r="L171">
        <f t="shared" si="8"/>
        <v>165</v>
      </c>
      <c r="M171" s="32">
        <f t="shared" si="9"/>
        <v>5.92463830464427e-6</v>
      </c>
      <c r="N171">
        <f>1-SUM($M$7:M171)</f>
        <v>0.00010071032038228</v>
      </c>
    </row>
    <row r="172" spans="12:14">
      <c r="L172">
        <f t="shared" si="8"/>
        <v>166</v>
      </c>
      <c r="M172" s="32">
        <f t="shared" si="9"/>
        <v>5.59546540043948e-6</v>
      </c>
      <c r="N172">
        <f>1-SUM($M$7:M172)</f>
        <v>9.51148549818148e-5</v>
      </c>
    </row>
    <row r="173" spans="12:14">
      <c r="L173">
        <f t="shared" si="8"/>
        <v>167</v>
      </c>
      <c r="M173" s="32">
        <f t="shared" si="9"/>
        <v>5.28458134278963e-6</v>
      </c>
      <c r="N173">
        <f>1-SUM($M$7:M173)</f>
        <v>8.98302736390688e-5</v>
      </c>
    </row>
    <row r="174" spans="12:14">
      <c r="L174">
        <f t="shared" si="8"/>
        <v>168</v>
      </c>
      <c r="M174" s="32">
        <f t="shared" si="9"/>
        <v>4.99097000338666e-6</v>
      </c>
      <c r="N174">
        <f>1-SUM($M$7:M174)</f>
        <v>8.48393036356754e-5</v>
      </c>
    </row>
    <row r="175" spans="12:14">
      <c r="L175">
        <f t="shared" si="8"/>
        <v>169</v>
      </c>
      <c r="M175" s="32">
        <f t="shared" si="9"/>
        <v>4.71367170999812e-6</v>
      </c>
      <c r="N175">
        <f>1-SUM($M$7:M175)</f>
        <v>8.01256319257204e-5</v>
      </c>
    </row>
    <row r="176" spans="12:14">
      <c r="L176">
        <f t="shared" si="8"/>
        <v>170</v>
      </c>
      <c r="M176" s="32">
        <f t="shared" si="9"/>
        <v>4.45178010979303e-6</v>
      </c>
      <c r="N176">
        <f>1-SUM($M$7:M176)</f>
        <v>7.56738518159494e-5</v>
      </c>
    </row>
    <row r="177" spans="12:14">
      <c r="L177">
        <f t="shared" si="8"/>
        <v>171</v>
      </c>
      <c r="M177" s="32">
        <f t="shared" si="9"/>
        <v>4.20443920689415e-6</v>
      </c>
      <c r="N177">
        <f>1-SUM($M$7:M177)</f>
        <v>7.14694126090487e-5</v>
      </c>
    </row>
    <row r="178" spans="12:14">
      <c r="L178">
        <f t="shared" si="8"/>
        <v>172</v>
      </c>
      <c r="M178" s="32">
        <f t="shared" si="9"/>
        <v>3.97084056455875e-6</v>
      </c>
      <c r="N178">
        <f>1-SUM($M$7:M178)</f>
        <v>6.74985720444665e-5</v>
      </c>
    </row>
    <row r="179" spans="12:14">
      <c r="L179">
        <f t="shared" si="8"/>
        <v>173</v>
      </c>
      <c r="M179" s="32">
        <f t="shared" si="9"/>
        <v>3.75022066279056e-6</v>
      </c>
      <c r="N179">
        <f>1-SUM($M$7:M179)</f>
        <v>6.37483513816761e-5</v>
      </c>
    </row>
    <row r="180" spans="12:14">
      <c r="L180">
        <f t="shared" si="8"/>
        <v>174</v>
      </c>
      <c r="M180" s="32">
        <f t="shared" si="9"/>
        <v>3.54185840276592e-6</v>
      </c>
      <c r="N180">
        <f>1-SUM($M$7:M180)</f>
        <v>6.0206492978887e-5</v>
      </c>
    </row>
    <row r="181" spans="12:14">
      <c r="L181">
        <f t="shared" si="8"/>
        <v>175</v>
      </c>
      <c r="M181" s="32">
        <f t="shared" si="9"/>
        <v>3.34507274990696e-6</v>
      </c>
      <c r="N181">
        <f>1-SUM($M$7:M181)</f>
        <v>5.68614202289819e-5</v>
      </c>
    </row>
    <row r="182" spans="12:14">
      <c r="L182">
        <f t="shared" si="8"/>
        <v>176</v>
      </c>
      <c r="M182" s="32">
        <f t="shared" si="9"/>
        <v>3.15922050792223e-6</v>
      </c>
      <c r="N182">
        <f>1-SUM($M$7:M182)</f>
        <v>5.37021997210063e-5</v>
      </c>
    </row>
    <row r="183" spans="12:14">
      <c r="L183">
        <f t="shared" si="8"/>
        <v>177</v>
      </c>
      <c r="M183" s="32">
        <f t="shared" si="9"/>
        <v>2.98369421649911e-6</v>
      </c>
      <c r="N183">
        <f>1-SUM($M$7:M183)</f>
        <v>5.07185055045323e-5</v>
      </c>
    </row>
    <row r="184" spans="12:14">
      <c r="L184">
        <f t="shared" si="8"/>
        <v>178</v>
      </c>
      <c r="M184" s="32">
        <f t="shared" si="9"/>
        <v>2.81792016583181e-6</v>
      </c>
      <c r="N184">
        <f>1-SUM($M$7:M184)</f>
        <v>4.7900585338656e-5</v>
      </c>
    </row>
    <row r="185" spans="12:14">
      <c r="L185">
        <f t="shared" si="8"/>
        <v>179</v>
      </c>
      <c r="M185" s="32">
        <f t="shared" si="9"/>
        <v>2.66135652141573e-6</v>
      </c>
      <c r="N185">
        <f>1-SUM($M$7:M185)</f>
        <v>4.52392288172732e-5</v>
      </c>
    </row>
    <row r="186" spans="12:14">
      <c r="L186">
        <f t="shared" si="8"/>
        <v>180</v>
      </c>
      <c r="M186" s="32">
        <f t="shared" si="9"/>
        <v>2.5134915530877e-6</v>
      </c>
      <c r="N186">
        <f>1-SUM($M$7:M186)</f>
        <v>4.27257372641598e-5</v>
      </c>
    </row>
    <row r="187" spans="12:14">
      <c r="L187">
        <f t="shared" si="8"/>
        <v>181</v>
      </c>
      <c r="M187" s="32">
        <f t="shared" si="9"/>
        <v>2.37384196239672e-6</v>
      </c>
      <c r="N187">
        <f>1-SUM($M$7:M187)</f>
        <v>4.03518953017157e-5</v>
      </c>
    </row>
    <row r="188" spans="12:14">
      <c r="L188">
        <f t="shared" si="8"/>
        <v>182</v>
      </c>
      <c r="M188" s="32">
        <f t="shared" si="9"/>
        <v>2.24195130296332e-6</v>
      </c>
      <c r="N188">
        <f>1-SUM($M$7:M188)</f>
        <v>3.81099439987764e-5</v>
      </c>
    </row>
    <row r="189" spans="12:14">
      <c r="L189">
        <f t="shared" si="8"/>
        <v>183</v>
      </c>
      <c r="M189" s="32">
        <f t="shared" si="9"/>
        <v>2.11738848857202e-6</v>
      </c>
      <c r="N189">
        <f>1-SUM($M$7:M189)</f>
        <v>3.59925555102336e-5</v>
      </c>
    </row>
    <row r="190" spans="12:14">
      <c r="L190">
        <f t="shared" si="8"/>
        <v>184</v>
      </c>
      <c r="M190" s="32">
        <f t="shared" si="9"/>
        <v>1.99974638414858e-6</v>
      </c>
      <c r="N190">
        <f>1-SUM($M$7:M190)</f>
        <v>3.39928091260822e-5</v>
      </c>
    </row>
    <row r="191" spans="12:14">
      <c r="L191">
        <f t="shared" si="8"/>
        <v>185</v>
      </c>
      <c r="M191" s="32">
        <f t="shared" si="9"/>
        <v>1.88864047504512e-6</v>
      </c>
      <c r="N191">
        <f>1-SUM($M$7:M191)</f>
        <v>3.21041686510704e-5</v>
      </c>
    </row>
    <row r="192" spans="12:14">
      <c r="L192">
        <f t="shared" si="8"/>
        <v>186</v>
      </c>
      <c r="M192" s="32">
        <f t="shared" si="9"/>
        <v>1.78370761025347e-6</v>
      </c>
      <c r="N192">
        <f>1-SUM($M$7:M192)</f>
        <v>3.03204610407892e-5</v>
      </c>
    </row>
    <row r="193" spans="12:14">
      <c r="L193">
        <f t="shared" si="8"/>
        <v>187</v>
      </c>
      <c r="M193" s="32">
        <f t="shared" si="9"/>
        <v>1.68460481542625e-6</v>
      </c>
      <c r="N193">
        <f>1-SUM($M$7:M193)</f>
        <v>2.86358562253675e-5</v>
      </c>
    </row>
    <row r="194" spans="12:14">
      <c r="L194">
        <f t="shared" si="8"/>
        <v>188</v>
      </c>
      <c r="M194" s="32">
        <f t="shared" si="9"/>
        <v>1.59100817188142e-6</v>
      </c>
      <c r="N194">
        <f>1-SUM($M$7:M194)</f>
        <v>2.70448480534924e-5</v>
      </c>
    </row>
    <row r="195" spans="12:14">
      <c r="L195">
        <f t="shared" si="8"/>
        <v>189</v>
      </c>
      <c r="M195" s="32">
        <f t="shared" si="9"/>
        <v>1.50261175785204e-6</v>
      </c>
      <c r="N195">
        <f>1-SUM($M$7:M195)</f>
        <v>2.55422362956947e-5</v>
      </c>
    </row>
    <row r="196" spans="12:14">
      <c r="L196">
        <f t="shared" si="8"/>
        <v>190</v>
      </c>
      <c r="M196" s="32">
        <f t="shared" si="9"/>
        <v>1.4191266485888e-6</v>
      </c>
      <c r="N196">
        <f>1-SUM($M$7:M196)</f>
        <v>2.41231096470562e-5</v>
      </c>
    </row>
    <row r="197" spans="12:14">
      <c r="L197">
        <f t="shared" si="8"/>
        <v>191</v>
      </c>
      <c r="M197" s="32">
        <f t="shared" si="9"/>
        <v>1.34027997199044e-6</v>
      </c>
      <c r="N197">
        <f>1-SUM($M$7:M197)</f>
        <v>2.27828296750499e-5</v>
      </c>
    </row>
    <row r="198" spans="12:14">
      <c r="L198">
        <f t="shared" si="8"/>
        <v>192</v>
      </c>
      <c r="M198" s="32">
        <f t="shared" si="9"/>
        <v>1.26581401674577e-6</v>
      </c>
      <c r="N198">
        <f>1-SUM($M$7:M198)</f>
        <v>2.15170156583344e-5</v>
      </c>
    </row>
    <row r="199" spans="12:14">
      <c r="L199">
        <f t="shared" si="8"/>
        <v>193</v>
      </c>
      <c r="M199" s="32">
        <f t="shared" si="9"/>
        <v>1.19548538997706e-6</v>
      </c>
      <c r="N199">
        <f>1-SUM($M$7:M199)</f>
        <v>2.03215302683191e-5</v>
      </c>
    </row>
    <row r="200" spans="12:14">
      <c r="L200">
        <f t="shared" si="8"/>
        <v>194</v>
      </c>
      <c r="M200" s="32">
        <f t="shared" si="9"/>
        <v>1.12906422170781e-6</v>
      </c>
      <c r="N200">
        <f>1-SUM($M$7:M200)</f>
        <v>1.91924660466469e-5</v>
      </c>
    </row>
    <row r="201" spans="12:14">
      <c r="L201">
        <f t="shared" ref="L201:L264" si="10">L200+1</f>
        <v>195</v>
      </c>
      <c r="M201" s="32">
        <f t="shared" si="9"/>
        <v>1.0663334135517e-6</v>
      </c>
      <c r="N201">
        <f>1-SUM($M$7:M201)</f>
        <v>1.81261326330784e-5</v>
      </c>
    </row>
    <row r="202" spans="12:14">
      <c r="L202">
        <f t="shared" si="10"/>
        <v>196</v>
      </c>
      <c r="M202" s="32">
        <f t="shared" si="9"/>
        <v>1.00708792909383e-6</v>
      </c>
      <c r="N202">
        <f>1-SUM($M$7:M202)</f>
        <v>1.71190447040281e-5</v>
      </c>
    </row>
    <row r="203" spans="12:14">
      <c r="L203">
        <f t="shared" si="10"/>
        <v>197</v>
      </c>
      <c r="M203" s="32">
        <f t="shared" si="9"/>
        <v>9.51134123755803e-7</v>
      </c>
      <c r="N203">
        <f>1-SUM($M$7:M203)</f>
        <v>1.61679105802337e-5</v>
      </c>
    </row>
    <row r="204" spans="12:14">
      <c r="L204">
        <f t="shared" si="10"/>
        <v>198</v>
      </c>
      <c r="M204" s="32">
        <f t="shared" si="9"/>
        <v>8.98289111837784e-7</v>
      </c>
      <c r="N204">
        <f>1-SUM($M$7:M204)</f>
        <v>1.52696214683612e-5</v>
      </c>
    </row>
    <row r="205" spans="12:14">
      <c r="L205">
        <f t="shared" si="10"/>
        <v>199</v>
      </c>
      <c r="M205" s="32">
        <f t="shared" si="9"/>
        <v>8.48380168782148e-7</v>
      </c>
      <c r="N205">
        <f>1-SUM($M$7:M205)</f>
        <v>1.44212412995781e-5</v>
      </c>
    </row>
    <row r="206" spans="12:14">
      <c r="L206">
        <f t="shared" si="10"/>
        <v>200</v>
      </c>
      <c r="M206" s="32">
        <f t="shared" ref="M206:M269" si="11">IF(L206&gt;=$N$5,$M$5*N205,0)</f>
        <v>8.0124416660456e-7</v>
      </c>
      <c r="N206">
        <f>1-SUM($M$7:M206)</f>
        <v>1.36199971330075e-5</v>
      </c>
    </row>
    <row r="207" spans="12:14">
      <c r="L207">
        <f t="shared" si="10"/>
        <v>201</v>
      </c>
      <c r="M207" s="32">
        <f t="shared" si="11"/>
        <v>7.56727040709899e-7</v>
      </c>
      <c r="N207">
        <f>1-SUM($M$7:M207)</f>
        <v>1.28632700923115e-5</v>
      </c>
    </row>
    <row r="208" spans="12:14">
      <c r="L208">
        <f t="shared" si="10"/>
        <v>202</v>
      </c>
      <c r="M208" s="32">
        <f t="shared" si="11"/>
        <v>7.14683286328825e-7</v>
      </c>
      <c r="N208">
        <f>1-SUM($M$7:M208)</f>
        <v>1.21485868059823e-5</v>
      </c>
    </row>
    <row r="209" spans="12:14">
      <c r="L209">
        <f t="shared" si="10"/>
        <v>203</v>
      </c>
      <c r="M209" s="32">
        <f t="shared" si="11"/>
        <v>6.74975482940376e-7</v>
      </c>
      <c r="N209">
        <f>1-SUM($M$7:M209)</f>
        <v>1.14736113230318e-5</v>
      </c>
    </row>
    <row r="210" spans="12:14">
      <c r="L210">
        <f t="shared" si="10"/>
        <v>204</v>
      </c>
      <c r="M210" s="32">
        <f t="shared" si="11"/>
        <v>6.37473845107648e-7</v>
      </c>
      <c r="N210">
        <f>1-SUM($M$7:M210)</f>
        <v>1.08361374778765e-5</v>
      </c>
    </row>
    <row r="211" spans="12:14">
      <c r="L211">
        <f t="shared" si="10"/>
        <v>205</v>
      </c>
      <c r="M211" s="32">
        <f t="shared" si="11"/>
        <v>6.02055798270817e-7</v>
      </c>
      <c r="N211">
        <f>1-SUM($M$7:M211)</f>
        <v>1.02340816796609e-5</v>
      </c>
    </row>
    <row r="212" spans="12:14">
      <c r="L212">
        <f t="shared" si="10"/>
        <v>206</v>
      </c>
      <c r="M212" s="32">
        <f t="shared" si="11"/>
        <v>5.68605578121959e-7</v>
      </c>
      <c r="N212">
        <f>1-SUM($M$7:M212)</f>
        <v>9.66547610148361e-6</v>
      </c>
    </row>
    <row r="213" spans="12:14">
      <c r="L213">
        <f t="shared" si="10"/>
        <v>207</v>
      </c>
      <c r="M213" s="32">
        <f t="shared" si="11"/>
        <v>5.37013852198429e-7</v>
      </c>
      <c r="N213">
        <f>1-SUM($M$7:M213)</f>
        <v>9.12846224931929e-6</v>
      </c>
    </row>
    <row r="214" spans="12:14">
      <c r="L214">
        <f t="shared" si="10"/>
        <v>208</v>
      </c>
      <c r="M214" s="32">
        <f t="shared" si="11"/>
        <v>5.0717736257218e-7</v>
      </c>
      <c r="N214">
        <f>1-SUM($M$7:M214)</f>
        <v>8.62128488676728e-6</v>
      </c>
    </row>
    <row r="215" spans="12:14">
      <c r="L215">
        <f t="shared" si="10"/>
        <v>209</v>
      </c>
      <c r="M215" s="32">
        <f t="shared" si="11"/>
        <v>4.7899858830879e-7</v>
      </c>
      <c r="N215">
        <f>1-SUM($M$7:M215)</f>
        <v>8.14228629841818e-6</v>
      </c>
    </row>
    <row r="216" spans="12:14">
      <c r="L216">
        <f t="shared" si="10"/>
        <v>210</v>
      </c>
      <c r="M216" s="32">
        <f t="shared" si="11"/>
        <v>4.52385426740114e-7</v>
      </c>
      <c r="N216">
        <f>1-SUM($M$7:M216)</f>
        <v>7.68990087163246e-6</v>
      </c>
    </row>
    <row r="217" spans="12:14">
      <c r="L217">
        <f t="shared" si="10"/>
        <v>211</v>
      </c>
      <c r="M217" s="32">
        <f t="shared" si="11"/>
        <v>4.27250892427899e-7</v>
      </c>
      <c r="N217">
        <f>1-SUM($M$7:M217)</f>
        <v>7.26264997918946e-6</v>
      </c>
    </row>
    <row r="218" spans="12:14">
      <c r="L218">
        <f t="shared" si="10"/>
        <v>212</v>
      </c>
      <c r="M218" s="32">
        <f t="shared" si="11"/>
        <v>4.03512832843766e-7</v>
      </c>
      <c r="N218">
        <f>1-SUM($M$7:M218)</f>
        <v>6.85913714637554e-6</v>
      </c>
    </row>
    <row r="219" spans="12:14">
      <c r="L219">
        <f t="shared" si="10"/>
        <v>213</v>
      </c>
      <c r="M219" s="32">
        <f t="shared" si="11"/>
        <v>3.81093659852625e-7</v>
      </c>
      <c r="N219">
        <f>1-SUM($M$7:M219)</f>
        <v>6.47804348652414e-6</v>
      </c>
    </row>
    <row r="220" spans="12:14">
      <c r="L220">
        <f t="shared" si="10"/>
        <v>214</v>
      </c>
      <c r="M220" s="32">
        <f t="shared" si="11"/>
        <v>3.59920096111281e-7</v>
      </c>
      <c r="N220">
        <f>1-SUM($M$7:M220)</f>
        <v>6.11812339046391e-6</v>
      </c>
    </row>
    <row r="221" spans="12:14">
      <c r="L221">
        <f t="shared" si="10"/>
        <v>215</v>
      </c>
      <c r="M221" s="32">
        <f t="shared" si="11"/>
        <v>3.39922935574175e-7</v>
      </c>
      <c r="N221">
        <f>1-SUM($M$7:M221)</f>
        <v>5.77820045488675e-6</v>
      </c>
    </row>
    <row r="222" spans="12:14">
      <c r="L222">
        <f t="shared" si="10"/>
        <v>216</v>
      </c>
      <c r="M222" s="32">
        <f t="shared" si="11"/>
        <v>3.21036817273508e-7</v>
      </c>
      <c r="N222">
        <f>1-SUM($M$7:M222)</f>
        <v>5.45716363764548e-6</v>
      </c>
    </row>
    <row r="223" spans="12:14">
      <c r="L223">
        <f t="shared" si="10"/>
        <v>217</v>
      </c>
      <c r="M223" s="32">
        <f t="shared" si="11"/>
        <v>3.03200011707583e-7</v>
      </c>
      <c r="N223">
        <f>1-SUM($M$7:M223)</f>
        <v>5.1539636259923e-6</v>
      </c>
    </row>
    <row r="224" spans="12:14">
      <c r="L224">
        <f t="shared" si="10"/>
        <v>218</v>
      </c>
      <c r="M224" s="32">
        <f t="shared" si="11"/>
        <v>2.86354219060132e-7</v>
      </c>
      <c r="N224">
        <f>1-SUM($M$7:M224)</f>
        <v>4.8676094068778e-6</v>
      </c>
    </row>
    <row r="225" spans="12:14">
      <c r="L225">
        <f t="shared" si="10"/>
        <v>219</v>
      </c>
      <c r="M225" s="32">
        <f t="shared" si="11"/>
        <v>2.70444378646131e-7</v>
      </c>
      <c r="N225">
        <f>1-SUM($M$7:M225)</f>
        <v>4.59716502820839e-6</v>
      </c>
    </row>
    <row r="226" spans="12:14">
      <c r="L226">
        <f t="shared" si="10"/>
        <v>220</v>
      </c>
      <c r="M226" s="32">
        <f t="shared" si="11"/>
        <v>2.55418488967258e-7</v>
      </c>
      <c r="N226">
        <f>1-SUM($M$7:M226)</f>
        <v>4.34174653929364e-6</v>
      </c>
    </row>
    <row r="227" spans="12:14">
      <c r="L227">
        <f t="shared" si="10"/>
        <v>221</v>
      </c>
      <c r="M227" s="32">
        <f t="shared" si="11"/>
        <v>2.41227437723155e-7</v>
      </c>
      <c r="N227">
        <f>1-SUM($M$7:M227)</f>
        <v>4.10051910160192e-6</v>
      </c>
    </row>
    <row r="228" spans="12:14">
      <c r="L228">
        <f t="shared" si="10"/>
        <v>222</v>
      </c>
      <c r="M228" s="32">
        <f t="shared" si="11"/>
        <v>2.27824841285003e-7</v>
      </c>
      <c r="N228">
        <f>1-SUM($M$7:M228)</f>
        <v>3.87269426027625e-6</v>
      </c>
    </row>
    <row r="229" spans="12:14">
      <c r="L229">
        <f t="shared" si="10"/>
        <v>223</v>
      </c>
      <c r="M229" s="32">
        <f t="shared" si="11"/>
        <v>2.15166893100949e-7</v>
      </c>
      <c r="N229">
        <f>1-SUM($M$7:M229)</f>
        <v>3.65752736719571e-6</v>
      </c>
    </row>
    <row r="230" spans="12:14">
      <c r="L230">
        <f t="shared" si="10"/>
        <v>224</v>
      </c>
      <c r="M230" s="32">
        <f t="shared" si="11"/>
        <v>2.03212220521394e-7</v>
      </c>
      <c r="N230">
        <f>1-SUM($M$7:M230)</f>
        <v>3.45431514670036e-6</v>
      </c>
    </row>
    <row r="231" spans="12:14">
      <c r="L231">
        <f t="shared" si="10"/>
        <v>225</v>
      </c>
      <c r="M231" s="32">
        <f t="shared" si="11"/>
        <v>1.91921749550672e-7</v>
      </c>
      <c r="N231">
        <f>1-SUM($M$7:M231)</f>
        <v>3.26239339709655e-6</v>
      </c>
    </row>
    <row r="232" spans="12:14">
      <c r="L232">
        <f t="shared" si="10"/>
        <v>226</v>
      </c>
      <c r="M232" s="32">
        <f t="shared" si="11"/>
        <v>1.81258577142684e-7</v>
      </c>
      <c r="N232">
        <f>1-SUM($M$7:M232)</f>
        <v>3.08113481994887e-6</v>
      </c>
    </row>
    <row r="233" spans="12:14">
      <c r="L233">
        <f t="shared" si="10"/>
        <v>227</v>
      </c>
      <c r="M233" s="32">
        <f t="shared" si="11"/>
        <v>1.71187850596359e-7</v>
      </c>
      <c r="N233">
        <f>1-SUM($M$7:M233)</f>
        <v>2.90994696938718e-6</v>
      </c>
    </row>
    <row r="234" spans="12:14">
      <c r="L234">
        <f t="shared" si="10"/>
        <v>228</v>
      </c>
      <c r="M234" s="32">
        <f t="shared" si="11"/>
        <v>1.61676653619152e-7</v>
      </c>
      <c r="N234">
        <f>1-SUM($M$7:M234)</f>
        <v>2.74827031576663e-6</v>
      </c>
    </row>
    <row r="235" spans="12:14">
      <c r="L235">
        <f t="shared" si="10"/>
        <v>229</v>
      </c>
      <c r="M235" s="32">
        <f t="shared" si="11"/>
        <v>1.52693898743994e-7</v>
      </c>
      <c r="N235">
        <f>1-SUM($M$7:M235)</f>
        <v>2.59557641701935e-6</v>
      </c>
    </row>
    <row r="236" spans="12:14">
      <c r="L236">
        <f t="shared" si="10"/>
        <v>230</v>
      </c>
      <c r="M236" s="32">
        <f t="shared" si="11"/>
        <v>1.44210225729595e-7</v>
      </c>
      <c r="N236">
        <f>1-SUM($M$7:M236)</f>
        <v>2.45136619125841e-6</v>
      </c>
    </row>
    <row r="237" spans="12:14">
      <c r="L237">
        <f t="shared" si="10"/>
        <v>231</v>
      </c>
      <c r="M237" s="32">
        <f t="shared" si="11"/>
        <v>1.36197905586317e-7</v>
      </c>
      <c r="N237">
        <f>1-SUM($M$7:M237)</f>
        <v>2.31516828563816e-6</v>
      </c>
    </row>
    <row r="238" spans="12:14">
      <c r="L238">
        <f t="shared" si="10"/>
        <v>232</v>
      </c>
      <c r="M238" s="32">
        <f t="shared" si="11"/>
        <v>1.28630749950056e-7</v>
      </c>
      <c r="N238">
        <f>1-SUM($M$7:M238)</f>
        <v>2.18653753569775e-6</v>
      </c>
    </row>
    <row r="239" spans="12:14">
      <c r="L239">
        <f t="shared" si="10"/>
        <v>233</v>
      </c>
      <c r="M239" s="32">
        <f t="shared" si="11"/>
        <v>1.21484025483367e-7</v>
      </c>
      <c r="N239">
        <f>1-SUM($M$7:M239)</f>
        <v>2.06505351019182e-6</v>
      </c>
    </row>
    <row r="240" spans="12:14">
      <c r="L240">
        <f t="shared" si="10"/>
        <v>234</v>
      </c>
      <c r="M240" s="32">
        <f t="shared" si="11"/>
        <v>1.14734373026257e-7</v>
      </c>
      <c r="N240">
        <f>1-SUM($M$7:M240)</f>
        <v>1.95031913718946e-6</v>
      </c>
    </row>
    <row r="241" spans="12:14">
      <c r="L241">
        <f t="shared" si="10"/>
        <v>235</v>
      </c>
      <c r="M241" s="32">
        <f t="shared" si="11"/>
        <v>1.08359731262246e-7</v>
      </c>
      <c r="N241">
        <f>1-SUM($M$7:M241)</f>
        <v>1.84195940589049e-6</v>
      </c>
    </row>
    <row r="242" spans="12:14">
      <c r="L242">
        <f t="shared" si="10"/>
        <v>236</v>
      </c>
      <c r="M242" s="32">
        <f t="shared" si="11"/>
        <v>1.02339264591276e-7</v>
      </c>
      <c r="N242">
        <f>1-SUM($M$7:M242)</f>
        <v>1.73962014127227e-6</v>
      </c>
    </row>
    <row r="243" spans="12:14">
      <c r="L243">
        <f t="shared" si="10"/>
        <v>237</v>
      </c>
      <c r="M243" s="32">
        <f t="shared" si="11"/>
        <v>9.66532950490873e-8</v>
      </c>
      <c r="N243">
        <f>1-SUM($M$7:M243)</f>
        <v>1.6429668462381e-6</v>
      </c>
    </row>
    <row r="244" spans="12:14">
      <c r="L244">
        <f t="shared" si="10"/>
        <v>238</v>
      </c>
      <c r="M244" s="32">
        <f t="shared" si="11"/>
        <v>9.1283237976989e-8</v>
      </c>
      <c r="N244">
        <f>1-SUM($M$7:M244)</f>
        <v>1.55168360826963e-6</v>
      </c>
    </row>
    <row r="245" spans="12:14">
      <c r="L245">
        <f t="shared" si="10"/>
        <v>239</v>
      </c>
      <c r="M245" s="32">
        <f t="shared" si="11"/>
        <v>8.62115412754605e-8</v>
      </c>
      <c r="N245">
        <f>1-SUM($M$7:M245)</f>
        <v>1.4654720670304e-6</v>
      </c>
    </row>
    <row r="246" spans="12:14">
      <c r="L246">
        <f t="shared" si="10"/>
        <v>240</v>
      </c>
      <c r="M246" s="32">
        <f t="shared" si="11"/>
        <v>8.14216280442093e-8</v>
      </c>
      <c r="N246">
        <f>1-SUM($M$7:M246)</f>
        <v>1.384050439035e-6</v>
      </c>
    </row>
    <row r="247" spans="12:14">
      <c r="L247">
        <f t="shared" si="10"/>
        <v>241</v>
      </c>
      <c r="M247" s="32">
        <f t="shared" si="11"/>
        <v>7.68978423927846e-8</v>
      </c>
      <c r="N247">
        <f>1-SUM($M$7:M247)</f>
        <v>1.30715259660796e-6</v>
      </c>
    </row>
    <row r="248" spans="12:14">
      <c r="L248">
        <f t="shared" si="10"/>
        <v>242</v>
      </c>
      <c r="M248" s="32">
        <f t="shared" si="11"/>
        <v>7.26253982675384e-8</v>
      </c>
      <c r="N248">
        <f>1-SUM($M$7:M248)</f>
        <v>1.23452719835715e-6</v>
      </c>
    </row>
    <row r="249" spans="12:14">
      <c r="L249">
        <f t="shared" si="10"/>
        <v>243</v>
      </c>
      <c r="M249" s="32">
        <f t="shared" si="11"/>
        <v>6.85903311407232e-8</v>
      </c>
      <c r="N249">
        <f>1-SUM($M$7:M249)</f>
        <v>1.1659368671646e-6</v>
      </c>
    </row>
    <row r="250" spans="12:14">
      <c r="L250">
        <f t="shared" si="10"/>
        <v>244</v>
      </c>
      <c r="M250" s="32">
        <f t="shared" si="11"/>
        <v>6.4779452339665e-8</v>
      </c>
      <c r="N250">
        <f>1-SUM($M$7:M250)</f>
        <v>1.10115741480676e-6</v>
      </c>
    </row>
    <row r="251" spans="12:14">
      <c r="L251">
        <f t="shared" si="10"/>
        <v>245</v>
      </c>
      <c r="M251" s="32">
        <f t="shared" si="11"/>
        <v>6.11803059666638e-8</v>
      </c>
      <c r="N251">
        <f>1-SUM($M$7:M251)</f>
        <v>1.03997710887427e-6</v>
      </c>
    </row>
    <row r="252" spans="12:14">
      <c r="L252">
        <f t="shared" si="10"/>
        <v>246</v>
      </c>
      <c r="M252" s="32">
        <f t="shared" si="11"/>
        <v>5.77811281690543e-8</v>
      </c>
      <c r="N252">
        <f>1-SUM($M$7:M252)</f>
        <v>9.82195980658851e-7</v>
      </c>
    </row>
    <row r="253" spans="12:14">
      <c r="L253">
        <f t="shared" si="10"/>
        <v>247</v>
      </c>
      <c r="M253" s="32">
        <f t="shared" si="11"/>
        <v>5.45708086854058e-8</v>
      </c>
      <c r="N253">
        <f>1-SUM($M$7:M253)</f>
        <v>9.27625172009172e-7</v>
      </c>
    </row>
    <row r="254" spans="12:14">
      <c r="L254">
        <f t="shared" si="10"/>
        <v>248</v>
      </c>
      <c r="M254" s="32">
        <f t="shared" si="11"/>
        <v>5.15388545568296e-8</v>
      </c>
      <c r="N254">
        <f>1-SUM($M$7:M254)</f>
        <v>8.76086317491698e-7</v>
      </c>
    </row>
    <row r="255" spans="12:14">
      <c r="L255">
        <f t="shared" si="10"/>
        <v>249</v>
      </c>
      <c r="M255" s="32">
        <f t="shared" si="11"/>
        <v>4.86753557998387e-8</v>
      </c>
      <c r="N255">
        <f>1-SUM($M$7:M255)</f>
        <v>8.27410961745656e-7</v>
      </c>
    </row>
    <row r="256" spans="12:14">
      <c r="L256">
        <f t="shared" si="10"/>
        <v>250</v>
      </c>
      <c r="M256" s="32">
        <f t="shared" si="11"/>
        <v>4.59709530345886e-8</v>
      </c>
      <c r="N256">
        <f>1-SUM($M$7:M256)</f>
        <v>7.81440008701395e-7</v>
      </c>
    </row>
    <row r="257" spans="12:14">
      <c r="L257">
        <f t="shared" si="10"/>
        <v>251</v>
      </c>
      <c r="M257" s="32">
        <f t="shared" si="11"/>
        <v>4.34168068834495e-8</v>
      </c>
      <c r="N257">
        <f>1-SUM($M$7:M257)</f>
        <v>7.38023201773963e-7</v>
      </c>
    </row>
    <row r="258" spans="12:14">
      <c r="L258">
        <f t="shared" si="10"/>
        <v>252</v>
      </c>
      <c r="M258" s="32">
        <f t="shared" si="11"/>
        <v>4.10045690905614e-8</v>
      </c>
      <c r="N258">
        <f>1-SUM($M$7:M258)</f>
        <v>6.97018632700441e-7</v>
      </c>
    </row>
    <row r="259" spans="12:14">
      <c r="L259">
        <f t="shared" si="10"/>
        <v>253</v>
      </c>
      <c r="M259" s="32">
        <f t="shared" si="11"/>
        <v>3.87263552328365e-8</v>
      </c>
      <c r="N259">
        <f>1-SUM($M$7:M259)</f>
        <v>6.58292277466721e-7</v>
      </c>
    </row>
    <row r="260" spans="12:14">
      <c r="L260">
        <f t="shared" si="10"/>
        <v>254</v>
      </c>
      <c r="M260" s="32">
        <f t="shared" si="11"/>
        <v>3.6574718936051e-8</v>
      </c>
      <c r="N260">
        <f>1-SUM($M$7:M260)</f>
        <v>6.21717558546564e-7</v>
      </c>
    </row>
    <row r="261" spans="12:14">
      <c r="L261">
        <f t="shared" si="10"/>
        <v>255</v>
      </c>
      <c r="M261" s="32">
        <f t="shared" si="11"/>
        <v>3.45426275528471e-8</v>
      </c>
      <c r="N261">
        <f>1-SUM($M$7:M261)</f>
        <v>5.87174931010459e-7</v>
      </c>
    </row>
    <row r="262" spans="12:14">
      <c r="L262">
        <f t="shared" si="10"/>
        <v>256</v>
      </c>
      <c r="M262" s="32">
        <f t="shared" si="11"/>
        <v>3.26234391669411e-8</v>
      </c>
      <c r="N262">
        <f>1-SUM($M$7:M262)</f>
        <v>5.5455149183814e-7</v>
      </c>
    </row>
    <row r="263" spans="12:14">
      <c r="L263">
        <f t="shared" si="10"/>
        <v>257</v>
      </c>
      <c r="M263" s="32">
        <f t="shared" si="11"/>
        <v>3.08108808865271e-8</v>
      </c>
      <c r="N263">
        <f>1-SUM($M$7:M263)</f>
        <v>5.23740610991474e-7</v>
      </c>
    </row>
    <row r="264" spans="12:14">
      <c r="L264">
        <f t="shared" si="10"/>
        <v>258</v>
      </c>
      <c r="M264" s="32">
        <f t="shared" si="11"/>
        <v>2.90990283466863e-8</v>
      </c>
      <c r="N264">
        <f>1-SUM($M$7:M264)</f>
        <v>4.94641582693411e-7</v>
      </c>
    </row>
    <row r="265" spans="12:14">
      <c r="L265">
        <f t="shared" ref="L265:L328" si="12">L264+1</f>
        <v>259</v>
      </c>
      <c r="M265" s="32">
        <f t="shared" si="11"/>
        <v>2.74822863344459e-8</v>
      </c>
      <c r="N265">
        <f>1-SUM($M$7:M265)</f>
        <v>4.67159296357877e-7</v>
      </c>
    </row>
    <row r="266" spans="12:14">
      <c r="L266">
        <f t="shared" si="12"/>
        <v>260</v>
      </c>
      <c r="M266" s="32">
        <f t="shared" si="11"/>
        <v>2.59553705056437e-8</v>
      </c>
      <c r="N266">
        <f>1-SUM($M$7:M266)</f>
        <v>4.41203925838352e-7</v>
      </c>
    </row>
    <row r="267" spans="12:14">
      <c r="L267">
        <f t="shared" si="12"/>
        <v>261</v>
      </c>
      <c r="M267" s="32">
        <f t="shared" si="11"/>
        <v>2.45132901195788e-8</v>
      </c>
      <c r="N267">
        <f>1-SUM($M$7:M267)</f>
        <v>4.16690635773875e-7</v>
      </c>
    </row>
    <row r="268" spans="12:14">
      <c r="L268">
        <f t="shared" si="12"/>
        <v>262</v>
      </c>
      <c r="M268" s="32">
        <f t="shared" si="11"/>
        <v>2.31513317235965e-8</v>
      </c>
      <c r="N268">
        <f>1-SUM($M$7:M268)</f>
        <v>3.93539304033297e-7</v>
      </c>
    </row>
    <row r="269" spans="12:14">
      <c r="L269">
        <f t="shared" si="12"/>
        <v>263</v>
      </c>
      <c r="M269" s="32">
        <f t="shared" si="11"/>
        <v>2.186504373209e-8</v>
      </c>
      <c r="N269">
        <f>1-SUM($M$7:M269)</f>
        <v>3.71674260257748e-7</v>
      </c>
    </row>
    <row r="270" spans="12:14">
      <c r="L270">
        <f t="shared" si="12"/>
        <v>264</v>
      </c>
      <c r="M270" s="32">
        <f t="shared" ref="M270:M333" si="13">IF(L270&gt;=$N$5,$M$5*N269,0)</f>
        <v>2.06502218999205e-8</v>
      </c>
      <c r="N270">
        <f>1-SUM($M$7:M270)</f>
        <v>3.51024038391934e-7</v>
      </c>
    </row>
    <row r="271" spans="12:14">
      <c r="L271">
        <f t="shared" si="12"/>
        <v>265</v>
      </c>
      <c r="M271" s="32">
        <f t="shared" si="13"/>
        <v>1.95028955730558e-8</v>
      </c>
      <c r="N271">
        <f>1-SUM($M$7:M271)</f>
        <v>3.31521142871161e-7</v>
      </c>
    </row>
    <row r="272" spans="12:14">
      <c r="L272">
        <f t="shared" si="12"/>
        <v>266</v>
      </c>
      <c r="M272" s="32">
        <f t="shared" si="13"/>
        <v>1.84193146979217e-8</v>
      </c>
      <c r="N272">
        <f>1-SUM($M$7:M272)</f>
        <v>3.13101828131046e-7</v>
      </c>
    </row>
    <row r="273" spans="12:14">
      <c r="L273">
        <f t="shared" si="12"/>
        <v>267</v>
      </c>
      <c r="M273" s="32">
        <f t="shared" si="13"/>
        <v>1.73959375709609e-8</v>
      </c>
      <c r="N273">
        <f>1-SUM($M$7:M273)</f>
        <v>2.95705890551723e-7</v>
      </c>
    </row>
    <row r="274" spans="12:14">
      <c r="L274">
        <f t="shared" si="12"/>
        <v>268</v>
      </c>
      <c r="M274" s="32">
        <f t="shared" si="13"/>
        <v>1.64294192790537e-8</v>
      </c>
      <c r="N274">
        <f>1-SUM($M$7:M274)</f>
        <v>2.7927647128223e-7</v>
      </c>
    </row>
    <row r="275" spans="12:14">
      <c r="L275">
        <f t="shared" si="12"/>
        <v>269</v>
      </c>
      <c r="M275" s="32">
        <f t="shared" si="13"/>
        <v>1.55166007444407e-8</v>
      </c>
      <c r="N275">
        <f>1-SUM($M$7:M275)</f>
        <v>2.63759870500202e-7</v>
      </c>
    </row>
    <row r="276" spans="12:14">
      <c r="L276">
        <f t="shared" si="12"/>
        <v>270</v>
      </c>
      <c r="M276" s="32">
        <f t="shared" si="13"/>
        <v>1.46544984049912e-8</v>
      </c>
      <c r="N276">
        <f>1-SUM($M$7:M276)</f>
        <v>2.4910537210765e-7</v>
      </c>
    </row>
    <row r="277" spans="12:14">
      <c r="L277">
        <f t="shared" si="12"/>
        <v>271</v>
      </c>
      <c r="M277" s="32">
        <f t="shared" si="13"/>
        <v>1.3840294474301e-8</v>
      </c>
      <c r="N277">
        <f>1-SUM($M$7:M277)</f>
        <v>2.352650776416e-7</v>
      </c>
    </row>
    <row r="278" spans="12:14">
      <c r="L278">
        <f t="shared" si="12"/>
        <v>272</v>
      </c>
      <c r="M278" s="32">
        <f t="shared" si="13"/>
        <v>1.30713277137673e-8</v>
      </c>
      <c r="N278">
        <f>1-SUM($M$7:M278)</f>
        <v>2.22193749954691e-7</v>
      </c>
    </row>
    <row r="279" spans="12:14">
      <c r="L279">
        <f t="shared" si="12"/>
        <v>273</v>
      </c>
      <c r="M279" s="32">
        <f t="shared" si="13"/>
        <v>1.23450847474826e-8</v>
      </c>
      <c r="N279">
        <f>1-SUM($M$7:M279)</f>
        <v>2.09848665222445e-7</v>
      </c>
    </row>
    <row r="280" spans="12:14">
      <c r="L280">
        <f t="shared" si="12"/>
        <v>274</v>
      </c>
      <c r="M280" s="32">
        <f t="shared" si="13"/>
        <v>1.16591918397591e-8</v>
      </c>
      <c r="N280">
        <f>1-SUM($M$7:M280)</f>
        <v>1.98189473388233e-7</v>
      </c>
    </row>
    <row r="281" spans="12:14">
      <c r="L281">
        <f t="shared" si="12"/>
        <v>275</v>
      </c>
      <c r="M281" s="32">
        <f t="shared" si="13"/>
        <v>1.10114071414502e-8</v>
      </c>
      <c r="N281">
        <f>1-SUM($M$7:M281)</f>
        <v>1.87178066268778e-7</v>
      </c>
    </row>
    <row r="282" spans="12:14">
      <c r="L282">
        <f t="shared" si="12"/>
        <v>276</v>
      </c>
      <c r="M282" s="32">
        <f t="shared" si="13"/>
        <v>1.03996133618933e-8</v>
      </c>
      <c r="N282">
        <f>1-SUM($M$7:M282)</f>
        <v>1.76778452876114e-7</v>
      </c>
    </row>
    <row r="283" spans="12:14">
      <c r="L283">
        <f t="shared" si="12"/>
        <v>277</v>
      </c>
      <c r="M283" s="32">
        <f t="shared" si="13"/>
        <v>9.8218108417969e-9</v>
      </c>
      <c r="N283">
        <f>1-SUM($M$7:M283)</f>
        <v>1.66956642067007e-7</v>
      </c>
    </row>
    <row r="284" spans="12:14">
      <c r="L284">
        <f t="shared" si="12"/>
        <v>278</v>
      </c>
      <c r="M284" s="32">
        <f t="shared" si="13"/>
        <v>9.27611103324288e-9</v>
      </c>
      <c r="N284">
        <f>1-SUM($M$7:M284)</f>
        <v>1.57680531076565e-7</v>
      </c>
    </row>
    <row r="285" spans="12:14">
      <c r="L285">
        <f t="shared" si="12"/>
        <v>279</v>
      </c>
      <c r="M285" s="32">
        <f t="shared" si="13"/>
        <v>8.76073030661395e-9</v>
      </c>
      <c r="N285">
        <f>1-SUM($M$7:M285)</f>
        <v>1.4891980082421e-7</v>
      </c>
    </row>
    <row r="286" spans="12:14">
      <c r="L286">
        <f t="shared" si="12"/>
        <v>280</v>
      </c>
      <c r="M286" s="32">
        <f t="shared" si="13"/>
        <v>8.2739841337931e-9</v>
      </c>
      <c r="N286">
        <f>1-SUM($M$7:M286)</f>
        <v>1.40645816659735e-7</v>
      </c>
    </row>
    <row r="287" spans="12:14">
      <c r="L287">
        <f t="shared" si="12"/>
        <v>281</v>
      </c>
      <c r="M287" s="32">
        <f t="shared" si="13"/>
        <v>7.81428157361486e-9</v>
      </c>
      <c r="N287">
        <f>1-SUM($M$7:M287)</f>
        <v>1.32831535104572e-7</v>
      </c>
    </row>
    <row r="288" spans="12:14">
      <c r="L288">
        <f t="shared" si="12"/>
        <v>282</v>
      </c>
      <c r="M288" s="32">
        <f t="shared" si="13"/>
        <v>7.38012009041e-9</v>
      </c>
      <c r="N288">
        <f>1-SUM($M$7:M288)</f>
        <v>1.2545141503395e-7</v>
      </c>
    </row>
    <row r="289" spans="12:14">
      <c r="L289">
        <f t="shared" si="12"/>
        <v>283</v>
      </c>
      <c r="M289" s="32">
        <f t="shared" si="13"/>
        <v>6.97008061928628e-9</v>
      </c>
      <c r="N289">
        <f>1-SUM($M$7:M289)</f>
        <v>1.1848133441017e-7</v>
      </c>
    </row>
    <row r="290" spans="12:14">
      <c r="L290">
        <f t="shared" si="12"/>
        <v>284</v>
      </c>
      <c r="M290" s="32">
        <f t="shared" si="13"/>
        <v>6.58282293982904e-9</v>
      </c>
      <c r="N290">
        <f>1-SUM($M$7:M290)</f>
        <v>1.11898511456765e-7</v>
      </c>
    </row>
    <row r="291" spans="12:14">
      <c r="L291">
        <f t="shared" si="12"/>
        <v>285</v>
      </c>
      <c r="M291" s="32">
        <f t="shared" si="13"/>
        <v>6.21708129653786e-9</v>
      </c>
      <c r="N291">
        <f>1-SUM($M$7:M291)</f>
        <v>1.05681430162541e-7</v>
      </c>
    </row>
    <row r="292" spans="12:14">
      <c r="L292">
        <f t="shared" si="12"/>
        <v>286</v>
      </c>
      <c r="M292" s="32">
        <f t="shared" si="13"/>
        <v>5.87166025983077e-9</v>
      </c>
      <c r="N292">
        <f>1-SUM($M$7:M292)</f>
        <v>9.9809769893433e-8</v>
      </c>
    </row>
    <row r="293" spans="12:14">
      <c r="L293">
        <f t="shared" si="12"/>
        <v>287</v>
      </c>
      <c r="M293" s="32">
        <f t="shared" si="13"/>
        <v>5.54543081527914e-9</v>
      </c>
      <c r="N293">
        <f>1-SUM($M$7:M293)</f>
        <v>9.42643391121933e-8</v>
      </c>
    </row>
    <row r="294" spans="12:14">
      <c r="L294">
        <f t="shared" si="12"/>
        <v>288</v>
      </c>
      <c r="M294" s="32">
        <f t="shared" si="13"/>
        <v>5.23732668107346e-9</v>
      </c>
      <c r="N294">
        <f>1-SUM($M$7:M294)</f>
        <v>8.9027012428744e-8</v>
      </c>
    </row>
    <row r="295" spans="12:14">
      <c r="L295">
        <f t="shared" si="12"/>
        <v>289</v>
      </c>
      <c r="M295" s="32">
        <f t="shared" si="13"/>
        <v>4.94634081054102e-9</v>
      </c>
      <c r="N295">
        <f>1-SUM($M$7:M295)</f>
        <v>8.40806716473352e-8</v>
      </c>
    </row>
    <row r="296" spans="12:14">
      <c r="L296">
        <f t="shared" si="12"/>
        <v>290</v>
      </c>
      <c r="M296" s="32">
        <f t="shared" si="13"/>
        <v>4.67152211672595e-9</v>
      </c>
      <c r="N296">
        <f>1-SUM($M$7:M296)</f>
        <v>7.94091494782379e-8</v>
      </c>
    </row>
    <row r="297" spans="12:14">
      <c r="L297">
        <f t="shared" si="12"/>
        <v>291</v>
      </c>
      <c r="M297" s="32">
        <f t="shared" si="13"/>
        <v>4.4119723450109e-9</v>
      </c>
      <c r="N297">
        <f>1-SUM($M$7:M297)</f>
        <v>7.49971771352165e-8</v>
      </c>
    </row>
    <row r="298" spans="12:14">
      <c r="L298">
        <f t="shared" si="12"/>
        <v>292</v>
      </c>
      <c r="M298" s="32">
        <f t="shared" si="13"/>
        <v>4.16684316163263e-9</v>
      </c>
      <c r="N298">
        <f>1-SUM($M$7:M298)</f>
        <v>7.08303339314043e-8</v>
      </c>
    </row>
    <row r="299" spans="12:14">
      <c r="L299">
        <f t="shared" si="12"/>
        <v>293</v>
      </c>
      <c r="M299" s="32">
        <f t="shared" si="13"/>
        <v>3.93533335322882e-9</v>
      </c>
      <c r="N299">
        <f>1-SUM($M$7:M299)</f>
        <v>6.68950005389135e-8</v>
      </c>
    </row>
    <row r="300" spans="12:14">
      <c r="L300">
        <f t="shared" si="12"/>
        <v>294</v>
      </c>
      <c r="M300" s="32">
        <f t="shared" si="13"/>
        <v>3.71668622994203e-9</v>
      </c>
      <c r="N300">
        <f>1-SUM($M$7:M300)</f>
        <v>6.31783143578701e-8</v>
      </c>
    </row>
    <row r="301" spans="12:14">
      <c r="L301">
        <f t="shared" si="12"/>
        <v>295</v>
      </c>
      <c r="M301" s="32">
        <f t="shared" si="13"/>
        <v>3.51018714572326e-9</v>
      </c>
      <c r="N301">
        <f>1-SUM($M$7:M301)</f>
        <v>5.96681272169164e-8</v>
      </c>
    </row>
    <row r="302" spans="12:14">
      <c r="L302">
        <f t="shared" si="12"/>
        <v>296</v>
      </c>
      <c r="M302" s="32">
        <f t="shared" si="13"/>
        <v>3.31516114817187e-9</v>
      </c>
      <c r="N302">
        <f>1-SUM($M$7:M302)</f>
        <v>5.63529660713158e-8</v>
      </c>
    </row>
    <row r="303" spans="12:14">
      <c r="L303">
        <f t="shared" si="12"/>
        <v>297</v>
      </c>
      <c r="M303" s="32">
        <f t="shared" si="13"/>
        <v>3.13097079492231e-9</v>
      </c>
      <c r="N303">
        <f>1-SUM($M$7:M303)</f>
        <v>5.32219952553703e-8</v>
      </c>
    </row>
    <row r="304" spans="12:14">
      <c r="L304">
        <f t="shared" si="12"/>
        <v>298</v>
      </c>
      <c r="M304" s="32">
        <f t="shared" si="13"/>
        <v>2.95701405638837e-9</v>
      </c>
      <c r="N304">
        <f>1-SUM($M$7:M304)</f>
        <v>5.02649811773281e-8</v>
      </c>
    </row>
    <row r="305" spans="12:14">
      <c r="L305">
        <f t="shared" si="12"/>
        <v>299</v>
      </c>
      <c r="M305" s="32">
        <f t="shared" si="13"/>
        <v>2.79272235421235e-9</v>
      </c>
      <c r="N305">
        <f>1-SUM($M$7:M305)</f>
        <v>4.74722587906484e-8</v>
      </c>
    </row>
    <row r="306" spans="12:14">
      <c r="L306">
        <f t="shared" si="12"/>
        <v>300</v>
      </c>
      <c r="M306" s="32">
        <f t="shared" si="13"/>
        <v>2.63755869840843e-9</v>
      </c>
      <c r="N306">
        <f>1-SUM($M$7:M306)</f>
        <v>4.48347000636673e-8</v>
      </c>
    </row>
    <row r="307" spans="12:14">
      <c r="L307">
        <f t="shared" si="12"/>
        <v>301</v>
      </c>
      <c r="M307" s="32">
        <f t="shared" si="13"/>
        <v>2.49101593553735e-9</v>
      </c>
      <c r="N307">
        <f>1-SUM($M$7:M307)</f>
        <v>4.23436841145985e-8</v>
      </c>
    </row>
    <row r="308" spans="12:14">
      <c r="L308">
        <f t="shared" si="12"/>
        <v>302</v>
      </c>
      <c r="M308" s="32">
        <f t="shared" si="13"/>
        <v>2.3526150894071e-9</v>
      </c>
      <c r="N308">
        <f>1-SUM($M$7:M308)</f>
        <v>3.99910690118688e-8</v>
      </c>
    </row>
    <row r="309" spans="12:14">
      <c r="L309">
        <f t="shared" si="12"/>
        <v>303</v>
      </c>
      <c r="M309" s="32">
        <f t="shared" si="13"/>
        <v>2.22190379429943e-9</v>
      </c>
      <c r="N309">
        <f>1-SUM($M$7:M309)</f>
        <v>3.77691652397871e-8</v>
      </c>
    </row>
    <row r="310" spans="12:14">
      <c r="L310">
        <f t="shared" si="12"/>
        <v>304</v>
      </c>
      <c r="M310" s="32">
        <f t="shared" si="13"/>
        <v>2.09845482072257e-9</v>
      </c>
      <c r="N310">
        <f>1-SUM($M$7:M310)</f>
        <v>3.56707103854603e-8</v>
      </c>
    </row>
    <row r="311" spans="12:14">
      <c r="L311">
        <f t="shared" si="12"/>
        <v>305</v>
      </c>
      <c r="M311" s="32">
        <f t="shared" si="13"/>
        <v>1.98186466901618e-9</v>
      </c>
      <c r="N311">
        <f>1-SUM($M$7:M311)</f>
        <v>3.36888457130868e-8</v>
      </c>
    </row>
    <row r="312" spans="12:14">
      <c r="L312">
        <f t="shared" si="12"/>
        <v>306</v>
      </c>
      <c r="M312" s="32">
        <f t="shared" si="13"/>
        <v>1.8717522678191e-9</v>
      </c>
      <c r="N312">
        <f>1-SUM($M$7:M312)</f>
        <v>3.18170934043849e-8</v>
      </c>
    </row>
    <row r="313" spans="12:14">
      <c r="L313">
        <f t="shared" si="12"/>
        <v>307</v>
      </c>
      <c r="M313" s="32">
        <f t="shared" si="13"/>
        <v>1.76775770954762e-9</v>
      </c>
      <c r="N313">
        <f>1-SUM($M$7:M313)</f>
        <v>3.00493356863996e-8</v>
      </c>
    </row>
    <row r="314" spans="12:14">
      <c r="L314">
        <f t="shared" si="12"/>
        <v>308</v>
      </c>
      <c r="M314" s="32">
        <f t="shared" si="13"/>
        <v>1.66954109073636e-9</v>
      </c>
      <c r="N314">
        <f>1-SUM($M$7:M314)</f>
        <v>2.83797946254438e-8</v>
      </c>
    </row>
    <row r="315" spans="12:14">
      <c r="L315">
        <f t="shared" si="12"/>
        <v>309</v>
      </c>
      <c r="M315" s="32">
        <f t="shared" si="13"/>
        <v>1.57678138938966e-9</v>
      </c>
      <c r="N315">
        <f>1-SUM($M$7:M315)</f>
        <v>2.6803013253307e-8</v>
      </c>
    </row>
    <row r="316" spans="12:14">
      <c r="L316">
        <f t="shared" si="12"/>
        <v>310</v>
      </c>
      <c r="M316" s="32">
        <f t="shared" si="13"/>
        <v>1.48917541635374e-9</v>
      </c>
      <c r="N316">
        <f>1-SUM($M$7:M316)</f>
        <v>2.53138378036866e-8</v>
      </c>
    </row>
    <row r="317" spans="12:14">
      <c r="L317">
        <f t="shared" si="12"/>
        <v>311</v>
      </c>
      <c r="M317" s="32">
        <f t="shared" si="13"/>
        <v>1.40643682837283e-9</v>
      </c>
      <c r="N317">
        <f>1-SUM($M$7:M317)</f>
        <v>2.39074009478202e-8</v>
      </c>
    </row>
    <row r="318" spans="12:14">
      <c r="L318">
        <f t="shared" si="12"/>
        <v>312</v>
      </c>
      <c r="M318" s="32">
        <f t="shared" si="13"/>
        <v>1.32829519666089e-9</v>
      </c>
      <c r="N318">
        <f>1-SUM($M$7:M318)</f>
        <v>2.25791056962521e-8</v>
      </c>
    </row>
    <row r="319" spans="12:14">
      <c r="L319">
        <f t="shared" si="12"/>
        <v>313</v>
      </c>
      <c r="M319" s="32">
        <f t="shared" si="13"/>
        <v>1.25449511248377e-9</v>
      </c>
      <c r="N319">
        <f>1-SUM($M$7:M319)</f>
        <v>2.13246106328668e-8</v>
      </c>
    </row>
    <row r="320" spans="12:14">
      <c r="L320">
        <f t="shared" si="12"/>
        <v>314</v>
      </c>
      <c r="M320" s="32">
        <f t="shared" si="13"/>
        <v>1.18479536676208e-9</v>
      </c>
      <c r="N320">
        <f>1-SUM($M$7:M320)</f>
        <v>2.01398152599452e-8</v>
      </c>
    </row>
    <row r="321" spans="12:14">
      <c r="L321">
        <f t="shared" si="12"/>
        <v>315</v>
      </c>
      <c r="M321" s="32">
        <f t="shared" si="13"/>
        <v>1.11896813584256e-9</v>
      </c>
      <c r="N321">
        <f>1-SUM($M$7:M321)</f>
        <v>1.90208471195774e-8</v>
      </c>
    </row>
    <row r="322" spans="12:14">
      <c r="L322">
        <f t="shared" si="12"/>
        <v>316</v>
      </c>
      <c r="M322" s="32">
        <f t="shared" si="13"/>
        <v>1.05679826596372e-9</v>
      </c>
      <c r="N322">
        <f>1-SUM($M$7:M322)</f>
        <v>1.79640488040533e-8</v>
      </c>
    </row>
    <row r="323" spans="12:14">
      <c r="L323">
        <f t="shared" si="12"/>
        <v>317</v>
      </c>
      <c r="M323" s="32">
        <f t="shared" si="13"/>
        <v>9.98082551553203e-10</v>
      </c>
      <c r="N323">
        <f>1-SUM($M$7:M323)</f>
        <v>1.69659662985211e-8</v>
      </c>
    </row>
    <row r="324" spans="12:14">
      <c r="L324">
        <f t="shared" si="12"/>
        <v>318</v>
      </c>
      <c r="M324" s="32">
        <f t="shared" si="13"/>
        <v>9.42629087545832e-10</v>
      </c>
      <c r="N324">
        <f>1-SUM($M$7:M324)</f>
        <v>1.60233372126228e-8</v>
      </c>
    </row>
    <row r="325" spans="12:14">
      <c r="L325">
        <f t="shared" si="12"/>
        <v>319</v>
      </c>
      <c r="M325" s="32">
        <f t="shared" si="13"/>
        <v>8.90256615533325e-10</v>
      </c>
      <c r="N325">
        <f>1-SUM($M$7:M325)</f>
        <v>1.51330805664429e-8</v>
      </c>
    </row>
    <row r="326" spans="12:14">
      <c r="L326">
        <f t="shared" si="12"/>
        <v>320</v>
      </c>
      <c r="M326" s="32">
        <f t="shared" si="13"/>
        <v>8.40793956271568e-10</v>
      </c>
      <c r="N326">
        <f>1-SUM($M$7:M326)</f>
        <v>1.42922865764561e-8</v>
      </c>
    </row>
    <row r="327" spans="12:14">
      <c r="L327">
        <f t="shared" si="12"/>
        <v>321</v>
      </c>
      <c r="M327" s="32">
        <f t="shared" si="13"/>
        <v>7.940794421879e-10</v>
      </c>
      <c r="N327">
        <f>1-SUM($M$7:M327)</f>
        <v>1.34982071076095e-8</v>
      </c>
    </row>
    <row r="328" spans="12:14">
      <c r="L328">
        <f t="shared" si="12"/>
        <v>322</v>
      </c>
      <c r="M328" s="32">
        <f t="shared" si="13"/>
        <v>7.49960386898785e-10</v>
      </c>
      <c r="N328">
        <f>1-SUM($M$7:M328)</f>
        <v>1.27482466805162e-8</v>
      </c>
    </row>
    <row r="329" spans="12:14">
      <c r="L329">
        <f t="shared" ref="L329:L392" si="14">L328+1</f>
        <v>323</v>
      </c>
      <c r="M329" s="32">
        <f t="shared" si="13"/>
        <v>7.08292585569481e-10</v>
      </c>
      <c r="N329">
        <f>1-SUM($M$7:M329)</f>
        <v>1.20399541447824e-8</v>
      </c>
    </row>
    <row r="330" spans="12:14">
      <c r="L330">
        <f t="shared" si="14"/>
        <v>324</v>
      </c>
      <c r="M330" s="32">
        <f t="shared" si="13"/>
        <v>6.68939852284112e-10</v>
      </c>
      <c r="N330">
        <f>1-SUM($M$7:M330)</f>
        <v>1.13710142413126e-8</v>
      </c>
    </row>
    <row r="331" spans="12:14">
      <c r="L331">
        <f t="shared" si="14"/>
        <v>325</v>
      </c>
      <c r="M331" s="32">
        <f t="shared" si="13"/>
        <v>6.31773551247328e-10</v>
      </c>
      <c r="N331">
        <f>1-SUM($M$7:M331)</f>
        <v>1.07392407189266e-8</v>
      </c>
    </row>
    <row r="332" spans="12:14">
      <c r="L332">
        <f t="shared" si="14"/>
        <v>326</v>
      </c>
      <c r="M332" s="32">
        <f t="shared" si="13"/>
        <v>5.96672214343563e-10</v>
      </c>
      <c r="N332">
        <f>1-SUM($M$7:M332)</f>
        <v>1.01425684517764e-8</v>
      </c>
    </row>
    <row r="333" spans="12:14">
      <c r="L333">
        <f t="shared" si="14"/>
        <v>327</v>
      </c>
      <c r="M333" s="32">
        <f t="shared" si="13"/>
        <v>5.63521103180698e-10</v>
      </c>
      <c r="N333">
        <f>1-SUM($M$7:M333)</f>
        <v>9.57904733311921e-9</v>
      </c>
    </row>
    <row r="334" spans="12:14">
      <c r="L334">
        <f t="shared" si="14"/>
        <v>328</v>
      </c>
      <c r="M334" s="32">
        <f t="shared" ref="M334:M397" si="15">IF(L334&gt;=$N$5,$M$5*N333,0)</f>
        <v>5.32211869828103e-10</v>
      </c>
      <c r="N334">
        <f>1-SUM($M$7:M334)</f>
        <v>9.04683550295715e-9</v>
      </c>
    </row>
    <row r="335" spans="12:14">
      <c r="L335">
        <f t="shared" si="14"/>
        <v>329</v>
      </c>
      <c r="M335" s="32">
        <f t="shared" si="15"/>
        <v>5.02642180544299e-10</v>
      </c>
      <c r="N335">
        <f>1-SUM($M$7:M335)</f>
        <v>8.54419335283296e-9</v>
      </c>
    </row>
    <row r="336" spans="12:14">
      <c r="L336">
        <f t="shared" si="14"/>
        <v>330</v>
      </c>
      <c r="M336" s="32">
        <f t="shared" si="15"/>
        <v>4.74715382683399e-10</v>
      </c>
      <c r="N336">
        <f>1-SUM($M$7:M336)</f>
        <v>8.0694779747148e-9</v>
      </c>
    </row>
    <row r="337" spans="12:14">
      <c r="L337">
        <f t="shared" si="14"/>
        <v>331</v>
      </c>
      <c r="M337" s="32">
        <f t="shared" si="15"/>
        <v>4.48340196275154e-10</v>
      </c>
      <c r="N337">
        <f>1-SUM($M$7:M337)</f>
        <v>7.62113783192575e-9</v>
      </c>
    </row>
    <row r="338" spans="12:14">
      <c r="L338">
        <f t="shared" si="14"/>
        <v>332</v>
      </c>
      <c r="M338" s="32">
        <f t="shared" si="15"/>
        <v>4.23430417941795e-10</v>
      </c>
      <c r="N338">
        <f>1-SUM($M$7:M338)</f>
        <v>7.19770743007331e-9</v>
      </c>
    </row>
    <row r="339" spans="12:14">
      <c r="L339">
        <f t="shared" si="14"/>
        <v>333</v>
      </c>
      <c r="M339" s="32">
        <f t="shared" si="15"/>
        <v>3.99904624814873e-10</v>
      </c>
      <c r="N339">
        <f>1-SUM($M$7:M339)</f>
        <v>6.79780276513497e-9</v>
      </c>
    </row>
    <row r="340" spans="12:14">
      <c r="L340">
        <f t="shared" si="14"/>
        <v>334</v>
      </c>
      <c r="M340" s="32">
        <f t="shared" si="15"/>
        <v>3.77685921630899e-10</v>
      </c>
      <c r="N340">
        <f>1-SUM($M$7:M340)</f>
        <v>6.42011688256616e-9</v>
      </c>
    </row>
    <row r="341" spans="12:14">
      <c r="L341">
        <f t="shared" si="14"/>
        <v>335</v>
      </c>
      <c r="M341" s="32">
        <f t="shared" si="15"/>
        <v>3.56701693995376e-10</v>
      </c>
      <c r="N341">
        <f>1-SUM($M$7:M341)</f>
        <v>6.06341521436349e-9</v>
      </c>
    </row>
    <row r="342" spans="12:14">
      <c r="L342">
        <f t="shared" si="14"/>
        <v>336</v>
      </c>
      <c r="M342" s="32">
        <f t="shared" si="15"/>
        <v>3.36883349310035e-10</v>
      </c>
      <c r="N342">
        <f>1-SUM($M$7:M342)</f>
        <v>5.72653191532879e-9</v>
      </c>
    </row>
    <row r="343" spans="12:14">
      <c r="L343">
        <f t="shared" si="14"/>
        <v>337</v>
      </c>
      <c r="M343" s="32">
        <f t="shared" si="15"/>
        <v>3.18166113215668e-10</v>
      </c>
      <c r="N343">
        <f>1-SUM($M$7:M343)</f>
        <v>5.40836575524395e-9</v>
      </c>
    </row>
    <row r="344" spans="12:14">
      <c r="L344">
        <f t="shared" si="14"/>
        <v>338</v>
      </c>
      <c r="M344" s="32">
        <f t="shared" si="15"/>
        <v>3.00488801361354e-10</v>
      </c>
      <c r="N344">
        <f>1-SUM($M$7:M344)</f>
        <v>5.1078768992241e-9</v>
      </c>
    </row>
    <row r="345" spans="12:14">
      <c r="L345">
        <f t="shared" si="14"/>
        <v>339</v>
      </c>
      <c r="M345" s="32">
        <f t="shared" si="15"/>
        <v>2.83793640520891e-10</v>
      </c>
      <c r="N345">
        <f>1-SUM($M$7:M345)</f>
        <v>4.82408324398165e-9</v>
      </c>
    </row>
    <row r="346" spans="12:14">
      <c r="L346">
        <f t="shared" si="14"/>
        <v>340</v>
      </c>
      <c r="M346" s="32">
        <f t="shared" si="15"/>
        <v>2.6802606503562e-10</v>
      </c>
      <c r="N346">
        <f>1-SUM($M$7:M346)</f>
        <v>4.55605719817953e-9</v>
      </c>
    </row>
    <row r="347" spans="12:14">
      <c r="L347">
        <f t="shared" si="14"/>
        <v>341</v>
      </c>
      <c r="M347" s="32">
        <f t="shared" si="15"/>
        <v>2.53134537930855e-10</v>
      </c>
      <c r="N347">
        <f>1-SUM($M$7:M347)</f>
        <v>4.30292268482901e-9</v>
      </c>
    </row>
    <row r="348" spans="12:14">
      <c r="L348">
        <f t="shared" si="14"/>
        <v>342</v>
      </c>
      <c r="M348" s="32">
        <f t="shared" si="15"/>
        <v>2.390703843691e-10</v>
      </c>
      <c r="N348">
        <f>1-SUM($M$7:M348)</f>
        <v>4.06385225470984e-9</v>
      </c>
    </row>
    <row r="349" spans="12:14">
      <c r="L349">
        <f t="shared" si="14"/>
        <v>343</v>
      </c>
      <c r="M349" s="32">
        <f t="shared" si="15"/>
        <v>2.25787631271679e-10</v>
      </c>
      <c r="N349">
        <f>1-SUM($M$7:M349)</f>
        <v>3.83806464387959e-9</v>
      </c>
    </row>
    <row r="350" spans="12:14">
      <c r="L350">
        <f t="shared" si="14"/>
        <v>344</v>
      </c>
      <c r="M350" s="32">
        <f t="shared" si="15"/>
        <v>2.1324287161395e-10</v>
      </c>
      <c r="N350">
        <f>1-SUM($M$7:M350)</f>
        <v>3.62482177607149e-9</v>
      </c>
    </row>
    <row r="351" spans="12:14">
      <c r="L351">
        <f t="shared" si="14"/>
        <v>345</v>
      </c>
      <c r="M351" s="32">
        <f t="shared" si="15"/>
        <v>2.01395097878532e-10</v>
      </c>
      <c r="N351">
        <f>1-SUM($M$7:M351)</f>
        <v>3.42342665327067e-9</v>
      </c>
    </row>
    <row r="352" spans="12:14">
      <c r="L352">
        <f t="shared" si="14"/>
        <v>346</v>
      </c>
      <c r="M352" s="32">
        <f t="shared" si="15"/>
        <v>1.90205584855718e-10</v>
      </c>
      <c r="N352">
        <f>1-SUM($M$7:M352)</f>
        <v>3.23322102424584e-9</v>
      </c>
    </row>
    <row r="353" spans="12:14">
      <c r="L353">
        <f t="shared" si="14"/>
        <v>347</v>
      </c>
      <c r="M353" s="32">
        <f t="shared" si="15"/>
        <v>1.79637760107099e-10</v>
      </c>
      <c r="N353">
        <f>1-SUM($M$7:M353)</f>
        <v>3.0535832751255e-9</v>
      </c>
    </row>
    <row r="354" spans="12:14">
      <c r="L354">
        <f t="shared" si="14"/>
        <v>348</v>
      </c>
      <c r="M354" s="32">
        <f t="shared" si="15"/>
        <v>1.69657086765973e-10</v>
      </c>
      <c r="N354">
        <f>1-SUM($M$7:M354)</f>
        <v>2.88392620895195e-9</v>
      </c>
    </row>
    <row r="355" spans="12:14">
      <c r="L355">
        <f t="shared" si="14"/>
        <v>349</v>
      </c>
      <c r="M355" s="32">
        <f t="shared" si="15"/>
        <v>1.6023094016937e-10</v>
      </c>
      <c r="N355">
        <f>1-SUM($M$7:M355)</f>
        <v>2.72369526932437e-9</v>
      </c>
    </row>
    <row r="356" spans="12:14">
      <c r="L356">
        <f t="shared" si="14"/>
        <v>350</v>
      </c>
      <c r="M356" s="32">
        <f t="shared" si="15"/>
        <v>1.51328509163662e-10</v>
      </c>
      <c r="N356">
        <f>1-SUM($M$7:M356)</f>
        <v>2.57236676404204e-9</v>
      </c>
    </row>
    <row r="357" spans="12:14">
      <c r="L357">
        <f t="shared" si="14"/>
        <v>351</v>
      </c>
      <c r="M357" s="32">
        <f t="shared" si="15"/>
        <v>1.42920697410176e-10</v>
      </c>
      <c r="N357">
        <f>1-SUM($M$7:M357)</f>
        <v>2.42944608874751e-9</v>
      </c>
    </row>
    <row r="358" spans="12:14">
      <c r="L358">
        <f t="shared" si="14"/>
        <v>352</v>
      </c>
      <c r="M358" s="32">
        <f t="shared" si="15"/>
        <v>1.34980024690812e-10</v>
      </c>
      <c r="N358">
        <f>1-SUM($M$7:M358)</f>
        <v>2.294466061592e-9</v>
      </c>
    </row>
    <row r="359" spans="12:14">
      <c r="L359">
        <f t="shared" si="14"/>
        <v>353</v>
      </c>
      <c r="M359" s="32">
        <f t="shared" si="15"/>
        <v>1.27480534382052e-10</v>
      </c>
      <c r="N359">
        <f>1-SUM($M$7:M359)</f>
        <v>2.16698547994554e-9</v>
      </c>
    </row>
    <row r="360" spans="12:14">
      <c r="L360">
        <f t="shared" si="14"/>
        <v>354</v>
      </c>
      <c r="M360" s="32">
        <f t="shared" si="15"/>
        <v>1.20397713265774e-10</v>
      </c>
      <c r="N360">
        <f>1-SUM($M$7:M360)</f>
        <v>2.04658778812927e-9</v>
      </c>
    </row>
    <row r="361" spans="12:14">
      <c r="L361">
        <f t="shared" si="14"/>
        <v>355</v>
      </c>
      <c r="M361" s="32">
        <f t="shared" si="15"/>
        <v>1.13708417508462e-10</v>
      </c>
      <c r="N361">
        <f>1-SUM($M$7:M361)</f>
        <v>1.93287941208098e-9</v>
      </c>
    </row>
    <row r="362" spans="12:14">
      <c r="L362">
        <f t="shared" si="14"/>
        <v>356</v>
      </c>
      <c r="M362" s="32">
        <f t="shared" si="15"/>
        <v>1.07390780135219e-10</v>
      </c>
      <c r="N362">
        <f>1-SUM($M$7:M362)</f>
        <v>1.82548864913201e-9</v>
      </c>
    </row>
    <row r="363" spans="12:14">
      <c r="L363">
        <f t="shared" si="14"/>
        <v>357</v>
      </c>
      <c r="M363" s="32">
        <f t="shared" si="15"/>
        <v>1.01424149345775e-10</v>
      </c>
      <c r="N363">
        <f>1-SUM($M$7:M363)</f>
        <v>1.72406444676199e-9</v>
      </c>
    </row>
    <row r="364" spans="12:14">
      <c r="L364">
        <f t="shared" si="14"/>
        <v>358</v>
      </c>
      <c r="M364" s="32">
        <f t="shared" si="15"/>
        <v>9.57890206620959e-11</v>
      </c>
      <c r="N364">
        <f>1-SUM($M$7:M364)</f>
        <v>1.62827540339805e-9</v>
      </c>
    </row>
    <row r="365" spans="12:14">
      <c r="L365">
        <f t="shared" si="14"/>
        <v>359</v>
      </c>
      <c r="M365" s="32">
        <f t="shared" si="15"/>
        <v>9.04669814127956e-11</v>
      </c>
      <c r="N365">
        <f>1-SUM($M$7:M365)</f>
        <v>1.53780843614726e-9</v>
      </c>
    </row>
    <row r="366" spans="12:14">
      <c r="L366">
        <f t="shared" si="14"/>
        <v>360</v>
      </c>
      <c r="M366" s="32">
        <f t="shared" si="15"/>
        <v>8.54406367123417e-11</v>
      </c>
      <c r="N366">
        <f>1-SUM($M$7:M366)</f>
        <v>1.45236778159585e-9</v>
      </c>
    </row>
    <row r="367" spans="12:14">
      <c r="L367">
        <f t="shared" si="14"/>
        <v>361</v>
      </c>
      <c r="M367" s="32">
        <f t="shared" si="15"/>
        <v>8.06935539454656e-11</v>
      </c>
      <c r="N367">
        <f>1-SUM($M$7:M367)</f>
        <v>1.37167421865314e-9</v>
      </c>
    </row>
    <row r="368" spans="12:14">
      <c r="L368">
        <f t="shared" si="14"/>
        <v>362</v>
      </c>
      <c r="M368" s="32">
        <f t="shared" si="15"/>
        <v>7.62102195883685e-11</v>
      </c>
      <c r="N368">
        <f>1-SUM($M$7:M368)</f>
        <v>1.29546395832847e-9</v>
      </c>
    </row>
    <row r="369" spans="12:14">
      <c r="L369">
        <f t="shared" si="14"/>
        <v>363</v>
      </c>
      <c r="M369" s="32">
        <f t="shared" si="15"/>
        <v>7.19759775247297e-11</v>
      </c>
      <c r="N369">
        <f>1-SUM($M$7:M369)</f>
        <v>1.22348797759742e-9</v>
      </c>
    </row>
    <row r="370" spans="12:14">
      <c r="L370">
        <f t="shared" si="14"/>
        <v>364</v>
      </c>
      <c r="M370" s="32">
        <f t="shared" si="15"/>
        <v>6.79769920353124e-11</v>
      </c>
      <c r="N370">
        <f>1-SUM($M$7:M370)</f>
        <v>1.15551102020106e-9</v>
      </c>
    </row>
    <row r="371" spans="12:14">
      <c r="L371">
        <f t="shared" si="14"/>
        <v>365</v>
      </c>
      <c r="M371" s="32">
        <f t="shared" si="15"/>
        <v>6.4200192282371e-11</v>
      </c>
      <c r="N371">
        <f>1-SUM($M$7:M371)</f>
        <v>1.09131081948988e-9</v>
      </c>
    </row>
    <row r="372" spans="12:14">
      <c r="L372">
        <f t="shared" si="14"/>
        <v>366</v>
      </c>
      <c r="M372" s="32">
        <f t="shared" si="15"/>
        <v>6.06332291308576e-11</v>
      </c>
      <c r="N372">
        <f>1-SUM($M$7:M372)</f>
        <v>1.03067754331221e-9</v>
      </c>
    </row>
    <row r="373" spans="12:14">
      <c r="L373">
        <f t="shared" si="14"/>
        <v>367</v>
      </c>
      <c r="M373" s="32">
        <f t="shared" si="15"/>
        <v>5.72644443064263e-11</v>
      </c>
      <c r="N373">
        <f>1-SUM($M$7:M373)</f>
        <v>9.73413127880463e-10</v>
      </c>
    </row>
    <row r="374" spans="12:14">
      <c r="L374">
        <f t="shared" si="14"/>
        <v>368</v>
      </c>
      <c r="M374" s="32">
        <f t="shared" si="15"/>
        <v>5.40828333850385e-11</v>
      </c>
      <c r="N374">
        <f>1-SUM($M$7:M374)</f>
        <v>9.19330278570385e-10</v>
      </c>
    </row>
    <row r="375" spans="12:14">
      <c r="L375">
        <f t="shared" si="14"/>
        <v>369</v>
      </c>
      <c r="M375" s="32">
        <f t="shared" si="15"/>
        <v>5.10779902773706e-11</v>
      </c>
      <c r="N375">
        <f>1-SUM($M$7:M375)</f>
        <v>8.68252247876455e-10</v>
      </c>
    </row>
    <row r="376" spans="12:14">
      <c r="L376">
        <f t="shared" si="14"/>
        <v>370</v>
      </c>
      <c r="M376" s="32">
        <f t="shared" si="15"/>
        <v>4.82400948920159e-11</v>
      </c>
      <c r="N376">
        <f>1-SUM($M$7:M376)</f>
        <v>8.20012169278073e-10</v>
      </c>
    </row>
    <row r="377" spans="12:14">
      <c r="L377">
        <f t="shared" si="14"/>
        <v>371</v>
      </c>
      <c r="M377" s="32">
        <f t="shared" si="15"/>
        <v>4.55598761250897e-11</v>
      </c>
      <c r="N377">
        <f>1-SUM($M$7:M377)</f>
        <v>7.74452280083437e-10</v>
      </c>
    </row>
    <row r="378" spans="12:14">
      <c r="L378">
        <f t="shared" si="14"/>
        <v>372</v>
      </c>
      <c r="M378" s="32">
        <f t="shared" si="15"/>
        <v>4.30285686814358e-11</v>
      </c>
      <c r="N378">
        <f>1-SUM($M$7:M378)</f>
        <v>7.31423699384948e-10</v>
      </c>
    </row>
    <row r="379" spans="12:14">
      <c r="L379">
        <f t="shared" si="14"/>
        <v>373</v>
      </c>
      <c r="M379" s="32">
        <f t="shared" si="15"/>
        <v>4.06379007378277e-11</v>
      </c>
      <c r="N379">
        <f>1-SUM($M$7:M379)</f>
        <v>6.90785761925383e-10</v>
      </c>
    </row>
    <row r="380" spans="12:14">
      <c r="L380">
        <f t="shared" si="14"/>
        <v>374</v>
      </c>
      <c r="M380" s="32">
        <f t="shared" si="15"/>
        <v>3.83800569325743e-11</v>
      </c>
      <c r="N380">
        <f>1-SUM($M$7:M380)</f>
        <v>6.52405685030999e-10</v>
      </c>
    </row>
    <row r="381" spans="12:14">
      <c r="L381">
        <f t="shared" si="14"/>
        <v>375</v>
      </c>
      <c r="M381" s="32">
        <f t="shared" si="15"/>
        <v>3.62476598603223e-11</v>
      </c>
      <c r="N381">
        <f>1-SUM($M$7:M381)</f>
        <v>6.16158013500012e-10</v>
      </c>
    </row>
    <row r="382" spans="12:14">
      <c r="L382">
        <f t="shared" si="14"/>
        <v>376</v>
      </c>
      <c r="M382" s="32">
        <f t="shared" si="15"/>
        <v>3.42337392300607e-11</v>
      </c>
      <c r="N382">
        <f>1-SUM($M$7:M382)</f>
        <v>5.81924286535695e-10</v>
      </c>
    </row>
    <row r="383" spans="12:14">
      <c r="L383">
        <f t="shared" si="14"/>
        <v>377</v>
      </c>
      <c r="M383" s="32">
        <f t="shared" si="15"/>
        <v>3.23317133599232e-11</v>
      </c>
      <c r="N383">
        <f>1-SUM($M$7:M383)</f>
        <v>5.49592593657167e-10</v>
      </c>
    </row>
    <row r="384" spans="12:14">
      <c r="L384">
        <f t="shared" si="14"/>
        <v>378</v>
      </c>
      <c r="M384" s="32">
        <f t="shared" si="15"/>
        <v>3.05353645035922e-11</v>
      </c>
      <c r="N384">
        <f>1-SUM($M$7:M384)</f>
        <v>5.19057241632481e-10</v>
      </c>
    </row>
    <row r="385" spans="12:14">
      <c r="L385">
        <f t="shared" si="14"/>
        <v>379</v>
      </c>
      <c r="M385" s="32">
        <f t="shared" si="15"/>
        <v>2.88388203451007e-11</v>
      </c>
      <c r="N385">
        <f>1-SUM($M$7:M385)</f>
        <v>4.90218421411726e-10</v>
      </c>
    </row>
    <row r="386" spans="12:14">
      <c r="L386">
        <f t="shared" si="14"/>
        <v>380</v>
      </c>
      <c r="M386" s="32">
        <f t="shared" si="15"/>
        <v>2.72365354936355e-11</v>
      </c>
      <c r="N386">
        <f>1-SUM($M$7:M386)</f>
        <v>4.62981875060109e-10</v>
      </c>
    </row>
    <row r="387" spans="12:14">
      <c r="L387">
        <f t="shared" si="14"/>
        <v>381</v>
      </c>
      <c r="M387" s="32">
        <f t="shared" si="15"/>
        <v>2.57232729783397e-11</v>
      </c>
      <c r="N387">
        <f>1-SUM($M$7:M387)</f>
        <v>4.37258562691056e-10</v>
      </c>
    </row>
    <row r="388" spans="12:14">
      <c r="L388">
        <f t="shared" si="14"/>
        <v>382</v>
      </c>
      <c r="M388" s="32">
        <f t="shared" si="15"/>
        <v>2.42940857431151e-11</v>
      </c>
      <c r="N388">
        <f>1-SUM($M$7:M388)</f>
        <v>4.12964440421604e-10</v>
      </c>
    </row>
    <row r="389" spans="12:14">
      <c r="L389">
        <f t="shared" si="14"/>
        <v>383</v>
      </c>
      <c r="M389" s="32">
        <f t="shared" si="15"/>
        <v>2.29443043098243e-11</v>
      </c>
      <c r="N389">
        <f>1-SUM($M$7:M389)</f>
        <v>3.9002012730549e-10</v>
      </c>
    </row>
    <row r="390" spans="12:14">
      <c r="L390">
        <f t="shared" si="14"/>
        <v>384</v>
      </c>
      <c r="M390" s="32">
        <f t="shared" si="15"/>
        <v>2.1669518273093e-11</v>
      </c>
      <c r="N390">
        <f>1-SUM($M$7:M390)</f>
        <v>3.68350572266252e-10</v>
      </c>
    </row>
    <row r="391" spans="12:14">
      <c r="L391">
        <f t="shared" si="14"/>
        <v>385</v>
      </c>
      <c r="M391" s="32">
        <f t="shared" si="15"/>
        <v>2.04655577951129e-11</v>
      </c>
      <c r="N391">
        <f>1-SUM($M$7:M391)</f>
        <v>3.47885054097219e-10</v>
      </c>
    </row>
    <row r="392" spans="12:14">
      <c r="L392">
        <f t="shared" si="14"/>
        <v>386</v>
      </c>
      <c r="M392" s="32">
        <f t="shared" si="15"/>
        <v>1.93284936056415e-11</v>
      </c>
      <c r="N392">
        <f>1-SUM($M$7:M392)</f>
        <v>3.28556515327705e-10</v>
      </c>
    </row>
    <row r="393" spans="12:14">
      <c r="L393">
        <f t="shared" ref="L393:L456" si="16">L392+1</f>
        <v>387</v>
      </c>
      <c r="M393" s="32">
        <f t="shared" si="15"/>
        <v>1.82545999916073e-11</v>
      </c>
      <c r="N393">
        <f>1-SUM($M$7:M393)</f>
        <v>3.10301895289911e-10</v>
      </c>
    </row>
    <row r="394" spans="12:14">
      <c r="L394">
        <f t="shared" si="16"/>
        <v>388</v>
      </c>
      <c r="M394" s="32">
        <f t="shared" si="15"/>
        <v>1.72403733023074e-11</v>
      </c>
      <c r="N394">
        <f>1-SUM($M$7:M394)</f>
        <v>2.93061575007414e-10</v>
      </c>
    </row>
    <row r="395" spans="12:14">
      <c r="L395">
        <f t="shared" si="16"/>
        <v>389</v>
      </c>
      <c r="M395" s="32">
        <f t="shared" si="15"/>
        <v>1.62825011074119e-11</v>
      </c>
      <c r="N395">
        <f>1-SUM($M$7:M395)</f>
        <v>2.76779044128261e-10</v>
      </c>
    </row>
    <row r="396" spans="12:14">
      <c r="L396">
        <f t="shared" si="16"/>
        <v>390</v>
      </c>
      <c r="M396" s="32">
        <f t="shared" si="15"/>
        <v>1.53778436917662e-11</v>
      </c>
      <c r="N396">
        <f>1-SUM($M$7:M396)</f>
        <v>2.61401233991876e-10</v>
      </c>
    </row>
    <row r="397" spans="12:14">
      <c r="L397">
        <f t="shared" si="16"/>
        <v>391</v>
      </c>
      <c r="M397" s="32">
        <f t="shared" si="15"/>
        <v>1.45234525605886e-11</v>
      </c>
      <c r="N397">
        <f>1-SUM($M$7:M397)</f>
        <v>2.46877740472939e-10</v>
      </c>
    </row>
    <row r="398" spans="12:14">
      <c r="L398">
        <f t="shared" si="16"/>
        <v>392</v>
      </c>
      <c r="M398" s="32">
        <f t="shared" ref="M398:M461" si="17">IF(L398&gt;=$N$5,$M$5*N397,0)</f>
        <v>1.37165272606765e-11</v>
      </c>
      <c r="N398">
        <f>1-SUM($M$7:M398)</f>
        <v>2.33161268070603e-10</v>
      </c>
    </row>
    <row r="399" spans="12:14">
      <c r="L399">
        <f t="shared" si="16"/>
        <v>393</v>
      </c>
      <c r="M399" s="32">
        <f t="shared" si="17"/>
        <v>1.29544400540027e-11</v>
      </c>
      <c r="N399">
        <f>1-SUM($M$7:M399)</f>
        <v>2.20206852752369e-10</v>
      </c>
    </row>
    <row r="400" spans="12:14">
      <c r="L400">
        <f t="shared" si="16"/>
        <v>394</v>
      </c>
      <c r="M400" s="32">
        <f t="shared" si="17"/>
        <v>1.22346927389216e-11</v>
      </c>
      <c r="N400">
        <f>1-SUM($M$7:M400)</f>
        <v>2.07972195021e-10</v>
      </c>
    </row>
    <row r="401" spans="12:14">
      <c r="L401">
        <f t="shared" si="16"/>
        <v>395</v>
      </c>
      <c r="M401" s="32">
        <f t="shared" si="17"/>
        <v>1.15549351553668e-11</v>
      </c>
      <c r="N401">
        <f>1-SUM($M$7:M401)</f>
        <v>1.96417215825306e-10</v>
      </c>
    </row>
    <row r="402" spans="12:14">
      <c r="L402">
        <f t="shared" si="16"/>
        <v>396</v>
      </c>
      <c r="M402" s="32">
        <f t="shared" si="17"/>
        <v>1.0912940511254e-11</v>
      </c>
      <c r="N402">
        <f>1-SUM($M$7:M402)</f>
        <v>1.85504278604753e-10</v>
      </c>
    </row>
    <row r="403" spans="12:14">
      <c r="L403">
        <f t="shared" si="16"/>
        <v>397</v>
      </c>
      <c r="M403" s="32">
        <f t="shared" si="17"/>
        <v>1.03066177192801e-11</v>
      </c>
      <c r="N403">
        <f>1-SUM($M$7:M403)</f>
        <v>1.75197634177948e-10</v>
      </c>
    </row>
    <row r="404" spans="12:14">
      <c r="L404">
        <f t="shared" si="16"/>
        <v>398</v>
      </c>
      <c r="M404" s="32">
        <f t="shared" si="17"/>
        <v>9.7339805549268e-12</v>
      </c>
      <c r="N404">
        <f>1-SUM($M$7:M404)</f>
        <v>1.65463642787245e-10</v>
      </c>
    </row>
    <row r="405" spans="12:14">
      <c r="L405">
        <f t="shared" si="16"/>
        <v>399</v>
      </c>
      <c r="M405" s="32">
        <f t="shared" si="17"/>
        <v>9.19315999325931e-12</v>
      </c>
      <c r="N405">
        <f>1-SUM($M$7:M405)</f>
        <v>1.56270441031836e-10</v>
      </c>
    </row>
    <row r="406" spans="12:14">
      <c r="L406">
        <f t="shared" si="16"/>
        <v>400</v>
      </c>
      <c r="M406" s="32">
        <f t="shared" si="17"/>
        <v>8.68238570372881e-12</v>
      </c>
      <c r="N406">
        <f>1-SUM($M$7:M406)</f>
        <v>1.47588052890057e-10</v>
      </c>
    </row>
    <row r="407" spans="12:14">
      <c r="L407">
        <f t="shared" si="16"/>
        <v>401</v>
      </c>
      <c r="M407" s="32">
        <f t="shared" si="17"/>
        <v>8.19999221857159e-12</v>
      </c>
      <c r="N407">
        <f>1-SUM($M$7:M407)</f>
        <v>1.39388056652479e-10</v>
      </c>
    </row>
    <row r="408" spans="12:14">
      <c r="L408">
        <f t="shared" si="16"/>
        <v>402</v>
      </c>
      <c r="M408" s="32">
        <f t="shared" si="17"/>
        <v>7.74440042761171e-12</v>
      </c>
      <c r="N408">
        <f>1-SUM($M$7:M408)</f>
        <v>1.31643695944206e-10</v>
      </c>
    </row>
    <row r="409" spans="12:14">
      <c r="L409">
        <f t="shared" si="16"/>
        <v>403</v>
      </c>
      <c r="M409" s="32">
        <f t="shared" si="17"/>
        <v>7.31412374666007e-12</v>
      </c>
      <c r="N409">
        <f>1-SUM($M$7:M409)</f>
        <v>1.24329546657975e-10</v>
      </c>
    </row>
    <row r="410" spans="12:14">
      <c r="L410">
        <f t="shared" si="16"/>
        <v>404</v>
      </c>
      <c r="M410" s="32">
        <f t="shared" si="17"/>
        <v>6.9077496123171e-12</v>
      </c>
      <c r="N410">
        <f>1-SUM($M$7:M410)</f>
        <v>1.1742185002106e-10</v>
      </c>
    </row>
    <row r="411" spans="12:14">
      <c r="L411">
        <f t="shared" si="16"/>
        <v>405</v>
      </c>
      <c r="M411" s="32">
        <f t="shared" si="17"/>
        <v>6.52395798717009e-12</v>
      </c>
      <c r="N411">
        <f>1-SUM($M$7:M411)</f>
        <v>1.10897846461455e-10</v>
      </c>
    </row>
    <row r="412" spans="12:14">
      <c r="L412">
        <f t="shared" si="16"/>
        <v>406</v>
      </c>
      <c r="M412" s="32">
        <f t="shared" si="17"/>
        <v>6.16148434939845e-12</v>
      </c>
      <c r="N412">
        <f>1-SUM($M$7:M412)</f>
        <v>1.0473633071939e-10</v>
      </c>
    </row>
    <row r="413" spans="12:14">
      <c r="L413">
        <f t="shared" si="16"/>
        <v>407</v>
      </c>
      <c r="M413" s="32">
        <f t="shared" si="17"/>
        <v>5.81915053476933e-12</v>
      </c>
      <c r="N413">
        <f>1-SUM($M$7:M413)</f>
        <v>9.89172077581202e-11</v>
      </c>
    </row>
    <row r="414" spans="12:14">
      <c r="L414">
        <f t="shared" si="16"/>
        <v>408</v>
      </c>
      <c r="M414" s="32">
        <f t="shared" si="17"/>
        <v>5.49584006304116e-12</v>
      </c>
      <c r="N414">
        <f>1-SUM($M$7:M414)</f>
        <v>9.34213817416207e-11</v>
      </c>
    </row>
    <row r="415" spans="12:14">
      <c r="L415">
        <f t="shared" si="16"/>
        <v>409</v>
      </c>
      <c r="M415" s="32">
        <f t="shared" si="17"/>
        <v>5.19049196956445e-12</v>
      </c>
      <c r="N415">
        <f>1-SUM($M$7:M415)</f>
        <v>8.82308670568932e-11</v>
      </c>
    </row>
    <row r="416" spans="12:14">
      <c r="L416">
        <f t="shared" si="16"/>
        <v>410</v>
      </c>
      <c r="M416" s="32">
        <f t="shared" si="17"/>
        <v>4.90210697368099e-12</v>
      </c>
      <c r="N416">
        <f>1-SUM($M$7:M416)</f>
        <v>8.33287883139633e-11</v>
      </c>
    </row>
    <row r="417" spans="12:14">
      <c r="L417">
        <f t="shared" si="16"/>
        <v>411</v>
      </c>
      <c r="M417" s="32">
        <f t="shared" si="17"/>
        <v>4.6297474787238e-12</v>
      </c>
      <c r="N417">
        <f>1-SUM($M$7:M417)</f>
        <v>7.86990472789739e-11</v>
      </c>
    </row>
    <row r="418" spans="12:14">
      <c r="L418">
        <f t="shared" si="16"/>
        <v>412</v>
      </c>
      <c r="M418" s="32">
        <f t="shared" si="17"/>
        <v>4.37251906681979e-12</v>
      </c>
      <c r="N418">
        <f>1-SUM($M$7:M418)</f>
        <v>7.43265449187902e-11</v>
      </c>
    </row>
    <row r="419" spans="12:14">
      <c r="L419">
        <f t="shared" si="16"/>
        <v>413</v>
      </c>
      <c r="M419" s="32">
        <f t="shared" si="17"/>
        <v>4.12958283568798e-12</v>
      </c>
      <c r="N419">
        <f>1-SUM($M$7:M419)</f>
        <v>7.01969593563945e-11</v>
      </c>
    </row>
    <row r="420" spans="12:14">
      <c r="L420">
        <f t="shared" si="16"/>
        <v>414</v>
      </c>
      <c r="M420" s="32">
        <f t="shared" si="17"/>
        <v>3.90014306184128e-12</v>
      </c>
      <c r="N420">
        <f>1-SUM($M$7:M420)</f>
        <v>6.62968568931888e-11</v>
      </c>
    </row>
    <row r="421" spans="12:14">
      <c r="L421">
        <f t="shared" si="16"/>
        <v>415</v>
      </c>
      <c r="M421" s="32">
        <f t="shared" si="17"/>
        <v>3.68345336898557e-12</v>
      </c>
      <c r="N421">
        <f>1-SUM($M$7:M421)</f>
        <v>6.26133589420874e-11</v>
      </c>
    </row>
    <row r="422" spans="12:14">
      <c r="L422">
        <f t="shared" si="16"/>
        <v>416</v>
      </c>
      <c r="M422" s="32">
        <f t="shared" si="17"/>
        <v>3.47879822282238e-12</v>
      </c>
      <c r="N422">
        <f>1-SUM($M$7:M422)</f>
        <v>5.9134586116727e-11</v>
      </c>
    </row>
    <row r="423" spans="12:14">
      <c r="L423">
        <f t="shared" si="16"/>
        <v>417</v>
      </c>
      <c r="M423" s="32">
        <f t="shared" si="17"/>
        <v>3.28551760464535e-12</v>
      </c>
      <c r="N423">
        <f>1-SUM($M$7:M423)</f>
        <v>5.58491031199537e-11</v>
      </c>
    </row>
    <row r="424" spans="12:14">
      <c r="L424">
        <f t="shared" si="16"/>
        <v>418</v>
      </c>
      <c r="M424" s="32">
        <f t="shared" si="17"/>
        <v>3.10297616934463e-12</v>
      </c>
      <c r="N424">
        <f>1-SUM($M$7:M424)</f>
        <v>5.27461407884289e-11</v>
      </c>
    </row>
    <row r="425" spans="12:14">
      <c r="L425">
        <f t="shared" si="16"/>
        <v>419</v>
      </c>
      <c r="M425" s="32">
        <f t="shared" si="17"/>
        <v>2.93057558220511e-12</v>
      </c>
      <c r="N425">
        <f>1-SUM($M$7:M425)</f>
        <v>4.98155960926283e-11</v>
      </c>
    </row>
    <row r="426" spans="12:14">
      <c r="L426">
        <f t="shared" si="16"/>
        <v>420</v>
      </c>
      <c r="M426" s="32">
        <f t="shared" si="17"/>
        <v>2.76775451890643e-12</v>
      </c>
      <c r="N426">
        <f>1-SUM($M$7:M426)</f>
        <v>4.70478100922378e-11</v>
      </c>
    </row>
    <row r="427" spans="12:14">
      <c r="L427">
        <f t="shared" si="16"/>
        <v>421</v>
      </c>
      <c r="M427" s="32">
        <f t="shared" si="17"/>
        <v>2.61397632872473e-12</v>
      </c>
      <c r="N427">
        <f>1-SUM($M$7:M427)</f>
        <v>4.44337899807579e-11</v>
      </c>
    </row>
    <row r="428" spans="12:14">
      <c r="L428">
        <f t="shared" si="16"/>
        <v>422</v>
      </c>
      <c r="M428" s="32">
        <f t="shared" si="17"/>
        <v>2.46874137133091e-12</v>
      </c>
      <c r="N428">
        <f>1-SUM($M$7:M428)</f>
        <v>4.19650980632014e-11</v>
      </c>
    </row>
    <row r="429" spans="12:14">
      <c r="L429">
        <f t="shared" si="16"/>
        <v>423</v>
      </c>
      <c r="M429" s="32">
        <f t="shared" si="17"/>
        <v>2.33158084839147e-12</v>
      </c>
      <c r="N429">
        <f>1-SUM($M$7:M429)</f>
        <v>3.96335186891861e-11</v>
      </c>
    </row>
    <row r="430" spans="12:14">
      <c r="L430">
        <f t="shared" si="16"/>
        <v>424</v>
      </c>
      <c r="M430" s="32">
        <f t="shared" si="17"/>
        <v>2.20203829837118e-12</v>
      </c>
      <c r="N430">
        <f>1-SUM($M$7:M430)</f>
        <v>3.74315023421445e-11</v>
      </c>
    </row>
    <row r="431" spans="12:14">
      <c r="L431">
        <f t="shared" si="16"/>
        <v>425</v>
      </c>
      <c r="M431" s="32">
        <f t="shared" si="17"/>
        <v>2.07969427012955e-12</v>
      </c>
      <c r="N431">
        <f>1-SUM($M$7:M431)</f>
        <v>3.53518325724167e-11</v>
      </c>
    </row>
    <row r="432" spans="12:14">
      <c r="L432">
        <f t="shared" si="16"/>
        <v>426</v>
      </c>
      <c r="M432" s="32">
        <f t="shared" si="17"/>
        <v>1.96414781772347e-12</v>
      </c>
      <c r="N432">
        <f>1-SUM($M$7:M432)</f>
        <v>3.33877370195523e-11</v>
      </c>
    </row>
    <row r="433" spans="12:14">
      <c r="L433">
        <f t="shared" si="16"/>
        <v>427</v>
      </c>
      <c r="M433" s="32">
        <f t="shared" si="17"/>
        <v>1.85502266880633e-12</v>
      </c>
      <c r="N433">
        <f>1-SUM($M$7:M433)</f>
        <v>3.15326653677062e-11</v>
      </c>
    </row>
    <row r="434" spans="12:14">
      <c r="L434">
        <f t="shared" si="16"/>
        <v>428</v>
      </c>
      <c r="M434" s="32">
        <f t="shared" si="17"/>
        <v>1.75195488782975e-12</v>
      </c>
      <c r="N434">
        <f>1-SUM($M$7:M434)</f>
        <v>2.97807334348477e-11</v>
      </c>
    </row>
    <row r="435" spans="12:14">
      <c r="L435">
        <f t="shared" si="16"/>
        <v>429</v>
      </c>
      <c r="M435" s="32">
        <f t="shared" si="17"/>
        <v>1.65461754964014e-12</v>
      </c>
      <c r="N435">
        <f>1-SUM($M$7:M435)</f>
        <v>2.81261680612488e-11</v>
      </c>
    </row>
    <row r="436" spans="12:14">
      <c r="L436">
        <f t="shared" si="16"/>
        <v>430</v>
      </c>
      <c r="M436" s="32">
        <f t="shared" si="17"/>
        <v>1.56268989748298e-12</v>
      </c>
      <c r="N436">
        <f>1-SUM($M$7:M436)</f>
        <v>2.65635291540889e-11</v>
      </c>
    </row>
    <row r="437" spans="12:14">
      <c r="L437">
        <f t="shared" si="16"/>
        <v>431</v>
      </c>
      <c r="M437" s="32">
        <f t="shared" si="17"/>
        <v>1.47586967980118e-12</v>
      </c>
      <c r="N437">
        <f>1-SUM($M$7:M437)</f>
        <v>2.50877096874547e-11</v>
      </c>
    </row>
    <row r="438" spans="12:14">
      <c r="L438">
        <f t="shared" si="16"/>
        <v>432</v>
      </c>
      <c r="M438" s="32">
        <f t="shared" si="17"/>
        <v>1.39387315023498e-12</v>
      </c>
      <c r="N438">
        <f>1-SUM($M$7:M438)</f>
        <v>2.36938246800378e-11</v>
      </c>
    </row>
    <row r="439" spans="12:14">
      <c r="L439">
        <f t="shared" si="16"/>
        <v>433</v>
      </c>
      <c r="M439" s="32">
        <f t="shared" si="17"/>
        <v>1.3164288992229e-12</v>
      </c>
      <c r="N439">
        <f>1-SUM($M$7:M439)</f>
        <v>2.23774332397397e-11</v>
      </c>
    </row>
    <row r="440" spans="12:14">
      <c r="L440">
        <f t="shared" si="16"/>
        <v>434</v>
      </c>
      <c r="M440" s="32">
        <f t="shared" si="17"/>
        <v>1.24329019079994e-12</v>
      </c>
      <c r="N440">
        <f>1-SUM($M$7:M440)</f>
        <v>2.1134094474462e-11</v>
      </c>
    </row>
    <row r="441" spans="12:14">
      <c r="L441">
        <f t="shared" si="16"/>
        <v>435</v>
      </c>
      <c r="M441" s="32">
        <f t="shared" si="17"/>
        <v>1.17421028900111e-12</v>
      </c>
      <c r="N441">
        <f>1-SUM($M$7:M441)</f>
        <v>1.99599226036185e-11</v>
      </c>
    </row>
    <row r="442" spans="12:14">
      <c r="L442">
        <f t="shared" si="16"/>
        <v>436</v>
      </c>
      <c r="M442" s="32">
        <f t="shared" si="17"/>
        <v>1.10897329985704e-12</v>
      </c>
      <c r="N442">
        <f>1-SUM($M$7:M442)</f>
        <v>1.88509208243204e-11</v>
      </c>
    </row>
    <row r="443" spans="12:14">
      <c r="L443">
        <f t="shared" si="16"/>
        <v>437</v>
      </c>
      <c r="M443" s="32">
        <f t="shared" si="17"/>
        <v>1.04735716099924e-12</v>
      </c>
      <c r="N443">
        <f>1-SUM($M$7:M443)</f>
        <v>1.7803536422889e-11</v>
      </c>
    </row>
    <row r="444" spans="12:14">
      <c r="L444">
        <f t="shared" si="16"/>
        <v>438</v>
      </c>
      <c r="M444" s="32">
        <f t="shared" si="17"/>
        <v>9.89164483655713e-13</v>
      </c>
      <c r="N444">
        <f>1-SUM($M$7:M444)</f>
        <v>1.6814327707948e-11</v>
      </c>
    </row>
    <row r="445" spans="12:14">
      <c r="L445">
        <f t="shared" si="16"/>
        <v>439</v>
      </c>
      <c r="M445" s="32">
        <f t="shared" si="17"/>
        <v>9.34204047453591e-13</v>
      </c>
      <c r="N445">
        <f>1-SUM($M$7:M445)</f>
        <v>1.58800750327259e-11</v>
      </c>
    </row>
    <row r="446" spans="12:14">
      <c r="L446">
        <f t="shared" si="16"/>
        <v>440</v>
      </c>
      <c r="M446" s="32">
        <f t="shared" si="17"/>
        <v>8.82296968818252e-13</v>
      </c>
      <c r="N446">
        <f>1-SUM($M$7:M446)</f>
        <v>1.49977807950563e-11</v>
      </c>
    </row>
    <row r="447" spans="12:14">
      <c r="L447">
        <f t="shared" si="16"/>
        <v>441</v>
      </c>
      <c r="M447" s="32">
        <f t="shared" si="17"/>
        <v>8.33276700973329e-13</v>
      </c>
      <c r="N447">
        <f>1-SUM($M$7:M447)</f>
        <v>1.41645584150751e-11</v>
      </c>
    </row>
    <row r="448" spans="12:14">
      <c r="L448">
        <f t="shared" si="16"/>
        <v>442</v>
      </c>
      <c r="M448" s="32">
        <f t="shared" si="17"/>
        <v>7.86982865541574e-13</v>
      </c>
      <c r="N448">
        <f>1-SUM($M$7:M448)</f>
        <v>1.33775213129184e-11</v>
      </c>
    </row>
    <row r="449" spans="12:14">
      <c r="L449">
        <f t="shared" si="16"/>
        <v>443</v>
      </c>
      <c r="M449" s="32">
        <f t="shared" si="17"/>
        <v>7.43255084145744e-13</v>
      </c>
      <c r="N449">
        <f>1-SUM($M$7:M449)</f>
        <v>1.26342269979318e-11</v>
      </c>
    </row>
    <row r="450" spans="12:14">
      <c r="L450">
        <f t="shared" si="16"/>
        <v>444</v>
      </c>
      <c r="M450" s="32">
        <f t="shared" si="17"/>
        <v>7.01957652005092e-13</v>
      </c>
      <c r="N450">
        <f>1-SUM($M$7:M450)</f>
        <v>1.19322329794613e-11</v>
      </c>
    </row>
    <row r="451" spans="12:14">
      <c r="L451">
        <f t="shared" si="16"/>
        <v>445</v>
      </c>
      <c r="M451" s="32">
        <f t="shared" si="17"/>
        <v>6.62954864338872e-13</v>
      </c>
      <c r="N451">
        <f>1-SUM($M$7:M451)</f>
        <v>1.12693188114577e-11</v>
      </c>
    </row>
    <row r="452" spans="12:14">
      <c r="L452">
        <f t="shared" si="16"/>
        <v>446</v>
      </c>
      <c r="M452" s="32">
        <f t="shared" si="17"/>
        <v>6.26123353164587e-13</v>
      </c>
      <c r="N452">
        <f>1-SUM($M$7:M452)</f>
        <v>1.06431530255691e-11</v>
      </c>
    </row>
    <row r="453" spans="12:14">
      <c r="L453">
        <f t="shared" si="16"/>
        <v>447</v>
      </c>
      <c r="M453" s="32">
        <f t="shared" si="17"/>
        <v>5.91333582100617e-13</v>
      </c>
      <c r="N453">
        <f>1-SUM($M$7:M453)</f>
        <v>1.00518482426537e-11</v>
      </c>
    </row>
    <row r="454" spans="12:14">
      <c r="L454">
        <f t="shared" si="16"/>
        <v>448</v>
      </c>
      <c r="M454" s="32">
        <f t="shared" si="17"/>
        <v>5.5848068836184e-13</v>
      </c>
      <c r="N454">
        <f>1-SUM($M$7:M454)</f>
        <v>9.49340606126725e-12</v>
      </c>
    </row>
    <row r="455" spans="12:14">
      <c r="L455">
        <f t="shared" si="16"/>
        <v>449</v>
      </c>
      <c r="M455" s="32">
        <f t="shared" si="17"/>
        <v>5.27453640764008e-13</v>
      </c>
      <c r="N455">
        <f>1-SUM($M$7:M455)</f>
        <v>8.96593910226784e-12</v>
      </c>
    </row>
    <row r="456" spans="12:14">
      <c r="L456">
        <f t="shared" si="16"/>
        <v>450</v>
      </c>
      <c r="M456" s="32">
        <f t="shared" si="17"/>
        <v>4.98147576522001e-13</v>
      </c>
      <c r="N456">
        <f>1-SUM($M$7:M456)</f>
        <v>8.46778203111853e-12</v>
      </c>
    </row>
    <row r="457" spans="12:14">
      <c r="L457">
        <f t="shared" ref="L457:L506" si="18">L456+1</f>
        <v>451</v>
      </c>
      <c r="M457" s="32">
        <f t="shared" si="17"/>
        <v>4.70469969648946e-13</v>
      </c>
      <c r="N457">
        <f>1-SUM($M$7:M457)</f>
        <v>7.99726951328239e-12</v>
      </c>
    </row>
    <row r="458" spans="12:14">
      <c r="L458">
        <f t="shared" si="18"/>
        <v>452</v>
      </c>
      <c r="M458" s="32">
        <f t="shared" si="17"/>
        <v>4.4432829415797e-13</v>
      </c>
      <c r="N458">
        <f>1-SUM($M$7:M458)</f>
        <v>7.5529582588274e-12</v>
      </c>
    </row>
    <row r="459" spans="12:14">
      <c r="L459">
        <f t="shared" si="18"/>
        <v>453</v>
      </c>
      <c r="M459" s="32">
        <f t="shared" si="17"/>
        <v>4.1964236086045e-13</v>
      </c>
      <c r="N459">
        <f>1-SUM($M$7:M459)</f>
        <v>7.13329395551909e-12</v>
      </c>
    </row>
    <row r="460" spans="12:14">
      <c r="L460">
        <f t="shared" si="18"/>
        <v>454</v>
      </c>
      <c r="M460" s="32">
        <f t="shared" si="17"/>
        <v>3.96325812168641e-13</v>
      </c>
      <c r="N460">
        <f>1-SUM($M$7:M460)</f>
        <v>6.73694433572791e-12</v>
      </c>
    </row>
    <row r="461" spans="12:14">
      <c r="L461">
        <f t="shared" si="18"/>
        <v>455</v>
      </c>
      <c r="M461" s="32">
        <f t="shared" si="17"/>
        <v>3.74304627293043e-13</v>
      </c>
      <c r="N461">
        <f>1-SUM($M$7:M461)</f>
        <v>6.36268815412677e-12</v>
      </c>
    </row>
    <row r="462" spans="12:14">
      <c r="L462">
        <f t="shared" si="18"/>
        <v>456</v>
      </c>
      <c r="M462" s="32">
        <f t="shared" ref="M462:M505" si="19">IF(L462&gt;=$N$5,$M$5*N461,0)</f>
        <v>3.53510953843283e-13</v>
      </c>
      <c r="N462">
        <f>1-SUM($M$7:M462)</f>
        <v>6.00919314308612e-12</v>
      </c>
    </row>
    <row r="463" spans="12:14">
      <c r="L463">
        <f t="shared" si="18"/>
        <v>457</v>
      </c>
      <c r="M463" s="32">
        <f t="shared" si="19"/>
        <v>3.33870771029865e-13</v>
      </c>
      <c r="N463">
        <f>1-SUM($M$7:M463)</f>
        <v>5.67534907958134e-12</v>
      </c>
    </row>
    <row r="464" spans="12:14">
      <c r="L464">
        <f t="shared" si="18"/>
        <v>458</v>
      </c>
      <c r="M464" s="32">
        <f t="shared" si="19"/>
        <v>3.15322394861539e-13</v>
      </c>
      <c r="N464">
        <f>1-SUM($M$7:M464)</f>
        <v>5.36004574058779e-12</v>
      </c>
    </row>
    <row r="465" spans="12:14">
      <c r="L465">
        <f t="shared" si="18"/>
        <v>459</v>
      </c>
      <c r="M465" s="32">
        <f t="shared" si="19"/>
        <v>2.97804141347058e-13</v>
      </c>
      <c r="N465">
        <f>1-SUM($M$7:M465)</f>
        <v>5.06228392538333e-12</v>
      </c>
    </row>
    <row r="466" spans="12:14">
      <c r="L466">
        <f t="shared" si="18"/>
        <v>460</v>
      </c>
      <c r="M466" s="32">
        <f t="shared" si="19"/>
        <v>2.81260494894298e-13</v>
      </c>
      <c r="N466">
        <f>1-SUM($M$7:M466)</f>
        <v>4.78106443324577e-12</v>
      </c>
    </row>
    <row r="467" spans="12:14">
      <c r="L467">
        <f t="shared" si="18"/>
        <v>461</v>
      </c>
      <c r="M467" s="32">
        <f t="shared" si="19"/>
        <v>2.65635939911135e-13</v>
      </c>
      <c r="N467">
        <f>1-SUM($M$7:M467)</f>
        <v>4.51538806345297e-12</v>
      </c>
    </row>
    <row r="468" spans="12:14">
      <c r="L468">
        <f t="shared" si="18"/>
        <v>462</v>
      </c>
      <c r="M468" s="32">
        <f t="shared" si="19"/>
        <v>2.50874960805447e-13</v>
      </c>
      <c r="N468">
        <f>1-SUM($M$7:M468)</f>
        <v>4.26447765988769e-12</v>
      </c>
    </row>
    <row r="469" spans="12:14">
      <c r="L469">
        <f t="shared" si="18"/>
        <v>463</v>
      </c>
      <c r="M469" s="32">
        <f t="shared" si="19"/>
        <v>2.3693437878336e-13</v>
      </c>
      <c r="N469">
        <f>1-SUM($M$7:M469)</f>
        <v>4.02755606643268e-12</v>
      </c>
    </row>
    <row r="470" spans="12:14">
      <c r="L470">
        <f t="shared" si="18"/>
        <v>464</v>
      </c>
      <c r="M470" s="32">
        <f t="shared" si="19"/>
        <v>2.23771015051e-13</v>
      </c>
      <c r="N470">
        <f>1-SUM($M$7:M470)</f>
        <v>3.80373510466825e-12</v>
      </c>
    </row>
    <row r="471" spans="12:14">
      <c r="L471">
        <f t="shared" si="18"/>
        <v>465</v>
      </c>
      <c r="M471" s="32">
        <f t="shared" si="19"/>
        <v>2.11335522415368e-13</v>
      </c>
      <c r="N471">
        <f>1-SUM($M$7:M471)</f>
        <v>3.59234864077962e-12</v>
      </c>
    </row>
    <row r="472" spans="12:14">
      <c r="L472">
        <f t="shared" si="18"/>
        <v>466</v>
      </c>
      <c r="M472" s="32">
        <f t="shared" si="19"/>
        <v>1.99590890481716e-13</v>
      </c>
      <c r="N472">
        <f>1-SUM($M$7:M472)</f>
        <v>3.39273054095202e-12</v>
      </c>
    </row>
    <row r="473" spans="12:14">
      <c r="L473">
        <f t="shared" si="18"/>
        <v>467</v>
      </c>
      <c r="M473" s="32">
        <f t="shared" si="19"/>
        <v>1.88500108855294e-13</v>
      </c>
      <c r="N473">
        <f>1-SUM($M$7:M473)</f>
        <v>3.20421467137066e-12</v>
      </c>
    </row>
    <row r="474" spans="12:14">
      <c r="L474">
        <f t="shared" si="18"/>
        <v>468</v>
      </c>
      <c r="M474" s="32">
        <f t="shared" si="19"/>
        <v>1.78026167141354e-13</v>
      </c>
      <c r="N474">
        <f>1-SUM($M$7:M474)</f>
        <v>3.02613489822079e-12</v>
      </c>
    </row>
    <row r="475" spans="12:14">
      <c r="L475">
        <f t="shared" si="18"/>
        <v>469</v>
      </c>
      <c r="M475" s="32">
        <f t="shared" si="19"/>
        <v>1.68132054945147e-13</v>
      </c>
      <c r="N475">
        <f>1-SUM($M$7:M475)</f>
        <v>2.85804713229254e-12</v>
      </c>
    </row>
    <row r="476" spans="12:14">
      <c r="L476">
        <f t="shared" si="18"/>
        <v>470</v>
      </c>
      <c r="M476" s="32">
        <f t="shared" si="19"/>
        <v>1.58793098670174e-13</v>
      </c>
      <c r="N476">
        <f>1-SUM($M$7:M476)</f>
        <v>2.69928523977114e-12</v>
      </c>
    </row>
    <row r="477" spans="12:14">
      <c r="L477">
        <f t="shared" si="18"/>
        <v>471</v>
      </c>
      <c r="M477" s="32">
        <f t="shared" si="19"/>
        <v>1.49972287921685e-13</v>
      </c>
      <c r="N477">
        <f>1-SUM($M$7:M477)</f>
        <v>2.54929410914428e-12</v>
      </c>
    </row>
    <row r="478" spans="12:14">
      <c r="L478">
        <f t="shared" si="18"/>
        <v>472</v>
      </c>
      <c r="M478" s="32">
        <f t="shared" si="19"/>
        <v>1.41638780704056e-13</v>
      </c>
      <c r="N478">
        <f>1-SUM($M$7:M478)</f>
        <v>2.40762965120211e-12</v>
      </c>
    </row>
    <row r="479" spans="12:14">
      <c r="L479">
        <f t="shared" si="18"/>
        <v>473</v>
      </c>
      <c r="M479" s="32">
        <f t="shared" si="19"/>
        <v>1.33767903420789e-13</v>
      </c>
      <c r="N479">
        <f>1-SUM($M$7:M479)</f>
        <v>2.27384777673478e-12</v>
      </c>
    </row>
    <row r="480" spans="12:14">
      <c r="L480">
        <f t="shared" si="18"/>
        <v>474</v>
      </c>
      <c r="M480" s="32">
        <f t="shared" si="19"/>
        <v>1.26334982475385e-13</v>
      </c>
      <c r="N480">
        <f>1-SUM($M$7:M480)</f>
        <v>2.14750439653244e-12</v>
      </c>
    </row>
    <row r="481" spans="12:14">
      <c r="L481">
        <f t="shared" si="18"/>
        <v>475</v>
      </c>
      <c r="M481" s="32">
        <f t="shared" si="19"/>
        <v>1.19315344271342e-13</v>
      </c>
      <c r="N481">
        <f>1-SUM($M$7:M481)</f>
        <v>2.02815542138524e-12</v>
      </c>
    </row>
    <row r="482" spans="12:14">
      <c r="L482">
        <f t="shared" si="18"/>
        <v>476</v>
      </c>
      <c r="M482" s="32">
        <f t="shared" si="19"/>
        <v>1.12684315212164e-13</v>
      </c>
      <c r="N482">
        <f>1-SUM($M$7:M482)</f>
        <v>1.91546778438578e-12</v>
      </c>
    </row>
    <row r="483" spans="12:14">
      <c r="L483">
        <f t="shared" si="18"/>
        <v>477</v>
      </c>
      <c r="M483" s="32">
        <f t="shared" si="19"/>
        <v>1.06423390100474e-13</v>
      </c>
      <c r="N483">
        <f>1-SUM($M$7:M483)</f>
        <v>1.80899739632423e-12</v>
      </c>
    </row>
    <row r="484" spans="12:14">
      <c r="L484">
        <f t="shared" si="18"/>
        <v>478</v>
      </c>
      <c r="M484" s="32">
        <f t="shared" si="19"/>
        <v>1.00507895339774e-13</v>
      </c>
      <c r="N484">
        <f>1-SUM($M$7:M484)</f>
        <v>1.70852221259565e-12</v>
      </c>
    </row>
    <row r="485" spans="12:14">
      <c r="L485">
        <f t="shared" si="18"/>
        <v>479</v>
      </c>
      <c r="M485" s="32">
        <f t="shared" si="19"/>
        <v>9.49254941318145e-14</v>
      </c>
      <c r="N485">
        <f>1-SUM($M$7:M485)</f>
        <v>1.6135981439902e-12</v>
      </c>
    </row>
    <row r="486" spans="12:14">
      <c r="L486">
        <f t="shared" si="18"/>
        <v>480</v>
      </c>
      <c r="M486" s="32">
        <f t="shared" si="19"/>
        <v>8.96515128800957e-14</v>
      </c>
      <c r="N486">
        <f>1-SUM($M$7:M486)</f>
        <v>1.52389212360049e-12</v>
      </c>
    </row>
    <row r="487" spans="12:14">
      <c r="L487">
        <f t="shared" si="18"/>
        <v>481</v>
      </c>
      <c r="M487" s="32">
        <f t="shared" si="19"/>
        <v>8.46674463872432e-14</v>
      </c>
      <c r="N487">
        <f>1-SUM($M$7:M487)</f>
        <v>1.43918210682159e-12</v>
      </c>
    </row>
    <row r="488" spans="12:14">
      <c r="L488">
        <f t="shared" si="18"/>
        <v>482</v>
      </c>
      <c r="M488" s="32">
        <f t="shared" si="19"/>
        <v>7.99609578550076e-14</v>
      </c>
      <c r="N488">
        <f>1-SUM($M$7:M488)</f>
        <v>1.35924604904858e-12</v>
      </c>
    </row>
    <row r="489" spans="12:14">
      <c r="L489">
        <f t="shared" si="18"/>
        <v>483</v>
      </c>
      <c r="M489" s="32">
        <f t="shared" si="19"/>
        <v>7.55197104851391e-14</v>
      </c>
      <c r="N489">
        <f>1-SUM($M$7:M489)</f>
        <v>1.28375088337407e-12</v>
      </c>
    </row>
    <row r="490" spans="12:14">
      <c r="L490">
        <f t="shared" si="18"/>
        <v>484</v>
      </c>
      <c r="M490" s="32">
        <f t="shared" si="19"/>
        <v>7.13251990802632e-14</v>
      </c>
      <c r="N490">
        <f>1-SUM($M$7:M490)</f>
        <v>1.21247456519313e-12</v>
      </c>
    </row>
    <row r="491" spans="12:14">
      <c r="L491">
        <f t="shared" si="18"/>
        <v>485</v>
      </c>
      <c r="M491" s="32">
        <f t="shared" si="19"/>
        <v>6.73650868421305e-14</v>
      </c>
      <c r="N491">
        <f>1-SUM($M$7:M491)</f>
        <v>1.14508402759839e-12</v>
      </c>
    </row>
    <row r="492" spans="12:14">
      <c r="L492">
        <f t="shared" si="18"/>
        <v>486</v>
      </c>
      <c r="M492" s="32">
        <f t="shared" si="19"/>
        <v>6.36208685733664e-14</v>
      </c>
      <c r="N492">
        <f>1-SUM($M$7:M492)</f>
        <v>1.08146824828736e-12</v>
      </c>
    </row>
    <row r="493" spans="12:14">
      <c r="L493">
        <f t="shared" si="18"/>
        <v>487</v>
      </c>
      <c r="M493" s="32">
        <f t="shared" si="19"/>
        <v>6.0086375874846e-14</v>
      </c>
      <c r="N493">
        <f>1-SUM($M$7:M493)</f>
        <v>1.02140518265514e-12</v>
      </c>
    </row>
    <row r="494" spans="12:14">
      <c r="L494">
        <f t="shared" si="18"/>
        <v>488</v>
      </c>
      <c r="M494" s="32">
        <f t="shared" si="19"/>
        <v>5.67492719483198e-14</v>
      </c>
      <c r="N494">
        <f>1-SUM($M$7:M494)</f>
        <v>9.64672786096799e-13</v>
      </c>
    </row>
    <row r="495" spans="12:14">
      <c r="L495">
        <f t="shared" si="18"/>
        <v>489</v>
      </c>
      <c r="M495" s="32">
        <f t="shared" si="19"/>
        <v>5.35972199955381e-14</v>
      </c>
      <c r="N495">
        <f>1-SUM($M$7:M495)</f>
        <v>9.11049014007403e-13</v>
      </c>
    </row>
    <row r="496" spans="12:14">
      <c r="L496">
        <f t="shared" si="18"/>
        <v>490</v>
      </c>
      <c r="M496" s="32">
        <f t="shared" si="19"/>
        <v>5.06178832182513e-14</v>
      </c>
      <c r="N496">
        <f>1-SUM($M$7:M496)</f>
        <v>8.60422844084496e-13</v>
      </c>
    </row>
    <row r="497" spans="12:14">
      <c r="L497">
        <f t="shared" si="18"/>
        <v>491</v>
      </c>
      <c r="M497" s="32">
        <f t="shared" si="19"/>
        <v>4.78050932173346e-14</v>
      </c>
      <c r="N497">
        <f>1-SUM($M$7:M497)</f>
        <v>8.12572231723152e-13</v>
      </c>
    </row>
    <row r="498" spans="12:14">
      <c r="L498">
        <f t="shared" si="18"/>
        <v>492</v>
      </c>
      <c r="M498" s="32">
        <f t="shared" si="19"/>
        <v>4.51465131945383e-14</v>
      </c>
      <c r="N498">
        <f>1-SUM($M$7:M498)</f>
        <v>7.67386154620908e-13</v>
      </c>
    </row>
    <row r="499" spans="12:14">
      <c r="L499">
        <f t="shared" si="18"/>
        <v>493</v>
      </c>
      <c r="M499" s="32">
        <f t="shared" si="19"/>
        <v>4.26359747507377e-14</v>
      </c>
      <c r="N499">
        <f>1-SUM($M$7:M499)</f>
        <v>7.24753590475302e-13</v>
      </c>
    </row>
    <row r="500" spans="12:14">
      <c r="L500">
        <f t="shared" si="18"/>
        <v>494</v>
      </c>
      <c r="M500" s="32">
        <f t="shared" si="19"/>
        <v>4.02673094868078e-14</v>
      </c>
      <c r="N500">
        <f>1-SUM($M$7:M500)</f>
        <v>6.84452494681409e-13</v>
      </c>
    </row>
    <row r="501" spans="12:14">
      <c r="L501">
        <f t="shared" si="18"/>
        <v>495</v>
      </c>
      <c r="M501" s="32">
        <f t="shared" si="19"/>
        <v>3.80281806044991e-14</v>
      </c>
      <c r="N501">
        <f>1-SUM($M$7:M501)</f>
        <v>6.46371844936766e-13</v>
      </c>
    </row>
    <row r="502" spans="12:14">
      <c r="L502">
        <f t="shared" si="18"/>
        <v>496</v>
      </c>
      <c r="M502" s="32">
        <f t="shared" si="19"/>
        <v>3.59124197046867e-14</v>
      </c>
      <c r="N502">
        <f>1-SUM($M$7:M502)</f>
        <v>6.10511641241374e-13</v>
      </c>
    </row>
    <row r="503" spans="12:14">
      <c r="L503">
        <f t="shared" si="18"/>
        <v>497</v>
      </c>
      <c r="M503" s="32">
        <f t="shared" si="19"/>
        <v>3.39200267873707e-14</v>
      </c>
      <c r="N503">
        <f>1-SUM($M$7:M503)</f>
        <v>5.76538816687844e-13</v>
      </c>
    </row>
    <row r="504" spans="12:14">
      <c r="L504">
        <f t="shared" si="18"/>
        <v>498</v>
      </c>
      <c r="M504" s="32">
        <f t="shared" si="19"/>
        <v>3.20324966551766e-14</v>
      </c>
      <c r="N504">
        <f>1-SUM($M$7:M504)</f>
        <v>5.44453371276177e-13</v>
      </c>
    </row>
    <row r="505" spans="12:14">
      <c r="L505">
        <f t="shared" si="18"/>
        <v>499</v>
      </c>
      <c r="M505" s="32">
        <f t="shared" si="19"/>
        <v>3.02498293081044e-14</v>
      </c>
      <c r="N505">
        <f>1-SUM($M$7:M505)</f>
        <v>5.14255305006373e-13</v>
      </c>
    </row>
    <row r="506" spans="12:14">
      <c r="L506">
        <f t="shared" si="18"/>
        <v>500</v>
      </c>
      <c r="M506" s="32">
        <f>N505</f>
        <v>5.14255305006373e-13</v>
      </c>
      <c r="N506">
        <f>1-SUM($M$7:M506)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C2:S32"/>
  <sheetViews>
    <sheetView workbookViewId="0">
      <selection activeCell="E22" sqref="E22"/>
    </sheetView>
  </sheetViews>
  <sheetFormatPr defaultColWidth="9.14285714285714" defaultRowHeight="12.75"/>
  <cols>
    <col min="4" max="4" width="18.8571428571429" customWidth="1"/>
    <col min="5" max="5" width="24.8571428571429" customWidth="1"/>
    <col min="10" max="10" width="10.1428571428571"/>
    <col min="13" max="18" width="9.14285714285714" customWidth="1"/>
  </cols>
  <sheetData>
    <row r="2" ht="16.5" spans="3:5">
      <c r="C2" s="18" t="s">
        <v>28</v>
      </c>
      <c r="D2" s="18" t="s">
        <v>173</v>
      </c>
      <c r="E2" s="18" t="s">
        <v>174</v>
      </c>
    </row>
    <row r="3" ht="16.5" spans="3:5">
      <c r="C3" s="19">
        <v>4.33333333333333</v>
      </c>
      <c r="D3" s="20">
        <v>1.14467592592593</v>
      </c>
      <c r="E3" s="21">
        <v>1</v>
      </c>
    </row>
    <row r="4" ht="16.5" spans="3:5">
      <c r="C4" s="19">
        <v>12</v>
      </c>
      <c r="D4" s="20">
        <v>1.34722222222222</v>
      </c>
      <c r="E4" s="21">
        <v>1.14869835499704</v>
      </c>
    </row>
    <row r="5" ht="16.5" spans="3:5">
      <c r="C5" s="19">
        <v>26.3333333333333</v>
      </c>
      <c r="D5" s="20">
        <v>1.41666666666667</v>
      </c>
      <c r="E5" s="21">
        <v>1.31950791077289</v>
      </c>
    </row>
    <row r="6" ht="16.5" spans="3:5">
      <c r="C6" s="19">
        <v>47.3333333333333</v>
      </c>
      <c r="D6" s="20">
        <v>1.5</v>
      </c>
      <c r="E6" s="21">
        <v>1.5157165665104</v>
      </c>
    </row>
    <row r="7" ht="16.5" spans="3:5">
      <c r="C7" s="19">
        <v>78.3333333333333</v>
      </c>
      <c r="D7" s="20">
        <v>1.6</v>
      </c>
      <c r="E7" s="21">
        <v>1.74110112659225</v>
      </c>
    </row>
    <row r="8" ht="16.5" spans="3:5">
      <c r="C8" s="19">
        <v>139.333333333333</v>
      </c>
      <c r="D8" s="20">
        <v>1.72</v>
      </c>
      <c r="E8" s="21">
        <v>2</v>
      </c>
    </row>
    <row r="9" ht="16.5" spans="3:5">
      <c r="C9" s="19">
        <v>260.333333333333</v>
      </c>
      <c r="D9" s="20">
        <v>1.864</v>
      </c>
      <c r="E9" s="21">
        <v>2.14354692507259</v>
      </c>
    </row>
    <row r="10" ht="16.5" spans="3:5">
      <c r="C10" s="19">
        <v>501.333333333333</v>
      </c>
      <c r="D10" s="20">
        <v>2.0368</v>
      </c>
      <c r="E10" s="21">
        <v>2.29739670999407</v>
      </c>
    </row>
    <row r="11" ht="16.5" spans="3:5">
      <c r="C11" s="19">
        <v>1002.33333333333</v>
      </c>
      <c r="D11" s="20">
        <v>2.24416</v>
      </c>
      <c r="E11" s="21">
        <v>2.46228882668983</v>
      </c>
    </row>
    <row r="12" ht="16.5" spans="3:5">
      <c r="C12" s="19">
        <v>2003.33333333333</v>
      </c>
      <c r="D12" s="20">
        <v>2.492992</v>
      </c>
      <c r="E12" s="21">
        <v>2.63901582154579</v>
      </c>
    </row>
    <row r="13" ht="16.5" spans="3:5">
      <c r="C13" s="19">
        <v>4004.33333333333</v>
      </c>
      <c r="D13" s="20">
        <v>2.7915904</v>
      </c>
      <c r="E13" s="21">
        <v>2.82842712474619</v>
      </c>
    </row>
    <row r="14" ht="16.5" spans="3:5">
      <c r="C14" s="22">
        <v>8005.33333333333</v>
      </c>
      <c r="D14" s="23">
        <v>3.14990848</v>
      </c>
      <c r="E14" s="24">
        <v>3.0314331330208</v>
      </c>
    </row>
    <row r="19" spans="3:19">
      <c r="G19">
        <v>0.15</v>
      </c>
      <c r="H19">
        <v>0.05</v>
      </c>
      <c r="I19">
        <f>0.0525*8</f>
        <v>0.42</v>
      </c>
      <c r="J19">
        <f>0.035*7</f>
        <v>0.245</v>
      </c>
      <c r="K19">
        <f>0.015*5</f>
        <v>0.075</v>
      </c>
      <c r="L19">
        <f>0.06</f>
        <v>0.06</v>
      </c>
    </row>
    <row r="20" ht="16.5" spans="3:19">
      <c r="C20" s="25" t="s">
        <v>25</v>
      </c>
      <c r="D20" s="18" t="s">
        <v>26</v>
      </c>
      <c r="E20" s="18" t="s">
        <v>27</v>
      </c>
      <c r="F20" s="18" t="s">
        <v>28</v>
      </c>
      <c r="G20" s="18" t="s">
        <v>62</v>
      </c>
      <c r="H20" s="18" t="s">
        <v>175</v>
      </c>
      <c r="I20" s="18" t="s">
        <v>176</v>
      </c>
      <c r="J20" s="18" t="s">
        <v>70</v>
      </c>
      <c r="K20" s="18" t="s">
        <v>68</v>
      </c>
      <c r="L20" s="18" t="s">
        <v>177</v>
      </c>
      <c r="M20" s="18"/>
      <c r="N20" s="18"/>
      <c r="O20" s="18"/>
      <c r="P20" s="18"/>
      <c r="Q20" s="18"/>
      <c r="R20" s="18"/>
    </row>
    <row r="21" ht="16.5" spans="3:19">
      <c r="C21" s="26">
        <v>1</v>
      </c>
      <c r="D21" s="27">
        <v>10000</v>
      </c>
      <c r="E21" s="27">
        <v>3000</v>
      </c>
      <c r="F21" s="19">
        <v>4</v>
      </c>
      <c r="G21" s="20">
        <f ca="1" t="shared" ref="G21:L21" si="0">M21*$S21*G$19</f>
        <v>0.025</v>
      </c>
      <c r="H21" s="20">
        <f ca="1" t="shared" si="0"/>
        <v>0.0166666666666667</v>
      </c>
      <c r="I21" s="20">
        <f ca="1" t="shared" si="0"/>
        <v>0.07</v>
      </c>
      <c r="J21" s="20">
        <f ca="1" t="shared" si="0"/>
        <v>0.141782407407407</v>
      </c>
      <c r="K21" s="20">
        <f ca="1" t="shared" si="0"/>
        <v>0.00868055555555556</v>
      </c>
      <c r="L21" s="20">
        <f ca="1" t="shared" si="0"/>
        <v>0.0096</v>
      </c>
      <c r="M21" s="20">
        <f ca="1">OFFSET(秘宝配置!$C$4,0,C21)</f>
        <v>0.0833333333333333</v>
      </c>
      <c r="N21" s="20">
        <f ca="1">OFFSET(秘宝配置!$C$7,0,C21)</f>
        <v>0.166666666666667</v>
      </c>
      <c r="O21" s="20">
        <f ca="1">OFFSET(秘宝配置!$C$19,0,C21)</f>
        <v>0.0833333333333333</v>
      </c>
      <c r="P21" s="20">
        <f ca="1">OFFSET(秘宝配置!$C$22,0,C21)</f>
        <v>0.289351851851852</v>
      </c>
      <c r="Q21" s="20">
        <f ca="1">OFFSET(秘宝配置!$C$8,0,C21)</f>
        <v>0.0578703703703704</v>
      </c>
      <c r="R21" s="20">
        <f ca="1">OFFSET(秘宝配置!$C$28,0,C21)</f>
        <v>0.08</v>
      </c>
      <c r="S21">
        <v>2</v>
      </c>
    </row>
    <row r="22" ht="16.5" spans="3:19">
      <c r="C22" s="26">
        <v>2</v>
      </c>
      <c r="D22" s="27">
        <v>20000</v>
      </c>
      <c r="E22" s="27">
        <v>6000</v>
      </c>
      <c r="F22" s="19">
        <v>9</v>
      </c>
      <c r="G22" s="20">
        <f ca="1" t="shared" ref="G22:G32" si="1">M22*$S22*G$19</f>
        <v>0.054</v>
      </c>
      <c r="H22" s="20">
        <f ca="1" t="shared" ref="H22:H32" si="2">N22*$S22*H$19</f>
        <v>0.036</v>
      </c>
      <c r="I22" s="20">
        <f ca="1" t="shared" ref="I22:I32" si="3">O22*$S22*I$19</f>
        <v>0.1512</v>
      </c>
      <c r="J22" s="20">
        <f ca="1" t="shared" ref="J22:J32" si="4">P22*$S22*J$19</f>
        <v>0.294</v>
      </c>
      <c r="K22" s="20">
        <f ca="1" t="shared" ref="K22:K32" si="5">Q22*$S22*K$19</f>
        <v>0.018</v>
      </c>
      <c r="L22" s="20">
        <f ca="1" t="shared" ref="L22:L32" si="6">R22*$S22*L$19</f>
        <v>0.0216</v>
      </c>
      <c r="M22" s="20">
        <f ca="1">OFFSET(秘宝配置!$C$4,0,C22)</f>
        <v>0.12</v>
      </c>
      <c r="N22" s="20">
        <f ca="1">OFFSET(秘宝配置!$C$7,0,C22)</f>
        <v>0.24</v>
      </c>
      <c r="O22" s="20">
        <f ca="1">OFFSET(秘宝配置!$C$19,0,C22)</f>
        <v>0.12</v>
      </c>
      <c r="P22" s="20">
        <f ca="1">OFFSET(秘宝配置!$C$22,0,C22)</f>
        <v>0.4</v>
      </c>
      <c r="Q22" s="20">
        <f ca="1">OFFSET(秘宝配置!$C$8,0,C22)</f>
        <v>0.08</v>
      </c>
      <c r="R22" s="20">
        <f ca="1">OFFSET(秘宝配置!$C$28,0,C22)</f>
        <v>0.12</v>
      </c>
      <c r="S22">
        <v>3</v>
      </c>
    </row>
    <row r="23" ht="16.5" spans="3:19">
      <c r="C23" s="26">
        <v>3</v>
      </c>
      <c r="D23" s="27">
        <v>40000</v>
      </c>
      <c r="E23" s="27">
        <v>12000</v>
      </c>
      <c r="F23" s="19">
        <v>16.6666666666667</v>
      </c>
      <c r="G23" s="20">
        <f ca="1" t="shared" si="1"/>
        <v>0.075</v>
      </c>
      <c r="H23" s="20">
        <f ca="1" t="shared" si="2"/>
        <v>0.05</v>
      </c>
      <c r="I23" s="20">
        <f ca="1" t="shared" si="3"/>
        <v>0.21</v>
      </c>
      <c r="J23" s="20">
        <f ca="1" t="shared" si="4"/>
        <v>0.408333333333334</v>
      </c>
      <c r="K23" s="20">
        <f ca="1" t="shared" si="5"/>
        <v>0.025</v>
      </c>
      <c r="L23" s="20">
        <f ca="1" t="shared" si="6"/>
        <v>0.03</v>
      </c>
      <c r="M23" s="20">
        <f ca="1">OFFSET(秘宝配置!$C$4,0,C23)</f>
        <v>0.125</v>
      </c>
      <c r="N23" s="20">
        <f ca="1">OFFSET(秘宝配置!$C$7,0,C23)</f>
        <v>0.25</v>
      </c>
      <c r="O23" s="20">
        <f ca="1">OFFSET(秘宝配置!$C$19,0,C23)</f>
        <v>0.125</v>
      </c>
      <c r="P23" s="20">
        <f ca="1">OFFSET(秘宝配置!$C$22,0,C23)</f>
        <v>0.416666666666667</v>
      </c>
      <c r="Q23" s="20">
        <f ca="1">OFFSET(秘宝配置!$C$8,0,C23)</f>
        <v>0.0833333333333333</v>
      </c>
      <c r="R23" s="20">
        <f ca="1">OFFSET(秘宝配置!$C$28,0,C23)</f>
        <v>0.125</v>
      </c>
      <c r="S23">
        <v>4</v>
      </c>
    </row>
    <row r="24" ht="16.5" spans="3:19">
      <c r="C24" s="26">
        <v>4</v>
      </c>
      <c r="D24" s="27">
        <v>80000</v>
      </c>
      <c r="E24" s="27">
        <v>25000</v>
      </c>
      <c r="F24" s="19">
        <v>29.0952380952381</v>
      </c>
      <c r="G24" s="20">
        <f ca="1" t="shared" si="1"/>
        <v>0.1125</v>
      </c>
      <c r="H24" s="20">
        <f ca="1" t="shared" si="2"/>
        <v>0.075</v>
      </c>
      <c r="I24" s="20">
        <f ca="1" t="shared" si="3"/>
        <v>0.315</v>
      </c>
      <c r="J24" s="20">
        <f ca="1" t="shared" si="4"/>
        <v>0.6125</v>
      </c>
      <c r="K24" s="20">
        <f ca="1" t="shared" si="5"/>
        <v>0.0375</v>
      </c>
      <c r="L24" s="20">
        <f ca="1" t="shared" si="6"/>
        <v>0.045</v>
      </c>
      <c r="M24" s="20">
        <f ca="1">OFFSET(秘宝配置!$C$4,0,C24)</f>
        <v>0.15</v>
      </c>
      <c r="N24" s="20">
        <f ca="1">OFFSET(秘宝配置!$C$7,0,C24)</f>
        <v>0.3</v>
      </c>
      <c r="O24" s="20">
        <f ca="1">OFFSET(秘宝配置!$C$19,0,C24)</f>
        <v>0.15</v>
      </c>
      <c r="P24" s="20">
        <f ca="1">OFFSET(秘宝配置!$C$22,0,C24)</f>
        <v>0.5</v>
      </c>
      <c r="Q24" s="20">
        <f ca="1">OFFSET(秘宝配置!$C$8,0,C24)</f>
        <v>0.1</v>
      </c>
      <c r="R24" s="20">
        <f ca="1">OFFSET(秘宝配置!$C$28,0,C24)</f>
        <v>0.15</v>
      </c>
      <c r="S24" s="28">
        <v>5</v>
      </c>
    </row>
    <row r="25" ht="16.5" spans="3:19">
      <c r="C25" s="26">
        <v>5</v>
      </c>
      <c r="D25" s="27">
        <v>150000</v>
      </c>
      <c r="E25" s="27">
        <v>50000</v>
      </c>
      <c r="F25" s="19">
        <v>48.8452380952381</v>
      </c>
      <c r="G25" s="20">
        <f ca="1" t="shared" si="1"/>
        <v>0.135</v>
      </c>
      <c r="H25" s="20">
        <f ca="1" t="shared" si="2"/>
        <v>0.09</v>
      </c>
      <c r="I25" s="20">
        <f ca="1" t="shared" si="3"/>
        <v>0.378</v>
      </c>
      <c r="J25" s="20">
        <f ca="1" t="shared" si="4"/>
        <v>0.735</v>
      </c>
      <c r="K25" s="20">
        <f ca="1" t="shared" si="5"/>
        <v>0.045</v>
      </c>
      <c r="L25" s="20">
        <f ca="1" t="shared" si="6"/>
        <v>0.054</v>
      </c>
      <c r="M25" s="20">
        <f ca="1">OFFSET(秘宝配置!$C$4,0,C25)</f>
        <v>0.18</v>
      </c>
      <c r="N25" s="20">
        <f ca="1">OFFSET(秘宝配置!$C$7,0,C25)</f>
        <v>0.36</v>
      </c>
      <c r="O25" s="20">
        <f ca="1">OFFSET(秘宝配置!$C$19,0,C25)</f>
        <v>0.18</v>
      </c>
      <c r="P25" s="20">
        <f ca="1">OFFSET(秘宝配置!$C$22,0,C25)</f>
        <v>0.6</v>
      </c>
      <c r="Q25" s="20">
        <f ca="1">OFFSET(秘宝配置!$C$8,0,C25)</f>
        <v>0.12</v>
      </c>
      <c r="R25" s="20">
        <f ca="1">OFFSET(秘宝配置!$C$28,0,C25)</f>
        <v>0.18</v>
      </c>
      <c r="S25">
        <v>5</v>
      </c>
    </row>
    <row r="26" ht="16.5" spans="3:19">
      <c r="C26" s="26">
        <v>6</v>
      </c>
      <c r="D26" s="27">
        <v>300000</v>
      </c>
      <c r="E26" s="27">
        <v>100000</v>
      </c>
      <c r="F26" s="19">
        <v>87.3452380952381</v>
      </c>
      <c r="G26" s="20">
        <f ca="1" t="shared" si="1"/>
        <v>0.162</v>
      </c>
      <c r="H26" s="20">
        <f ca="1" t="shared" si="2"/>
        <v>0.108</v>
      </c>
      <c r="I26" s="20">
        <f ca="1" t="shared" si="3"/>
        <v>0.4536</v>
      </c>
      <c r="J26" s="20">
        <f ca="1" t="shared" si="4"/>
        <v>0.882</v>
      </c>
      <c r="K26" s="20">
        <f ca="1" t="shared" si="5"/>
        <v>0.054</v>
      </c>
      <c r="L26" s="20">
        <f ca="1" t="shared" si="6"/>
        <v>0.0648</v>
      </c>
      <c r="M26" s="20">
        <f ca="1">OFFSET(秘宝配置!$C$4,0,C26)</f>
        <v>0.216</v>
      </c>
      <c r="N26" s="20">
        <f ca="1">OFFSET(秘宝配置!$C$7,0,C26)</f>
        <v>0.432</v>
      </c>
      <c r="O26" s="20">
        <f ca="1">OFFSET(秘宝配置!$C$19,0,C26)</f>
        <v>0.216</v>
      </c>
      <c r="P26" s="20">
        <f ca="1">OFFSET(秘宝配置!$C$22,0,C26)</f>
        <v>0.72</v>
      </c>
      <c r="Q26" s="20">
        <f ca="1">OFFSET(秘宝配置!$C$8,0,C26)</f>
        <v>0.144</v>
      </c>
      <c r="R26" s="20">
        <f ca="1">OFFSET(秘宝配置!$C$28,0,C26)</f>
        <v>0.216</v>
      </c>
      <c r="S26">
        <v>5</v>
      </c>
    </row>
    <row r="27" ht="16.5" spans="3:19">
      <c r="C27" s="26">
        <v>7</v>
      </c>
      <c r="D27" s="27">
        <v>600000</v>
      </c>
      <c r="E27" s="27">
        <v>200000</v>
      </c>
      <c r="F27" s="19">
        <v>163.345238095238</v>
      </c>
      <c r="G27" s="20">
        <f ca="1" t="shared" si="1"/>
        <v>0.2025</v>
      </c>
      <c r="H27" s="20">
        <f ca="1" t="shared" si="2"/>
        <v>0.135</v>
      </c>
      <c r="I27" s="20">
        <f ca="1" t="shared" si="3"/>
        <v>0.567</v>
      </c>
      <c r="J27" s="20">
        <f ca="1" t="shared" si="4"/>
        <v>1.1025</v>
      </c>
      <c r="K27" s="20">
        <f ca="1" t="shared" si="5"/>
        <v>0.0675</v>
      </c>
      <c r="L27" s="20">
        <f ca="1" t="shared" si="6"/>
        <v>0.081</v>
      </c>
      <c r="M27" s="20">
        <f ca="1">OFFSET(秘宝配置!$C$4,0,C27)</f>
        <v>0.27</v>
      </c>
      <c r="N27" s="20">
        <f ca="1">OFFSET(秘宝配置!$C$7,0,C27)</f>
        <v>0.54</v>
      </c>
      <c r="O27" s="20">
        <f ca="1">OFFSET(秘宝配置!$C$19,0,C27)</f>
        <v>0.27</v>
      </c>
      <c r="P27" s="20">
        <f ca="1">OFFSET(秘宝配置!$C$22,0,C27)</f>
        <v>0.9</v>
      </c>
      <c r="Q27" s="20">
        <f ca="1">OFFSET(秘宝配置!$C$8,0,C27)</f>
        <v>0.18</v>
      </c>
      <c r="R27" s="20">
        <f ca="1">OFFSET(秘宝配置!$C$28,0,C27)</f>
        <v>0.27</v>
      </c>
      <c r="S27">
        <v>5</v>
      </c>
    </row>
    <row r="28" ht="16.5" spans="3:19">
      <c r="C28" s="26">
        <v>8</v>
      </c>
      <c r="D28" s="27">
        <v>1200000</v>
      </c>
      <c r="E28" s="27">
        <v>400000</v>
      </c>
      <c r="F28" s="19">
        <v>314.345238095238</v>
      </c>
      <c r="G28" s="20">
        <f ca="1" t="shared" si="1"/>
        <v>0.253125</v>
      </c>
      <c r="H28" s="20">
        <f ca="1" t="shared" si="2"/>
        <v>0.16875</v>
      </c>
      <c r="I28" s="20">
        <f ca="1" t="shared" si="3"/>
        <v>0.70875</v>
      </c>
      <c r="J28" s="20">
        <f ca="1" t="shared" si="4"/>
        <v>1.378125</v>
      </c>
      <c r="K28" s="20">
        <f ca="1" t="shared" si="5"/>
        <v>0.084375</v>
      </c>
      <c r="L28" s="20">
        <f ca="1" t="shared" si="6"/>
        <v>0.10125</v>
      </c>
      <c r="M28" s="20">
        <f ca="1">OFFSET(秘宝配置!$C$4,0,C28)</f>
        <v>0.3375</v>
      </c>
      <c r="N28" s="20">
        <f ca="1">OFFSET(秘宝配置!$C$7,0,C28)</f>
        <v>0.675</v>
      </c>
      <c r="O28" s="20">
        <f ca="1">OFFSET(秘宝配置!$C$19,0,C28)</f>
        <v>0.3375</v>
      </c>
      <c r="P28" s="20">
        <f ca="1">OFFSET(秘宝配置!$C$22,0,C28)</f>
        <v>1.125</v>
      </c>
      <c r="Q28" s="20">
        <f ca="1">OFFSET(秘宝配置!$C$8,0,C28)</f>
        <v>0.225</v>
      </c>
      <c r="R28" s="20">
        <f ca="1">OFFSET(秘宝配置!$C$28,0,C28)</f>
        <v>0.3375</v>
      </c>
      <c r="S28">
        <v>5</v>
      </c>
    </row>
    <row r="29" ht="16.5" spans="3:19">
      <c r="C29" s="26">
        <v>9</v>
      </c>
      <c r="D29" s="27">
        <v>2500000</v>
      </c>
      <c r="E29" s="27">
        <v>800000</v>
      </c>
      <c r="F29" s="19">
        <v>627.845238095238</v>
      </c>
      <c r="G29" s="20">
        <f ca="1" t="shared" si="1"/>
        <v>0.30375</v>
      </c>
      <c r="H29" s="20">
        <f ca="1" t="shared" si="2"/>
        <v>0.2025</v>
      </c>
      <c r="I29" s="20">
        <f ca="1" t="shared" si="3"/>
        <v>0.8505</v>
      </c>
      <c r="J29" s="20">
        <f ca="1" t="shared" si="4"/>
        <v>1.65375</v>
      </c>
      <c r="K29" s="20">
        <f ca="1" t="shared" si="5"/>
        <v>0.10125</v>
      </c>
      <c r="L29" s="20">
        <f ca="1" t="shared" si="6"/>
        <v>0.1215</v>
      </c>
      <c r="M29" s="20">
        <f ca="1">OFFSET(秘宝配置!$C$4,0,C29)</f>
        <v>0.405</v>
      </c>
      <c r="N29" s="20">
        <f ca="1">OFFSET(秘宝配置!$C$7,0,C29)</f>
        <v>0.81</v>
      </c>
      <c r="O29" s="20">
        <f ca="1">OFFSET(秘宝配置!$C$19,0,C29)</f>
        <v>0.405</v>
      </c>
      <c r="P29" s="20">
        <f ca="1">OFFSET(秘宝配置!$C$22,0,C29)</f>
        <v>1.35</v>
      </c>
      <c r="Q29" s="20">
        <f ca="1">OFFSET(秘宝配置!$C$8,0,C29)</f>
        <v>0.27</v>
      </c>
      <c r="R29" s="20">
        <f ca="1">OFFSET(秘宝配置!$C$28,0,C29)</f>
        <v>0.405</v>
      </c>
      <c r="S29">
        <v>5</v>
      </c>
    </row>
    <row r="30" ht="16.5" spans="3:19">
      <c r="C30" s="26">
        <v>10</v>
      </c>
      <c r="D30" s="27">
        <v>5000000</v>
      </c>
      <c r="E30" s="27">
        <v>1600000</v>
      </c>
      <c r="F30" s="19">
        <v>1253.84523809524</v>
      </c>
      <c r="G30" s="20">
        <f ca="1" t="shared" si="1"/>
        <v>0.3645</v>
      </c>
      <c r="H30" s="20">
        <f ca="1" t="shared" si="2"/>
        <v>0.243</v>
      </c>
      <c r="I30" s="20">
        <f ca="1" t="shared" si="3"/>
        <v>1.0206</v>
      </c>
      <c r="J30" s="20">
        <f ca="1" t="shared" si="4"/>
        <v>1.9845</v>
      </c>
      <c r="K30" s="20">
        <f ca="1" t="shared" si="5"/>
        <v>0.1215</v>
      </c>
      <c r="L30" s="20">
        <f ca="1" t="shared" si="6"/>
        <v>0.1458</v>
      </c>
      <c r="M30" s="20">
        <f ca="1">OFFSET(秘宝配置!$C$4,0,C30)</f>
        <v>0.486</v>
      </c>
      <c r="N30" s="20">
        <f ca="1">OFFSET(秘宝配置!$C$7,0,C30)</f>
        <v>0.972</v>
      </c>
      <c r="O30" s="20">
        <f ca="1">OFFSET(秘宝配置!$C$19,0,C30)</f>
        <v>0.486</v>
      </c>
      <c r="P30" s="20">
        <f ca="1">OFFSET(秘宝配置!$C$22,0,C30)</f>
        <v>1.62</v>
      </c>
      <c r="Q30" s="20">
        <f ca="1">OFFSET(秘宝配置!$C$8,0,C30)</f>
        <v>0.324</v>
      </c>
      <c r="R30" s="20">
        <f ca="1">OFFSET(秘宝配置!$C$28,0,C30)</f>
        <v>0.486</v>
      </c>
      <c r="S30">
        <v>5</v>
      </c>
    </row>
    <row r="31" ht="16.5" spans="3:19">
      <c r="C31" s="26">
        <v>11</v>
      </c>
      <c r="D31" s="27">
        <v>10000000</v>
      </c>
      <c r="E31" s="27">
        <v>3200000</v>
      </c>
      <c r="F31" s="19">
        <v>2504.84523809524</v>
      </c>
      <c r="G31" s="20">
        <f ca="1" t="shared" si="1"/>
        <v>0.4374</v>
      </c>
      <c r="H31" s="20">
        <f ca="1" t="shared" si="2"/>
        <v>0.2916</v>
      </c>
      <c r="I31" s="20">
        <f ca="1" t="shared" si="3"/>
        <v>1.22472</v>
      </c>
      <c r="J31" s="20">
        <f ca="1" t="shared" si="4"/>
        <v>2.3814</v>
      </c>
      <c r="K31" s="20">
        <f ca="1" t="shared" si="5"/>
        <v>0.1458</v>
      </c>
      <c r="L31" s="20">
        <f ca="1" t="shared" si="6"/>
        <v>0.17496</v>
      </c>
      <c r="M31" s="20">
        <f ca="1">OFFSET(秘宝配置!$C$4,0,C31)</f>
        <v>0.5832</v>
      </c>
      <c r="N31" s="20">
        <f ca="1">OFFSET(秘宝配置!$C$7,0,C31)</f>
        <v>1.1664</v>
      </c>
      <c r="O31" s="20">
        <f ca="1">OFFSET(秘宝配置!$C$19,0,C31)</f>
        <v>0.5832</v>
      </c>
      <c r="P31" s="20">
        <f ca="1">OFFSET(秘宝配置!$C$22,0,C31)</f>
        <v>1.944</v>
      </c>
      <c r="Q31" s="20">
        <f ca="1">OFFSET(秘宝配置!$C$8,0,C31)</f>
        <v>0.3888</v>
      </c>
      <c r="R31" s="20">
        <f ca="1">OFFSET(秘宝配置!$C$28,0,C31)</f>
        <v>0.5832</v>
      </c>
      <c r="S31">
        <v>5</v>
      </c>
    </row>
    <row r="32" ht="16.5" spans="3:19">
      <c r="C32" s="29">
        <v>12</v>
      </c>
      <c r="D32" s="30">
        <v>20000000</v>
      </c>
      <c r="E32" s="30">
        <v>6400000</v>
      </c>
      <c r="F32" s="22">
        <v>5005.84523809524</v>
      </c>
      <c r="G32" s="20">
        <f ca="1" t="shared" si="1"/>
        <v>0.52488</v>
      </c>
      <c r="H32" s="20">
        <f ca="1" t="shared" si="2"/>
        <v>0.34992</v>
      </c>
      <c r="I32" s="20">
        <f ca="1" t="shared" si="3"/>
        <v>1.469664</v>
      </c>
      <c r="J32" s="20">
        <f ca="1" t="shared" si="4"/>
        <v>2.85768</v>
      </c>
      <c r="K32" s="20">
        <f ca="1" t="shared" si="5"/>
        <v>0.17496</v>
      </c>
      <c r="L32" s="20">
        <f ca="1" t="shared" si="6"/>
        <v>0.209952</v>
      </c>
      <c r="M32" s="20">
        <f ca="1">OFFSET(秘宝配置!$C$4,0,C32)</f>
        <v>0.69984</v>
      </c>
      <c r="N32" s="20">
        <f ca="1">OFFSET(秘宝配置!$C$7,0,C32)</f>
        <v>1.39968</v>
      </c>
      <c r="O32" s="20">
        <f ca="1">OFFSET(秘宝配置!$C$19,0,C32)</f>
        <v>0.69984</v>
      </c>
      <c r="P32" s="20">
        <f ca="1">OFFSET(秘宝配置!$C$22,0,C32)</f>
        <v>2.3328</v>
      </c>
      <c r="Q32" s="20">
        <f ca="1">OFFSET(秘宝配置!$C$8,0,C32)</f>
        <v>0.46656</v>
      </c>
      <c r="R32" s="20">
        <f ca="1">OFFSET(秘宝配置!$C$28,0,C32)</f>
        <v>0.69984</v>
      </c>
      <c r="S32">
        <v>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1000"/>
  <sheetViews>
    <sheetView workbookViewId="0">
      <selection activeCell="G3" sqref="G3"/>
    </sheetView>
  </sheetViews>
  <sheetFormatPr defaultColWidth="9" defaultRowHeight="12.75" outlineLevelCol="7"/>
  <cols>
    <col min="1" max="8" width="9.14285714285714" style="1"/>
  </cols>
  <sheetData>
    <row r="1" ht="185.25" spans="1:8">
      <c r="A1" s="2" t="s">
        <v>178</v>
      </c>
      <c r="B1" s="2" t="s">
        <v>179</v>
      </c>
      <c r="C1" s="2" t="s">
        <v>180</v>
      </c>
      <c r="D1" s="2" t="s">
        <v>181</v>
      </c>
      <c r="E1" s="3" t="s">
        <v>182</v>
      </c>
      <c r="F1" s="4" t="s">
        <v>183</v>
      </c>
      <c r="G1" s="4" t="s">
        <v>184</v>
      </c>
      <c r="H1" s="2" t="s">
        <v>185</v>
      </c>
    </row>
    <row r="2" ht="14.25" spans="1:8">
      <c r="A2" s="2" t="s">
        <v>186</v>
      </c>
      <c r="B2" s="2" t="s">
        <v>187</v>
      </c>
      <c r="C2" s="2" t="s">
        <v>188</v>
      </c>
      <c r="D2" s="2" t="s">
        <v>189</v>
      </c>
      <c r="E2" s="2" t="s">
        <v>190</v>
      </c>
      <c r="F2" s="2" t="s">
        <v>191</v>
      </c>
      <c r="G2" s="2" t="s">
        <v>192</v>
      </c>
      <c r="H2" s="2" t="s">
        <v>193</v>
      </c>
    </row>
    <row r="3" ht="14.25" spans="1:8">
      <c r="A3" s="5"/>
      <c r="B3" s="5"/>
      <c r="C3" s="5"/>
      <c r="D3" s="5"/>
      <c r="E3" s="5"/>
      <c r="F3" s="6"/>
      <c r="G3" s="5"/>
      <c r="H3" s="5"/>
    </row>
    <row r="4" ht="14.25" spans="1:8">
      <c r="A4" s="5"/>
      <c r="B4" s="5"/>
      <c r="C4" s="7" t="s">
        <v>194</v>
      </c>
      <c r="D4" s="5"/>
      <c r="E4" s="5"/>
      <c r="F4" s="6"/>
      <c r="G4" s="5"/>
      <c r="H4" s="5"/>
    </row>
    <row r="5" ht="14.25" spans="1:8">
      <c r="A5" s="8">
        <v>101</v>
      </c>
      <c r="B5" s="8" t="s">
        <v>195</v>
      </c>
      <c r="C5" s="8" t="s">
        <v>196</v>
      </c>
      <c r="D5" s="8"/>
      <c r="E5" s="8" t="s">
        <v>197</v>
      </c>
      <c r="F5" s="8"/>
      <c r="G5" s="8"/>
      <c r="H5" s="8" t="s">
        <v>198</v>
      </c>
    </row>
    <row r="6" ht="14.25" spans="1:8">
      <c r="A6" s="8">
        <v>102</v>
      </c>
      <c r="B6" s="8" t="s">
        <v>199</v>
      </c>
      <c r="C6" s="8" t="s">
        <v>200</v>
      </c>
      <c r="D6" s="8"/>
      <c r="E6" s="8" t="s">
        <v>197</v>
      </c>
      <c r="F6" s="8" t="s">
        <v>195</v>
      </c>
      <c r="G6" s="8"/>
      <c r="H6" s="8" t="s">
        <v>201</v>
      </c>
    </row>
    <row r="7" ht="14.25" spans="1:8">
      <c r="A7" s="8">
        <v>103</v>
      </c>
      <c r="B7" s="8" t="s">
        <v>202</v>
      </c>
      <c r="C7" s="8" t="s">
        <v>203</v>
      </c>
      <c r="D7" s="8"/>
      <c r="E7" s="8" t="s">
        <v>197</v>
      </c>
      <c r="F7" s="8"/>
      <c r="G7" s="8"/>
      <c r="H7" s="8" t="s">
        <v>198</v>
      </c>
    </row>
    <row r="8" ht="14.25" spans="1:8">
      <c r="A8" s="8">
        <v>104</v>
      </c>
      <c r="B8" s="8" t="s">
        <v>204</v>
      </c>
      <c r="C8" s="8" t="s">
        <v>205</v>
      </c>
      <c r="D8" s="8"/>
      <c r="E8" s="8" t="s">
        <v>197</v>
      </c>
      <c r="F8" s="8" t="s">
        <v>202</v>
      </c>
      <c r="G8" s="8"/>
      <c r="H8" s="8" t="s">
        <v>201</v>
      </c>
    </row>
    <row r="9" ht="14.25" spans="1:8">
      <c r="A9" s="8">
        <v>105</v>
      </c>
      <c r="B9" s="8" t="s">
        <v>206</v>
      </c>
      <c r="C9" s="8" t="s">
        <v>207</v>
      </c>
      <c r="D9" s="8"/>
      <c r="E9" s="8" t="s">
        <v>197</v>
      </c>
      <c r="F9" s="8"/>
      <c r="G9" s="8"/>
      <c r="H9" s="8" t="s">
        <v>201</v>
      </c>
    </row>
    <row r="10" ht="14.25" spans="1:8">
      <c r="A10" s="8">
        <v>106</v>
      </c>
      <c r="B10" s="8" t="s">
        <v>208</v>
      </c>
      <c r="C10" s="8" t="s">
        <v>209</v>
      </c>
      <c r="D10" s="8"/>
      <c r="E10" s="8" t="s">
        <v>197</v>
      </c>
      <c r="F10" s="8"/>
      <c r="G10" s="8"/>
      <c r="H10" s="8" t="s">
        <v>198</v>
      </c>
    </row>
    <row r="11" ht="14.25" spans="1:8">
      <c r="A11" s="8">
        <v>107</v>
      </c>
      <c r="B11" s="8" t="s">
        <v>210</v>
      </c>
      <c r="C11" s="8" t="s">
        <v>211</v>
      </c>
      <c r="D11" s="8"/>
      <c r="E11" s="8" t="s">
        <v>197</v>
      </c>
      <c r="F11" s="8"/>
      <c r="G11" s="8"/>
      <c r="H11" s="8" t="s">
        <v>201</v>
      </c>
    </row>
    <row r="12" ht="14.25" spans="1:8">
      <c r="A12" s="8">
        <v>108</v>
      </c>
      <c r="B12" s="8" t="s">
        <v>212</v>
      </c>
      <c r="C12" s="8" t="s">
        <v>213</v>
      </c>
      <c r="D12" s="8"/>
      <c r="E12" s="8" t="s">
        <v>197</v>
      </c>
      <c r="F12" s="8"/>
      <c r="G12" s="8"/>
      <c r="H12" s="8" t="s">
        <v>214</v>
      </c>
    </row>
    <row r="13" ht="14.25" spans="1:8">
      <c r="A13" s="8">
        <v>1081</v>
      </c>
      <c r="B13" s="8" t="s">
        <v>215</v>
      </c>
      <c r="C13" s="8" t="s">
        <v>216</v>
      </c>
      <c r="D13" s="8"/>
      <c r="E13" s="8" t="s">
        <v>197</v>
      </c>
      <c r="F13" s="8"/>
      <c r="G13" s="8"/>
      <c r="H13" s="8" t="s">
        <v>201</v>
      </c>
    </row>
    <row r="14" ht="14.25" spans="1:8">
      <c r="A14" s="8">
        <v>111</v>
      </c>
      <c r="B14" s="8" t="s">
        <v>217</v>
      </c>
      <c r="C14" s="8" t="s">
        <v>218</v>
      </c>
      <c r="D14" s="8"/>
      <c r="E14" s="8" t="s">
        <v>197</v>
      </c>
      <c r="F14" s="8"/>
      <c r="G14" s="8"/>
      <c r="H14" s="8" t="s">
        <v>201</v>
      </c>
    </row>
    <row r="15" ht="14.25" spans="1:8">
      <c r="A15" s="8">
        <v>112</v>
      </c>
      <c r="B15" s="8" t="s">
        <v>219</v>
      </c>
      <c r="C15" s="8" t="s">
        <v>220</v>
      </c>
      <c r="D15" s="8"/>
      <c r="E15" s="8" t="s">
        <v>197</v>
      </c>
      <c r="F15" s="8"/>
      <c r="G15" s="8"/>
      <c r="H15" s="8" t="s">
        <v>201</v>
      </c>
    </row>
    <row r="16" ht="14.25" spans="1:8">
      <c r="A16" s="8">
        <v>113</v>
      </c>
      <c r="B16" s="8" t="s">
        <v>221</v>
      </c>
      <c r="C16" s="8" t="s">
        <v>222</v>
      </c>
      <c r="D16" s="8"/>
      <c r="E16" s="8" t="s">
        <v>197</v>
      </c>
      <c r="F16" s="8"/>
      <c r="G16" s="8"/>
      <c r="H16" s="8" t="s">
        <v>198</v>
      </c>
    </row>
    <row r="17" ht="14.25" spans="1:8">
      <c r="A17" s="8">
        <v>1131</v>
      </c>
      <c r="B17" s="8" t="s">
        <v>223</v>
      </c>
      <c r="C17" s="8" t="s">
        <v>224</v>
      </c>
      <c r="D17" s="8"/>
      <c r="E17" s="8" t="s">
        <v>197</v>
      </c>
      <c r="F17" s="8"/>
      <c r="G17" s="8"/>
      <c r="H17" s="8" t="s">
        <v>201</v>
      </c>
    </row>
    <row r="18" ht="14.25" spans="1:8">
      <c r="A18" s="8">
        <v>115</v>
      </c>
      <c r="B18" s="8" t="s">
        <v>225</v>
      </c>
      <c r="C18" s="8" t="s">
        <v>226</v>
      </c>
      <c r="D18" s="8"/>
      <c r="E18" s="8" t="s">
        <v>197</v>
      </c>
      <c r="F18" s="8"/>
      <c r="G18" s="8"/>
      <c r="H18" s="8" t="s">
        <v>201</v>
      </c>
    </row>
    <row r="19" ht="14.25" spans="1:8">
      <c r="A19" s="8">
        <v>116</v>
      </c>
      <c r="B19" s="8" t="s">
        <v>227</v>
      </c>
      <c r="C19" s="8" t="s">
        <v>228</v>
      </c>
      <c r="D19" s="8"/>
      <c r="E19" s="8" t="s">
        <v>197</v>
      </c>
      <c r="F19" s="8"/>
      <c r="G19" s="8"/>
      <c r="H19" s="8" t="s">
        <v>201</v>
      </c>
    </row>
    <row r="20" ht="14.25" spans="1:8">
      <c r="A20" s="8">
        <v>117</v>
      </c>
      <c r="B20" s="8" t="s">
        <v>229</v>
      </c>
      <c r="C20" s="8" t="s">
        <v>70</v>
      </c>
      <c r="D20" s="8"/>
      <c r="E20" s="8" t="s">
        <v>197</v>
      </c>
      <c r="F20" s="8"/>
      <c r="G20" s="8"/>
      <c r="H20" s="8" t="s">
        <v>201</v>
      </c>
    </row>
    <row r="21" ht="14.25" spans="1:8">
      <c r="A21" s="8">
        <v>118</v>
      </c>
      <c r="B21" s="8" t="s">
        <v>230</v>
      </c>
      <c r="C21" s="8" t="s">
        <v>231</v>
      </c>
      <c r="D21" s="8"/>
      <c r="E21" s="8" t="s">
        <v>197</v>
      </c>
      <c r="F21" s="8"/>
      <c r="G21" s="8"/>
      <c r="H21" s="8" t="s">
        <v>201</v>
      </c>
    </row>
    <row r="22" ht="14.25" spans="1:8">
      <c r="A22" s="8">
        <v>119</v>
      </c>
      <c r="B22" s="8" t="s">
        <v>232</v>
      </c>
      <c r="C22" s="8" t="s">
        <v>233</v>
      </c>
      <c r="D22" s="8"/>
      <c r="E22" s="8" t="s">
        <v>197</v>
      </c>
      <c r="F22" s="8"/>
      <c r="G22" s="8"/>
      <c r="H22" s="8" t="s">
        <v>201</v>
      </c>
    </row>
    <row r="23" ht="14.25" spans="1:8">
      <c r="A23" s="8">
        <v>120</v>
      </c>
      <c r="B23" s="8" t="s">
        <v>234</v>
      </c>
      <c r="C23" s="8" t="s">
        <v>235</v>
      </c>
      <c r="D23" s="8"/>
      <c r="E23" s="8" t="s">
        <v>197</v>
      </c>
      <c r="F23" s="6"/>
      <c r="G23" s="8"/>
      <c r="H23" s="8" t="s">
        <v>198</v>
      </c>
    </row>
    <row r="24" ht="14.25" spans="1:8">
      <c r="A24" s="8">
        <v>121</v>
      </c>
      <c r="B24" s="8" t="s">
        <v>236</v>
      </c>
      <c r="C24" s="8" t="s">
        <v>237</v>
      </c>
      <c r="D24" s="8"/>
      <c r="E24" s="8" t="s">
        <v>197</v>
      </c>
      <c r="F24" s="6"/>
      <c r="G24" s="8"/>
      <c r="H24" s="8" t="s">
        <v>198</v>
      </c>
    </row>
    <row r="25" ht="14.25" spans="1:8">
      <c r="A25" s="8">
        <v>122</v>
      </c>
      <c r="B25" s="8" t="s">
        <v>238</v>
      </c>
      <c r="C25" s="8" t="s">
        <v>68</v>
      </c>
      <c r="D25" s="8"/>
      <c r="E25" s="8" t="s">
        <v>197</v>
      </c>
      <c r="F25" s="6"/>
      <c r="G25" s="8"/>
      <c r="H25" s="8"/>
    </row>
    <row r="26" ht="14.25" spans="1:8">
      <c r="A26" s="8"/>
      <c r="B26" s="8"/>
      <c r="C26" s="8"/>
      <c r="D26" s="8"/>
      <c r="E26" s="8" t="s">
        <v>197</v>
      </c>
      <c r="F26" s="6"/>
      <c r="G26" s="8"/>
      <c r="H26" s="8"/>
    </row>
    <row r="27" ht="14.25" spans="1:8">
      <c r="A27" s="8"/>
      <c r="B27" s="8"/>
      <c r="C27" s="8"/>
      <c r="D27" s="8"/>
      <c r="E27" s="8" t="s">
        <v>197</v>
      </c>
      <c r="F27" s="6"/>
      <c r="G27" s="8"/>
      <c r="H27" s="8"/>
    </row>
    <row r="28" ht="14.25" spans="1:8">
      <c r="A28" s="8"/>
      <c r="B28" s="8"/>
      <c r="C28" s="7" t="s">
        <v>239</v>
      </c>
      <c r="D28" s="8"/>
      <c r="E28" s="8" t="s">
        <v>197</v>
      </c>
      <c r="F28" s="6"/>
      <c r="G28" s="8"/>
      <c r="H28" s="8"/>
    </row>
    <row r="29" ht="14.25" spans="1:8">
      <c r="A29" s="8">
        <v>201</v>
      </c>
      <c r="B29" s="8" t="s">
        <v>240</v>
      </c>
      <c r="C29" s="8" t="s">
        <v>116</v>
      </c>
      <c r="D29" s="8"/>
      <c r="E29" s="8" t="s">
        <v>197</v>
      </c>
      <c r="F29" s="6"/>
      <c r="G29" s="8"/>
      <c r="H29" s="8" t="s">
        <v>201</v>
      </c>
    </row>
    <row r="30" ht="14.25" spans="1:8">
      <c r="A30" s="8">
        <v>202</v>
      </c>
      <c r="B30" s="8" t="s">
        <v>241</v>
      </c>
      <c r="C30" s="8" t="s">
        <v>242</v>
      </c>
      <c r="D30" s="8">
        <v>13</v>
      </c>
      <c r="E30" s="8" t="s">
        <v>197</v>
      </c>
      <c r="F30" s="6"/>
      <c r="G30" s="8" t="s">
        <v>243</v>
      </c>
      <c r="H30" s="8" t="s">
        <v>201</v>
      </c>
    </row>
    <row r="31" ht="14.25" spans="1:8">
      <c r="A31" s="8">
        <v>203</v>
      </c>
      <c r="B31" s="8" t="s">
        <v>244</v>
      </c>
      <c r="C31" s="8" t="s">
        <v>245</v>
      </c>
      <c r="D31" s="8"/>
      <c r="E31" s="8" t="s">
        <v>197</v>
      </c>
      <c r="F31" s="6"/>
      <c r="G31" s="8"/>
      <c r="H31" s="8" t="s">
        <v>198</v>
      </c>
    </row>
    <row r="32" ht="14.25" spans="1:8">
      <c r="A32" s="8">
        <v>204</v>
      </c>
      <c r="B32" s="8" t="s">
        <v>246</v>
      </c>
      <c r="C32" s="8" t="s">
        <v>247</v>
      </c>
      <c r="D32" s="8"/>
      <c r="E32" s="8" t="s">
        <v>197</v>
      </c>
      <c r="F32" s="8"/>
      <c r="G32" s="8"/>
      <c r="H32" s="8" t="s">
        <v>201</v>
      </c>
    </row>
    <row r="33" ht="14.25" spans="1:8">
      <c r="A33" s="8">
        <v>205</v>
      </c>
      <c r="B33" s="8" t="s">
        <v>248</v>
      </c>
      <c r="C33" s="8" t="s">
        <v>249</v>
      </c>
      <c r="D33" s="8"/>
      <c r="E33" s="8" t="s">
        <v>197</v>
      </c>
      <c r="F33" s="8"/>
      <c r="G33" s="8"/>
      <c r="H33" s="8" t="s">
        <v>201</v>
      </c>
    </row>
    <row r="34" ht="14.25" spans="1:8">
      <c r="A34" s="8">
        <v>206</v>
      </c>
      <c r="B34" s="8" t="s">
        <v>250</v>
      </c>
      <c r="C34" s="8" t="s">
        <v>251</v>
      </c>
      <c r="D34" s="8"/>
      <c r="E34" s="8"/>
      <c r="F34" s="6"/>
      <c r="G34" s="8"/>
      <c r="H34" s="8" t="s">
        <v>201</v>
      </c>
    </row>
    <row r="35" ht="14.25" spans="1:8">
      <c r="A35" s="8">
        <v>207</v>
      </c>
      <c r="B35" s="8" t="s">
        <v>252</v>
      </c>
      <c r="C35" s="8" t="s">
        <v>253</v>
      </c>
      <c r="D35" s="8"/>
      <c r="E35" s="8" t="s">
        <v>254</v>
      </c>
      <c r="F35" s="6"/>
      <c r="G35" s="8"/>
      <c r="H35" s="8" t="s">
        <v>201</v>
      </c>
    </row>
    <row r="36" ht="14.25" spans="1:8">
      <c r="A36" s="8">
        <v>208</v>
      </c>
      <c r="B36" s="8" t="s">
        <v>255</v>
      </c>
      <c r="C36" s="8" t="s">
        <v>256</v>
      </c>
      <c r="D36" s="8"/>
      <c r="E36" s="8"/>
      <c r="F36" s="6"/>
      <c r="G36" s="8"/>
      <c r="H36" s="8" t="s">
        <v>201</v>
      </c>
    </row>
    <row r="37" ht="14.25" spans="1:8">
      <c r="A37" s="8">
        <v>209</v>
      </c>
      <c r="B37" s="8" t="s">
        <v>257</v>
      </c>
      <c r="C37" s="8" t="s">
        <v>258</v>
      </c>
      <c r="D37" s="8"/>
      <c r="E37" s="8"/>
      <c r="F37" s="6"/>
      <c r="G37" s="8"/>
      <c r="H37" s="8" t="s">
        <v>201</v>
      </c>
    </row>
    <row r="38" ht="16.5" spans="1:8">
      <c r="A38" s="8">
        <v>210</v>
      </c>
      <c r="B38" s="8" t="s">
        <v>259</v>
      </c>
      <c r="C38" s="9" t="s">
        <v>260</v>
      </c>
      <c r="D38" s="8"/>
      <c r="E38" s="8"/>
      <c r="F38" s="6"/>
      <c r="G38" s="8"/>
      <c r="H38" s="8" t="s">
        <v>201</v>
      </c>
    </row>
    <row r="39" ht="16.5" spans="1:8">
      <c r="A39" s="8">
        <v>211</v>
      </c>
      <c r="B39" s="8" t="s">
        <v>261</v>
      </c>
      <c r="C39" s="9" t="s">
        <v>262</v>
      </c>
      <c r="D39" s="8"/>
      <c r="E39" s="8"/>
      <c r="F39" s="6"/>
      <c r="G39" s="8"/>
      <c r="H39" s="8" t="s">
        <v>201</v>
      </c>
    </row>
    <row r="40" ht="16.5" spans="1:8">
      <c r="A40" s="8">
        <v>212</v>
      </c>
      <c r="B40" s="8" t="s">
        <v>263</v>
      </c>
      <c r="C40" s="9" t="s">
        <v>264</v>
      </c>
      <c r="D40" s="8"/>
      <c r="E40" s="8"/>
      <c r="F40" s="6"/>
      <c r="G40" s="8"/>
      <c r="H40" s="8" t="s">
        <v>201</v>
      </c>
    </row>
    <row r="41" ht="16.5" spans="1:8">
      <c r="A41" s="8">
        <v>213</v>
      </c>
      <c r="B41" s="8" t="s">
        <v>265</v>
      </c>
      <c r="C41" s="9" t="s">
        <v>266</v>
      </c>
      <c r="D41" s="8"/>
      <c r="E41" s="8"/>
      <c r="F41" s="6"/>
      <c r="G41" s="8"/>
      <c r="H41" s="8" t="s">
        <v>201</v>
      </c>
    </row>
    <row r="42" ht="16.5" spans="1:8">
      <c r="A42" s="8">
        <v>214</v>
      </c>
      <c r="B42" s="8" t="s">
        <v>267</v>
      </c>
      <c r="C42" s="9" t="s">
        <v>268</v>
      </c>
      <c r="D42" s="8"/>
      <c r="E42" s="8"/>
      <c r="F42" s="6"/>
      <c r="G42" s="8"/>
      <c r="H42" s="8" t="s">
        <v>201</v>
      </c>
    </row>
    <row r="43" ht="14.25" spans="1:8">
      <c r="A43" s="8"/>
      <c r="B43" s="8"/>
      <c r="C43" s="8"/>
      <c r="D43" s="8"/>
      <c r="E43" s="8" t="s">
        <v>197</v>
      </c>
      <c r="F43" s="6"/>
      <c r="G43" s="8"/>
      <c r="H43" s="8"/>
    </row>
    <row r="44" ht="14.25" spans="1:8">
      <c r="A44" s="8"/>
      <c r="B44" s="8"/>
      <c r="C44" s="8"/>
      <c r="D44" s="8"/>
      <c r="E44" s="8" t="s">
        <v>197</v>
      </c>
      <c r="F44" s="6"/>
      <c r="G44" s="8"/>
      <c r="H44" s="8"/>
    </row>
    <row r="45" ht="14.25" spans="1:8">
      <c r="A45" s="8"/>
      <c r="B45" s="8"/>
      <c r="C45" s="7" t="s">
        <v>269</v>
      </c>
      <c r="D45" s="8"/>
      <c r="E45" s="8" t="s">
        <v>197</v>
      </c>
      <c r="F45" s="8"/>
      <c r="G45" s="8"/>
      <c r="H45" s="8"/>
    </row>
    <row r="46" ht="14.25" spans="1:8">
      <c r="A46" s="8">
        <v>301</v>
      </c>
      <c r="B46" s="8" t="s">
        <v>270</v>
      </c>
      <c r="C46" s="8" t="s">
        <v>271</v>
      </c>
      <c r="D46" s="8"/>
      <c r="E46" s="8" t="s">
        <v>197</v>
      </c>
      <c r="F46" s="8"/>
      <c r="G46" s="8"/>
      <c r="H46" s="8" t="s">
        <v>201</v>
      </c>
    </row>
    <row r="47" ht="14.25" spans="1:8">
      <c r="A47" s="8">
        <v>302</v>
      </c>
      <c r="B47" s="8" t="s">
        <v>272</v>
      </c>
      <c r="C47" s="8" t="s">
        <v>273</v>
      </c>
      <c r="D47" s="8"/>
      <c r="E47" s="8" t="s">
        <v>197</v>
      </c>
      <c r="F47" s="8"/>
      <c r="G47" s="8"/>
      <c r="H47" s="8" t="s">
        <v>201</v>
      </c>
    </row>
    <row r="48" ht="14.25" spans="1:8">
      <c r="A48" s="8">
        <v>303</v>
      </c>
      <c r="B48" s="8" t="s">
        <v>274</v>
      </c>
      <c r="C48" s="8" t="s">
        <v>275</v>
      </c>
      <c r="D48" s="8"/>
      <c r="E48" s="8" t="s">
        <v>197</v>
      </c>
      <c r="F48" s="8"/>
      <c r="G48" s="8"/>
      <c r="H48" s="8" t="s">
        <v>198</v>
      </c>
    </row>
    <row r="49" ht="14.25" spans="1:8">
      <c r="A49" s="8">
        <v>304</v>
      </c>
      <c r="B49" s="8" t="s">
        <v>276</v>
      </c>
      <c r="C49" s="8" t="s">
        <v>277</v>
      </c>
      <c r="D49" s="8"/>
      <c r="E49" s="8" t="s">
        <v>197</v>
      </c>
      <c r="F49" s="8"/>
      <c r="G49" s="8"/>
      <c r="H49" s="8" t="s">
        <v>201</v>
      </c>
    </row>
    <row r="50" ht="14.25" spans="1:8">
      <c r="A50" s="8">
        <v>305</v>
      </c>
      <c r="B50" s="8" t="s">
        <v>278</v>
      </c>
      <c r="C50" s="8" t="s">
        <v>279</v>
      </c>
      <c r="D50" s="8"/>
      <c r="E50" s="8" t="s">
        <v>197</v>
      </c>
      <c r="F50" s="8"/>
      <c r="G50" s="8"/>
      <c r="H50" s="8" t="s">
        <v>201</v>
      </c>
    </row>
    <row r="51" ht="14.25" spans="1:8">
      <c r="A51" s="8">
        <v>306</v>
      </c>
      <c r="B51" s="8" t="s">
        <v>280</v>
      </c>
      <c r="C51" s="8" t="s">
        <v>281</v>
      </c>
      <c r="D51" s="8"/>
      <c r="E51" s="8" t="s">
        <v>197</v>
      </c>
      <c r="F51" s="8"/>
      <c r="G51" s="8"/>
      <c r="H51" s="8" t="s">
        <v>198</v>
      </c>
    </row>
    <row r="52" ht="14.25" spans="1:8">
      <c r="A52" s="8">
        <v>307</v>
      </c>
      <c r="B52" s="8" t="s">
        <v>282</v>
      </c>
      <c r="C52" s="8" t="s">
        <v>283</v>
      </c>
      <c r="D52" s="8"/>
      <c r="E52" s="8" t="s">
        <v>197</v>
      </c>
      <c r="F52" s="8"/>
      <c r="G52" s="8"/>
      <c r="H52" s="8" t="s">
        <v>201</v>
      </c>
    </row>
    <row r="53" ht="14.25" spans="1:8">
      <c r="A53" s="8">
        <v>308</v>
      </c>
      <c r="B53" s="8" t="s">
        <v>284</v>
      </c>
      <c r="C53" s="8" t="s">
        <v>285</v>
      </c>
      <c r="D53" s="8"/>
      <c r="E53" s="8" t="s">
        <v>197</v>
      </c>
      <c r="F53" s="8"/>
      <c r="G53" s="8"/>
      <c r="H53" s="8" t="s">
        <v>201</v>
      </c>
    </row>
    <row r="54" ht="14.25" spans="1:8">
      <c r="A54" s="8">
        <v>309</v>
      </c>
      <c r="B54" s="8" t="s">
        <v>286</v>
      </c>
      <c r="C54" s="8" t="s">
        <v>287</v>
      </c>
      <c r="D54" s="8"/>
      <c r="E54" s="8" t="s">
        <v>197</v>
      </c>
      <c r="F54" s="8"/>
      <c r="G54" s="8"/>
      <c r="H54" s="8" t="s">
        <v>198</v>
      </c>
    </row>
    <row r="55" ht="14.25" spans="1:8">
      <c r="A55" s="8">
        <v>310</v>
      </c>
      <c r="B55" s="8" t="s">
        <v>288</v>
      </c>
      <c r="C55" s="8" t="s">
        <v>289</v>
      </c>
      <c r="D55" s="8"/>
      <c r="E55" s="8" t="s">
        <v>197</v>
      </c>
      <c r="F55" s="8"/>
      <c r="G55" s="8"/>
      <c r="H55" s="8" t="s">
        <v>201</v>
      </c>
    </row>
    <row r="56" ht="14.25" spans="1:8">
      <c r="A56" s="8">
        <v>311</v>
      </c>
      <c r="B56" s="8" t="s">
        <v>290</v>
      </c>
      <c r="C56" s="8" t="s">
        <v>291</v>
      </c>
      <c r="D56" s="8"/>
      <c r="E56" s="8" t="s">
        <v>197</v>
      </c>
      <c r="F56" s="8"/>
      <c r="G56" s="8"/>
      <c r="H56" s="8" t="s">
        <v>201</v>
      </c>
    </row>
    <row r="57" ht="14.25" spans="1:8">
      <c r="A57" s="8">
        <v>312</v>
      </c>
      <c r="B57" s="8" t="s">
        <v>292</v>
      </c>
      <c r="C57" s="8" t="s">
        <v>293</v>
      </c>
      <c r="D57" s="8"/>
      <c r="E57" s="8" t="s">
        <v>197</v>
      </c>
      <c r="F57" s="8"/>
      <c r="G57" s="8"/>
      <c r="H57" s="8" t="s">
        <v>198</v>
      </c>
    </row>
    <row r="58" ht="14.25" spans="1:8">
      <c r="A58" s="8">
        <v>313</v>
      </c>
      <c r="B58" s="8" t="s">
        <v>294</v>
      </c>
      <c r="C58" s="8" t="s">
        <v>295</v>
      </c>
      <c r="D58" s="8"/>
      <c r="E58" s="8" t="s">
        <v>197</v>
      </c>
      <c r="F58" s="8"/>
      <c r="G58" s="8"/>
      <c r="H58" s="8" t="s">
        <v>201</v>
      </c>
    </row>
    <row r="59" ht="14.25" spans="1:8">
      <c r="A59" s="8">
        <v>314</v>
      </c>
      <c r="B59" s="8" t="s">
        <v>296</v>
      </c>
      <c r="C59" s="8" t="s">
        <v>297</v>
      </c>
      <c r="D59" s="8"/>
      <c r="E59" s="8" t="s">
        <v>197</v>
      </c>
      <c r="F59" s="8"/>
      <c r="G59" s="8"/>
      <c r="H59" s="8" t="s">
        <v>201</v>
      </c>
    </row>
    <row r="60" ht="14.25" spans="1:8">
      <c r="A60" s="8">
        <v>315</v>
      </c>
      <c r="B60" s="8" t="s">
        <v>298</v>
      </c>
      <c r="C60" s="8" t="s">
        <v>299</v>
      </c>
      <c r="D60" s="8"/>
      <c r="E60" s="8" t="s">
        <v>197</v>
      </c>
      <c r="F60" s="8"/>
      <c r="G60" s="8"/>
      <c r="H60" s="8" t="s">
        <v>198</v>
      </c>
    </row>
    <row r="61" ht="14.25" spans="1:8">
      <c r="A61" s="8">
        <v>316</v>
      </c>
      <c r="B61" s="8" t="s">
        <v>300</v>
      </c>
      <c r="C61" s="8" t="s">
        <v>301</v>
      </c>
      <c r="D61" s="8"/>
      <c r="E61" s="8" t="s">
        <v>197</v>
      </c>
      <c r="F61" s="8"/>
      <c r="G61" s="8"/>
      <c r="H61" s="8" t="s">
        <v>201</v>
      </c>
    </row>
    <row r="62" ht="14.25" spans="1:8">
      <c r="A62" s="8">
        <v>317</v>
      </c>
      <c r="B62" s="8" t="s">
        <v>302</v>
      </c>
      <c r="C62" s="8" t="s">
        <v>303</v>
      </c>
      <c r="D62" s="8"/>
      <c r="E62" s="8" t="s">
        <v>197</v>
      </c>
      <c r="F62" s="8"/>
      <c r="G62" s="8"/>
      <c r="H62" s="8" t="s">
        <v>201</v>
      </c>
    </row>
    <row r="63" ht="14.25" spans="1:8">
      <c r="A63" s="8">
        <v>318</v>
      </c>
      <c r="B63" s="8" t="s">
        <v>304</v>
      </c>
      <c r="C63" s="8" t="s">
        <v>305</v>
      </c>
      <c r="D63" s="8"/>
      <c r="E63" s="8" t="s">
        <v>197</v>
      </c>
      <c r="F63" s="8"/>
      <c r="G63" s="8"/>
      <c r="H63" s="8" t="s">
        <v>198</v>
      </c>
    </row>
    <row r="64" ht="14.25" spans="1:8">
      <c r="A64" s="8">
        <v>319</v>
      </c>
      <c r="B64" s="8" t="s">
        <v>306</v>
      </c>
      <c r="C64" s="8" t="s">
        <v>307</v>
      </c>
      <c r="D64" s="8"/>
      <c r="E64" s="8" t="s">
        <v>197</v>
      </c>
      <c r="F64" s="8"/>
      <c r="G64" s="8"/>
      <c r="H64" s="8" t="s">
        <v>201</v>
      </c>
    </row>
    <row r="65" ht="14.25" spans="1:8">
      <c r="A65" s="8">
        <v>320</v>
      </c>
      <c r="B65" s="8" t="s">
        <v>308</v>
      </c>
      <c r="C65" s="8" t="s">
        <v>309</v>
      </c>
      <c r="D65" s="8"/>
      <c r="E65" s="8" t="s">
        <v>197</v>
      </c>
      <c r="F65" s="8"/>
      <c r="G65" s="8"/>
      <c r="H65" s="8" t="s">
        <v>201</v>
      </c>
    </row>
    <row r="66" ht="14.25" spans="1:8">
      <c r="A66" s="8">
        <v>321</v>
      </c>
      <c r="B66" s="8" t="s">
        <v>310</v>
      </c>
      <c r="C66" s="8" t="s">
        <v>311</v>
      </c>
      <c r="D66" s="8"/>
      <c r="E66" s="8" t="s">
        <v>197</v>
      </c>
      <c r="F66" s="8"/>
      <c r="G66" s="8"/>
      <c r="H66" s="8" t="s">
        <v>198</v>
      </c>
    </row>
    <row r="67" ht="14.25" spans="1:8">
      <c r="A67" s="8">
        <v>322</v>
      </c>
      <c r="B67" s="8" t="s">
        <v>312</v>
      </c>
      <c r="C67" s="8" t="s">
        <v>313</v>
      </c>
      <c r="D67" s="8"/>
      <c r="E67" s="8"/>
      <c r="F67" s="8"/>
      <c r="G67" s="8"/>
      <c r="H67" s="8" t="s">
        <v>201</v>
      </c>
    </row>
    <row r="68" ht="14.25" spans="1:8">
      <c r="A68" s="8">
        <v>323</v>
      </c>
      <c r="B68" s="8" t="s">
        <v>314</v>
      </c>
      <c r="C68" s="8" t="s">
        <v>315</v>
      </c>
      <c r="D68" s="8"/>
      <c r="E68" s="8"/>
      <c r="F68" s="8"/>
      <c r="G68" s="8"/>
      <c r="H68" s="8" t="s">
        <v>201</v>
      </c>
    </row>
    <row r="69" ht="14.25" spans="1:8">
      <c r="A69" s="8">
        <v>324</v>
      </c>
      <c r="B69" s="8" t="s">
        <v>316</v>
      </c>
      <c r="C69" s="8" t="s">
        <v>317</v>
      </c>
      <c r="D69" s="8"/>
      <c r="E69" s="8"/>
      <c r="F69" s="8"/>
      <c r="G69" s="8"/>
      <c r="H69" s="8" t="s">
        <v>198</v>
      </c>
    </row>
    <row r="70" ht="14.25" spans="1:8">
      <c r="A70" s="8"/>
      <c r="B70" s="8"/>
      <c r="C70" s="8"/>
      <c r="D70" s="8"/>
      <c r="E70" s="8" t="s">
        <v>197</v>
      </c>
      <c r="F70" s="8"/>
      <c r="G70" s="8"/>
      <c r="H70" s="8"/>
    </row>
    <row r="71" ht="14.25" spans="1:8">
      <c r="A71" s="8"/>
      <c r="B71" s="8"/>
      <c r="C71" s="8"/>
      <c r="D71" s="8"/>
      <c r="E71" s="8" t="s">
        <v>197</v>
      </c>
      <c r="F71" s="8"/>
      <c r="G71" s="8"/>
      <c r="H71" s="8"/>
    </row>
    <row r="72" ht="14.25" spans="1:8">
      <c r="A72" s="8"/>
      <c r="B72" s="8"/>
      <c r="C72" s="7" t="s">
        <v>318</v>
      </c>
      <c r="D72" s="8"/>
      <c r="E72" s="8" t="s">
        <v>197</v>
      </c>
      <c r="F72" s="8"/>
      <c r="G72" s="8"/>
      <c r="H72" s="8"/>
    </row>
    <row r="73" ht="14.25" spans="1:8">
      <c r="A73" s="8">
        <v>401</v>
      </c>
      <c r="B73" s="8" t="s">
        <v>319</v>
      </c>
      <c r="C73" s="8" t="s">
        <v>320</v>
      </c>
      <c r="D73" s="8"/>
      <c r="E73" s="8" t="s">
        <v>197</v>
      </c>
      <c r="F73" s="8"/>
      <c r="G73" s="8"/>
      <c r="H73" s="8" t="s">
        <v>201</v>
      </c>
    </row>
    <row r="74" ht="14.25" spans="1:8">
      <c r="A74" s="8">
        <v>402</v>
      </c>
      <c r="B74" s="8" t="s">
        <v>321</v>
      </c>
      <c r="C74" s="8" t="s">
        <v>322</v>
      </c>
      <c r="D74" s="8"/>
      <c r="E74" s="8" t="s">
        <v>197</v>
      </c>
      <c r="F74" s="8"/>
      <c r="G74" s="8"/>
      <c r="H74" s="8" t="s">
        <v>201</v>
      </c>
    </row>
    <row r="75" ht="14.25" spans="1:8">
      <c r="A75" s="8">
        <v>403</v>
      </c>
      <c r="B75" s="8" t="s">
        <v>323</v>
      </c>
      <c r="C75" s="8" t="s">
        <v>324</v>
      </c>
      <c r="D75" s="8"/>
      <c r="E75" s="8" t="s">
        <v>197</v>
      </c>
      <c r="F75" s="8"/>
      <c r="G75" s="8"/>
      <c r="H75" s="8" t="s">
        <v>201</v>
      </c>
    </row>
    <row r="76" ht="14.25" spans="1:8">
      <c r="A76" s="8">
        <v>404</v>
      </c>
      <c r="B76" s="8" t="s">
        <v>325</v>
      </c>
      <c r="C76" s="8" t="s">
        <v>326</v>
      </c>
      <c r="D76" s="8"/>
      <c r="E76" s="8" t="s">
        <v>197</v>
      </c>
      <c r="F76" s="8"/>
      <c r="G76" s="8"/>
      <c r="H76" s="8" t="s">
        <v>201</v>
      </c>
    </row>
    <row r="77" ht="14.25" spans="1:8">
      <c r="A77" s="8">
        <v>405</v>
      </c>
      <c r="B77" s="8" t="s">
        <v>327</v>
      </c>
      <c r="C77" s="8" t="s">
        <v>328</v>
      </c>
      <c r="D77" s="8">
        <v>50</v>
      </c>
      <c r="E77" s="8" t="s">
        <v>254</v>
      </c>
      <c r="F77" s="8"/>
      <c r="G77" s="8" t="s">
        <v>243</v>
      </c>
      <c r="H77" s="8" t="s">
        <v>201</v>
      </c>
    </row>
    <row r="78" ht="14.25" spans="1:8">
      <c r="A78" s="8">
        <v>406</v>
      </c>
      <c r="B78" s="8" t="s">
        <v>329</v>
      </c>
      <c r="C78" s="8" t="s">
        <v>330</v>
      </c>
      <c r="D78" s="8"/>
      <c r="E78" s="8" t="s">
        <v>197</v>
      </c>
      <c r="F78" s="8"/>
      <c r="G78" s="8"/>
      <c r="H78" s="8" t="s">
        <v>201</v>
      </c>
    </row>
    <row r="79" ht="14.25" spans="1:8">
      <c r="A79" s="8">
        <v>407</v>
      </c>
      <c r="B79" s="8" t="s">
        <v>331</v>
      </c>
      <c r="C79" s="8" t="s">
        <v>332</v>
      </c>
      <c r="D79" s="8"/>
      <c r="E79" s="8" t="s">
        <v>197</v>
      </c>
      <c r="F79" s="8"/>
      <c r="G79" s="8"/>
      <c r="H79" s="8" t="s">
        <v>201</v>
      </c>
    </row>
    <row r="80" ht="14.25" spans="1:8">
      <c r="A80" s="8">
        <v>408</v>
      </c>
      <c r="B80" s="8" t="s">
        <v>333</v>
      </c>
      <c r="C80" s="8" t="s">
        <v>334</v>
      </c>
      <c r="D80" s="8"/>
      <c r="E80" s="8" t="s">
        <v>197</v>
      </c>
      <c r="F80" s="8"/>
      <c r="G80" s="8"/>
      <c r="H80" s="8" t="s">
        <v>201</v>
      </c>
    </row>
    <row r="81" ht="14.25" spans="1:8">
      <c r="A81" s="8">
        <v>409</v>
      </c>
      <c r="B81" s="8" t="s">
        <v>335</v>
      </c>
      <c r="C81" s="8" t="s">
        <v>336</v>
      </c>
      <c r="D81" s="8"/>
      <c r="E81" s="8" t="s">
        <v>197</v>
      </c>
      <c r="F81" s="8"/>
      <c r="G81" s="8"/>
      <c r="H81" s="8" t="s">
        <v>201</v>
      </c>
    </row>
    <row r="82" ht="14.25" spans="1:8">
      <c r="A82" s="8">
        <v>410</v>
      </c>
      <c r="B82" s="8" t="s">
        <v>337</v>
      </c>
      <c r="C82" s="8" t="s">
        <v>338</v>
      </c>
      <c r="D82" s="8">
        <v>51</v>
      </c>
      <c r="E82" s="8" t="s">
        <v>254</v>
      </c>
      <c r="F82" s="8"/>
      <c r="G82" s="8" t="s">
        <v>243</v>
      </c>
      <c r="H82" s="8" t="s">
        <v>201</v>
      </c>
    </row>
    <row r="83" ht="14.25" spans="1:8">
      <c r="A83" s="8">
        <v>411</v>
      </c>
      <c r="B83" s="8" t="s">
        <v>339</v>
      </c>
      <c r="C83" s="8" t="s">
        <v>340</v>
      </c>
      <c r="D83" s="8"/>
      <c r="E83" s="8" t="s">
        <v>197</v>
      </c>
      <c r="F83" s="8"/>
      <c r="G83" s="8"/>
      <c r="H83" s="8" t="s">
        <v>201</v>
      </c>
    </row>
    <row r="84" ht="14.25" spans="1:8">
      <c r="A84" s="8"/>
      <c r="B84" s="8"/>
      <c r="C84" s="8"/>
      <c r="D84" s="8"/>
      <c r="E84" s="8" t="s">
        <v>197</v>
      </c>
      <c r="F84" s="8"/>
      <c r="G84" s="8"/>
      <c r="H84" s="8"/>
    </row>
    <row r="85" ht="14.25" spans="1:8">
      <c r="A85" s="8"/>
      <c r="B85" s="8"/>
      <c r="C85" s="8"/>
      <c r="D85" s="8"/>
      <c r="E85" s="8" t="s">
        <v>197</v>
      </c>
      <c r="F85" s="8"/>
      <c r="G85" s="8"/>
      <c r="H85" s="8"/>
    </row>
    <row r="86" ht="14.25" spans="1:8">
      <c r="A86" s="8"/>
      <c r="B86" s="8"/>
      <c r="C86" s="7" t="s">
        <v>341</v>
      </c>
      <c r="D86" s="8"/>
      <c r="E86" s="8" t="s">
        <v>197</v>
      </c>
      <c r="F86" s="8"/>
      <c r="G86" s="8"/>
      <c r="H86" s="8"/>
    </row>
    <row r="87" ht="14.25" spans="1:8">
      <c r="A87" s="8">
        <v>501</v>
      </c>
      <c r="B87" s="8" t="s">
        <v>342</v>
      </c>
      <c r="C87" s="8" t="s">
        <v>343</v>
      </c>
      <c r="D87" s="8">
        <v>52</v>
      </c>
      <c r="E87" s="8" t="s">
        <v>344</v>
      </c>
      <c r="F87" s="8"/>
      <c r="G87" s="8" t="s">
        <v>243</v>
      </c>
      <c r="H87" s="8" t="s">
        <v>201</v>
      </c>
    </row>
    <row r="88" ht="14.25" spans="1:8">
      <c r="A88" s="8">
        <v>502</v>
      </c>
      <c r="B88" s="8" t="s">
        <v>345</v>
      </c>
      <c r="C88" s="8" t="s">
        <v>346</v>
      </c>
      <c r="D88" s="8">
        <v>53</v>
      </c>
      <c r="E88" s="8" t="s">
        <v>344</v>
      </c>
      <c r="F88" s="8"/>
      <c r="G88" s="8" t="s">
        <v>243</v>
      </c>
      <c r="H88" s="8" t="s">
        <v>201</v>
      </c>
    </row>
    <row r="89" ht="14.25" spans="1:8">
      <c r="A89" s="8">
        <v>503</v>
      </c>
      <c r="B89" s="8" t="s">
        <v>347</v>
      </c>
      <c r="C89" s="8" t="s">
        <v>348</v>
      </c>
      <c r="D89" s="8"/>
      <c r="E89" s="8" t="s">
        <v>197</v>
      </c>
      <c r="F89" s="8"/>
      <c r="G89" s="8"/>
      <c r="H89" s="8" t="s">
        <v>201</v>
      </c>
    </row>
    <row r="90" ht="14.25" spans="1:8">
      <c r="A90" s="8">
        <v>504</v>
      </c>
      <c r="B90" s="8" t="s">
        <v>349</v>
      </c>
      <c r="C90" s="8" t="s">
        <v>350</v>
      </c>
      <c r="D90" s="8"/>
      <c r="E90" s="8" t="s">
        <v>197</v>
      </c>
      <c r="F90" s="8"/>
      <c r="G90" s="8"/>
      <c r="H90" s="8" t="s">
        <v>201</v>
      </c>
    </row>
    <row r="91" ht="14.25" spans="1:8">
      <c r="A91" s="8">
        <v>505</v>
      </c>
      <c r="B91" s="8" t="s">
        <v>351</v>
      </c>
      <c r="C91" s="8" t="s">
        <v>352</v>
      </c>
      <c r="D91" s="8"/>
      <c r="E91" s="8" t="s">
        <v>197</v>
      </c>
      <c r="F91" s="8"/>
      <c r="G91" s="8"/>
      <c r="H91" s="8" t="s">
        <v>201</v>
      </c>
    </row>
    <row r="92" ht="14.25" spans="1:8">
      <c r="A92" s="8">
        <v>506</v>
      </c>
      <c r="B92" s="8" t="s">
        <v>353</v>
      </c>
      <c r="C92" s="8" t="s">
        <v>354</v>
      </c>
      <c r="D92" s="8"/>
      <c r="E92" s="8" t="s">
        <v>197</v>
      </c>
      <c r="F92" s="8"/>
      <c r="G92" s="8"/>
      <c r="H92" s="8" t="s">
        <v>201</v>
      </c>
    </row>
    <row r="93" ht="14.25" spans="1:8">
      <c r="A93" s="8">
        <v>507</v>
      </c>
      <c r="B93" s="8" t="s">
        <v>355</v>
      </c>
      <c r="C93" s="8" t="s">
        <v>356</v>
      </c>
      <c r="D93" s="8"/>
      <c r="E93" s="8" t="s">
        <v>197</v>
      </c>
      <c r="F93" s="10"/>
      <c r="G93" s="8"/>
      <c r="H93" s="8" t="s">
        <v>198</v>
      </c>
    </row>
    <row r="94" ht="14.25" spans="1:8">
      <c r="A94" s="8">
        <v>508</v>
      </c>
      <c r="B94" s="8" t="s">
        <v>357</v>
      </c>
      <c r="C94" s="8" t="s">
        <v>358</v>
      </c>
      <c r="D94" s="8"/>
      <c r="E94" s="8" t="s">
        <v>197</v>
      </c>
      <c r="F94" s="10"/>
      <c r="G94" s="8"/>
      <c r="H94" s="8" t="s">
        <v>201</v>
      </c>
    </row>
    <row r="95" ht="14.25" spans="1:8">
      <c r="A95" s="8">
        <v>511</v>
      </c>
      <c r="B95" s="8" t="s">
        <v>359</v>
      </c>
      <c r="C95" s="8" t="s">
        <v>360</v>
      </c>
      <c r="D95" s="8"/>
      <c r="E95" s="8" t="s">
        <v>197</v>
      </c>
      <c r="F95" s="10"/>
      <c r="G95" s="8"/>
      <c r="H95" s="8" t="s">
        <v>214</v>
      </c>
    </row>
    <row r="96" ht="14.25" spans="1:8">
      <c r="A96" s="8">
        <v>512</v>
      </c>
      <c r="B96" s="8" t="s">
        <v>361</v>
      </c>
      <c r="C96" s="8" t="s">
        <v>362</v>
      </c>
      <c r="D96" s="8"/>
      <c r="E96" s="8" t="s">
        <v>197</v>
      </c>
      <c r="F96" s="10"/>
      <c r="G96" s="8"/>
      <c r="H96" s="8" t="s">
        <v>201</v>
      </c>
    </row>
    <row r="97" ht="14.25" spans="1:8">
      <c r="A97" s="8">
        <v>513</v>
      </c>
      <c r="B97" s="8" t="s">
        <v>363</v>
      </c>
      <c r="C97" s="8" t="s">
        <v>364</v>
      </c>
      <c r="D97" s="8">
        <v>54</v>
      </c>
      <c r="E97" s="8" t="s">
        <v>254</v>
      </c>
      <c r="F97" s="10"/>
      <c r="G97" s="8" t="s">
        <v>243</v>
      </c>
      <c r="H97" s="8" t="s">
        <v>201</v>
      </c>
    </row>
    <row r="98" ht="14.25" spans="1:8">
      <c r="A98" s="8">
        <v>514</v>
      </c>
      <c r="B98" s="8" t="s">
        <v>365</v>
      </c>
      <c r="C98" s="8" t="s">
        <v>366</v>
      </c>
      <c r="D98" s="8"/>
      <c r="E98" s="8" t="s">
        <v>254</v>
      </c>
      <c r="F98" s="10"/>
      <c r="G98" s="8" t="s">
        <v>243</v>
      </c>
      <c r="H98" s="8" t="s">
        <v>201</v>
      </c>
    </row>
    <row r="99" ht="14.25" spans="1:8">
      <c r="A99" s="8">
        <v>515</v>
      </c>
      <c r="B99" s="8" t="s">
        <v>367</v>
      </c>
      <c r="C99" s="8" t="s">
        <v>368</v>
      </c>
      <c r="D99" s="8"/>
      <c r="E99" s="8"/>
      <c r="F99" s="10"/>
      <c r="G99" s="8"/>
      <c r="H99" s="8" t="s">
        <v>201</v>
      </c>
    </row>
    <row r="100" ht="14.25" spans="1:8">
      <c r="A100" s="8">
        <v>516</v>
      </c>
      <c r="B100" s="8" t="s">
        <v>369</v>
      </c>
      <c r="C100" s="8" t="s">
        <v>370</v>
      </c>
      <c r="D100" s="8"/>
      <c r="E100" s="8"/>
      <c r="F100" s="10"/>
      <c r="G100" s="8"/>
      <c r="H100" s="8" t="s">
        <v>201</v>
      </c>
    </row>
    <row r="101" ht="14.25" spans="1:8">
      <c r="A101" s="8">
        <v>517</v>
      </c>
      <c r="B101" s="8" t="s">
        <v>371</v>
      </c>
      <c r="C101" s="8" t="s">
        <v>372</v>
      </c>
      <c r="D101" s="8"/>
      <c r="E101" s="8"/>
      <c r="F101" s="10"/>
      <c r="G101" s="8"/>
      <c r="H101" s="8" t="s">
        <v>201</v>
      </c>
    </row>
    <row r="102" ht="14.25" spans="1:8">
      <c r="A102" s="8">
        <v>518</v>
      </c>
      <c r="B102" s="8" t="s">
        <v>373</v>
      </c>
      <c r="C102" s="8" t="s">
        <v>374</v>
      </c>
      <c r="D102" s="8"/>
      <c r="E102" s="8"/>
      <c r="F102" s="10"/>
      <c r="G102" s="8"/>
      <c r="H102" s="8" t="s">
        <v>201</v>
      </c>
    </row>
    <row r="103" ht="14.25" spans="1:8">
      <c r="A103" s="8">
        <v>519</v>
      </c>
      <c r="B103" s="8" t="s">
        <v>375</v>
      </c>
      <c r="C103" s="8" t="s">
        <v>376</v>
      </c>
      <c r="D103" s="8"/>
      <c r="E103" s="8"/>
      <c r="F103" s="10"/>
      <c r="G103" s="8"/>
      <c r="H103" s="8" t="s">
        <v>198</v>
      </c>
    </row>
    <row r="104" ht="14.25" spans="1:8">
      <c r="A104" s="8">
        <v>520</v>
      </c>
      <c r="B104" s="8" t="s">
        <v>377</v>
      </c>
      <c r="C104" s="8" t="s">
        <v>378</v>
      </c>
      <c r="D104" s="8"/>
      <c r="E104" s="8" t="s">
        <v>344</v>
      </c>
      <c r="F104" s="8"/>
      <c r="G104" s="8"/>
      <c r="H104" s="8" t="s">
        <v>201</v>
      </c>
    </row>
    <row r="105" ht="14.25" spans="1:8">
      <c r="A105" s="8"/>
      <c r="B105" s="8"/>
      <c r="C105" s="8"/>
      <c r="D105" s="8"/>
      <c r="E105" s="8"/>
      <c r="F105" s="10"/>
      <c r="G105" s="8"/>
      <c r="H105" s="8"/>
    </row>
    <row r="106" ht="14.25" spans="1:8">
      <c r="A106" s="8"/>
      <c r="B106" s="8"/>
      <c r="C106" s="8"/>
      <c r="D106" s="8"/>
      <c r="E106" s="8"/>
      <c r="F106" s="10"/>
      <c r="G106" s="8"/>
      <c r="H106" s="8"/>
    </row>
    <row r="107" ht="14.25" spans="1:8">
      <c r="A107" s="8"/>
      <c r="B107" s="8"/>
      <c r="C107" s="8"/>
      <c r="D107" s="8"/>
      <c r="E107" s="8"/>
      <c r="F107" s="10"/>
      <c r="G107" s="8"/>
      <c r="H107" s="8"/>
    </row>
    <row r="108" ht="14.25" spans="1:8">
      <c r="A108" s="8"/>
      <c r="B108" s="8"/>
      <c r="C108" s="8"/>
      <c r="D108" s="8"/>
      <c r="E108" s="8"/>
      <c r="F108" s="10"/>
      <c r="G108" s="8"/>
      <c r="H108" s="8"/>
    </row>
    <row r="109" ht="14.25" spans="1:8">
      <c r="A109" s="8"/>
      <c r="B109" s="8"/>
      <c r="C109" s="8"/>
      <c r="D109" s="8"/>
      <c r="E109" s="8"/>
      <c r="F109" s="10"/>
      <c r="G109" s="8"/>
      <c r="H109" s="8"/>
    </row>
    <row r="110" ht="14.25" spans="1:8">
      <c r="A110" s="8"/>
      <c r="B110" s="8"/>
      <c r="C110" s="7"/>
      <c r="D110" s="8"/>
      <c r="E110" s="8" t="s">
        <v>197</v>
      </c>
      <c r="F110" s="8"/>
      <c r="G110" s="8"/>
      <c r="H110" s="8"/>
    </row>
    <row r="111" ht="14.25" spans="1:8">
      <c r="A111" s="8"/>
      <c r="B111" s="8"/>
      <c r="C111" s="7" t="s">
        <v>379</v>
      </c>
      <c r="D111" s="8"/>
      <c r="E111" s="8" t="s">
        <v>197</v>
      </c>
      <c r="F111" s="8"/>
      <c r="G111" s="8"/>
      <c r="H111" s="8"/>
    </row>
    <row r="112" ht="14.25" spans="1:8">
      <c r="A112" s="8">
        <v>601</v>
      </c>
      <c r="B112" s="8" t="s">
        <v>380</v>
      </c>
      <c r="C112" s="8" t="s">
        <v>381</v>
      </c>
      <c r="D112" s="8"/>
      <c r="E112" s="8" t="s">
        <v>197</v>
      </c>
      <c r="F112" s="10" t="s">
        <v>202</v>
      </c>
      <c r="G112" s="8"/>
      <c r="H112" s="8" t="s">
        <v>201</v>
      </c>
    </row>
    <row r="113" ht="14.25" spans="1:8">
      <c r="A113" s="8">
        <v>602</v>
      </c>
      <c r="B113" s="8" t="s">
        <v>382</v>
      </c>
      <c r="C113" s="8" t="s">
        <v>383</v>
      </c>
      <c r="D113" s="8"/>
      <c r="E113" s="8" t="s">
        <v>384</v>
      </c>
      <c r="F113" s="10"/>
      <c r="G113" s="8"/>
      <c r="H113" s="8" t="s">
        <v>198</v>
      </c>
    </row>
    <row r="114" ht="14.25" spans="1:8">
      <c r="A114" s="8">
        <v>603</v>
      </c>
      <c r="B114" s="8" t="s">
        <v>385</v>
      </c>
      <c r="C114" s="8" t="s">
        <v>386</v>
      </c>
      <c r="D114" s="8"/>
      <c r="E114" s="8" t="s">
        <v>384</v>
      </c>
      <c r="F114" s="10"/>
      <c r="G114" s="8"/>
      <c r="H114" s="8" t="s">
        <v>201</v>
      </c>
    </row>
    <row r="115" ht="14.25" spans="1:8">
      <c r="A115" s="8">
        <v>604</v>
      </c>
      <c r="B115" s="8" t="s">
        <v>387</v>
      </c>
      <c r="C115" s="8" t="s">
        <v>388</v>
      </c>
      <c r="D115" s="8"/>
      <c r="E115" s="8" t="s">
        <v>384</v>
      </c>
      <c r="F115" s="10"/>
      <c r="G115" s="8"/>
      <c r="H115" s="8" t="s">
        <v>198</v>
      </c>
    </row>
    <row r="116" ht="14.25" spans="1:8">
      <c r="A116" s="8">
        <v>605</v>
      </c>
      <c r="B116" s="8" t="s">
        <v>389</v>
      </c>
      <c r="C116" s="8" t="s">
        <v>390</v>
      </c>
      <c r="D116" s="8"/>
      <c r="E116" s="8" t="s">
        <v>384</v>
      </c>
      <c r="F116" s="10"/>
      <c r="G116" s="8"/>
      <c r="H116" s="8" t="s">
        <v>198</v>
      </c>
    </row>
    <row r="117" ht="14.25" spans="1:8">
      <c r="A117" s="8">
        <v>606</v>
      </c>
      <c r="B117" s="8" t="s">
        <v>391</v>
      </c>
      <c r="C117" s="8" t="s">
        <v>392</v>
      </c>
      <c r="D117" s="8"/>
      <c r="E117" s="8" t="s">
        <v>384</v>
      </c>
      <c r="F117" s="10"/>
      <c r="G117" s="8"/>
      <c r="H117" s="8" t="s">
        <v>198</v>
      </c>
    </row>
    <row r="118" ht="14.25" spans="1:8">
      <c r="A118" s="8">
        <v>607</v>
      </c>
      <c r="B118" s="8" t="s">
        <v>393</v>
      </c>
      <c r="C118" s="8" t="s">
        <v>394</v>
      </c>
      <c r="D118" s="8"/>
      <c r="E118" s="8" t="s">
        <v>384</v>
      </c>
      <c r="F118" s="10"/>
      <c r="G118" s="8"/>
      <c r="H118" s="8" t="s">
        <v>198</v>
      </c>
    </row>
    <row r="119" ht="14.25" spans="1:8">
      <c r="A119" s="8">
        <v>608</v>
      </c>
      <c r="B119" s="8" t="s">
        <v>395</v>
      </c>
      <c r="C119" s="8" t="s">
        <v>396</v>
      </c>
      <c r="D119" s="8">
        <v>43</v>
      </c>
      <c r="E119" s="8" t="s">
        <v>254</v>
      </c>
      <c r="F119" s="10"/>
      <c r="G119" s="8" t="s">
        <v>243</v>
      </c>
      <c r="H119" s="8" t="s">
        <v>201</v>
      </c>
    </row>
    <row r="120" ht="14.25" spans="1:8">
      <c r="A120" s="8">
        <v>609</v>
      </c>
      <c r="B120" s="8" t="s">
        <v>397</v>
      </c>
      <c r="C120" s="8" t="s">
        <v>398</v>
      </c>
      <c r="D120" s="8">
        <v>42</v>
      </c>
      <c r="E120" s="8" t="s">
        <v>254</v>
      </c>
      <c r="F120" s="10"/>
      <c r="G120" s="8" t="s">
        <v>243</v>
      </c>
      <c r="H120" s="8" t="s">
        <v>201</v>
      </c>
    </row>
    <row r="121" ht="14.25" spans="1:8">
      <c r="A121" s="8">
        <v>610</v>
      </c>
      <c r="B121" s="8" t="s">
        <v>399</v>
      </c>
      <c r="C121" s="8" t="s">
        <v>73</v>
      </c>
      <c r="D121" s="8">
        <v>41</v>
      </c>
      <c r="E121" s="8" t="s">
        <v>254</v>
      </c>
      <c r="F121" s="10"/>
      <c r="G121" s="8" t="s">
        <v>243</v>
      </c>
      <c r="H121" s="8" t="s">
        <v>201</v>
      </c>
    </row>
    <row r="122" ht="14.25" spans="1:8">
      <c r="A122" s="8">
        <v>611</v>
      </c>
      <c r="B122" s="8" t="s">
        <v>400</v>
      </c>
      <c r="C122" s="8" t="s">
        <v>401</v>
      </c>
      <c r="D122" s="8">
        <v>44</v>
      </c>
      <c r="E122" s="8" t="s">
        <v>254</v>
      </c>
      <c r="F122" s="10"/>
      <c r="G122" s="8" t="s">
        <v>243</v>
      </c>
      <c r="H122" s="8" t="s">
        <v>201</v>
      </c>
    </row>
    <row r="123" ht="14.25" spans="1:8">
      <c r="A123" s="8">
        <v>612</v>
      </c>
      <c r="B123" s="8" t="s">
        <v>402</v>
      </c>
      <c r="C123" s="8" t="s">
        <v>403</v>
      </c>
      <c r="D123" s="8">
        <v>45</v>
      </c>
      <c r="E123" s="8" t="s">
        <v>254</v>
      </c>
      <c r="F123" s="10"/>
      <c r="G123" s="8" t="s">
        <v>243</v>
      </c>
      <c r="H123" s="8" t="s">
        <v>201</v>
      </c>
    </row>
    <row r="124" ht="14.25" spans="1:8">
      <c r="A124" s="8">
        <v>613</v>
      </c>
      <c r="B124" s="8" t="s">
        <v>404</v>
      </c>
      <c r="C124" s="8" t="s">
        <v>107</v>
      </c>
      <c r="D124" s="8">
        <v>46</v>
      </c>
      <c r="E124" s="8" t="s">
        <v>254</v>
      </c>
      <c r="F124" s="10"/>
      <c r="G124" s="8" t="s">
        <v>243</v>
      </c>
      <c r="H124" s="8" t="s">
        <v>201</v>
      </c>
    </row>
    <row r="125" ht="14.25" spans="1:8">
      <c r="A125" s="8">
        <v>614</v>
      </c>
      <c r="B125" s="8" t="s">
        <v>405</v>
      </c>
      <c r="C125" s="8" t="s">
        <v>108</v>
      </c>
      <c r="D125" s="8">
        <v>47</v>
      </c>
      <c r="E125" s="8" t="s">
        <v>254</v>
      </c>
      <c r="F125" s="10"/>
      <c r="G125" s="8" t="s">
        <v>243</v>
      </c>
      <c r="H125" s="8" t="s">
        <v>201</v>
      </c>
    </row>
    <row r="126" ht="14.25" spans="1:8">
      <c r="A126" s="8">
        <v>615</v>
      </c>
      <c r="B126" s="8" t="s">
        <v>406</v>
      </c>
      <c r="C126" s="8" t="s">
        <v>109</v>
      </c>
      <c r="D126" s="8">
        <v>48</v>
      </c>
      <c r="E126" s="8" t="s">
        <v>254</v>
      </c>
      <c r="F126" s="10"/>
      <c r="G126" s="8" t="s">
        <v>243</v>
      </c>
      <c r="H126" s="8" t="s">
        <v>201</v>
      </c>
    </row>
    <row r="127" ht="14.25" spans="1:8">
      <c r="A127" s="8">
        <v>616</v>
      </c>
      <c r="B127" s="8" t="s">
        <v>407</v>
      </c>
      <c r="C127" s="8" t="s">
        <v>123</v>
      </c>
      <c r="D127" s="8">
        <v>31</v>
      </c>
      <c r="E127" s="8" t="s">
        <v>254</v>
      </c>
      <c r="F127" s="8"/>
      <c r="G127" s="8" t="s">
        <v>243</v>
      </c>
      <c r="H127" s="8" t="s">
        <v>201</v>
      </c>
    </row>
    <row r="128" ht="14.25" spans="1:8">
      <c r="A128" s="8">
        <v>617</v>
      </c>
      <c r="B128" s="8" t="s">
        <v>408</v>
      </c>
      <c r="C128" s="8" t="s">
        <v>124</v>
      </c>
      <c r="D128" s="8">
        <v>32</v>
      </c>
      <c r="E128" s="8" t="s">
        <v>254</v>
      </c>
      <c r="F128" s="8"/>
      <c r="G128" s="8" t="s">
        <v>243</v>
      </c>
      <c r="H128" s="8" t="s">
        <v>201</v>
      </c>
    </row>
    <row r="129" ht="14.25" spans="1:8">
      <c r="A129" s="8">
        <v>618</v>
      </c>
      <c r="B129" s="8" t="s">
        <v>409</v>
      </c>
      <c r="C129" s="8" t="s">
        <v>410</v>
      </c>
      <c r="D129" s="8">
        <v>33</v>
      </c>
      <c r="E129" s="8" t="s">
        <v>254</v>
      </c>
      <c r="F129" s="8"/>
      <c r="G129" s="8" t="s">
        <v>243</v>
      </c>
      <c r="H129" s="8" t="s">
        <v>201</v>
      </c>
    </row>
    <row r="130" ht="14.25" spans="1:8">
      <c r="A130" s="8">
        <v>619</v>
      </c>
      <c r="B130" s="8" t="s">
        <v>411</v>
      </c>
      <c r="C130" s="8" t="s">
        <v>412</v>
      </c>
      <c r="D130" s="8"/>
      <c r="E130" s="8" t="s">
        <v>384</v>
      </c>
      <c r="F130" s="8"/>
      <c r="G130" s="8"/>
      <c r="H130" s="8" t="s">
        <v>198</v>
      </c>
    </row>
    <row r="131" ht="14.25" spans="1:8">
      <c r="A131" s="8">
        <v>620</v>
      </c>
      <c r="B131" s="8" t="s">
        <v>413</v>
      </c>
      <c r="C131" s="8" t="s">
        <v>414</v>
      </c>
      <c r="D131" s="8"/>
      <c r="E131" s="8" t="s">
        <v>384</v>
      </c>
      <c r="F131" s="8"/>
      <c r="G131" s="8"/>
      <c r="H131" s="8" t="s">
        <v>201</v>
      </c>
    </row>
    <row r="132" ht="14.25" spans="1:8">
      <c r="A132" s="8">
        <v>621</v>
      </c>
      <c r="B132" s="8" t="s">
        <v>415</v>
      </c>
      <c r="C132" s="8" t="s">
        <v>416</v>
      </c>
      <c r="D132" s="8"/>
      <c r="E132" s="8" t="s">
        <v>384</v>
      </c>
      <c r="F132" s="8"/>
      <c r="G132" s="8"/>
      <c r="H132" s="8" t="s">
        <v>198</v>
      </c>
    </row>
    <row r="133" ht="14.25" spans="1:8">
      <c r="A133" s="8">
        <v>622</v>
      </c>
      <c r="B133" s="8" t="s">
        <v>417</v>
      </c>
      <c r="C133" s="8" t="s">
        <v>418</v>
      </c>
      <c r="D133" s="8"/>
      <c r="E133" s="8" t="s">
        <v>254</v>
      </c>
      <c r="F133" s="8"/>
      <c r="G133" s="8"/>
      <c r="H133" s="8" t="s">
        <v>198</v>
      </c>
    </row>
    <row r="134" ht="14.25" spans="1:8">
      <c r="A134" s="8">
        <v>623</v>
      </c>
      <c r="B134" s="8" t="s">
        <v>419</v>
      </c>
      <c r="C134" s="8" t="s">
        <v>420</v>
      </c>
      <c r="D134" s="8"/>
      <c r="E134" s="8" t="s">
        <v>384</v>
      </c>
      <c r="F134" s="8"/>
      <c r="G134" s="8"/>
      <c r="H134" s="8" t="s">
        <v>198</v>
      </c>
    </row>
    <row r="135" ht="14.25" spans="1:8">
      <c r="A135" s="11">
        <v>624</v>
      </c>
      <c r="B135" s="11" t="s">
        <v>421</v>
      </c>
      <c r="C135" s="11" t="s">
        <v>422</v>
      </c>
      <c r="D135" s="11">
        <v>34</v>
      </c>
      <c r="E135" s="11" t="s">
        <v>254</v>
      </c>
      <c r="F135" s="11"/>
      <c r="G135" s="11" t="s">
        <v>243</v>
      </c>
      <c r="H135" s="11" t="s">
        <v>201</v>
      </c>
    </row>
    <row r="136" ht="14.25" spans="1:8">
      <c r="A136" s="8"/>
      <c r="B136" s="8"/>
      <c r="C136" s="7"/>
      <c r="D136" s="8"/>
      <c r="E136" s="8" t="s">
        <v>197</v>
      </c>
      <c r="F136" s="8"/>
      <c r="G136" s="8"/>
      <c r="H136" s="8"/>
    </row>
    <row r="137" ht="14.25" spans="1:8">
      <c r="A137" s="8"/>
      <c r="B137" s="8"/>
      <c r="C137" s="7"/>
      <c r="D137" s="8"/>
      <c r="E137" s="8" t="s">
        <v>197</v>
      </c>
      <c r="F137" s="8"/>
      <c r="G137" s="8"/>
      <c r="H137" s="8"/>
    </row>
    <row r="138" ht="14.25" spans="1:8">
      <c r="A138" s="8"/>
      <c r="B138" s="8"/>
      <c r="C138" s="7" t="s">
        <v>423</v>
      </c>
      <c r="D138" s="8"/>
      <c r="E138" s="8" t="s">
        <v>197</v>
      </c>
      <c r="F138" s="8"/>
      <c r="G138" s="8"/>
      <c r="H138" s="8"/>
    </row>
    <row r="139" ht="14.25" spans="1:8">
      <c r="A139" s="8">
        <v>701</v>
      </c>
      <c r="B139" s="8" t="s">
        <v>424</v>
      </c>
      <c r="C139" s="8" t="s">
        <v>205</v>
      </c>
      <c r="D139" s="8"/>
      <c r="E139" s="8" t="s">
        <v>197</v>
      </c>
      <c r="F139" s="8"/>
      <c r="G139" s="8"/>
      <c r="H139" s="8" t="s">
        <v>201</v>
      </c>
    </row>
    <row r="140" ht="14.25" spans="1:8">
      <c r="A140" s="8">
        <v>702</v>
      </c>
      <c r="B140" s="8" t="s">
        <v>425</v>
      </c>
      <c r="C140" s="8" t="s">
        <v>200</v>
      </c>
      <c r="D140" s="8"/>
      <c r="E140" s="8" t="s">
        <v>197</v>
      </c>
      <c r="F140" s="8"/>
      <c r="G140" s="8"/>
      <c r="H140" s="8" t="s">
        <v>201</v>
      </c>
    </row>
    <row r="141" ht="14.25" spans="1:8">
      <c r="A141" s="8"/>
      <c r="B141" s="8"/>
      <c r="C141" s="7"/>
      <c r="D141" s="8"/>
      <c r="E141" s="8" t="s">
        <v>197</v>
      </c>
      <c r="F141" s="8"/>
      <c r="G141" s="8"/>
      <c r="H141" s="8"/>
    </row>
    <row r="142" ht="14.25" spans="1:8">
      <c r="A142" s="8"/>
      <c r="B142" s="8"/>
      <c r="C142" s="7"/>
      <c r="D142" s="8"/>
      <c r="E142" s="8" t="s">
        <v>197</v>
      </c>
      <c r="F142" s="8"/>
      <c r="G142" s="8"/>
      <c r="H142" s="8"/>
    </row>
    <row r="143" ht="14.25" spans="1:8">
      <c r="A143" s="8"/>
      <c r="B143" s="8"/>
      <c r="C143" s="7" t="s">
        <v>426</v>
      </c>
      <c r="D143" s="8"/>
      <c r="E143" s="8" t="s">
        <v>197</v>
      </c>
      <c r="F143" s="8"/>
      <c r="G143" s="8"/>
      <c r="H143" s="8"/>
    </row>
    <row r="144" ht="14.25" spans="1:8">
      <c r="A144" s="8">
        <v>10001</v>
      </c>
      <c r="B144" s="8" t="s">
        <v>427</v>
      </c>
      <c r="C144" s="8" t="s">
        <v>207</v>
      </c>
      <c r="D144" s="8"/>
      <c r="E144" s="8" t="s">
        <v>197</v>
      </c>
      <c r="F144" s="12"/>
      <c r="G144" s="8"/>
      <c r="H144" s="8" t="s">
        <v>214</v>
      </c>
    </row>
    <row r="145" ht="14.25" spans="1:8">
      <c r="A145" s="8">
        <v>10002</v>
      </c>
      <c r="B145" s="8" t="s">
        <v>428</v>
      </c>
      <c r="C145" s="8" t="s">
        <v>429</v>
      </c>
      <c r="D145" s="8"/>
      <c r="E145" s="8" t="s">
        <v>197</v>
      </c>
      <c r="F145" s="8"/>
      <c r="G145" s="8"/>
      <c r="H145" s="8" t="s">
        <v>198</v>
      </c>
    </row>
    <row r="146" ht="14.25" spans="1:8">
      <c r="A146" s="8">
        <v>10003</v>
      </c>
      <c r="B146" s="8" t="s">
        <v>430</v>
      </c>
      <c r="C146" s="8" t="s">
        <v>431</v>
      </c>
      <c r="D146" s="8"/>
      <c r="E146" s="8" t="s">
        <v>197</v>
      </c>
      <c r="F146" s="8"/>
      <c r="G146" s="8"/>
      <c r="H146" s="8" t="s">
        <v>198</v>
      </c>
    </row>
    <row r="147" ht="14.25" spans="1:8">
      <c r="A147" s="8"/>
      <c r="B147" s="8"/>
      <c r="C147" s="8"/>
      <c r="D147" s="8"/>
      <c r="E147" s="8" t="s">
        <v>197</v>
      </c>
      <c r="F147" s="8"/>
      <c r="G147" s="8"/>
      <c r="H147" s="8"/>
    </row>
    <row r="148" ht="14.25" spans="1:8">
      <c r="A148" s="8"/>
      <c r="B148" s="8"/>
      <c r="C148" s="8"/>
      <c r="D148" s="8"/>
      <c r="E148" s="8" t="s">
        <v>197</v>
      </c>
      <c r="F148" s="8"/>
      <c r="G148" s="8"/>
      <c r="H148" s="8"/>
    </row>
    <row r="149" ht="14.25" spans="1:8">
      <c r="A149" s="8"/>
      <c r="B149" s="8"/>
      <c r="C149" s="7" t="s">
        <v>432</v>
      </c>
      <c r="D149" s="8"/>
      <c r="E149" s="8" t="s">
        <v>197</v>
      </c>
      <c r="F149" s="8"/>
      <c r="G149" s="8"/>
      <c r="H149" s="8"/>
    </row>
    <row r="150" ht="14.25" spans="1:8">
      <c r="A150" s="8">
        <v>801</v>
      </c>
      <c r="B150" s="8" t="s">
        <v>433</v>
      </c>
      <c r="C150" s="8" t="s">
        <v>434</v>
      </c>
      <c r="D150" s="8">
        <v>4</v>
      </c>
      <c r="E150" s="8" t="s">
        <v>384</v>
      </c>
      <c r="F150" s="8"/>
      <c r="G150" s="8" t="s">
        <v>243</v>
      </c>
      <c r="H150" s="8" t="s">
        <v>198</v>
      </c>
    </row>
    <row r="151" ht="14.25" spans="1:8">
      <c r="A151" s="8">
        <v>802</v>
      </c>
      <c r="B151" s="8" t="s">
        <v>435</v>
      </c>
      <c r="C151" s="8" t="s">
        <v>436</v>
      </c>
      <c r="D151" s="8"/>
      <c r="E151" s="8" t="s">
        <v>384</v>
      </c>
      <c r="F151" s="8"/>
      <c r="G151" s="8"/>
      <c r="H151" s="8" t="s">
        <v>201</v>
      </c>
    </row>
    <row r="152" ht="14.25" spans="1:8">
      <c r="A152" s="8">
        <v>803</v>
      </c>
      <c r="B152" s="8" t="s">
        <v>437</v>
      </c>
      <c r="C152" s="8" t="s">
        <v>438</v>
      </c>
      <c r="D152" s="8">
        <v>3</v>
      </c>
      <c r="E152" s="8" t="s">
        <v>384</v>
      </c>
      <c r="F152" s="8"/>
      <c r="G152" s="8" t="s">
        <v>243</v>
      </c>
      <c r="H152" s="8" t="s">
        <v>198</v>
      </c>
    </row>
    <row r="153" ht="14.25" spans="1:8">
      <c r="A153" s="8">
        <v>804</v>
      </c>
      <c r="B153" s="8" t="s">
        <v>439</v>
      </c>
      <c r="C153" s="8" t="s">
        <v>440</v>
      </c>
      <c r="D153" s="8"/>
      <c r="E153" s="8" t="s">
        <v>384</v>
      </c>
      <c r="F153" s="8"/>
      <c r="G153" s="8"/>
      <c r="H153" s="8" t="s">
        <v>201</v>
      </c>
    </row>
    <row r="154" ht="14.25" spans="1:8">
      <c r="A154" s="8">
        <v>805</v>
      </c>
      <c r="B154" s="8" t="s">
        <v>441</v>
      </c>
      <c r="C154" s="8" t="s">
        <v>442</v>
      </c>
      <c r="D154" s="8">
        <v>7</v>
      </c>
      <c r="E154" s="8" t="s">
        <v>384</v>
      </c>
      <c r="F154" s="8"/>
      <c r="G154" s="8" t="s">
        <v>243</v>
      </c>
      <c r="H154" s="8" t="s">
        <v>201</v>
      </c>
    </row>
    <row r="155" ht="14.25" spans="1:8">
      <c r="A155" s="8"/>
      <c r="C155" s="8"/>
      <c r="D155" s="8"/>
      <c r="E155" s="8" t="s">
        <v>197</v>
      </c>
      <c r="F155" s="8"/>
      <c r="G155" s="8"/>
      <c r="H155" s="8"/>
    </row>
    <row r="156" ht="14.25" spans="1:8">
      <c r="A156" s="8">
        <v>806</v>
      </c>
      <c r="B156" s="8" t="s">
        <v>443</v>
      </c>
      <c r="C156" s="8" t="s">
        <v>115</v>
      </c>
      <c r="D156" s="8">
        <v>8</v>
      </c>
      <c r="E156" s="8" t="s">
        <v>384</v>
      </c>
      <c r="F156" s="8"/>
      <c r="G156" s="8" t="s">
        <v>243</v>
      </c>
      <c r="H156" s="8" t="s">
        <v>201</v>
      </c>
    </row>
    <row r="157" ht="14.25" spans="1:8">
      <c r="A157" s="8">
        <v>807</v>
      </c>
      <c r="B157" s="8" t="s">
        <v>444</v>
      </c>
      <c r="C157" s="8" t="s">
        <v>445</v>
      </c>
      <c r="D157" s="8">
        <v>25</v>
      </c>
      <c r="E157" s="8" t="s">
        <v>197</v>
      </c>
      <c r="F157" s="8"/>
      <c r="G157" s="8" t="s">
        <v>243</v>
      </c>
      <c r="H157" s="8" t="s">
        <v>201</v>
      </c>
    </row>
    <row r="158" ht="14.25" spans="1:8">
      <c r="A158" s="8">
        <v>808</v>
      </c>
      <c r="B158" s="8" t="s">
        <v>446</v>
      </c>
      <c r="C158" s="8" t="s">
        <v>447</v>
      </c>
      <c r="D158" s="8">
        <v>26</v>
      </c>
      <c r="E158" s="8" t="s">
        <v>197</v>
      </c>
      <c r="F158" s="8"/>
      <c r="G158" s="8" t="s">
        <v>243</v>
      </c>
      <c r="H158" s="8" t="s">
        <v>198</v>
      </c>
    </row>
    <row r="159" ht="14.25" spans="1:8">
      <c r="A159" s="8"/>
      <c r="B159" s="8"/>
      <c r="C159" s="8"/>
      <c r="D159" s="8"/>
      <c r="E159" s="8" t="s">
        <v>197</v>
      </c>
      <c r="F159" s="8"/>
      <c r="G159" s="8"/>
      <c r="H159" s="8"/>
    </row>
    <row r="160" ht="14.25" spans="1:8">
      <c r="A160" s="8">
        <v>809</v>
      </c>
      <c r="B160" s="8" t="s">
        <v>448</v>
      </c>
      <c r="C160" s="8" t="s">
        <v>449</v>
      </c>
      <c r="D160" s="8">
        <v>5</v>
      </c>
      <c r="E160" s="8" t="s">
        <v>384</v>
      </c>
      <c r="F160" s="8"/>
      <c r="G160" s="8" t="s">
        <v>243</v>
      </c>
      <c r="H160" s="8" t="s">
        <v>201</v>
      </c>
    </row>
    <row r="161" ht="14.25" spans="1:8">
      <c r="A161" s="8">
        <v>810</v>
      </c>
      <c r="B161" s="8" t="s">
        <v>450</v>
      </c>
      <c r="C161" s="8" t="s">
        <v>451</v>
      </c>
      <c r="D161" s="8"/>
      <c r="E161" s="8" t="s">
        <v>384</v>
      </c>
      <c r="F161" s="8"/>
      <c r="G161" s="8"/>
      <c r="H161" s="8" t="s">
        <v>201</v>
      </c>
    </row>
    <row r="162" ht="14.25" spans="1:8">
      <c r="A162" s="8">
        <v>811</v>
      </c>
      <c r="B162" s="8" t="s">
        <v>452</v>
      </c>
      <c r="C162" s="8" t="s">
        <v>453</v>
      </c>
      <c r="D162" s="8">
        <v>6</v>
      </c>
      <c r="E162" s="8" t="s">
        <v>384</v>
      </c>
      <c r="F162" s="8"/>
      <c r="G162" s="8" t="s">
        <v>243</v>
      </c>
      <c r="H162" s="8" t="s">
        <v>201</v>
      </c>
    </row>
    <row r="163" ht="14.25" spans="1:8">
      <c r="A163" s="8">
        <v>812</v>
      </c>
      <c r="B163" s="8" t="s">
        <v>454</v>
      </c>
      <c r="C163" s="8" t="s">
        <v>455</v>
      </c>
      <c r="D163" s="8">
        <v>17</v>
      </c>
      <c r="E163" s="8" t="s">
        <v>197</v>
      </c>
      <c r="F163" s="8"/>
      <c r="G163" s="8" t="s">
        <v>243</v>
      </c>
      <c r="H163" s="8" t="s">
        <v>201</v>
      </c>
    </row>
    <row r="164" ht="14.25" spans="1:8">
      <c r="A164" s="8"/>
      <c r="B164" s="13"/>
      <c r="C164" s="13"/>
      <c r="D164" s="8"/>
      <c r="E164" s="8" t="s">
        <v>197</v>
      </c>
      <c r="F164" s="8"/>
      <c r="G164" s="8"/>
      <c r="H164" s="8"/>
    </row>
    <row r="165" ht="14.25" spans="1:8">
      <c r="A165" s="8">
        <v>813</v>
      </c>
      <c r="B165" s="8" t="s">
        <v>456</v>
      </c>
      <c r="C165" s="8" t="s">
        <v>457</v>
      </c>
      <c r="D165" s="8">
        <v>21</v>
      </c>
      <c r="E165" s="8" t="s">
        <v>197</v>
      </c>
      <c r="F165" s="8"/>
      <c r="G165" s="8" t="s">
        <v>243</v>
      </c>
      <c r="H165" s="8" t="s">
        <v>201</v>
      </c>
    </row>
    <row r="166" ht="14.25" spans="1:8">
      <c r="A166" s="8">
        <v>814</v>
      </c>
      <c r="B166" s="8" t="s">
        <v>458</v>
      </c>
      <c r="C166" s="8" t="s">
        <v>459</v>
      </c>
      <c r="D166" s="8">
        <v>22</v>
      </c>
      <c r="E166" s="8" t="s">
        <v>197</v>
      </c>
      <c r="F166" s="8"/>
      <c r="G166" s="8" t="s">
        <v>243</v>
      </c>
      <c r="H166" s="8" t="s">
        <v>201</v>
      </c>
    </row>
    <row r="167" ht="14.25" spans="1:8">
      <c r="A167" s="8"/>
      <c r="B167" s="8"/>
      <c r="C167" s="13"/>
      <c r="D167" s="8"/>
      <c r="E167" s="8" t="s">
        <v>197</v>
      </c>
      <c r="F167" s="8"/>
      <c r="G167" s="8"/>
      <c r="H167" s="8"/>
    </row>
    <row r="168" ht="14.25" spans="1:8">
      <c r="A168" s="8"/>
      <c r="B168" s="13"/>
      <c r="C168" s="7" t="s">
        <v>460</v>
      </c>
      <c r="D168" s="8"/>
      <c r="E168" s="8" t="s">
        <v>197</v>
      </c>
      <c r="F168" s="8"/>
      <c r="G168" s="8"/>
      <c r="H168" s="8"/>
    </row>
    <row r="169" ht="14.25" spans="1:8">
      <c r="A169" s="8">
        <v>901</v>
      </c>
      <c r="B169" s="8" t="s">
        <v>461</v>
      </c>
      <c r="C169" s="8" t="s">
        <v>196</v>
      </c>
      <c r="D169" s="8">
        <v>2</v>
      </c>
      <c r="E169" s="8" t="s">
        <v>254</v>
      </c>
      <c r="F169" s="8"/>
      <c r="G169" s="8" t="s">
        <v>243</v>
      </c>
      <c r="H169" s="8" t="s">
        <v>198</v>
      </c>
    </row>
    <row r="170" ht="14.25" spans="1:8">
      <c r="A170" s="8">
        <v>902</v>
      </c>
      <c r="B170" s="8" t="s">
        <v>462</v>
      </c>
      <c r="C170" s="8" t="s">
        <v>200</v>
      </c>
      <c r="D170" s="8">
        <v>9</v>
      </c>
      <c r="E170" s="8" t="s">
        <v>254</v>
      </c>
      <c r="F170" s="8"/>
      <c r="G170" s="8" t="s">
        <v>243</v>
      </c>
      <c r="H170" s="8" t="s">
        <v>201</v>
      </c>
    </row>
    <row r="171" ht="14.25" spans="1:8">
      <c r="A171" s="8">
        <v>903</v>
      </c>
      <c r="B171" s="8" t="s">
        <v>463</v>
      </c>
      <c r="C171" s="8" t="s">
        <v>203</v>
      </c>
      <c r="D171" s="8">
        <v>1</v>
      </c>
      <c r="E171" s="8" t="s">
        <v>254</v>
      </c>
      <c r="F171" s="8"/>
      <c r="G171" s="8" t="s">
        <v>243</v>
      </c>
      <c r="H171" s="8" t="s">
        <v>198</v>
      </c>
    </row>
    <row r="172" ht="14.25" spans="1:8">
      <c r="A172" s="8">
        <v>904</v>
      </c>
      <c r="B172" s="8" t="s">
        <v>464</v>
      </c>
      <c r="C172" s="8" t="s">
        <v>205</v>
      </c>
      <c r="D172" s="8">
        <v>9</v>
      </c>
      <c r="E172" s="8" t="s">
        <v>254</v>
      </c>
      <c r="F172" s="8"/>
      <c r="G172" s="8" t="s">
        <v>243</v>
      </c>
      <c r="H172" s="8" t="s">
        <v>201</v>
      </c>
    </row>
    <row r="173" ht="14.25" spans="1:8">
      <c r="A173" s="8">
        <v>905</v>
      </c>
      <c r="B173" s="8" t="s">
        <v>465</v>
      </c>
      <c r="C173" s="8" t="s">
        <v>207</v>
      </c>
      <c r="D173" s="8"/>
      <c r="E173" s="8" t="s">
        <v>254</v>
      </c>
      <c r="F173" s="8"/>
      <c r="G173" s="8"/>
      <c r="H173" s="8" t="s">
        <v>201</v>
      </c>
    </row>
    <row r="174" ht="14.25" spans="1:8">
      <c r="A174" s="8"/>
      <c r="B174" s="8"/>
      <c r="C174" s="7"/>
      <c r="D174" s="8"/>
      <c r="E174" s="8" t="s">
        <v>197</v>
      </c>
      <c r="F174" s="8"/>
      <c r="G174" s="8"/>
      <c r="H174" s="8"/>
    </row>
    <row r="175" ht="14.25" spans="1:8">
      <c r="A175" s="8">
        <v>906</v>
      </c>
      <c r="B175" s="8" t="s">
        <v>466</v>
      </c>
      <c r="C175" s="8" t="s">
        <v>226</v>
      </c>
      <c r="D175" s="8">
        <v>11</v>
      </c>
      <c r="E175" s="8" t="s">
        <v>254</v>
      </c>
      <c r="F175" s="8"/>
      <c r="G175" s="8" t="s">
        <v>243</v>
      </c>
      <c r="H175" s="8" t="s">
        <v>201</v>
      </c>
    </row>
    <row r="176" ht="14.25" spans="1:8">
      <c r="A176" s="8">
        <v>907</v>
      </c>
      <c r="B176" s="8" t="s">
        <v>467</v>
      </c>
      <c r="C176" s="8" t="s">
        <v>70</v>
      </c>
      <c r="D176" s="8">
        <v>12</v>
      </c>
      <c r="E176" s="8" t="s">
        <v>254</v>
      </c>
      <c r="F176" s="8"/>
      <c r="G176" s="8" t="s">
        <v>243</v>
      </c>
      <c r="H176" s="8" t="s">
        <v>201</v>
      </c>
    </row>
    <row r="177" ht="14.25" spans="1:8">
      <c r="A177" s="8"/>
      <c r="B177" s="8"/>
      <c r="C177" s="7"/>
      <c r="D177" s="8"/>
      <c r="E177" s="8" t="s">
        <v>197</v>
      </c>
      <c r="F177" s="8"/>
      <c r="G177" s="8"/>
      <c r="H177" s="8"/>
    </row>
    <row r="178" ht="14.25" spans="1:8">
      <c r="A178" s="8">
        <v>908</v>
      </c>
      <c r="B178" s="8" t="s">
        <v>468</v>
      </c>
      <c r="C178" s="8" t="s">
        <v>116</v>
      </c>
      <c r="D178" s="8">
        <v>10</v>
      </c>
      <c r="E178" s="8" t="s">
        <v>254</v>
      </c>
      <c r="F178" s="8"/>
      <c r="G178" s="8" t="s">
        <v>243</v>
      </c>
      <c r="H178" s="8" t="s">
        <v>201</v>
      </c>
    </row>
    <row r="179" ht="14.25" spans="1:8">
      <c r="A179" s="8"/>
      <c r="B179" s="8"/>
      <c r="C179" s="7"/>
      <c r="D179" s="8"/>
      <c r="E179" s="8" t="s">
        <v>197</v>
      </c>
      <c r="F179" s="8"/>
      <c r="G179" s="8"/>
      <c r="H179" s="8"/>
    </row>
    <row r="180" ht="14.25" spans="1:8">
      <c r="A180" s="8">
        <v>909</v>
      </c>
      <c r="B180" s="8" t="s">
        <v>469</v>
      </c>
      <c r="C180" s="8" t="s">
        <v>68</v>
      </c>
      <c r="D180" s="8">
        <v>21</v>
      </c>
      <c r="E180" s="8" t="s">
        <v>197</v>
      </c>
      <c r="F180" s="8"/>
      <c r="G180" s="8" t="s">
        <v>243</v>
      </c>
      <c r="H180" s="8" t="s">
        <v>201</v>
      </c>
    </row>
    <row r="181" ht="14.25" spans="1:8">
      <c r="A181" s="8">
        <v>910</v>
      </c>
      <c r="B181" s="8" t="s">
        <v>470</v>
      </c>
      <c r="C181" s="8" t="s">
        <v>471</v>
      </c>
      <c r="D181" s="8">
        <v>22</v>
      </c>
      <c r="E181" s="8" t="s">
        <v>197</v>
      </c>
      <c r="F181" s="8"/>
      <c r="G181" s="8" t="s">
        <v>243</v>
      </c>
      <c r="H181" s="8" t="s">
        <v>201</v>
      </c>
    </row>
    <row r="182" ht="14.25" spans="1:8">
      <c r="A182" s="8"/>
      <c r="B182" s="13"/>
      <c r="C182" s="7"/>
      <c r="D182" s="8"/>
      <c r="E182" s="8"/>
      <c r="F182" s="8"/>
      <c r="G182" s="8"/>
      <c r="H182" s="8"/>
    </row>
    <row r="183" ht="14.25" spans="1:8">
      <c r="A183" s="8"/>
      <c r="B183" s="13"/>
      <c r="C183" s="7"/>
      <c r="D183" s="8"/>
      <c r="E183" s="8"/>
      <c r="F183" s="8"/>
      <c r="G183" s="8"/>
      <c r="H183" s="8"/>
    </row>
    <row r="184" ht="14.25" spans="1:8">
      <c r="A184" s="8"/>
      <c r="B184" s="13"/>
      <c r="C184" s="7"/>
      <c r="D184" s="8"/>
      <c r="E184" s="8"/>
      <c r="F184" s="8"/>
      <c r="G184" s="8"/>
      <c r="H184" s="8"/>
    </row>
    <row r="185" ht="14.25" spans="1:8">
      <c r="A185" s="8"/>
      <c r="B185" s="13"/>
      <c r="C185" s="7"/>
      <c r="D185" s="8"/>
      <c r="E185" s="8"/>
      <c r="F185" s="8"/>
      <c r="G185" s="8"/>
      <c r="H185" s="8"/>
    </row>
    <row r="186" ht="14.25" spans="1:8">
      <c r="A186" s="8"/>
      <c r="B186" s="13"/>
      <c r="C186" s="7"/>
      <c r="D186" s="8"/>
      <c r="E186" s="8"/>
      <c r="F186" s="8"/>
      <c r="G186" s="8"/>
      <c r="H186" s="8"/>
    </row>
    <row r="187" ht="14.25" spans="1:8">
      <c r="A187" s="8"/>
      <c r="B187" s="13"/>
      <c r="C187" s="7"/>
      <c r="D187" s="8"/>
      <c r="E187" s="8" t="s">
        <v>197</v>
      </c>
      <c r="F187" s="8"/>
      <c r="G187" s="8"/>
      <c r="H187" s="8"/>
    </row>
    <row r="188" ht="14.25" spans="1:8">
      <c r="A188" s="8"/>
      <c r="B188" s="13"/>
      <c r="C188" s="7" t="s">
        <v>472</v>
      </c>
      <c r="D188" s="8"/>
      <c r="E188" s="8" t="s">
        <v>197</v>
      </c>
      <c r="F188" s="8"/>
      <c r="G188" s="8"/>
      <c r="H188" s="8"/>
    </row>
    <row r="189" ht="14.25" spans="1:8">
      <c r="A189" s="8">
        <v>1001</v>
      </c>
      <c r="B189" s="8" t="s">
        <v>473</v>
      </c>
      <c r="C189" s="8" t="s">
        <v>474</v>
      </c>
      <c r="D189" s="11">
        <v>21</v>
      </c>
      <c r="E189" s="8" t="s">
        <v>344</v>
      </c>
      <c r="F189" s="8"/>
      <c r="G189" s="8" t="s">
        <v>243</v>
      </c>
      <c r="H189" s="8" t="s">
        <v>198</v>
      </c>
    </row>
    <row r="190" ht="14.25" spans="1:8">
      <c r="A190" s="8">
        <v>1002</v>
      </c>
      <c r="B190" s="8" t="s">
        <v>475</v>
      </c>
      <c r="C190" s="8" t="s">
        <v>476</v>
      </c>
      <c r="D190" s="11"/>
      <c r="E190" s="8" t="s">
        <v>344</v>
      </c>
      <c r="F190" s="8"/>
      <c r="G190" s="8"/>
      <c r="H190" s="8" t="s">
        <v>201</v>
      </c>
    </row>
    <row r="191" ht="14.25" spans="1:8">
      <c r="A191" s="8">
        <v>1003</v>
      </c>
      <c r="B191" s="8" t="s">
        <v>477</v>
      </c>
      <c r="C191" s="8" t="s">
        <v>478</v>
      </c>
      <c r="D191" s="11">
        <v>20</v>
      </c>
      <c r="E191" s="8" t="s">
        <v>344</v>
      </c>
      <c r="F191" s="8"/>
      <c r="G191" s="8" t="s">
        <v>243</v>
      </c>
      <c r="H191" s="8" t="s">
        <v>198</v>
      </c>
    </row>
    <row r="192" ht="14.25" spans="1:8">
      <c r="A192" s="8">
        <v>1004</v>
      </c>
      <c r="B192" s="8" t="s">
        <v>479</v>
      </c>
      <c r="C192" s="8" t="s">
        <v>480</v>
      </c>
      <c r="D192" s="11"/>
      <c r="E192" s="8" t="s">
        <v>344</v>
      </c>
      <c r="F192" s="8"/>
      <c r="G192" s="8"/>
      <c r="H192" s="8" t="s">
        <v>201</v>
      </c>
    </row>
    <row r="193" ht="14.25" spans="1:8">
      <c r="A193" s="8">
        <v>1005</v>
      </c>
      <c r="B193" s="8" t="s">
        <v>481</v>
      </c>
      <c r="C193" s="8" t="s">
        <v>482</v>
      </c>
      <c r="D193" s="11">
        <v>28</v>
      </c>
      <c r="E193" s="8" t="s">
        <v>344</v>
      </c>
      <c r="F193" s="8"/>
      <c r="G193" s="8" t="s">
        <v>243</v>
      </c>
      <c r="H193" s="8" t="s">
        <v>201</v>
      </c>
    </row>
    <row r="194" ht="14.25" spans="1:8">
      <c r="A194" s="8">
        <v>1006</v>
      </c>
      <c r="B194" s="8" t="s">
        <v>483</v>
      </c>
      <c r="C194" s="8" t="s">
        <v>122</v>
      </c>
      <c r="D194" s="11">
        <v>22</v>
      </c>
      <c r="E194" s="8" t="s">
        <v>344</v>
      </c>
      <c r="F194" s="8"/>
      <c r="G194" s="8" t="s">
        <v>484</v>
      </c>
      <c r="H194" s="8" t="s">
        <v>201</v>
      </c>
    </row>
    <row r="195" ht="14.25" spans="1:8">
      <c r="A195" s="8">
        <v>1007</v>
      </c>
      <c r="B195" s="8" t="s">
        <v>485</v>
      </c>
      <c r="C195" s="8" t="s">
        <v>486</v>
      </c>
      <c r="D195" s="11">
        <v>25</v>
      </c>
      <c r="E195" s="8" t="s">
        <v>344</v>
      </c>
      <c r="F195" s="8"/>
      <c r="G195" s="8" t="s">
        <v>243</v>
      </c>
      <c r="H195" s="8" t="s">
        <v>201</v>
      </c>
    </row>
    <row r="196" ht="14.25" spans="1:8">
      <c r="A196" s="8">
        <v>1008</v>
      </c>
      <c r="B196" s="8" t="s">
        <v>487</v>
      </c>
      <c r="C196" s="8" t="s">
        <v>488</v>
      </c>
      <c r="D196" s="8">
        <v>26</v>
      </c>
      <c r="E196" s="8" t="s">
        <v>197</v>
      </c>
      <c r="F196" s="8"/>
      <c r="G196" s="8" t="s">
        <v>243</v>
      </c>
      <c r="H196" s="8" t="s">
        <v>198</v>
      </c>
    </row>
    <row r="197" ht="14.25" spans="1:8">
      <c r="A197" s="8">
        <v>1009</v>
      </c>
      <c r="B197" s="8" t="s">
        <v>489</v>
      </c>
      <c r="C197" s="8" t="s">
        <v>490</v>
      </c>
      <c r="D197" s="11">
        <v>23</v>
      </c>
      <c r="E197" s="8" t="s">
        <v>344</v>
      </c>
      <c r="F197" s="8"/>
      <c r="G197" s="8" t="s">
        <v>243</v>
      </c>
      <c r="H197" s="8" t="s">
        <v>201</v>
      </c>
    </row>
    <row r="198" ht="14.25" spans="1:8">
      <c r="A198" s="8">
        <v>1010</v>
      </c>
      <c r="B198" s="8" t="s">
        <v>491</v>
      </c>
      <c r="C198" s="8" t="s">
        <v>492</v>
      </c>
      <c r="D198" s="11">
        <v>26</v>
      </c>
      <c r="E198" s="8" t="s">
        <v>344</v>
      </c>
      <c r="F198" s="8"/>
      <c r="G198" s="8" t="s">
        <v>243</v>
      </c>
      <c r="H198" s="8" t="s">
        <v>201</v>
      </c>
    </row>
    <row r="199" ht="14.25" spans="1:8">
      <c r="A199" s="8">
        <v>1011</v>
      </c>
      <c r="B199" s="8" t="s">
        <v>493</v>
      </c>
      <c r="C199" s="8" t="s">
        <v>95</v>
      </c>
      <c r="D199" s="11">
        <v>24</v>
      </c>
      <c r="E199" s="8" t="s">
        <v>344</v>
      </c>
      <c r="F199" s="8"/>
      <c r="G199" s="8" t="s">
        <v>243</v>
      </c>
      <c r="H199" s="8" t="s">
        <v>201</v>
      </c>
    </row>
    <row r="200" ht="14.25" spans="1:8">
      <c r="A200" s="8">
        <v>1012</v>
      </c>
      <c r="B200" s="8" t="s">
        <v>494</v>
      </c>
      <c r="C200" s="8" t="s">
        <v>495</v>
      </c>
      <c r="D200" s="11">
        <v>27</v>
      </c>
      <c r="E200" s="8" t="s">
        <v>344</v>
      </c>
      <c r="F200" s="8"/>
      <c r="G200" s="8" t="s">
        <v>243</v>
      </c>
      <c r="H200" s="8" t="s">
        <v>201</v>
      </c>
    </row>
    <row r="201" ht="14.25" spans="1:8">
      <c r="A201" s="8">
        <v>1013</v>
      </c>
      <c r="B201" s="8" t="s">
        <v>496</v>
      </c>
      <c r="C201" s="8" t="s">
        <v>497</v>
      </c>
      <c r="D201" s="11">
        <v>29</v>
      </c>
      <c r="E201" s="8" t="s">
        <v>344</v>
      </c>
      <c r="F201" s="8"/>
      <c r="G201" s="8" t="s">
        <v>243</v>
      </c>
      <c r="H201" s="8" t="s">
        <v>201</v>
      </c>
    </row>
    <row r="202" ht="14.25" spans="1:8">
      <c r="A202" s="8">
        <v>1014</v>
      </c>
      <c r="B202" s="8" t="s">
        <v>498</v>
      </c>
      <c r="C202" s="8" t="s">
        <v>499</v>
      </c>
      <c r="D202" s="11">
        <v>30</v>
      </c>
      <c r="E202" s="8" t="s">
        <v>344</v>
      </c>
      <c r="F202" s="8"/>
      <c r="G202" s="8" t="s">
        <v>243</v>
      </c>
      <c r="H202" s="8" t="s">
        <v>201</v>
      </c>
    </row>
    <row r="203" ht="14.25" spans="1:8">
      <c r="A203" s="8"/>
      <c r="B203" s="8"/>
      <c r="C203" s="8"/>
      <c r="D203" s="8"/>
      <c r="E203" s="8" t="s">
        <v>197</v>
      </c>
      <c r="F203" s="8"/>
      <c r="G203" s="8"/>
      <c r="H203" s="8"/>
    </row>
    <row r="204" ht="14.25" spans="1:8">
      <c r="A204" s="8">
        <v>1101</v>
      </c>
      <c r="B204" s="8" t="s">
        <v>500</v>
      </c>
      <c r="C204" s="8" t="s">
        <v>501</v>
      </c>
      <c r="D204" s="8">
        <v>21</v>
      </c>
      <c r="E204" s="8" t="s">
        <v>344</v>
      </c>
      <c r="F204" s="8"/>
      <c r="G204" s="8" t="s">
        <v>243</v>
      </c>
      <c r="H204" s="8" t="s">
        <v>198</v>
      </c>
    </row>
    <row r="205" ht="14.25" spans="1:8">
      <c r="A205" s="8">
        <v>1102</v>
      </c>
      <c r="B205" s="8" t="s">
        <v>502</v>
      </c>
      <c r="C205" s="8" t="s">
        <v>503</v>
      </c>
      <c r="D205" s="8"/>
      <c r="E205" s="8" t="s">
        <v>344</v>
      </c>
      <c r="F205" s="8"/>
      <c r="G205" s="8"/>
      <c r="H205" s="8" t="s">
        <v>201</v>
      </c>
    </row>
    <row r="206" ht="14.25" spans="1:8">
      <c r="A206" s="8">
        <v>1103</v>
      </c>
      <c r="B206" s="8" t="s">
        <v>504</v>
      </c>
      <c r="C206" s="8" t="s">
        <v>505</v>
      </c>
      <c r="D206" s="8">
        <v>20</v>
      </c>
      <c r="E206" s="8" t="s">
        <v>344</v>
      </c>
      <c r="F206" s="8"/>
      <c r="G206" s="8" t="s">
        <v>243</v>
      </c>
      <c r="H206" s="8" t="s">
        <v>198</v>
      </c>
    </row>
    <row r="207" ht="14.25" spans="1:8">
      <c r="A207" s="8">
        <v>1104</v>
      </c>
      <c r="B207" s="8" t="s">
        <v>506</v>
      </c>
      <c r="C207" s="8" t="s">
        <v>507</v>
      </c>
      <c r="D207" s="8"/>
      <c r="E207" s="8" t="s">
        <v>344</v>
      </c>
      <c r="F207" s="8"/>
      <c r="G207" s="8"/>
      <c r="H207" s="8" t="s">
        <v>201</v>
      </c>
    </row>
    <row r="208" ht="14.25" spans="1:8">
      <c r="A208" s="8">
        <v>1105</v>
      </c>
      <c r="B208" s="8" t="s">
        <v>508</v>
      </c>
      <c r="C208" s="8" t="s">
        <v>509</v>
      </c>
      <c r="D208" s="8">
        <v>28</v>
      </c>
      <c r="E208" s="8" t="s">
        <v>344</v>
      </c>
      <c r="F208" s="8"/>
      <c r="G208" s="8" t="s">
        <v>243</v>
      </c>
      <c r="H208" s="8" t="s">
        <v>201</v>
      </c>
    </row>
    <row r="209" ht="14.25" spans="1:8">
      <c r="A209" s="8">
        <v>1106</v>
      </c>
      <c r="B209" s="8" t="s">
        <v>510</v>
      </c>
      <c r="C209" s="8" t="s">
        <v>117</v>
      </c>
      <c r="D209" s="8">
        <v>22</v>
      </c>
      <c r="E209" s="8" t="s">
        <v>344</v>
      </c>
      <c r="F209" s="8"/>
      <c r="G209" s="8" t="s">
        <v>484</v>
      </c>
      <c r="H209" s="8" t="s">
        <v>201</v>
      </c>
    </row>
    <row r="210" ht="14.25" spans="1:8">
      <c r="A210" s="8">
        <v>1107</v>
      </c>
      <c r="B210" s="8" t="s">
        <v>511</v>
      </c>
      <c r="C210" s="8" t="s">
        <v>512</v>
      </c>
      <c r="D210" s="8">
        <v>25</v>
      </c>
      <c r="E210" s="8" t="s">
        <v>344</v>
      </c>
      <c r="F210" s="8"/>
      <c r="G210" s="8" t="s">
        <v>243</v>
      </c>
      <c r="H210" s="8" t="s">
        <v>201</v>
      </c>
    </row>
    <row r="211" ht="14.25" spans="1:8">
      <c r="A211" s="8">
        <v>1108</v>
      </c>
      <c r="B211" s="8" t="s">
        <v>513</v>
      </c>
      <c r="C211" s="8" t="s">
        <v>514</v>
      </c>
      <c r="D211" s="8">
        <v>26</v>
      </c>
      <c r="E211" s="8" t="s">
        <v>197</v>
      </c>
      <c r="F211" s="8"/>
      <c r="G211" s="8" t="s">
        <v>243</v>
      </c>
      <c r="H211" s="8" t="s">
        <v>198</v>
      </c>
    </row>
    <row r="212" ht="14.25" spans="1:8">
      <c r="A212" s="8">
        <v>1109</v>
      </c>
      <c r="B212" s="8" t="s">
        <v>515</v>
      </c>
      <c r="C212" s="8" t="s">
        <v>516</v>
      </c>
      <c r="D212" s="8">
        <v>23</v>
      </c>
      <c r="E212" s="8" t="s">
        <v>344</v>
      </c>
      <c r="F212" s="8"/>
      <c r="G212" s="8" t="s">
        <v>243</v>
      </c>
      <c r="H212" s="8" t="s">
        <v>201</v>
      </c>
    </row>
    <row r="213" ht="14.25" spans="1:8">
      <c r="A213" s="8">
        <v>1110</v>
      </c>
      <c r="B213" s="8" t="s">
        <v>517</v>
      </c>
      <c r="C213" s="8" t="s">
        <v>518</v>
      </c>
      <c r="D213" s="8">
        <v>26</v>
      </c>
      <c r="E213" s="8" t="s">
        <v>344</v>
      </c>
      <c r="F213" s="8"/>
      <c r="G213" s="8" t="s">
        <v>243</v>
      </c>
      <c r="H213" s="8" t="s">
        <v>201</v>
      </c>
    </row>
    <row r="214" ht="14.25" spans="1:8">
      <c r="A214" s="8">
        <v>1111</v>
      </c>
      <c r="B214" s="8" t="s">
        <v>519</v>
      </c>
      <c r="C214" s="8" t="s">
        <v>96</v>
      </c>
      <c r="D214" s="8">
        <v>24</v>
      </c>
      <c r="E214" s="8" t="s">
        <v>344</v>
      </c>
      <c r="F214" s="8"/>
      <c r="G214" s="8" t="s">
        <v>243</v>
      </c>
      <c r="H214" s="8" t="s">
        <v>201</v>
      </c>
    </row>
    <row r="215" ht="14.25" spans="1:8">
      <c r="A215" s="8">
        <v>1112</v>
      </c>
      <c r="B215" s="8" t="s">
        <v>520</v>
      </c>
      <c r="C215" s="8" t="s">
        <v>521</v>
      </c>
      <c r="D215" s="8">
        <v>27</v>
      </c>
      <c r="E215" s="8" t="s">
        <v>344</v>
      </c>
      <c r="F215" s="8"/>
      <c r="G215" s="8" t="s">
        <v>243</v>
      </c>
      <c r="H215" s="8" t="s">
        <v>201</v>
      </c>
    </row>
    <row r="216" ht="14.25" spans="1:8">
      <c r="A216" s="8">
        <v>1113</v>
      </c>
      <c r="B216" s="8" t="s">
        <v>522</v>
      </c>
      <c r="C216" s="8" t="s">
        <v>110</v>
      </c>
      <c r="D216" s="8">
        <v>29</v>
      </c>
      <c r="E216" s="8" t="s">
        <v>344</v>
      </c>
      <c r="F216" s="8"/>
      <c r="G216" s="8" t="s">
        <v>243</v>
      </c>
      <c r="H216" s="8" t="s">
        <v>201</v>
      </c>
    </row>
    <row r="217" ht="14.25" spans="1:8">
      <c r="A217" s="8">
        <v>1114</v>
      </c>
      <c r="B217" s="8" t="s">
        <v>523</v>
      </c>
      <c r="C217" s="8" t="s">
        <v>524</v>
      </c>
      <c r="D217" s="8">
        <v>30</v>
      </c>
      <c r="E217" s="8" t="s">
        <v>344</v>
      </c>
      <c r="F217" s="8"/>
      <c r="G217" s="8" t="s">
        <v>243</v>
      </c>
      <c r="H217" s="8" t="s">
        <v>201</v>
      </c>
    </row>
    <row r="218" ht="14.25" spans="1:8">
      <c r="A218" s="8"/>
      <c r="B218" s="8"/>
      <c r="C218" s="8"/>
      <c r="D218" s="8"/>
      <c r="E218" s="8" t="s">
        <v>197</v>
      </c>
      <c r="F218" s="8"/>
      <c r="G218" s="8"/>
      <c r="H218" s="8"/>
    </row>
    <row r="219" ht="14.25" spans="1:8">
      <c r="A219" s="8">
        <v>1201</v>
      </c>
      <c r="B219" s="8" t="s">
        <v>525</v>
      </c>
      <c r="C219" s="8" t="s">
        <v>526</v>
      </c>
      <c r="D219" s="8">
        <v>21</v>
      </c>
      <c r="E219" s="8" t="s">
        <v>344</v>
      </c>
      <c r="F219" s="8"/>
      <c r="G219" s="8" t="s">
        <v>243</v>
      </c>
      <c r="H219" s="8" t="s">
        <v>198</v>
      </c>
    </row>
    <row r="220" ht="14.25" spans="1:8">
      <c r="A220" s="8">
        <v>1202</v>
      </c>
      <c r="B220" s="8" t="s">
        <v>527</v>
      </c>
      <c r="C220" s="8" t="s">
        <v>528</v>
      </c>
      <c r="D220" s="8"/>
      <c r="E220" s="8" t="s">
        <v>344</v>
      </c>
      <c r="F220" s="8"/>
      <c r="G220" s="8"/>
      <c r="H220" s="8" t="s">
        <v>201</v>
      </c>
    </row>
    <row r="221" ht="14.25" spans="1:8">
      <c r="A221" s="8">
        <v>1203</v>
      </c>
      <c r="B221" s="8" t="s">
        <v>529</v>
      </c>
      <c r="C221" s="8" t="s">
        <v>530</v>
      </c>
      <c r="D221" s="8">
        <v>20</v>
      </c>
      <c r="E221" s="8" t="s">
        <v>344</v>
      </c>
      <c r="F221" s="8"/>
      <c r="G221" s="8" t="s">
        <v>243</v>
      </c>
      <c r="H221" s="8" t="s">
        <v>198</v>
      </c>
    </row>
    <row r="222" ht="14.25" spans="1:8">
      <c r="A222" s="8">
        <v>1204</v>
      </c>
      <c r="B222" s="8" t="s">
        <v>531</v>
      </c>
      <c r="C222" s="8" t="s">
        <v>532</v>
      </c>
      <c r="D222" s="8"/>
      <c r="E222" s="8" t="s">
        <v>344</v>
      </c>
      <c r="F222" s="8"/>
      <c r="G222" s="8"/>
      <c r="H222" s="8" t="s">
        <v>201</v>
      </c>
    </row>
    <row r="223" ht="14.25" spans="1:8">
      <c r="A223" s="8">
        <v>1205</v>
      </c>
      <c r="B223" s="8" t="s">
        <v>533</v>
      </c>
      <c r="C223" s="8" t="s">
        <v>534</v>
      </c>
      <c r="D223" s="8">
        <v>28</v>
      </c>
      <c r="E223" s="8" t="s">
        <v>344</v>
      </c>
      <c r="F223" s="8"/>
      <c r="G223" s="8" t="s">
        <v>243</v>
      </c>
      <c r="H223" s="8" t="s">
        <v>201</v>
      </c>
    </row>
    <row r="224" ht="14.25" spans="1:8">
      <c r="A224" s="8">
        <v>1206</v>
      </c>
      <c r="B224" s="8" t="s">
        <v>535</v>
      </c>
      <c r="C224" s="8" t="s">
        <v>118</v>
      </c>
      <c r="D224" s="8">
        <v>22</v>
      </c>
      <c r="E224" s="8" t="s">
        <v>344</v>
      </c>
      <c r="F224" s="8"/>
      <c r="G224" s="8" t="s">
        <v>484</v>
      </c>
      <c r="H224" s="8" t="s">
        <v>201</v>
      </c>
    </row>
    <row r="225" ht="14.25" spans="1:8">
      <c r="A225" s="8">
        <v>1207</v>
      </c>
      <c r="B225" s="8" t="s">
        <v>536</v>
      </c>
      <c r="C225" s="8" t="s">
        <v>537</v>
      </c>
      <c r="D225" s="8">
        <v>25</v>
      </c>
      <c r="E225" s="8" t="s">
        <v>344</v>
      </c>
      <c r="F225" s="8"/>
      <c r="G225" s="8" t="s">
        <v>243</v>
      </c>
      <c r="H225" s="8" t="s">
        <v>201</v>
      </c>
    </row>
    <row r="226" ht="14.25" spans="1:8">
      <c r="A226" s="8">
        <v>1208</v>
      </c>
      <c r="B226" s="8" t="s">
        <v>538</v>
      </c>
      <c r="C226" s="8" t="s">
        <v>539</v>
      </c>
      <c r="D226" s="8">
        <v>26</v>
      </c>
      <c r="E226" s="8" t="s">
        <v>197</v>
      </c>
      <c r="F226" s="8"/>
      <c r="G226" s="8" t="s">
        <v>243</v>
      </c>
      <c r="H226" s="8" t="s">
        <v>198</v>
      </c>
    </row>
    <row r="227" ht="14.25" spans="1:8">
      <c r="A227" s="8">
        <v>1209</v>
      </c>
      <c r="B227" s="8" t="s">
        <v>540</v>
      </c>
      <c r="C227" s="8" t="s">
        <v>541</v>
      </c>
      <c r="D227" s="8">
        <v>23</v>
      </c>
      <c r="E227" s="8" t="s">
        <v>344</v>
      </c>
      <c r="F227" s="8"/>
      <c r="G227" s="8" t="s">
        <v>243</v>
      </c>
      <c r="H227" s="8" t="s">
        <v>201</v>
      </c>
    </row>
    <row r="228" ht="14.25" spans="1:8">
      <c r="A228" s="8">
        <v>1210</v>
      </c>
      <c r="B228" s="8" t="s">
        <v>542</v>
      </c>
      <c r="C228" s="8" t="s">
        <v>543</v>
      </c>
      <c r="D228" s="8">
        <v>26</v>
      </c>
      <c r="E228" s="8" t="s">
        <v>344</v>
      </c>
      <c r="F228" s="8"/>
      <c r="G228" s="8" t="s">
        <v>243</v>
      </c>
      <c r="H228" s="8" t="s">
        <v>201</v>
      </c>
    </row>
    <row r="229" ht="14.25" spans="1:8">
      <c r="A229" s="8">
        <v>1211</v>
      </c>
      <c r="B229" s="8" t="s">
        <v>544</v>
      </c>
      <c r="C229" s="8" t="s">
        <v>97</v>
      </c>
      <c r="D229" s="8">
        <v>24</v>
      </c>
      <c r="E229" s="8" t="s">
        <v>344</v>
      </c>
      <c r="F229" s="8"/>
      <c r="G229" s="8" t="s">
        <v>243</v>
      </c>
      <c r="H229" s="8" t="s">
        <v>201</v>
      </c>
    </row>
    <row r="230" ht="14.25" spans="1:8">
      <c r="A230" s="8">
        <v>1212</v>
      </c>
      <c r="B230" s="8" t="s">
        <v>545</v>
      </c>
      <c r="C230" s="8" t="s">
        <v>546</v>
      </c>
      <c r="D230" s="8">
        <v>27</v>
      </c>
      <c r="E230" s="8" t="s">
        <v>344</v>
      </c>
      <c r="F230" s="8"/>
      <c r="G230" s="8" t="s">
        <v>243</v>
      </c>
      <c r="H230" s="8" t="s">
        <v>201</v>
      </c>
    </row>
    <row r="231" ht="14.25" spans="1:8">
      <c r="A231" s="8">
        <v>1213</v>
      </c>
      <c r="B231" s="8" t="s">
        <v>547</v>
      </c>
      <c r="C231" s="8" t="s">
        <v>111</v>
      </c>
      <c r="D231" s="8">
        <v>29</v>
      </c>
      <c r="E231" s="8" t="s">
        <v>344</v>
      </c>
      <c r="F231" s="8"/>
      <c r="G231" s="8" t="s">
        <v>243</v>
      </c>
      <c r="H231" s="8" t="s">
        <v>201</v>
      </c>
    </row>
    <row r="232" ht="14.25" spans="1:8">
      <c r="A232" s="8">
        <v>1214</v>
      </c>
      <c r="B232" s="8" t="s">
        <v>548</v>
      </c>
      <c r="C232" s="8" t="s">
        <v>549</v>
      </c>
      <c r="D232" s="8">
        <v>30</v>
      </c>
      <c r="E232" s="8" t="s">
        <v>344</v>
      </c>
      <c r="F232" s="8"/>
      <c r="G232" s="8" t="s">
        <v>243</v>
      </c>
      <c r="H232" s="8" t="s">
        <v>201</v>
      </c>
    </row>
    <row r="233" ht="14.25" spans="1:8">
      <c r="A233" s="8"/>
      <c r="B233" s="8"/>
      <c r="C233" s="8"/>
      <c r="D233" s="8"/>
      <c r="E233" s="8" t="s">
        <v>197</v>
      </c>
      <c r="F233" s="8"/>
      <c r="G233" s="8"/>
      <c r="H233" s="8"/>
    </row>
    <row r="234" ht="14.25" spans="1:8">
      <c r="A234" s="8">
        <v>1301</v>
      </c>
      <c r="B234" s="8" t="s">
        <v>550</v>
      </c>
      <c r="C234" s="8" t="s">
        <v>551</v>
      </c>
      <c r="D234" s="8">
        <v>21</v>
      </c>
      <c r="E234" s="8" t="s">
        <v>344</v>
      </c>
      <c r="F234" s="8"/>
      <c r="G234" s="8" t="s">
        <v>243</v>
      </c>
      <c r="H234" s="8" t="s">
        <v>198</v>
      </c>
    </row>
    <row r="235" ht="14.25" spans="1:8">
      <c r="A235" s="8">
        <v>1302</v>
      </c>
      <c r="B235" s="8" t="s">
        <v>552</v>
      </c>
      <c r="C235" s="8" t="s">
        <v>553</v>
      </c>
      <c r="D235" s="8"/>
      <c r="E235" s="8" t="s">
        <v>344</v>
      </c>
      <c r="F235" s="8"/>
      <c r="G235" s="8"/>
      <c r="H235" s="8" t="s">
        <v>201</v>
      </c>
    </row>
    <row r="236" ht="14.25" spans="1:8">
      <c r="A236" s="8">
        <v>1303</v>
      </c>
      <c r="B236" s="8" t="s">
        <v>554</v>
      </c>
      <c r="C236" s="8" t="s">
        <v>555</v>
      </c>
      <c r="D236" s="8">
        <v>20</v>
      </c>
      <c r="E236" s="8" t="s">
        <v>344</v>
      </c>
      <c r="F236" s="8"/>
      <c r="G236" s="8" t="s">
        <v>243</v>
      </c>
      <c r="H236" s="8" t="s">
        <v>198</v>
      </c>
    </row>
    <row r="237" ht="14.25" spans="1:8">
      <c r="A237" s="8">
        <v>1304</v>
      </c>
      <c r="B237" s="8" t="s">
        <v>556</v>
      </c>
      <c r="C237" s="8" t="s">
        <v>557</v>
      </c>
      <c r="D237" s="8"/>
      <c r="E237" s="8" t="s">
        <v>344</v>
      </c>
      <c r="F237" s="8"/>
      <c r="G237" s="8"/>
      <c r="H237" s="8" t="s">
        <v>201</v>
      </c>
    </row>
    <row r="238" ht="14.25" spans="1:8">
      <c r="A238" s="8">
        <v>1305</v>
      </c>
      <c r="B238" s="8" t="s">
        <v>558</v>
      </c>
      <c r="C238" s="8" t="s">
        <v>559</v>
      </c>
      <c r="D238" s="8">
        <v>28</v>
      </c>
      <c r="E238" s="8" t="s">
        <v>344</v>
      </c>
      <c r="F238" s="8"/>
      <c r="G238" s="8" t="s">
        <v>243</v>
      </c>
      <c r="H238" s="8" t="s">
        <v>201</v>
      </c>
    </row>
    <row r="239" ht="14.25" spans="1:8">
      <c r="A239" s="8">
        <v>1306</v>
      </c>
      <c r="B239" s="8" t="s">
        <v>560</v>
      </c>
      <c r="C239" s="8" t="s">
        <v>561</v>
      </c>
      <c r="D239" s="8">
        <v>22</v>
      </c>
      <c r="E239" s="8" t="s">
        <v>344</v>
      </c>
      <c r="F239" s="8"/>
      <c r="G239" s="8" t="s">
        <v>243</v>
      </c>
      <c r="H239" s="8" t="s">
        <v>201</v>
      </c>
    </row>
    <row r="240" ht="14.25" spans="1:8">
      <c r="A240" s="8">
        <v>1307</v>
      </c>
      <c r="B240" s="8" t="s">
        <v>562</v>
      </c>
      <c r="C240" s="8" t="s">
        <v>563</v>
      </c>
      <c r="D240" s="8">
        <v>25</v>
      </c>
      <c r="E240" s="8" t="s">
        <v>344</v>
      </c>
      <c r="F240" s="8"/>
      <c r="G240" s="8" t="s">
        <v>243</v>
      </c>
      <c r="H240" s="8" t="s">
        <v>201</v>
      </c>
    </row>
    <row r="241" ht="14.25" spans="1:8">
      <c r="A241" s="8">
        <v>1308</v>
      </c>
      <c r="B241" s="8" t="s">
        <v>564</v>
      </c>
      <c r="C241" s="8" t="s">
        <v>565</v>
      </c>
      <c r="D241" s="8">
        <v>26</v>
      </c>
      <c r="E241" s="8" t="s">
        <v>197</v>
      </c>
      <c r="F241" s="8"/>
      <c r="G241" s="8" t="s">
        <v>243</v>
      </c>
      <c r="H241" s="8" t="s">
        <v>198</v>
      </c>
    </row>
    <row r="242" ht="14.25" spans="1:8">
      <c r="A242" s="8">
        <v>1309</v>
      </c>
      <c r="B242" s="8" t="s">
        <v>566</v>
      </c>
      <c r="C242" s="8" t="s">
        <v>567</v>
      </c>
      <c r="D242" s="8">
        <v>23</v>
      </c>
      <c r="E242" s="8" t="s">
        <v>344</v>
      </c>
      <c r="F242" s="8"/>
      <c r="G242" s="8" t="s">
        <v>243</v>
      </c>
      <c r="H242" s="8" t="s">
        <v>201</v>
      </c>
    </row>
    <row r="243" ht="14.25" spans="1:8">
      <c r="A243" s="8">
        <v>1310</v>
      </c>
      <c r="B243" s="8" t="s">
        <v>568</v>
      </c>
      <c r="C243" s="8" t="s">
        <v>569</v>
      </c>
      <c r="D243" s="8">
        <v>26</v>
      </c>
      <c r="E243" s="8" t="s">
        <v>344</v>
      </c>
      <c r="F243" s="8"/>
      <c r="G243" s="8" t="s">
        <v>243</v>
      </c>
      <c r="H243" s="8" t="s">
        <v>201</v>
      </c>
    </row>
    <row r="244" ht="14.25" spans="1:8">
      <c r="A244" s="8">
        <v>1311</v>
      </c>
      <c r="B244" s="8" t="s">
        <v>570</v>
      </c>
      <c r="C244" s="8" t="s">
        <v>571</v>
      </c>
      <c r="D244" s="8">
        <v>24</v>
      </c>
      <c r="E244" s="8" t="s">
        <v>344</v>
      </c>
      <c r="F244" s="8"/>
      <c r="G244" s="8" t="s">
        <v>243</v>
      </c>
      <c r="H244" s="8" t="s">
        <v>201</v>
      </c>
    </row>
    <row r="245" ht="14.25" spans="1:8">
      <c r="A245" s="8">
        <v>1312</v>
      </c>
      <c r="B245" s="8" t="s">
        <v>572</v>
      </c>
      <c r="C245" s="8" t="s">
        <v>573</v>
      </c>
      <c r="D245" s="8">
        <v>27</v>
      </c>
      <c r="E245" s="8" t="s">
        <v>344</v>
      </c>
      <c r="F245" s="8"/>
      <c r="G245" s="8" t="s">
        <v>243</v>
      </c>
      <c r="H245" s="8" t="s">
        <v>201</v>
      </c>
    </row>
    <row r="246" ht="14.25" spans="1:8">
      <c r="A246" s="8">
        <v>1313</v>
      </c>
      <c r="B246" s="8" t="s">
        <v>574</v>
      </c>
      <c r="C246" s="8" t="s">
        <v>575</v>
      </c>
      <c r="D246" s="8">
        <v>29</v>
      </c>
      <c r="E246" s="8" t="s">
        <v>344</v>
      </c>
      <c r="F246" s="8"/>
      <c r="G246" s="8" t="s">
        <v>243</v>
      </c>
      <c r="H246" s="8" t="s">
        <v>201</v>
      </c>
    </row>
    <row r="247" ht="14.25" spans="1:8">
      <c r="A247" s="8">
        <v>1314</v>
      </c>
      <c r="B247" s="8" t="s">
        <v>576</v>
      </c>
      <c r="C247" s="8" t="s">
        <v>577</v>
      </c>
      <c r="D247" s="8">
        <v>30</v>
      </c>
      <c r="E247" s="8" t="s">
        <v>344</v>
      </c>
      <c r="F247" s="8"/>
      <c r="G247" s="8" t="s">
        <v>243</v>
      </c>
      <c r="H247" s="8" t="s">
        <v>201</v>
      </c>
    </row>
    <row r="248" ht="14.25" spans="1:8">
      <c r="A248" s="8"/>
      <c r="B248" s="8"/>
      <c r="C248" s="8"/>
      <c r="D248" s="8"/>
      <c r="E248" s="8" t="s">
        <v>197</v>
      </c>
      <c r="F248" s="8"/>
      <c r="G248" s="8"/>
      <c r="H248" s="8"/>
    </row>
    <row r="249" ht="14.25" spans="1:8">
      <c r="A249" s="8">
        <v>1401</v>
      </c>
      <c r="B249" s="8" t="s">
        <v>578</v>
      </c>
      <c r="C249" s="8" t="s">
        <v>579</v>
      </c>
      <c r="D249" s="8">
        <v>21</v>
      </c>
      <c r="E249" s="8" t="s">
        <v>344</v>
      </c>
      <c r="F249" s="8"/>
      <c r="G249" s="8" t="s">
        <v>243</v>
      </c>
      <c r="H249" s="8" t="s">
        <v>198</v>
      </c>
    </row>
    <row r="250" ht="14.25" spans="1:8">
      <c r="A250" s="8">
        <v>1402</v>
      </c>
      <c r="B250" s="8" t="s">
        <v>580</v>
      </c>
      <c r="C250" s="8" t="s">
        <v>581</v>
      </c>
      <c r="D250" s="8"/>
      <c r="E250" s="8" t="s">
        <v>344</v>
      </c>
      <c r="F250" s="8"/>
      <c r="G250" s="8"/>
      <c r="H250" s="8" t="s">
        <v>201</v>
      </c>
    </row>
    <row r="251" ht="14.25" spans="1:8">
      <c r="A251" s="8">
        <v>1403</v>
      </c>
      <c r="B251" s="8" t="s">
        <v>582</v>
      </c>
      <c r="C251" s="8" t="s">
        <v>583</v>
      </c>
      <c r="D251" s="8">
        <v>20</v>
      </c>
      <c r="E251" s="8" t="s">
        <v>344</v>
      </c>
      <c r="F251" s="8"/>
      <c r="G251" s="8" t="s">
        <v>243</v>
      </c>
      <c r="H251" s="8" t="s">
        <v>198</v>
      </c>
    </row>
    <row r="252" ht="14.25" spans="1:8">
      <c r="A252" s="8">
        <v>1404</v>
      </c>
      <c r="B252" s="8" t="s">
        <v>584</v>
      </c>
      <c r="C252" s="8" t="s">
        <v>585</v>
      </c>
      <c r="D252" s="8"/>
      <c r="E252" s="8" t="s">
        <v>344</v>
      </c>
      <c r="F252" s="8"/>
      <c r="G252" s="8"/>
      <c r="H252" s="8" t="s">
        <v>201</v>
      </c>
    </row>
    <row r="253" ht="14.25" spans="1:8">
      <c r="A253" s="8">
        <v>1405</v>
      </c>
      <c r="B253" s="8" t="s">
        <v>586</v>
      </c>
      <c r="C253" s="8" t="s">
        <v>587</v>
      </c>
      <c r="D253" s="8">
        <v>28</v>
      </c>
      <c r="E253" s="8" t="s">
        <v>344</v>
      </c>
      <c r="F253" s="8"/>
      <c r="G253" s="8" t="s">
        <v>243</v>
      </c>
      <c r="H253" s="8" t="s">
        <v>201</v>
      </c>
    </row>
    <row r="254" ht="14.25" spans="1:8">
      <c r="A254" s="8">
        <v>1406</v>
      </c>
      <c r="B254" s="8" t="s">
        <v>588</v>
      </c>
      <c r="C254" s="8" t="s">
        <v>119</v>
      </c>
      <c r="D254" s="8">
        <v>22</v>
      </c>
      <c r="E254" s="8" t="s">
        <v>344</v>
      </c>
      <c r="F254" s="8"/>
      <c r="G254" s="8" t="s">
        <v>484</v>
      </c>
      <c r="H254" s="8" t="s">
        <v>201</v>
      </c>
    </row>
    <row r="255" ht="14.25" spans="1:8">
      <c r="A255" s="8">
        <v>1407</v>
      </c>
      <c r="B255" s="8" t="s">
        <v>589</v>
      </c>
      <c r="C255" s="8" t="s">
        <v>590</v>
      </c>
      <c r="D255" s="8">
        <v>25</v>
      </c>
      <c r="E255" s="8" t="s">
        <v>344</v>
      </c>
      <c r="F255" s="8"/>
      <c r="G255" s="8" t="s">
        <v>243</v>
      </c>
      <c r="H255" s="8" t="s">
        <v>201</v>
      </c>
    </row>
    <row r="256" ht="14.25" spans="1:8">
      <c r="A256" s="8">
        <v>1408</v>
      </c>
      <c r="B256" s="8" t="s">
        <v>591</v>
      </c>
      <c r="C256" s="8" t="s">
        <v>592</v>
      </c>
      <c r="D256" s="8">
        <v>26</v>
      </c>
      <c r="E256" s="8" t="s">
        <v>197</v>
      </c>
      <c r="F256" s="8"/>
      <c r="G256" s="8" t="s">
        <v>243</v>
      </c>
      <c r="H256" s="8" t="s">
        <v>198</v>
      </c>
    </row>
    <row r="257" ht="14.25" spans="1:8">
      <c r="A257" s="8">
        <v>1409</v>
      </c>
      <c r="B257" s="8" t="s">
        <v>593</v>
      </c>
      <c r="C257" s="8" t="s">
        <v>594</v>
      </c>
      <c r="D257" s="8">
        <v>23</v>
      </c>
      <c r="E257" s="8" t="s">
        <v>344</v>
      </c>
      <c r="F257" s="8"/>
      <c r="G257" s="8" t="s">
        <v>243</v>
      </c>
      <c r="H257" s="8" t="s">
        <v>201</v>
      </c>
    </row>
    <row r="258" ht="14.25" spans="1:8">
      <c r="A258" s="8">
        <v>1410</v>
      </c>
      <c r="B258" s="8" t="s">
        <v>595</v>
      </c>
      <c r="C258" s="8" t="s">
        <v>596</v>
      </c>
      <c r="D258" s="8">
        <v>26</v>
      </c>
      <c r="E258" s="8" t="s">
        <v>344</v>
      </c>
      <c r="F258" s="8"/>
      <c r="G258" s="8" t="s">
        <v>243</v>
      </c>
      <c r="H258" s="8" t="s">
        <v>201</v>
      </c>
    </row>
    <row r="259" ht="14.25" spans="1:8">
      <c r="A259" s="8">
        <v>1411</v>
      </c>
      <c r="B259" s="8" t="s">
        <v>597</v>
      </c>
      <c r="C259" s="8" t="s">
        <v>100</v>
      </c>
      <c r="D259" s="8">
        <v>24</v>
      </c>
      <c r="E259" s="8" t="s">
        <v>344</v>
      </c>
      <c r="F259" s="8"/>
      <c r="G259" s="8" t="s">
        <v>243</v>
      </c>
      <c r="H259" s="8" t="s">
        <v>201</v>
      </c>
    </row>
    <row r="260" ht="14.25" spans="1:8">
      <c r="A260" s="8">
        <v>1412</v>
      </c>
      <c r="B260" s="8" t="s">
        <v>598</v>
      </c>
      <c r="C260" s="8" t="s">
        <v>599</v>
      </c>
      <c r="D260" s="8">
        <v>27</v>
      </c>
      <c r="E260" s="8" t="s">
        <v>344</v>
      </c>
      <c r="F260" s="8"/>
      <c r="G260" s="8" t="s">
        <v>243</v>
      </c>
      <c r="H260" s="8" t="s">
        <v>201</v>
      </c>
    </row>
    <row r="261" ht="14.25" spans="1:8">
      <c r="A261" s="8">
        <v>1413</v>
      </c>
      <c r="B261" s="8" t="s">
        <v>600</v>
      </c>
      <c r="C261" s="8" t="s">
        <v>112</v>
      </c>
      <c r="D261" s="8">
        <v>29</v>
      </c>
      <c r="E261" s="8" t="s">
        <v>344</v>
      </c>
      <c r="F261" s="8"/>
      <c r="G261" s="8" t="s">
        <v>243</v>
      </c>
      <c r="H261" s="8" t="s">
        <v>201</v>
      </c>
    </row>
    <row r="262" ht="14.25" spans="1:8">
      <c r="A262" s="8">
        <v>1414</v>
      </c>
      <c r="B262" s="8" t="s">
        <v>601</v>
      </c>
      <c r="C262" s="8" t="s">
        <v>602</v>
      </c>
      <c r="D262" s="8">
        <v>30</v>
      </c>
      <c r="E262" s="8" t="s">
        <v>344</v>
      </c>
      <c r="F262" s="8"/>
      <c r="G262" s="8" t="s">
        <v>243</v>
      </c>
      <c r="H262" s="8" t="s">
        <v>201</v>
      </c>
    </row>
    <row r="263" ht="14.25" spans="1:8">
      <c r="A263" s="8"/>
      <c r="B263" s="8"/>
      <c r="C263" s="8"/>
      <c r="D263" s="8"/>
      <c r="E263" s="8" t="s">
        <v>197</v>
      </c>
      <c r="F263" s="8"/>
      <c r="G263" s="8"/>
      <c r="H263" s="8"/>
    </row>
    <row r="264" ht="14.25" spans="1:8">
      <c r="A264" s="8">
        <v>1501</v>
      </c>
      <c r="B264" s="8" t="s">
        <v>603</v>
      </c>
      <c r="C264" s="8" t="s">
        <v>604</v>
      </c>
      <c r="D264" s="8">
        <v>21</v>
      </c>
      <c r="E264" s="8" t="s">
        <v>344</v>
      </c>
      <c r="F264" s="8"/>
      <c r="G264" s="8" t="s">
        <v>243</v>
      </c>
      <c r="H264" s="8" t="s">
        <v>198</v>
      </c>
    </row>
    <row r="265" ht="14.25" spans="1:8">
      <c r="A265" s="8">
        <v>1502</v>
      </c>
      <c r="B265" s="8" t="s">
        <v>605</v>
      </c>
      <c r="C265" s="8" t="s">
        <v>606</v>
      </c>
      <c r="D265" s="8"/>
      <c r="E265" s="8" t="s">
        <v>344</v>
      </c>
      <c r="F265" s="8"/>
      <c r="G265" s="8"/>
      <c r="H265" s="8" t="s">
        <v>201</v>
      </c>
    </row>
    <row r="266" ht="14.25" spans="1:8">
      <c r="A266" s="8">
        <v>1503</v>
      </c>
      <c r="B266" s="8" t="s">
        <v>607</v>
      </c>
      <c r="C266" s="8" t="s">
        <v>608</v>
      </c>
      <c r="D266" s="8">
        <v>20</v>
      </c>
      <c r="E266" s="8" t="s">
        <v>344</v>
      </c>
      <c r="F266" s="8"/>
      <c r="G266" s="8" t="s">
        <v>243</v>
      </c>
      <c r="H266" s="8" t="s">
        <v>198</v>
      </c>
    </row>
    <row r="267" ht="14.25" spans="1:8">
      <c r="A267" s="8">
        <v>1504</v>
      </c>
      <c r="B267" s="8" t="s">
        <v>609</v>
      </c>
      <c r="C267" s="8" t="s">
        <v>610</v>
      </c>
      <c r="D267" s="8"/>
      <c r="E267" s="8" t="s">
        <v>344</v>
      </c>
      <c r="F267" s="8"/>
      <c r="G267" s="8"/>
      <c r="H267" s="8" t="s">
        <v>201</v>
      </c>
    </row>
    <row r="268" ht="14.25" spans="1:8">
      <c r="A268" s="8">
        <v>1505</v>
      </c>
      <c r="B268" s="8" t="s">
        <v>611</v>
      </c>
      <c r="C268" s="8" t="s">
        <v>612</v>
      </c>
      <c r="D268" s="8">
        <v>28</v>
      </c>
      <c r="E268" s="8" t="s">
        <v>344</v>
      </c>
      <c r="F268" s="8"/>
      <c r="G268" s="8" t="s">
        <v>243</v>
      </c>
      <c r="H268" s="8" t="s">
        <v>201</v>
      </c>
    </row>
    <row r="269" ht="14.25" spans="1:8">
      <c r="A269" s="8">
        <v>1506</v>
      </c>
      <c r="B269" s="8" t="s">
        <v>613</v>
      </c>
      <c r="C269" s="8" t="s">
        <v>120</v>
      </c>
      <c r="D269" s="8">
        <v>22</v>
      </c>
      <c r="E269" s="8" t="s">
        <v>344</v>
      </c>
      <c r="F269" s="8"/>
      <c r="G269" s="8" t="s">
        <v>484</v>
      </c>
      <c r="H269" s="8" t="s">
        <v>201</v>
      </c>
    </row>
    <row r="270" ht="14.25" spans="1:8">
      <c r="A270" s="8">
        <v>1507</v>
      </c>
      <c r="B270" s="8" t="s">
        <v>614</v>
      </c>
      <c r="C270" s="8" t="s">
        <v>615</v>
      </c>
      <c r="D270" s="8">
        <v>25</v>
      </c>
      <c r="E270" s="8" t="s">
        <v>344</v>
      </c>
      <c r="F270" s="8"/>
      <c r="G270" s="8" t="s">
        <v>243</v>
      </c>
      <c r="H270" s="8" t="s">
        <v>201</v>
      </c>
    </row>
    <row r="271" ht="14.25" spans="1:8">
      <c r="A271" s="8">
        <v>1508</v>
      </c>
      <c r="B271" s="8" t="s">
        <v>616</v>
      </c>
      <c r="C271" s="8" t="s">
        <v>617</v>
      </c>
      <c r="D271" s="8">
        <v>26</v>
      </c>
      <c r="E271" s="8" t="s">
        <v>197</v>
      </c>
      <c r="F271" s="8"/>
      <c r="G271" s="8" t="s">
        <v>243</v>
      </c>
      <c r="H271" s="8" t="s">
        <v>198</v>
      </c>
    </row>
    <row r="272" ht="14.25" spans="1:8">
      <c r="A272" s="8">
        <v>1509</v>
      </c>
      <c r="B272" s="8" t="s">
        <v>618</v>
      </c>
      <c r="C272" s="8" t="s">
        <v>619</v>
      </c>
      <c r="D272" s="8">
        <v>23</v>
      </c>
      <c r="E272" s="8" t="s">
        <v>344</v>
      </c>
      <c r="F272" s="8"/>
      <c r="G272" s="8" t="s">
        <v>243</v>
      </c>
      <c r="H272" s="8" t="s">
        <v>201</v>
      </c>
    </row>
    <row r="273" ht="14.25" spans="1:8">
      <c r="A273" s="8">
        <v>1510</v>
      </c>
      <c r="B273" s="8" t="s">
        <v>620</v>
      </c>
      <c r="C273" s="8" t="s">
        <v>621</v>
      </c>
      <c r="D273" s="8">
        <v>26</v>
      </c>
      <c r="E273" s="8" t="s">
        <v>344</v>
      </c>
      <c r="F273" s="8"/>
      <c r="G273" s="8" t="s">
        <v>243</v>
      </c>
      <c r="H273" s="8" t="s">
        <v>201</v>
      </c>
    </row>
    <row r="274" ht="14.25" spans="1:8">
      <c r="A274" s="8">
        <v>1511</v>
      </c>
      <c r="B274" s="8" t="s">
        <v>622</v>
      </c>
      <c r="C274" s="8" t="s">
        <v>98</v>
      </c>
      <c r="D274" s="8">
        <v>24</v>
      </c>
      <c r="E274" s="8" t="s">
        <v>344</v>
      </c>
      <c r="F274" s="8"/>
      <c r="G274" s="8" t="s">
        <v>243</v>
      </c>
      <c r="H274" s="8" t="s">
        <v>201</v>
      </c>
    </row>
    <row r="275" ht="14.25" spans="1:8">
      <c r="A275" s="8">
        <v>1512</v>
      </c>
      <c r="B275" s="8" t="s">
        <v>623</v>
      </c>
      <c r="C275" s="8" t="s">
        <v>624</v>
      </c>
      <c r="D275" s="8">
        <v>27</v>
      </c>
      <c r="E275" s="8" t="s">
        <v>344</v>
      </c>
      <c r="F275" s="8"/>
      <c r="G275" s="8" t="s">
        <v>243</v>
      </c>
      <c r="H275" s="8" t="s">
        <v>201</v>
      </c>
    </row>
    <row r="276" ht="14.25" spans="1:8">
      <c r="A276" s="8">
        <v>1513</v>
      </c>
      <c r="B276" s="8" t="s">
        <v>625</v>
      </c>
      <c r="C276" s="8" t="s">
        <v>113</v>
      </c>
      <c r="D276" s="8">
        <v>29</v>
      </c>
      <c r="E276" s="8" t="s">
        <v>344</v>
      </c>
      <c r="F276" s="8"/>
      <c r="G276" s="8" t="s">
        <v>243</v>
      </c>
      <c r="H276" s="8" t="s">
        <v>201</v>
      </c>
    </row>
    <row r="277" ht="14.25" spans="1:8">
      <c r="A277" s="8">
        <v>1514</v>
      </c>
      <c r="B277" s="8" t="s">
        <v>626</v>
      </c>
      <c r="C277" s="8" t="s">
        <v>627</v>
      </c>
      <c r="D277" s="8">
        <v>30</v>
      </c>
      <c r="E277" s="8" t="s">
        <v>344</v>
      </c>
      <c r="F277" s="8"/>
      <c r="G277" s="8" t="s">
        <v>243</v>
      </c>
      <c r="H277" s="8" t="s">
        <v>201</v>
      </c>
    </row>
    <row r="278" ht="14.25" spans="1:8">
      <c r="A278" s="8"/>
      <c r="B278" s="8"/>
      <c r="C278" s="8"/>
      <c r="D278" s="8"/>
      <c r="E278" s="8"/>
      <c r="F278" s="8"/>
      <c r="G278" s="8"/>
      <c r="H278" s="8"/>
    </row>
    <row r="279" ht="14.25" spans="1:8">
      <c r="A279" s="8"/>
      <c r="B279" s="8"/>
      <c r="C279" s="8"/>
      <c r="D279" s="8"/>
      <c r="E279" s="8"/>
      <c r="F279" s="8"/>
      <c r="G279" s="8"/>
      <c r="H279" s="8"/>
    </row>
    <row r="280" ht="14.25" spans="1:8">
      <c r="A280" s="8"/>
      <c r="B280" s="8"/>
      <c r="C280" s="8"/>
      <c r="D280" s="8"/>
      <c r="E280" s="8"/>
      <c r="F280" s="8"/>
      <c r="G280" s="8"/>
      <c r="H280" s="8"/>
    </row>
    <row r="281" ht="14.25" spans="1:8">
      <c r="A281" s="8"/>
      <c r="B281" s="8"/>
      <c r="C281" s="8"/>
      <c r="D281" s="8"/>
      <c r="E281" s="8"/>
      <c r="F281" s="8"/>
      <c r="G281" s="8"/>
      <c r="H281" s="8"/>
    </row>
    <row r="282" ht="14.25" spans="1:8">
      <c r="A282" s="8"/>
      <c r="B282" s="8"/>
      <c r="C282" s="8"/>
      <c r="D282" s="8"/>
      <c r="E282" s="8"/>
      <c r="F282" s="8"/>
      <c r="G282" s="8"/>
      <c r="H282" s="8"/>
    </row>
    <row r="283" ht="14.25" spans="1:8">
      <c r="A283" s="8"/>
      <c r="B283" s="8"/>
      <c r="C283" s="7" t="s">
        <v>628</v>
      </c>
      <c r="D283" s="8"/>
      <c r="E283" s="8"/>
      <c r="F283" s="8"/>
      <c r="G283" s="8"/>
      <c r="H283" s="8"/>
    </row>
    <row r="284" ht="14.25" spans="1:8">
      <c r="A284" s="8">
        <v>1601</v>
      </c>
      <c r="B284" s="8" t="s">
        <v>629</v>
      </c>
      <c r="C284" s="8" t="s">
        <v>630</v>
      </c>
      <c r="D284" s="8"/>
      <c r="E284" s="8" t="s">
        <v>344</v>
      </c>
      <c r="F284" s="8"/>
      <c r="G284" s="8"/>
      <c r="H284" s="8" t="s">
        <v>201</v>
      </c>
    </row>
    <row r="285" ht="14.25" spans="1:8">
      <c r="A285" s="8"/>
      <c r="B285" s="8"/>
      <c r="C285" s="8"/>
      <c r="D285" s="8"/>
      <c r="E285" s="8"/>
      <c r="F285" s="8"/>
      <c r="G285" s="8"/>
      <c r="H285" s="8"/>
    </row>
    <row r="286" ht="14.25" spans="1:8">
      <c r="A286" s="8">
        <v>1701</v>
      </c>
      <c r="B286" s="8" t="s">
        <v>631</v>
      </c>
      <c r="C286" s="8" t="s">
        <v>632</v>
      </c>
      <c r="D286" s="8">
        <v>21</v>
      </c>
      <c r="E286" s="8" t="s">
        <v>344</v>
      </c>
      <c r="F286" s="8"/>
      <c r="G286" s="8" t="s">
        <v>243</v>
      </c>
      <c r="H286" s="8" t="s">
        <v>198</v>
      </c>
    </row>
    <row r="287" ht="14.25" spans="1:8">
      <c r="A287" s="8">
        <v>1702</v>
      </c>
      <c r="B287" s="8" t="s">
        <v>633</v>
      </c>
      <c r="C287" s="8" t="s">
        <v>634</v>
      </c>
      <c r="D287" s="8"/>
      <c r="E287" s="8" t="s">
        <v>344</v>
      </c>
      <c r="F287" s="8"/>
      <c r="G287" s="8"/>
      <c r="H287" s="8" t="s">
        <v>201</v>
      </c>
    </row>
    <row r="288" ht="14.25" spans="1:8">
      <c r="A288" s="8">
        <v>1703</v>
      </c>
      <c r="B288" s="8" t="s">
        <v>635</v>
      </c>
      <c r="C288" s="8" t="s">
        <v>636</v>
      </c>
      <c r="D288" s="8">
        <v>20</v>
      </c>
      <c r="E288" s="8" t="s">
        <v>344</v>
      </c>
      <c r="F288" s="8"/>
      <c r="G288" s="8" t="s">
        <v>243</v>
      </c>
      <c r="H288" s="8" t="s">
        <v>198</v>
      </c>
    </row>
    <row r="289" ht="14.25" spans="1:8">
      <c r="A289" s="8">
        <v>1704</v>
      </c>
      <c r="B289" s="8" t="s">
        <v>637</v>
      </c>
      <c r="C289" s="8" t="s">
        <v>638</v>
      </c>
      <c r="D289" s="8"/>
      <c r="E289" s="8" t="s">
        <v>344</v>
      </c>
      <c r="F289" s="8"/>
      <c r="G289" s="8"/>
      <c r="H289" s="8" t="s">
        <v>201</v>
      </c>
    </row>
    <row r="290" ht="14.25" spans="1:8">
      <c r="A290" s="8">
        <v>1705</v>
      </c>
      <c r="B290" s="8" t="s">
        <v>639</v>
      </c>
      <c r="C290" s="8" t="s">
        <v>640</v>
      </c>
      <c r="D290" s="8">
        <v>28</v>
      </c>
      <c r="E290" s="8" t="s">
        <v>344</v>
      </c>
      <c r="F290" s="8"/>
      <c r="G290" s="8" t="s">
        <v>243</v>
      </c>
      <c r="H290" s="8" t="s">
        <v>201</v>
      </c>
    </row>
    <row r="291" ht="14.25" spans="1:8">
      <c r="A291" s="8">
        <v>1706</v>
      </c>
      <c r="B291" s="8" t="s">
        <v>641</v>
      </c>
      <c r="C291" s="8" t="s">
        <v>121</v>
      </c>
      <c r="D291" s="8">
        <v>22</v>
      </c>
      <c r="E291" s="8" t="s">
        <v>344</v>
      </c>
      <c r="F291" s="8"/>
      <c r="G291" s="8" t="s">
        <v>484</v>
      </c>
      <c r="H291" s="8" t="s">
        <v>201</v>
      </c>
    </row>
    <row r="292" ht="14.25" spans="1:8">
      <c r="A292" s="8">
        <v>1707</v>
      </c>
      <c r="B292" s="8" t="s">
        <v>642</v>
      </c>
      <c r="C292" s="8" t="s">
        <v>643</v>
      </c>
      <c r="D292" s="8">
        <v>25</v>
      </c>
      <c r="E292" s="8" t="s">
        <v>344</v>
      </c>
      <c r="F292" s="8"/>
      <c r="G292" s="8" t="s">
        <v>243</v>
      </c>
      <c r="H292" s="8" t="s">
        <v>201</v>
      </c>
    </row>
    <row r="293" ht="14.25" spans="1:8">
      <c r="A293" s="8">
        <v>1708</v>
      </c>
      <c r="B293" s="8" t="s">
        <v>644</v>
      </c>
      <c r="C293" s="8" t="s">
        <v>645</v>
      </c>
      <c r="D293" s="8">
        <v>26</v>
      </c>
      <c r="E293" s="8" t="s">
        <v>197</v>
      </c>
      <c r="F293" s="8"/>
      <c r="G293" s="8" t="s">
        <v>243</v>
      </c>
      <c r="H293" s="8" t="s">
        <v>198</v>
      </c>
    </row>
    <row r="294" ht="14.25" spans="1:8">
      <c r="A294" s="8">
        <v>1709</v>
      </c>
      <c r="B294" s="8" t="s">
        <v>646</v>
      </c>
      <c r="C294" s="8" t="s">
        <v>647</v>
      </c>
      <c r="D294" s="8">
        <v>23</v>
      </c>
      <c r="E294" s="8" t="s">
        <v>344</v>
      </c>
      <c r="F294" s="8"/>
      <c r="G294" s="8" t="s">
        <v>243</v>
      </c>
      <c r="H294" s="8" t="s">
        <v>201</v>
      </c>
    </row>
    <row r="295" ht="14.25" spans="1:8">
      <c r="A295" s="8">
        <v>1710</v>
      </c>
      <c r="B295" s="8" t="s">
        <v>648</v>
      </c>
      <c r="C295" s="8" t="s">
        <v>649</v>
      </c>
      <c r="D295" s="8">
        <v>26</v>
      </c>
      <c r="E295" s="8" t="s">
        <v>344</v>
      </c>
      <c r="F295" s="8"/>
      <c r="G295" s="8" t="s">
        <v>243</v>
      </c>
      <c r="H295" s="8" t="s">
        <v>201</v>
      </c>
    </row>
    <row r="296" ht="14.25" spans="1:8">
      <c r="A296" s="8">
        <v>1711</v>
      </c>
      <c r="B296" s="8" t="s">
        <v>650</v>
      </c>
      <c r="C296" s="8" t="s">
        <v>99</v>
      </c>
      <c r="D296" s="8">
        <v>24</v>
      </c>
      <c r="E296" s="8" t="s">
        <v>344</v>
      </c>
      <c r="F296" s="8"/>
      <c r="G296" s="8" t="s">
        <v>243</v>
      </c>
      <c r="H296" s="8" t="s">
        <v>201</v>
      </c>
    </row>
    <row r="297" ht="14.25" spans="1:8">
      <c r="A297" s="8">
        <v>1712</v>
      </c>
      <c r="B297" s="8" t="s">
        <v>651</v>
      </c>
      <c r="C297" s="8" t="s">
        <v>652</v>
      </c>
      <c r="D297" s="8">
        <v>27</v>
      </c>
      <c r="E297" s="8" t="s">
        <v>344</v>
      </c>
      <c r="F297" s="8"/>
      <c r="G297" s="8" t="s">
        <v>243</v>
      </c>
      <c r="H297" s="8" t="s">
        <v>201</v>
      </c>
    </row>
    <row r="298" ht="14.25" spans="1:8">
      <c r="A298" s="8">
        <v>1713</v>
      </c>
      <c r="B298" s="8" t="s">
        <v>653</v>
      </c>
      <c r="C298" s="8" t="s">
        <v>114</v>
      </c>
      <c r="D298" s="8">
        <v>29</v>
      </c>
      <c r="E298" s="8" t="s">
        <v>344</v>
      </c>
      <c r="F298" s="8"/>
      <c r="G298" s="8" t="s">
        <v>243</v>
      </c>
      <c r="H298" s="8" t="s">
        <v>201</v>
      </c>
    </row>
    <row r="299" ht="14.25" spans="1:8">
      <c r="A299" s="8">
        <v>1714</v>
      </c>
      <c r="B299" s="8" t="s">
        <v>654</v>
      </c>
      <c r="C299" s="8" t="s">
        <v>655</v>
      </c>
      <c r="D299" s="8">
        <v>30</v>
      </c>
      <c r="E299" s="8" t="s">
        <v>344</v>
      </c>
      <c r="F299" s="8"/>
      <c r="G299" s="8" t="s">
        <v>243</v>
      </c>
      <c r="H299" s="8" t="s">
        <v>201</v>
      </c>
    </row>
    <row r="300" ht="14.25" spans="1:8">
      <c r="A300" s="8"/>
      <c r="B300" s="8"/>
      <c r="C300" s="8"/>
      <c r="D300" s="8"/>
      <c r="E300" s="8"/>
      <c r="F300" s="8"/>
      <c r="G300" s="8"/>
      <c r="H300" s="8"/>
    </row>
    <row r="301" ht="14.25" spans="1:8">
      <c r="A301" s="8"/>
      <c r="B301" s="8"/>
      <c r="C301" s="8"/>
      <c r="D301" s="8"/>
      <c r="E301" s="8"/>
      <c r="F301" s="8"/>
      <c r="G301" s="8"/>
      <c r="H301" s="8"/>
    </row>
    <row r="302" ht="14.25" spans="1:8">
      <c r="A302" s="8"/>
      <c r="B302" s="8"/>
      <c r="C302" s="8"/>
      <c r="D302" s="8"/>
      <c r="E302" s="8"/>
      <c r="F302" s="8"/>
      <c r="G302" s="8"/>
      <c r="H302" s="8"/>
    </row>
    <row r="303" ht="14.25" spans="1:8">
      <c r="A303" s="11"/>
      <c r="B303" s="11"/>
      <c r="C303" s="14" t="s">
        <v>656</v>
      </c>
      <c r="D303" s="11"/>
      <c r="E303" s="11"/>
      <c r="F303" s="11"/>
      <c r="G303" s="11"/>
      <c r="H303" s="11"/>
    </row>
    <row r="304" ht="14.25" spans="1:8">
      <c r="A304" s="11">
        <v>2001</v>
      </c>
      <c r="B304" s="11" t="s">
        <v>657</v>
      </c>
      <c r="C304" s="15" t="s">
        <v>658</v>
      </c>
      <c r="D304" s="11"/>
      <c r="E304" s="11"/>
      <c r="F304" s="11"/>
      <c r="G304" s="11"/>
      <c r="H304" s="11" t="s">
        <v>201</v>
      </c>
    </row>
    <row r="305" ht="14.25" spans="1:8">
      <c r="A305" s="11">
        <v>2002</v>
      </c>
      <c r="B305" s="11" t="s">
        <v>659</v>
      </c>
      <c r="C305" s="15" t="s">
        <v>660</v>
      </c>
      <c r="D305" s="11"/>
      <c r="E305" s="11"/>
      <c r="F305" s="11"/>
      <c r="G305" s="11"/>
      <c r="H305" s="11" t="s">
        <v>201</v>
      </c>
    </row>
    <row r="306" ht="14.25" spans="1:8">
      <c r="A306" s="11">
        <v>2003</v>
      </c>
      <c r="B306" s="11" t="s">
        <v>661</v>
      </c>
      <c r="C306" s="15" t="s">
        <v>662</v>
      </c>
      <c r="D306" s="11"/>
      <c r="E306" s="11"/>
      <c r="F306" s="11"/>
      <c r="G306" s="11"/>
      <c r="H306" s="11" t="s">
        <v>201</v>
      </c>
    </row>
    <row r="307" ht="14.25" spans="1:8">
      <c r="A307" s="11">
        <v>2004</v>
      </c>
      <c r="B307" s="11" t="s">
        <v>663</v>
      </c>
      <c r="C307" s="15" t="s">
        <v>664</v>
      </c>
      <c r="D307" s="11"/>
      <c r="E307" s="11"/>
      <c r="F307" s="11"/>
      <c r="G307" s="11"/>
      <c r="H307" s="11" t="s">
        <v>198</v>
      </c>
    </row>
    <row r="308" ht="14.25" spans="1:8">
      <c r="A308" s="11">
        <v>2005</v>
      </c>
      <c r="B308" s="11" t="s">
        <v>665</v>
      </c>
      <c r="C308" s="15" t="s">
        <v>666</v>
      </c>
      <c r="D308" s="11"/>
      <c r="E308" s="11"/>
      <c r="F308" s="11"/>
      <c r="G308" s="11"/>
      <c r="H308" s="11" t="s">
        <v>201</v>
      </c>
    </row>
    <row r="309" ht="14.25" spans="1:8">
      <c r="A309" s="11">
        <v>2006</v>
      </c>
      <c r="B309" s="11" t="s">
        <v>667</v>
      </c>
      <c r="C309" s="15" t="s">
        <v>668</v>
      </c>
      <c r="D309" s="11"/>
      <c r="E309" s="11"/>
      <c r="F309" s="11"/>
      <c r="G309" s="11"/>
      <c r="H309" s="11" t="s">
        <v>201</v>
      </c>
    </row>
    <row r="310" ht="14.25" spans="1:8">
      <c r="A310" s="11">
        <v>2007</v>
      </c>
      <c r="B310" s="11" t="s">
        <v>669</v>
      </c>
      <c r="C310" s="15" t="s">
        <v>670</v>
      </c>
      <c r="D310" s="11"/>
      <c r="E310" s="11"/>
      <c r="F310" s="11"/>
      <c r="G310" s="11"/>
      <c r="H310" s="11" t="s">
        <v>201</v>
      </c>
    </row>
    <row r="311" ht="14.25" spans="1:8">
      <c r="A311" s="16">
        <v>2008</v>
      </c>
      <c r="B311" s="16" t="s">
        <v>671</v>
      </c>
      <c r="C311" s="17" t="s">
        <v>672</v>
      </c>
      <c r="D311" s="16"/>
      <c r="E311" s="16"/>
      <c r="F311" s="16"/>
      <c r="G311" s="16"/>
      <c r="H311" s="16" t="s">
        <v>201</v>
      </c>
    </row>
    <row r="312" ht="14.25" spans="1:8">
      <c r="A312" s="16">
        <v>2009</v>
      </c>
      <c r="B312" s="16" t="s">
        <v>673</v>
      </c>
      <c r="C312" s="17" t="s">
        <v>674</v>
      </c>
      <c r="D312" s="16"/>
      <c r="E312" s="16"/>
      <c r="F312" s="16"/>
      <c r="G312" s="16"/>
      <c r="H312" s="16" t="s">
        <v>201</v>
      </c>
    </row>
    <row r="313" ht="14.25" spans="1:8">
      <c r="A313" s="16">
        <v>2010</v>
      </c>
      <c r="B313" s="16" t="s">
        <v>675</v>
      </c>
      <c r="C313" s="17" t="s">
        <v>676</v>
      </c>
      <c r="D313" s="16"/>
      <c r="E313" s="16"/>
      <c r="F313" s="16"/>
      <c r="G313" s="16"/>
      <c r="H313" s="16" t="s">
        <v>201</v>
      </c>
    </row>
    <row r="314" ht="14.25" spans="1:8">
      <c r="A314" s="16">
        <v>2011</v>
      </c>
      <c r="B314" s="16" t="s">
        <v>677</v>
      </c>
      <c r="C314" s="17" t="s">
        <v>678</v>
      </c>
      <c r="D314" s="16"/>
      <c r="E314" s="16"/>
      <c r="F314" s="16"/>
      <c r="G314" s="16"/>
      <c r="H314" s="16" t="s">
        <v>201</v>
      </c>
    </row>
    <row r="315" ht="14.25" spans="1:8">
      <c r="A315" s="16">
        <v>2012</v>
      </c>
      <c r="B315" s="16" t="s">
        <v>679</v>
      </c>
      <c r="C315" s="17" t="s">
        <v>680</v>
      </c>
      <c r="D315" s="16"/>
      <c r="E315" s="16"/>
      <c r="F315" s="16"/>
      <c r="G315" s="16"/>
      <c r="H315" s="16" t="s">
        <v>198</v>
      </c>
    </row>
    <row r="316" ht="14.25" spans="1:8">
      <c r="A316" s="16">
        <v>2013</v>
      </c>
      <c r="B316" s="16" t="s">
        <v>681</v>
      </c>
      <c r="C316" s="17" t="s">
        <v>682</v>
      </c>
      <c r="D316" s="16"/>
      <c r="E316" s="16"/>
      <c r="F316" s="16"/>
      <c r="G316" s="16"/>
      <c r="H316" s="16" t="s">
        <v>198</v>
      </c>
    </row>
    <row r="317" ht="14.25" spans="1:8">
      <c r="A317" s="16">
        <v>2014</v>
      </c>
      <c r="B317" s="16" t="s">
        <v>683</v>
      </c>
      <c r="C317" s="17" t="s">
        <v>684</v>
      </c>
      <c r="D317" s="16"/>
      <c r="E317" s="16"/>
      <c r="F317" s="16"/>
      <c r="G317" s="16"/>
      <c r="H317" s="16" t="s">
        <v>198</v>
      </c>
    </row>
    <row r="318" ht="14.25" spans="1:8">
      <c r="A318" s="16">
        <v>2015</v>
      </c>
      <c r="B318" s="16" t="s">
        <v>685</v>
      </c>
      <c r="C318" s="17" t="s">
        <v>686</v>
      </c>
      <c r="D318" s="11"/>
      <c r="E318" s="11"/>
      <c r="F318" s="11"/>
      <c r="G318" s="11"/>
      <c r="H318" s="16" t="s">
        <v>201</v>
      </c>
    </row>
    <row r="319" ht="14.25" spans="1:8">
      <c r="A319" s="16">
        <v>2016</v>
      </c>
      <c r="B319" s="16" t="s">
        <v>687</v>
      </c>
      <c r="C319" s="17" t="s">
        <v>688</v>
      </c>
      <c r="D319" s="11"/>
      <c r="E319" s="11"/>
      <c r="F319" s="11"/>
      <c r="G319" s="11"/>
      <c r="H319" s="16" t="s">
        <v>201</v>
      </c>
    </row>
    <row r="320" ht="14.25" spans="1:8">
      <c r="A320" s="16">
        <v>2017</v>
      </c>
      <c r="B320" s="16" t="s">
        <v>689</v>
      </c>
      <c r="C320" s="17" t="s">
        <v>690</v>
      </c>
      <c r="D320" s="11"/>
      <c r="E320" s="11"/>
      <c r="F320" s="11"/>
      <c r="G320" s="11"/>
      <c r="H320" s="16" t="s">
        <v>198</v>
      </c>
    </row>
    <row r="321" ht="14.25" spans="1:8">
      <c r="A321" s="11"/>
      <c r="B321" s="11"/>
      <c r="C321" s="15"/>
      <c r="D321" s="11"/>
      <c r="E321" s="11"/>
      <c r="F321" s="11"/>
      <c r="G321" s="11"/>
      <c r="H321" s="11"/>
    </row>
    <row r="322" ht="14.25" spans="1:8">
      <c r="A322" s="11">
        <v>2101</v>
      </c>
      <c r="B322" s="11" t="s">
        <v>691</v>
      </c>
      <c r="C322" s="15" t="s">
        <v>692</v>
      </c>
      <c r="D322" s="11"/>
      <c r="E322" s="11"/>
      <c r="F322" s="11"/>
      <c r="G322" s="11"/>
      <c r="H322" s="11" t="s">
        <v>198</v>
      </c>
    </row>
    <row r="323" ht="14.25" spans="1:8">
      <c r="A323" s="11">
        <v>2102</v>
      </c>
      <c r="B323" s="11" t="s">
        <v>693</v>
      </c>
      <c r="C323" s="15" t="s">
        <v>694</v>
      </c>
      <c r="D323" s="11"/>
      <c r="E323" s="11"/>
      <c r="F323" s="11"/>
      <c r="G323" s="11"/>
      <c r="H323" s="11" t="s">
        <v>198</v>
      </c>
    </row>
    <row r="324" ht="14.25" spans="1:8">
      <c r="A324" s="11">
        <v>2103</v>
      </c>
      <c r="B324" s="11" t="s">
        <v>695</v>
      </c>
      <c r="C324" s="15" t="s">
        <v>696</v>
      </c>
      <c r="D324" s="11"/>
      <c r="E324" s="11"/>
      <c r="F324" s="11"/>
      <c r="G324" s="11"/>
      <c r="H324" s="11" t="s">
        <v>198</v>
      </c>
    </row>
    <row r="325" ht="14.25" spans="1:8">
      <c r="A325" s="8"/>
      <c r="B325" s="8"/>
      <c r="C325" s="8"/>
      <c r="D325" s="8"/>
      <c r="E325" s="8"/>
      <c r="F325" s="8"/>
      <c r="G325" s="8"/>
      <c r="H325" s="8"/>
    </row>
    <row r="326" ht="14.25" spans="1:8">
      <c r="A326" s="8"/>
      <c r="B326" s="8"/>
      <c r="C326" s="8"/>
      <c r="D326" s="8"/>
      <c r="E326" s="8"/>
      <c r="F326" s="8"/>
      <c r="G326" s="8"/>
      <c r="H326" s="8"/>
    </row>
    <row r="327" ht="14.25" spans="1:8">
      <c r="A327" s="8"/>
      <c r="B327" s="8"/>
      <c r="C327" s="8"/>
      <c r="D327" s="8"/>
      <c r="E327" s="8"/>
      <c r="F327" s="8"/>
      <c r="G327" s="8"/>
      <c r="H327" s="8"/>
    </row>
    <row r="328" ht="14.25" spans="1:8">
      <c r="A328" s="8"/>
      <c r="B328" s="8"/>
      <c r="C328" s="8"/>
      <c r="D328" s="8"/>
      <c r="E328" s="8"/>
      <c r="F328" s="8"/>
      <c r="G328" s="8"/>
      <c r="H328" s="8"/>
    </row>
    <row r="329" ht="14.25" spans="1:8">
      <c r="A329" s="8"/>
      <c r="B329" s="8"/>
      <c r="C329" s="8"/>
      <c r="D329" s="8"/>
      <c r="E329" s="8"/>
      <c r="F329" s="8"/>
      <c r="G329" s="8"/>
      <c r="H329" s="8"/>
    </row>
    <row r="330" ht="14.25" spans="1:8">
      <c r="A330" s="8"/>
      <c r="B330" s="8"/>
      <c r="C330" s="8"/>
      <c r="D330" s="8"/>
      <c r="E330" s="8"/>
      <c r="F330" s="8"/>
      <c r="G330" s="8"/>
      <c r="H330" s="8"/>
    </row>
    <row r="331" ht="14.25" spans="1:8">
      <c r="A331" s="8"/>
      <c r="B331" s="8"/>
      <c r="C331" s="8"/>
      <c r="D331" s="8"/>
      <c r="E331" s="8"/>
      <c r="F331" s="8"/>
      <c r="G331" s="8"/>
      <c r="H331" s="8"/>
    </row>
    <row r="332" ht="14.25" spans="1:8">
      <c r="A332" s="8"/>
      <c r="B332" s="8"/>
      <c r="C332" s="8"/>
      <c r="D332" s="8"/>
      <c r="E332" s="8"/>
      <c r="F332" s="8"/>
      <c r="G332" s="8"/>
      <c r="H332" s="8"/>
    </row>
    <row r="333" ht="14.25" spans="1:8">
      <c r="A333" s="8"/>
      <c r="B333" s="8"/>
      <c r="C333" s="8"/>
      <c r="D333" s="8"/>
      <c r="E333" s="8"/>
      <c r="F333" s="8"/>
      <c r="G333" s="8"/>
      <c r="H333" s="8"/>
    </row>
    <row r="334" ht="14.25" spans="1:8">
      <c r="A334" s="8"/>
      <c r="B334" s="8"/>
      <c r="C334" s="8"/>
      <c r="D334" s="8"/>
      <c r="E334" s="8"/>
      <c r="F334" s="8"/>
      <c r="G334" s="8"/>
      <c r="H334" s="8"/>
    </row>
    <row r="335" ht="14.25" spans="1:8">
      <c r="A335" s="8"/>
      <c r="B335" s="8"/>
      <c r="C335" s="8"/>
      <c r="D335" s="8"/>
      <c r="E335" s="8"/>
      <c r="F335" s="8"/>
      <c r="G335" s="8"/>
      <c r="H335" s="8"/>
    </row>
    <row r="336" ht="14.25" spans="1:8">
      <c r="A336" s="8"/>
      <c r="B336" s="8"/>
      <c r="C336" s="8"/>
      <c r="D336" s="8"/>
      <c r="E336" s="8"/>
      <c r="F336" s="8"/>
      <c r="G336" s="8"/>
      <c r="H336" s="8"/>
    </row>
    <row r="337" ht="14.25" spans="1:8">
      <c r="A337" s="8"/>
      <c r="B337" s="8"/>
      <c r="C337" s="8"/>
      <c r="D337" s="8"/>
      <c r="E337" s="8"/>
      <c r="F337" s="8"/>
      <c r="G337" s="8"/>
      <c r="H337" s="8"/>
    </row>
    <row r="338" ht="14.25" spans="1:8">
      <c r="A338" s="8"/>
      <c r="B338" s="8"/>
      <c r="C338" s="8"/>
      <c r="D338" s="8"/>
      <c r="E338" s="8"/>
      <c r="F338" s="8"/>
      <c r="G338" s="8"/>
      <c r="H338" s="8"/>
    </row>
    <row r="339" ht="14.25" spans="1:8">
      <c r="A339" s="8"/>
      <c r="B339" s="8"/>
      <c r="C339" s="8"/>
      <c r="D339" s="8"/>
      <c r="E339" s="8"/>
      <c r="F339" s="8"/>
      <c r="G339" s="8"/>
      <c r="H339" s="8"/>
    </row>
    <row r="340" ht="14.25" spans="1:8">
      <c r="A340" s="8"/>
      <c r="B340" s="8"/>
      <c r="C340" s="8"/>
      <c r="D340" s="8"/>
      <c r="E340" s="8"/>
      <c r="F340" s="8"/>
      <c r="G340" s="8"/>
      <c r="H340" s="8"/>
    </row>
    <row r="341" ht="14.25" spans="1:8">
      <c r="A341" s="8"/>
      <c r="B341" s="8"/>
      <c r="C341" s="8"/>
      <c r="D341" s="8"/>
      <c r="E341" s="8"/>
      <c r="F341" s="8"/>
      <c r="G341" s="8"/>
      <c r="H341" s="8"/>
    </row>
    <row r="342" ht="14.25" spans="1:8">
      <c r="A342" s="8"/>
      <c r="B342" s="8"/>
      <c r="C342" s="8"/>
      <c r="D342" s="8"/>
      <c r="E342" s="8"/>
      <c r="F342" s="8"/>
      <c r="G342" s="8"/>
      <c r="H342" s="8"/>
    </row>
    <row r="343" ht="14.25" spans="1:8">
      <c r="A343" s="8"/>
      <c r="B343" s="8"/>
      <c r="C343" s="8"/>
      <c r="D343" s="8"/>
      <c r="E343" s="8"/>
      <c r="F343" s="8"/>
      <c r="G343" s="8"/>
      <c r="H343" s="8"/>
    </row>
    <row r="344" ht="14.25" spans="1:8">
      <c r="A344" s="8"/>
      <c r="B344" s="8"/>
      <c r="C344" s="8"/>
      <c r="D344" s="8"/>
      <c r="E344" s="8"/>
      <c r="F344" s="8"/>
      <c r="G344" s="8"/>
      <c r="H344" s="8"/>
    </row>
    <row r="345" ht="14.25" spans="1:8">
      <c r="A345" s="8"/>
      <c r="B345" s="8"/>
      <c r="C345" s="8"/>
      <c r="D345" s="8"/>
      <c r="E345" s="8"/>
      <c r="F345" s="8"/>
      <c r="G345" s="8"/>
      <c r="H345" s="8"/>
    </row>
    <row r="346" ht="14.25" spans="1:8">
      <c r="A346" s="8"/>
      <c r="B346" s="8"/>
      <c r="C346" s="8"/>
      <c r="D346" s="8"/>
      <c r="E346" s="8"/>
      <c r="F346" s="8"/>
      <c r="G346" s="8"/>
      <c r="H346" s="8"/>
    </row>
    <row r="347" ht="14.25" spans="1:8">
      <c r="A347" s="8"/>
      <c r="B347" s="8"/>
      <c r="C347" s="8"/>
      <c r="D347" s="8"/>
      <c r="E347" s="8"/>
      <c r="F347" s="8"/>
      <c r="G347" s="8"/>
      <c r="H347" s="8"/>
    </row>
    <row r="348" ht="14.25" spans="1:8">
      <c r="A348" s="8"/>
      <c r="B348" s="8"/>
      <c r="C348" s="8"/>
      <c r="D348" s="8"/>
      <c r="E348" s="8"/>
      <c r="F348" s="8"/>
      <c r="G348" s="8"/>
      <c r="H348" s="8"/>
    </row>
    <row r="349" ht="14.25" spans="1:8">
      <c r="A349" s="8"/>
      <c r="B349" s="8"/>
      <c r="C349" s="8"/>
      <c r="D349" s="8"/>
      <c r="E349" s="8"/>
      <c r="F349" s="8"/>
      <c r="G349" s="8"/>
      <c r="H349" s="8"/>
    </row>
    <row r="350" ht="14.25" spans="1:8">
      <c r="A350" s="8"/>
      <c r="B350" s="8"/>
      <c r="C350" s="8"/>
      <c r="D350" s="8"/>
      <c r="E350" s="8"/>
      <c r="F350" s="8"/>
      <c r="G350" s="8"/>
      <c r="H350" s="8"/>
    </row>
    <row r="351" ht="14.25" spans="1:8">
      <c r="A351" s="8"/>
      <c r="B351" s="8"/>
      <c r="C351" s="8"/>
      <c r="D351" s="8"/>
      <c r="E351" s="8"/>
      <c r="F351" s="8"/>
      <c r="G351" s="8"/>
      <c r="H351" s="8"/>
    </row>
    <row r="352" ht="14.25" spans="1:8">
      <c r="A352" s="8"/>
      <c r="B352" s="8"/>
      <c r="C352" s="8"/>
      <c r="D352" s="8"/>
      <c r="E352" s="8"/>
      <c r="F352" s="8"/>
      <c r="G352" s="8"/>
      <c r="H352" s="8"/>
    </row>
    <row r="353" ht="14.25" spans="1:8">
      <c r="A353" s="8"/>
      <c r="B353" s="8"/>
      <c r="C353" s="8"/>
      <c r="D353" s="8"/>
      <c r="E353" s="8"/>
      <c r="F353" s="8"/>
      <c r="G353" s="8"/>
      <c r="H353" s="8"/>
    </row>
    <row r="354" ht="14.25" spans="1:8">
      <c r="A354" s="8"/>
      <c r="B354" s="8"/>
      <c r="C354" s="8"/>
      <c r="D354" s="8"/>
      <c r="E354" s="8"/>
      <c r="F354" s="8"/>
      <c r="G354" s="8"/>
      <c r="H354" s="8"/>
    </row>
    <row r="355" ht="14.25" spans="1:8">
      <c r="A355" s="8"/>
      <c r="B355" s="8"/>
      <c r="C355" s="8"/>
      <c r="D355" s="8"/>
      <c r="E355" s="8"/>
      <c r="F355" s="8"/>
      <c r="G355" s="8"/>
      <c r="H355" s="8"/>
    </row>
    <row r="356" ht="14.25" spans="1:8">
      <c r="A356" s="8"/>
      <c r="B356" s="8"/>
      <c r="C356" s="8"/>
      <c r="D356" s="8"/>
      <c r="E356" s="8"/>
      <c r="F356" s="8"/>
      <c r="G356" s="8"/>
      <c r="H356" s="8"/>
    </row>
    <row r="357" ht="14.25" spans="1:8">
      <c r="A357" s="8"/>
      <c r="B357" s="8"/>
      <c r="C357" s="8"/>
      <c r="D357" s="8"/>
      <c r="E357" s="8"/>
      <c r="F357" s="8"/>
      <c r="G357" s="8"/>
      <c r="H357" s="8"/>
    </row>
    <row r="358" ht="14.25" spans="1:8">
      <c r="A358" s="8"/>
      <c r="B358" s="8"/>
      <c r="C358" s="8"/>
      <c r="D358" s="8"/>
      <c r="E358" s="8"/>
      <c r="F358" s="8"/>
      <c r="G358" s="8"/>
      <c r="H358" s="8"/>
    </row>
    <row r="359" ht="14.25" spans="1:8">
      <c r="A359" s="8"/>
      <c r="B359" s="8"/>
      <c r="C359" s="8"/>
      <c r="D359" s="8"/>
      <c r="E359" s="8"/>
      <c r="F359" s="8"/>
      <c r="G359" s="8"/>
      <c r="H359" s="8"/>
    </row>
    <row r="360" ht="14.25" spans="1:8">
      <c r="A360" s="8"/>
      <c r="B360" s="8"/>
      <c r="C360" s="8"/>
      <c r="D360" s="8"/>
      <c r="E360" s="8"/>
      <c r="F360" s="8"/>
      <c r="G360" s="8"/>
      <c r="H360" s="8"/>
    </row>
    <row r="361" ht="14.25" spans="1:8">
      <c r="A361" s="8"/>
      <c r="B361" s="8"/>
      <c r="C361" s="8"/>
      <c r="D361" s="8"/>
      <c r="E361" s="8"/>
      <c r="F361" s="8"/>
      <c r="G361" s="8"/>
      <c r="H361" s="8"/>
    </row>
    <row r="362" ht="14.25" spans="1:8">
      <c r="A362" s="8"/>
      <c r="B362" s="8"/>
      <c r="C362" s="8"/>
      <c r="D362" s="8"/>
      <c r="E362" s="8"/>
      <c r="F362" s="8"/>
      <c r="G362" s="8"/>
      <c r="H362" s="8"/>
    </row>
    <row r="363" ht="14.25" spans="1:8">
      <c r="A363" s="8"/>
      <c r="B363" s="8"/>
      <c r="C363" s="8"/>
      <c r="D363" s="8"/>
      <c r="E363" s="8"/>
      <c r="F363" s="8"/>
      <c r="G363" s="8"/>
      <c r="H363" s="8"/>
    </row>
    <row r="364" ht="14.25" spans="1:8">
      <c r="A364" s="8"/>
      <c r="B364" s="8"/>
      <c r="C364" s="8"/>
      <c r="D364" s="8"/>
      <c r="E364" s="8"/>
      <c r="F364" s="8"/>
      <c r="G364" s="8"/>
      <c r="H364" s="8"/>
    </row>
    <row r="365" ht="14.25" spans="1:8">
      <c r="A365" s="8"/>
      <c r="B365" s="8"/>
      <c r="C365" s="8"/>
      <c r="D365" s="8"/>
      <c r="E365" s="8"/>
      <c r="F365" s="8"/>
      <c r="G365" s="8"/>
      <c r="H365" s="8"/>
    </row>
    <row r="366" ht="14.25" spans="1:8">
      <c r="A366" s="8"/>
      <c r="B366" s="8"/>
      <c r="C366" s="8"/>
      <c r="D366" s="8"/>
      <c r="E366" s="8"/>
      <c r="F366" s="8"/>
      <c r="G366" s="8"/>
      <c r="H366" s="8"/>
    </row>
    <row r="367" ht="14.25" spans="1:8">
      <c r="A367" s="8"/>
      <c r="B367" s="8"/>
      <c r="C367" s="8"/>
      <c r="D367" s="8"/>
      <c r="E367" s="8"/>
      <c r="F367" s="8"/>
      <c r="G367" s="8"/>
      <c r="H367" s="8"/>
    </row>
    <row r="368" ht="14.25" spans="1:8">
      <c r="A368" s="8"/>
      <c r="B368" s="8"/>
      <c r="C368" s="8"/>
      <c r="D368" s="8"/>
      <c r="E368" s="8"/>
      <c r="F368" s="8"/>
      <c r="G368" s="8"/>
      <c r="H368" s="8"/>
    </row>
    <row r="369" ht="14.25" spans="1:8">
      <c r="A369" s="8"/>
      <c r="B369" s="8"/>
      <c r="C369" s="8"/>
      <c r="D369" s="8"/>
      <c r="E369" s="8"/>
      <c r="F369" s="8"/>
      <c r="G369" s="8"/>
      <c r="H369" s="8"/>
    </row>
    <row r="370" ht="14.25" spans="1:8">
      <c r="A370" s="8"/>
      <c r="B370" s="8"/>
      <c r="C370" s="8"/>
      <c r="D370" s="8"/>
      <c r="E370" s="8"/>
      <c r="F370" s="8"/>
      <c r="G370" s="8"/>
      <c r="H370" s="8"/>
    </row>
    <row r="371" ht="14.25" spans="1:8">
      <c r="A371" s="8"/>
      <c r="B371" s="8"/>
      <c r="C371" s="8"/>
      <c r="D371" s="8"/>
      <c r="E371" s="8"/>
      <c r="F371" s="8"/>
      <c r="G371" s="8"/>
      <c r="H371" s="8"/>
    </row>
    <row r="372" ht="14.25" spans="1:8">
      <c r="A372" s="8"/>
      <c r="B372" s="8"/>
      <c r="C372" s="8"/>
      <c r="D372" s="8"/>
      <c r="E372" s="8"/>
      <c r="F372" s="8"/>
      <c r="G372" s="8"/>
      <c r="H372" s="8"/>
    </row>
    <row r="373" ht="14.25" spans="1:8">
      <c r="A373" s="8"/>
      <c r="B373" s="8"/>
      <c r="C373" s="8"/>
      <c r="D373" s="8"/>
      <c r="E373" s="8"/>
      <c r="F373" s="8"/>
      <c r="G373" s="8"/>
      <c r="H373" s="8"/>
    </row>
    <row r="374" ht="14.25" spans="1:8">
      <c r="A374" s="8"/>
      <c r="B374" s="8"/>
      <c r="C374" s="8"/>
      <c r="D374" s="8"/>
      <c r="E374" s="8"/>
      <c r="F374" s="8"/>
      <c r="G374" s="8"/>
      <c r="H374" s="8"/>
    </row>
    <row r="375" ht="14.25" spans="1:8">
      <c r="A375" s="8"/>
      <c r="B375" s="8"/>
      <c r="C375" s="8"/>
      <c r="D375" s="8"/>
      <c r="E375" s="8"/>
      <c r="F375" s="8"/>
      <c r="G375" s="8"/>
      <c r="H375" s="8"/>
    </row>
    <row r="376" ht="14.25" spans="1:8">
      <c r="A376" s="8"/>
      <c r="B376" s="8"/>
      <c r="C376" s="8"/>
      <c r="D376" s="8"/>
      <c r="E376" s="8"/>
      <c r="F376" s="8"/>
      <c r="G376" s="8"/>
      <c r="H376" s="8"/>
    </row>
    <row r="377" ht="14.25" spans="1:8">
      <c r="A377" s="8"/>
      <c r="B377" s="8"/>
      <c r="C377" s="8"/>
      <c r="D377" s="8"/>
      <c r="E377" s="8"/>
      <c r="F377" s="8"/>
      <c r="G377" s="8"/>
      <c r="H377" s="8"/>
    </row>
    <row r="378" ht="14.25" spans="1:8">
      <c r="A378" s="8"/>
      <c r="B378" s="8"/>
      <c r="C378" s="8"/>
      <c r="D378" s="8"/>
      <c r="E378" s="8"/>
      <c r="F378" s="8"/>
      <c r="G378" s="8"/>
      <c r="H378" s="8"/>
    </row>
    <row r="379" ht="14.25" spans="1:8">
      <c r="A379" s="8"/>
      <c r="B379" s="8"/>
      <c r="C379" s="8"/>
      <c r="D379" s="8"/>
      <c r="E379" s="8"/>
      <c r="F379" s="8"/>
      <c r="G379" s="8"/>
      <c r="H379" s="8"/>
    </row>
    <row r="380" ht="14.25" spans="1:8">
      <c r="A380" s="8"/>
      <c r="B380" s="8"/>
      <c r="C380" s="8"/>
      <c r="D380" s="8"/>
      <c r="E380" s="8"/>
      <c r="F380" s="8"/>
      <c r="G380" s="8"/>
      <c r="H380" s="8"/>
    </row>
    <row r="381" ht="14.25" spans="1:8">
      <c r="A381" s="8"/>
      <c r="B381" s="8"/>
      <c r="C381" s="8"/>
      <c r="D381" s="8"/>
      <c r="E381" s="8"/>
      <c r="F381" s="8"/>
      <c r="G381" s="8"/>
      <c r="H381" s="8"/>
    </row>
    <row r="382" ht="14.25" spans="1:8">
      <c r="A382" s="8"/>
      <c r="B382" s="8"/>
      <c r="C382" s="8"/>
      <c r="D382" s="8"/>
      <c r="E382" s="8"/>
      <c r="F382" s="8"/>
      <c r="G382" s="8"/>
      <c r="H382" s="8"/>
    </row>
    <row r="383" ht="14.25" spans="1:8">
      <c r="A383" s="8"/>
      <c r="B383" s="8"/>
      <c r="C383" s="8"/>
      <c r="D383" s="8"/>
      <c r="E383" s="8"/>
      <c r="F383" s="8"/>
      <c r="G383" s="8"/>
      <c r="H383" s="8"/>
    </row>
    <row r="384" ht="14.25" spans="1:8">
      <c r="A384" s="8"/>
      <c r="B384" s="8"/>
      <c r="C384" s="8"/>
      <c r="D384" s="8"/>
      <c r="E384" s="8"/>
      <c r="F384" s="8"/>
      <c r="G384" s="8"/>
      <c r="H384" s="8"/>
    </row>
    <row r="385" ht="14.25" spans="1:8">
      <c r="A385" s="8"/>
      <c r="B385" s="8"/>
      <c r="C385" s="8"/>
      <c r="D385" s="8"/>
      <c r="E385" s="8"/>
      <c r="F385" s="8"/>
      <c r="G385" s="8"/>
      <c r="H385" s="8"/>
    </row>
    <row r="386" ht="14.25" spans="1:8">
      <c r="A386" s="8"/>
      <c r="B386" s="8"/>
      <c r="C386" s="8"/>
      <c r="D386" s="8"/>
      <c r="E386" s="8"/>
      <c r="F386" s="8"/>
      <c r="G386" s="8"/>
      <c r="H386" s="8"/>
    </row>
    <row r="387" ht="14.25" spans="1:8">
      <c r="A387" s="8"/>
      <c r="B387" s="8"/>
      <c r="C387" s="8"/>
      <c r="D387" s="8"/>
      <c r="E387" s="8"/>
      <c r="F387" s="8"/>
      <c r="G387" s="8"/>
      <c r="H387" s="8"/>
    </row>
    <row r="388" ht="14.25" spans="1:8">
      <c r="A388" s="8"/>
      <c r="B388" s="8"/>
      <c r="C388" s="8"/>
      <c r="D388" s="8"/>
      <c r="E388" s="8"/>
      <c r="F388" s="8"/>
      <c r="G388" s="8"/>
      <c r="H388" s="8"/>
    </row>
    <row r="389" ht="14.25" spans="1:8">
      <c r="A389" s="8"/>
      <c r="B389" s="8"/>
      <c r="C389" s="8"/>
      <c r="D389" s="8"/>
      <c r="E389" s="8"/>
      <c r="F389" s="8"/>
      <c r="G389" s="8"/>
      <c r="H389" s="8"/>
    </row>
    <row r="390" ht="14.25" spans="1:8">
      <c r="A390" s="8"/>
      <c r="B390" s="8"/>
      <c r="C390" s="8"/>
      <c r="D390" s="8"/>
      <c r="E390" s="8"/>
      <c r="F390" s="8"/>
      <c r="G390" s="8"/>
      <c r="H390" s="8"/>
    </row>
    <row r="391" ht="14.25" spans="1:8">
      <c r="A391" s="8"/>
      <c r="B391" s="8"/>
      <c r="C391" s="8"/>
      <c r="D391" s="8"/>
      <c r="E391" s="8"/>
      <c r="F391" s="8"/>
      <c r="G391" s="8"/>
      <c r="H391" s="8"/>
    </row>
    <row r="392" ht="14.25" spans="1:8">
      <c r="A392" s="8"/>
      <c r="B392" s="8"/>
      <c r="C392" s="8"/>
      <c r="D392" s="8"/>
      <c r="E392" s="8"/>
      <c r="F392" s="8"/>
      <c r="G392" s="8"/>
      <c r="H392" s="8"/>
    </row>
    <row r="393" ht="14.25" spans="1:8">
      <c r="A393" s="8"/>
      <c r="B393" s="8"/>
      <c r="C393" s="8"/>
      <c r="D393" s="8"/>
      <c r="E393" s="8"/>
      <c r="F393" s="8"/>
      <c r="G393" s="8"/>
      <c r="H393" s="8"/>
    </row>
    <row r="394" ht="14.25" spans="1:8">
      <c r="A394" s="8"/>
      <c r="B394" s="8"/>
      <c r="C394" s="8"/>
      <c r="D394" s="8"/>
      <c r="E394" s="8"/>
      <c r="F394" s="8"/>
      <c r="G394" s="8"/>
      <c r="H394" s="8"/>
    </row>
    <row r="395" ht="14.25" spans="1:8">
      <c r="A395" s="8"/>
      <c r="B395" s="8"/>
      <c r="C395" s="8"/>
      <c r="D395" s="8"/>
      <c r="E395" s="8"/>
      <c r="F395" s="8"/>
      <c r="G395" s="8"/>
      <c r="H395" s="8"/>
    </row>
    <row r="396" ht="14.25" spans="1:8">
      <c r="A396" s="8"/>
      <c r="B396" s="8"/>
      <c r="C396" s="8"/>
      <c r="D396" s="8"/>
      <c r="E396" s="8"/>
      <c r="F396" s="8"/>
      <c r="G396" s="8"/>
      <c r="H396" s="8"/>
    </row>
    <row r="397" ht="14.25" spans="1:8">
      <c r="A397" s="8"/>
      <c r="B397" s="8"/>
      <c r="C397" s="8"/>
      <c r="D397" s="8"/>
      <c r="E397" s="8"/>
      <c r="F397" s="8"/>
      <c r="G397" s="8"/>
      <c r="H397" s="8"/>
    </row>
    <row r="398" ht="14.25" spans="1:8">
      <c r="A398" s="8"/>
      <c r="B398" s="8"/>
      <c r="C398" s="8"/>
      <c r="D398" s="8"/>
      <c r="E398" s="8"/>
      <c r="F398" s="8"/>
      <c r="G398" s="8"/>
      <c r="H398" s="8"/>
    </row>
    <row r="399" ht="14.25" spans="1:8">
      <c r="A399" s="8"/>
      <c r="B399" s="8"/>
      <c r="C399" s="8"/>
      <c r="D399" s="8"/>
      <c r="E399" s="8"/>
      <c r="F399" s="8"/>
      <c r="G399" s="8"/>
      <c r="H399" s="8"/>
    </row>
    <row r="400" ht="14.25" spans="1:8">
      <c r="A400" s="8"/>
      <c r="B400" s="8"/>
      <c r="C400" s="8"/>
      <c r="D400" s="8"/>
      <c r="E400" s="8"/>
      <c r="F400" s="8"/>
      <c r="G400" s="8"/>
      <c r="H400" s="8"/>
    </row>
    <row r="401" ht="14.25" spans="1:8">
      <c r="A401" s="8"/>
      <c r="B401" s="8"/>
      <c r="C401" s="8"/>
      <c r="D401" s="8"/>
      <c r="E401" s="8"/>
      <c r="F401" s="8"/>
      <c r="G401" s="8"/>
      <c r="H401" s="8"/>
    </row>
    <row r="402" ht="14.25" spans="1:8">
      <c r="A402" s="8"/>
      <c r="B402" s="8"/>
      <c r="C402" s="8"/>
      <c r="D402" s="8"/>
      <c r="E402" s="8"/>
      <c r="F402" s="8"/>
      <c r="G402" s="8"/>
      <c r="H402" s="8"/>
    </row>
    <row r="403" ht="14.25" spans="1:8">
      <c r="A403" s="8"/>
      <c r="B403" s="8"/>
      <c r="C403" s="8"/>
      <c r="D403" s="8"/>
      <c r="E403" s="8"/>
      <c r="F403" s="8"/>
      <c r="G403" s="8"/>
      <c r="H403" s="8"/>
    </row>
    <row r="404" ht="14.25" spans="1:8">
      <c r="A404" s="8"/>
      <c r="B404" s="8"/>
      <c r="C404" s="8"/>
      <c r="D404" s="8"/>
      <c r="E404" s="8"/>
      <c r="F404" s="8"/>
      <c r="G404" s="8"/>
      <c r="H404" s="8"/>
    </row>
    <row r="405" ht="14.25" spans="1:8">
      <c r="A405" s="8"/>
      <c r="B405" s="8"/>
      <c r="C405" s="8"/>
      <c r="D405" s="8"/>
      <c r="E405" s="8"/>
      <c r="F405" s="8"/>
      <c r="G405" s="8"/>
      <c r="H405" s="8"/>
    </row>
    <row r="406" ht="14.25" spans="1:8">
      <c r="A406" s="8"/>
      <c r="B406" s="8"/>
      <c r="C406" s="8"/>
      <c r="D406" s="8"/>
      <c r="E406" s="8"/>
      <c r="F406" s="8"/>
      <c r="G406" s="8"/>
      <c r="H406" s="8"/>
    </row>
    <row r="407" ht="14.25" spans="1:8">
      <c r="A407" s="8"/>
      <c r="B407" s="8"/>
      <c r="C407" s="8"/>
      <c r="D407" s="8"/>
      <c r="E407" s="8"/>
      <c r="F407" s="8"/>
      <c r="G407" s="8"/>
      <c r="H407" s="8"/>
    </row>
    <row r="408" ht="14.25" spans="1:8">
      <c r="A408" s="8"/>
      <c r="B408" s="8"/>
      <c r="C408" s="8"/>
      <c r="D408" s="8"/>
      <c r="E408" s="8"/>
      <c r="F408" s="8"/>
      <c r="G408" s="8"/>
      <c r="H408" s="8"/>
    </row>
    <row r="409" ht="14.25" spans="1:8">
      <c r="A409" s="8"/>
      <c r="B409" s="8"/>
      <c r="C409" s="8"/>
      <c r="D409" s="8"/>
      <c r="E409" s="8"/>
      <c r="F409" s="8"/>
      <c r="G409" s="8"/>
      <c r="H409" s="8"/>
    </row>
    <row r="410" ht="14.25" spans="1:8">
      <c r="A410" s="8"/>
      <c r="B410" s="8"/>
      <c r="C410" s="8"/>
      <c r="D410" s="8"/>
      <c r="E410" s="8"/>
      <c r="F410" s="8"/>
      <c r="G410" s="8"/>
      <c r="H410" s="8"/>
    </row>
    <row r="411" ht="14.25" spans="1:8">
      <c r="A411" s="8"/>
      <c r="B411" s="8"/>
      <c r="C411" s="8"/>
      <c r="D411" s="8"/>
      <c r="E411" s="8"/>
      <c r="F411" s="8"/>
      <c r="G411" s="8"/>
      <c r="H411" s="8"/>
    </row>
    <row r="412" ht="14.25" spans="1:8">
      <c r="A412" s="8"/>
      <c r="B412" s="8"/>
      <c r="C412" s="8"/>
      <c r="D412" s="8"/>
      <c r="E412" s="8"/>
      <c r="F412" s="8"/>
      <c r="G412" s="8"/>
      <c r="H412" s="8"/>
    </row>
    <row r="413" ht="14.25" spans="1:8">
      <c r="A413" s="8"/>
      <c r="B413" s="8"/>
      <c r="C413" s="8"/>
      <c r="D413" s="8"/>
      <c r="E413" s="8"/>
      <c r="F413" s="8"/>
      <c r="G413" s="8"/>
      <c r="H413" s="8"/>
    </row>
    <row r="414" ht="14.25" spans="1:8">
      <c r="A414" s="8"/>
      <c r="B414" s="8"/>
      <c r="C414" s="8"/>
      <c r="D414" s="8"/>
      <c r="E414" s="8"/>
      <c r="F414" s="8"/>
      <c r="G414" s="8"/>
      <c r="H414" s="8"/>
    </row>
    <row r="415" ht="14.25" spans="1:8">
      <c r="A415" s="8"/>
      <c r="B415" s="8"/>
      <c r="C415" s="8"/>
      <c r="D415" s="8"/>
      <c r="E415" s="8"/>
      <c r="F415" s="8"/>
      <c r="G415" s="8"/>
      <c r="H415" s="8"/>
    </row>
    <row r="416" ht="14.25" spans="1:8">
      <c r="A416" s="8"/>
      <c r="B416" s="8"/>
      <c r="C416" s="8"/>
      <c r="D416" s="8"/>
      <c r="E416" s="8"/>
      <c r="F416" s="8"/>
      <c r="G416" s="8"/>
      <c r="H416" s="8"/>
    </row>
    <row r="417" ht="14.25" spans="1:8">
      <c r="A417" s="8"/>
      <c r="B417" s="8"/>
      <c r="C417" s="8"/>
      <c r="D417" s="8"/>
      <c r="E417" s="8"/>
      <c r="F417" s="8"/>
      <c r="G417" s="8"/>
      <c r="H417" s="8"/>
    </row>
    <row r="418" ht="14.25" spans="1:8">
      <c r="A418" s="8"/>
      <c r="B418" s="8"/>
      <c r="C418" s="8"/>
      <c r="D418" s="8"/>
      <c r="E418" s="8"/>
      <c r="F418" s="8"/>
      <c r="G418" s="8"/>
      <c r="H418" s="8"/>
    </row>
    <row r="419" ht="14.25" spans="1:8">
      <c r="A419" s="8"/>
      <c r="B419" s="8"/>
      <c r="C419" s="8"/>
      <c r="D419" s="8"/>
      <c r="E419" s="8"/>
      <c r="F419" s="8"/>
      <c r="G419" s="8"/>
      <c r="H419" s="8"/>
    </row>
    <row r="420" ht="14.25" spans="1:8">
      <c r="A420" s="8"/>
      <c r="B420" s="8"/>
      <c r="C420" s="8"/>
      <c r="D420" s="8"/>
      <c r="E420" s="8"/>
      <c r="F420" s="8"/>
      <c r="G420" s="8"/>
      <c r="H420" s="8"/>
    </row>
    <row r="421" ht="14.25" spans="1:8">
      <c r="A421" s="8"/>
      <c r="B421" s="8"/>
      <c r="C421" s="8"/>
      <c r="D421" s="8"/>
      <c r="E421" s="8"/>
      <c r="F421" s="8"/>
      <c r="G421" s="8"/>
      <c r="H421" s="8"/>
    </row>
    <row r="422" ht="14.25" spans="1:8">
      <c r="A422" s="8"/>
      <c r="B422" s="8"/>
      <c r="C422" s="8"/>
      <c r="D422" s="8"/>
      <c r="E422" s="8"/>
      <c r="F422" s="8"/>
      <c r="G422" s="8"/>
      <c r="H422" s="8"/>
    </row>
    <row r="423" ht="14.25" spans="1:8">
      <c r="A423" s="8"/>
      <c r="B423" s="8"/>
      <c r="C423" s="8"/>
      <c r="D423" s="8"/>
      <c r="E423" s="8"/>
      <c r="F423" s="8"/>
      <c r="G423" s="8"/>
      <c r="H423" s="8"/>
    </row>
    <row r="424" ht="14.25" spans="1:8">
      <c r="A424" s="8"/>
      <c r="B424" s="8"/>
      <c r="C424" s="8"/>
      <c r="D424" s="8"/>
      <c r="E424" s="8"/>
      <c r="F424" s="8"/>
      <c r="G424" s="8"/>
      <c r="H424" s="8"/>
    </row>
    <row r="425" ht="14.25" spans="1:8">
      <c r="A425" s="8"/>
      <c r="B425" s="8"/>
      <c r="C425" s="8"/>
      <c r="D425" s="8"/>
      <c r="E425" s="8"/>
      <c r="F425" s="8"/>
      <c r="G425" s="8"/>
      <c r="H425" s="8"/>
    </row>
    <row r="426" ht="14.25" spans="1:8">
      <c r="A426" s="8"/>
      <c r="B426" s="8"/>
      <c r="C426" s="8"/>
      <c r="D426" s="8"/>
      <c r="E426" s="8"/>
      <c r="F426" s="8"/>
      <c r="G426" s="8"/>
      <c r="H426" s="8"/>
    </row>
    <row r="427" ht="14.25" spans="1:8">
      <c r="A427" s="8"/>
      <c r="B427" s="8"/>
      <c r="C427" s="8"/>
      <c r="D427" s="8"/>
      <c r="E427" s="8"/>
      <c r="F427" s="8"/>
      <c r="G427" s="8"/>
      <c r="H427" s="8"/>
    </row>
    <row r="428" ht="14.25" spans="1:8">
      <c r="A428" s="8"/>
      <c r="B428" s="8"/>
      <c r="C428" s="8"/>
      <c r="D428" s="8"/>
      <c r="E428" s="8"/>
      <c r="F428" s="8"/>
      <c r="G428" s="8"/>
      <c r="H428" s="8"/>
    </row>
    <row r="429" ht="14.25" spans="1:8">
      <c r="A429" s="8"/>
      <c r="B429" s="8"/>
      <c r="C429" s="8"/>
      <c r="D429" s="8"/>
      <c r="E429" s="8"/>
      <c r="F429" s="8"/>
      <c r="G429" s="8"/>
      <c r="H429" s="8"/>
    </row>
    <row r="430" ht="14.25" spans="1:8">
      <c r="A430" s="8"/>
      <c r="B430" s="8"/>
      <c r="C430" s="8"/>
      <c r="D430" s="8"/>
      <c r="E430" s="8"/>
      <c r="F430" s="8"/>
      <c r="G430" s="8"/>
      <c r="H430" s="8"/>
    </row>
    <row r="431" ht="14.25" spans="1:8">
      <c r="A431" s="8"/>
      <c r="B431" s="8"/>
      <c r="C431" s="8"/>
      <c r="D431" s="8"/>
      <c r="E431" s="8"/>
      <c r="F431" s="8"/>
      <c r="G431" s="8"/>
      <c r="H431" s="8"/>
    </row>
    <row r="432" ht="14.25" spans="1:8">
      <c r="A432" s="8"/>
      <c r="B432" s="8"/>
      <c r="C432" s="8"/>
      <c r="D432" s="8"/>
      <c r="E432" s="8"/>
      <c r="F432" s="8"/>
      <c r="G432" s="8"/>
      <c r="H432" s="8"/>
    </row>
    <row r="433" ht="14.25" spans="1:8">
      <c r="A433" s="8"/>
      <c r="B433" s="8"/>
      <c r="C433" s="8"/>
      <c r="D433" s="8"/>
      <c r="E433" s="8"/>
      <c r="F433" s="8"/>
      <c r="G433" s="8"/>
      <c r="H433" s="8"/>
    </row>
    <row r="434" ht="14.25" spans="1:8">
      <c r="A434" s="8"/>
      <c r="B434" s="8"/>
      <c r="C434" s="8"/>
      <c r="D434" s="8"/>
      <c r="E434" s="8"/>
      <c r="F434" s="8"/>
      <c r="G434" s="8"/>
      <c r="H434" s="8"/>
    </row>
    <row r="435" ht="14.25" spans="1:8">
      <c r="A435" s="8"/>
      <c r="B435" s="8"/>
      <c r="C435" s="8"/>
      <c r="D435" s="8"/>
      <c r="E435" s="8"/>
      <c r="F435" s="8"/>
      <c r="G435" s="8"/>
      <c r="H435" s="8"/>
    </row>
    <row r="436" ht="14.25" spans="1:8">
      <c r="A436" s="8"/>
      <c r="B436" s="8"/>
      <c r="C436" s="8"/>
      <c r="D436" s="8"/>
      <c r="E436" s="8"/>
      <c r="F436" s="8"/>
      <c r="G436" s="8"/>
      <c r="H436" s="8"/>
    </row>
    <row r="437" ht="14.25" spans="1:8">
      <c r="A437" s="8"/>
      <c r="B437" s="8"/>
      <c r="C437" s="8"/>
      <c r="D437" s="8"/>
      <c r="E437" s="8"/>
      <c r="F437" s="8"/>
      <c r="G437" s="8"/>
      <c r="H437" s="8"/>
    </row>
    <row r="438" ht="14.25" spans="1:8">
      <c r="A438" s="8"/>
      <c r="B438" s="8"/>
      <c r="C438" s="8"/>
      <c r="D438" s="8"/>
      <c r="E438" s="8"/>
      <c r="F438" s="8"/>
      <c r="G438" s="8"/>
      <c r="H438" s="8"/>
    </row>
    <row r="439" ht="14.25" spans="1:8">
      <c r="A439" s="8"/>
      <c r="B439" s="8"/>
      <c r="C439" s="8"/>
      <c r="D439" s="8"/>
      <c r="E439" s="8"/>
      <c r="F439" s="8"/>
      <c r="G439" s="8"/>
      <c r="H439" s="8"/>
    </row>
    <row r="440" ht="14.25" spans="1:8">
      <c r="A440" s="8"/>
      <c r="B440" s="8"/>
      <c r="C440" s="8"/>
      <c r="D440" s="8"/>
      <c r="E440" s="8"/>
      <c r="F440" s="8"/>
      <c r="G440" s="8"/>
      <c r="H440" s="8"/>
    </row>
    <row r="441" ht="14.25" spans="1:8">
      <c r="A441" s="8"/>
      <c r="B441" s="8"/>
      <c r="C441" s="8"/>
      <c r="D441" s="8"/>
      <c r="E441" s="8"/>
      <c r="F441" s="8"/>
      <c r="G441" s="8"/>
      <c r="H441" s="8"/>
    </row>
    <row r="442" ht="14.25" spans="1:8">
      <c r="A442" s="8"/>
      <c r="B442" s="8"/>
      <c r="C442" s="8"/>
      <c r="D442" s="8"/>
      <c r="E442" s="8"/>
      <c r="F442" s="8"/>
      <c r="G442" s="8"/>
      <c r="H442" s="8"/>
    </row>
    <row r="443" ht="14.25" spans="1:8">
      <c r="A443" s="8"/>
      <c r="B443" s="8"/>
      <c r="C443" s="8"/>
      <c r="D443" s="8"/>
      <c r="E443" s="8"/>
      <c r="F443" s="8"/>
      <c r="G443" s="8"/>
      <c r="H443" s="8"/>
    </row>
    <row r="444" ht="14.25" spans="1:8">
      <c r="A444" s="8"/>
      <c r="B444" s="8"/>
      <c r="C444" s="8"/>
      <c r="D444" s="8"/>
      <c r="E444" s="8"/>
      <c r="F444" s="8"/>
      <c r="G444" s="8"/>
      <c r="H444" s="8"/>
    </row>
    <row r="445" ht="14.25" spans="1:8">
      <c r="A445" s="8"/>
      <c r="B445" s="8"/>
      <c r="C445" s="8"/>
      <c r="D445" s="8"/>
      <c r="E445" s="8"/>
      <c r="F445" s="8"/>
      <c r="G445" s="8"/>
      <c r="H445" s="8"/>
    </row>
    <row r="446" ht="14.25" spans="1:8">
      <c r="A446" s="8"/>
      <c r="B446" s="8"/>
      <c r="C446" s="8"/>
      <c r="D446" s="8"/>
      <c r="E446" s="8"/>
      <c r="F446" s="8"/>
      <c r="G446" s="8"/>
      <c r="H446" s="8"/>
    </row>
    <row r="447" ht="14.25" spans="1:8">
      <c r="A447" s="8"/>
      <c r="B447" s="8"/>
      <c r="C447" s="8"/>
      <c r="D447" s="8"/>
      <c r="E447" s="8"/>
      <c r="F447" s="8"/>
      <c r="G447" s="8"/>
      <c r="H447" s="8"/>
    </row>
    <row r="448" ht="14.25" spans="1:8">
      <c r="A448" s="8"/>
      <c r="B448" s="8"/>
      <c r="C448" s="8"/>
      <c r="D448" s="8"/>
      <c r="E448" s="8"/>
      <c r="F448" s="8"/>
      <c r="G448" s="8"/>
      <c r="H448" s="8"/>
    </row>
    <row r="449" ht="14.25" spans="1:8">
      <c r="A449" s="8"/>
      <c r="B449" s="8"/>
      <c r="C449" s="8"/>
      <c r="D449" s="8"/>
      <c r="E449" s="8"/>
      <c r="F449" s="8"/>
      <c r="G449" s="8"/>
      <c r="H449" s="8"/>
    </row>
    <row r="450" ht="14.25" spans="1:8">
      <c r="A450" s="8"/>
      <c r="B450" s="8"/>
      <c r="C450" s="8"/>
      <c r="D450" s="8"/>
      <c r="E450" s="8"/>
      <c r="F450" s="8"/>
      <c r="G450" s="8"/>
      <c r="H450" s="8"/>
    </row>
    <row r="451" ht="14.25" spans="1:8">
      <c r="A451" s="8"/>
      <c r="B451" s="8"/>
      <c r="C451" s="8"/>
      <c r="D451" s="8"/>
      <c r="E451" s="8"/>
      <c r="F451" s="8"/>
      <c r="G451" s="8"/>
      <c r="H451" s="8"/>
    </row>
    <row r="452" ht="14.25" spans="1:8">
      <c r="A452" s="8"/>
      <c r="B452" s="8"/>
      <c r="C452" s="8"/>
      <c r="D452" s="8"/>
      <c r="E452" s="8"/>
      <c r="F452" s="8"/>
      <c r="G452" s="8"/>
      <c r="H452" s="8"/>
    </row>
    <row r="453" ht="14.25" spans="1:8">
      <c r="A453" s="8"/>
      <c r="B453" s="8"/>
      <c r="C453" s="8"/>
      <c r="D453" s="8"/>
      <c r="E453" s="8"/>
      <c r="F453" s="8"/>
      <c r="G453" s="8"/>
      <c r="H453" s="8"/>
    </row>
    <row r="454" ht="14.25" spans="1:8">
      <c r="A454" s="8"/>
      <c r="B454" s="8"/>
      <c r="C454" s="8"/>
      <c r="D454" s="8"/>
      <c r="E454" s="8"/>
      <c r="F454" s="8"/>
      <c r="G454" s="8"/>
      <c r="H454" s="8"/>
    </row>
    <row r="455" ht="14.25" spans="1:8">
      <c r="A455" s="8"/>
      <c r="B455" s="8"/>
      <c r="C455" s="8"/>
      <c r="D455" s="8"/>
      <c r="E455" s="8"/>
      <c r="F455" s="8"/>
      <c r="G455" s="8"/>
      <c r="H455" s="8"/>
    </row>
    <row r="456" ht="14.25" spans="1:8">
      <c r="A456" s="8"/>
      <c r="B456" s="8"/>
      <c r="C456" s="8"/>
      <c r="D456" s="8"/>
      <c r="E456" s="8"/>
      <c r="F456" s="8"/>
      <c r="G456" s="8"/>
      <c r="H456" s="8"/>
    </row>
    <row r="457" ht="14.25" spans="1:8">
      <c r="A457" s="8"/>
      <c r="B457" s="8"/>
      <c r="C457" s="8"/>
      <c r="D457" s="8"/>
      <c r="E457" s="8"/>
      <c r="F457" s="8"/>
      <c r="G457" s="8"/>
      <c r="H457" s="8"/>
    </row>
    <row r="458" ht="14.25" spans="1:8">
      <c r="A458" s="8"/>
      <c r="B458" s="8"/>
      <c r="C458" s="8"/>
      <c r="D458" s="8"/>
      <c r="E458" s="8"/>
      <c r="F458" s="8"/>
      <c r="G458" s="8"/>
      <c r="H458" s="8"/>
    </row>
    <row r="459" ht="14.25" spans="1:8">
      <c r="A459" s="8"/>
      <c r="B459" s="8"/>
      <c r="C459" s="8"/>
      <c r="D459" s="8"/>
      <c r="E459" s="8"/>
      <c r="F459" s="8"/>
      <c r="G459" s="8"/>
      <c r="H459" s="8"/>
    </row>
    <row r="460" ht="14.25" spans="1:8">
      <c r="A460" s="8"/>
      <c r="B460" s="8"/>
      <c r="C460" s="8"/>
      <c r="D460" s="8"/>
      <c r="E460" s="8"/>
      <c r="F460" s="8"/>
      <c r="G460" s="8"/>
      <c r="H460" s="8"/>
    </row>
    <row r="461" ht="14.25" spans="1:8">
      <c r="A461" s="8"/>
      <c r="B461" s="8"/>
      <c r="C461" s="8"/>
      <c r="D461" s="8"/>
      <c r="E461" s="8"/>
      <c r="F461" s="8"/>
      <c r="G461" s="8"/>
      <c r="H461" s="8"/>
    </row>
    <row r="462" ht="14.25" spans="1:8">
      <c r="A462" s="8"/>
      <c r="B462" s="8"/>
      <c r="C462" s="8"/>
      <c r="D462" s="8"/>
      <c r="E462" s="8"/>
      <c r="F462" s="8"/>
      <c r="G462" s="8"/>
      <c r="H462" s="8"/>
    </row>
    <row r="463" ht="14.25" spans="1:8">
      <c r="A463" s="8"/>
      <c r="B463" s="8"/>
      <c r="C463" s="8"/>
      <c r="D463" s="8"/>
      <c r="E463" s="8"/>
      <c r="F463" s="8"/>
      <c r="G463" s="8"/>
      <c r="H463" s="8"/>
    </row>
    <row r="464" ht="14.25" spans="1:8">
      <c r="A464" s="8"/>
      <c r="B464" s="8"/>
      <c r="C464" s="8"/>
      <c r="D464" s="8"/>
      <c r="E464" s="8"/>
      <c r="F464" s="8"/>
      <c r="G464" s="8"/>
      <c r="H464" s="8"/>
    </row>
    <row r="465" ht="14.25" spans="1:8">
      <c r="A465" s="8"/>
      <c r="B465" s="8"/>
      <c r="C465" s="8"/>
      <c r="D465" s="8"/>
      <c r="E465" s="8"/>
      <c r="F465" s="8"/>
      <c r="G465" s="8"/>
      <c r="H465" s="8"/>
    </row>
    <row r="466" ht="14.25" spans="1:8">
      <c r="A466" s="8"/>
      <c r="B466" s="8"/>
      <c r="C466" s="8"/>
      <c r="D466" s="8"/>
      <c r="E466" s="8"/>
      <c r="F466" s="8"/>
      <c r="G466" s="8"/>
      <c r="H466" s="8"/>
    </row>
    <row r="467" ht="14.25" spans="1:8">
      <c r="A467" s="8"/>
      <c r="B467" s="8"/>
      <c r="C467" s="8"/>
      <c r="D467" s="8"/>
      <c r="E467" s="8"/>
      <c r="F467" s="8"/>
      <c r="G467" s="8"/>
      <c r="H467" s="8"/>
    </row>
    <row r="468" ht="14.25" spans="1:8">
      <c r="A468" s="8"/>
      <c r="B468" s="8"/>
      <c r="C468" s="8"/>
      <c r="D468" s="8"/>
      <c r="E468" s="8"/>
      <c r="F468" s="8"/>
      <c r="G468" s="8"/>
      <c r="H468" s="8"/>
    </row>
    <row r="469" ht="14.25" spans="1:8">
      <c r="A469" s="8"/>
      <c r="B469" s="8"/>
      <c r="C469" s="8"/>
      <c r="D469" s="8"/>
      <c r="E469" s="8"/>
      <c r="F469" s="8"/>
      <c r="G469" s="8"/>
      <c r="H469" s="8"/>
    </row>
    <row r="470" ht="14.25" spans="1:8">
      <c r="A470" s="8"/>
      <c r="B470" s="8"/>
      <c r="C470" s="8"/>
      <c r="D470" s="8"/>
      <c r="E470" s="8"/>
      <c r="F470" s="8"/>
      <c r="G470" s="8"/>
      <c r="H470" s="8"/>
    </row>
    <row r="471" ht="14.25" spans="1:8">
      <c r="A471" s="8"/>
      <c r="B471" s="8"/>
      <c r="C471" s="8"/>
      <c r="D471" s="8"/>
      <c r="E471" s="8"/>
      <c r="F471" s="8"/>
      <c r="G471" s="8"/>
      <c r="H471" s="8"/>
    </row>
    <row r="472" ht="14.25" spans="1:8">
      <c r="A472" s="8"/>
      <c r="B472" s="8"/>
      <c r="C472" s="8"/>
      <c r="D472" s="8"/>
      <c r="E472" s="8"/>
      <c r="F472" s="8"/>
      <c r="G472" s="8"/>
      <c r="H472" s="8"/>
    </row>
    <row r="473" ht="14.25" spans="1:8">
      <c r="A473" s="8"/>
      <c r="B473" s="8"/>
      <c r="C473" s="8"/>
      <c r="D473" s="8"/>
      <c r="E473" s="8"/>
      <c r="F473" s="8"/>
      <c r="G473" s="8"/>
      <c r="H473" s="8"/>
    </row>
    <row r="474" ht="14.25" spans="1:8">
      <c r="A474" s="8"/>
      <c r="B474" s="8"/>
      <c r="C474" s="8"/>
      <c r="D474" s="8"/>
      <c r="E474" s="8"/>
      <c r="F474" s="8"/>
      <c r="G474" s="8"/>
      <c r="H474" s="8"/>
    </row>
    <row r="475" ht="14.25" spans="1:8">
      <c r="A475" s="8"/>
      <c r="B475" s="8"/>
      <c r="C475" s="8"/>
      <c r="D475" s="8"/>
      <c r="E475" s="8"/>
      <c r="F475" s="8"/>
      <c r="G475" s="8"/>
      <c r="H475" s="8"/>
    </row>
    <row r="476" ht="14.25" spans="1:8">
      <c r="A476" s="8"/>
      <c r="B476" s="8"/>
      <c r="C476" s="8"/>
      <c r="D476" s="8"/>
      <c r="E476" s="8"/>
      <c r="F476" s="8"/>
      <c r="G476" s="8"/>
      <c r="H476" s="8"/>
    </row>
    <row r="477" ht="14.25" spans="1:8">
      <c r="A477" s="8"/>
      <c r="B477" s="8"/>
      <c r="C477" s="8"/>
      <c r="D477" s="8"/>
      <c r="E477" s="8"/>
      <c r="F477" s="8"/>
      <c r="G477" s="8"/>
      <c r="H477" s="8"/>
    </row>
    <row r="478" ht="14.25" spans="1:8">
      <c r="A478" s="8"/>
      <c r="B478" s="8"/>
      <c r="C478" s="8"/>
      <c r="D478" s="8"/>
      <c r="E478" s="8"/>
      <c r="F478" s="8"/>
      <c r="G478" s="8"/>
      <c r="H478" s="8"/>
    </row>
    <row r="479" ht="14.25" spans="1:8">
      <c r="A479" s="8"/>
      <c r="B479" s="8"/>
      <c r="C479" s="8"/>
      <c r="D479" s="8"/>
      <c r="E479" s="8"/>
      <c r="F479" s="8"/>
      <c r="G479" s="8"/>
      <c r="H479" s="8"/>
    </row>
    <row r="480" ht="14.25" spans="1:8">
      <c r="A480" s="8"/>
      <c r="B480" s="8"/>
      <c r="C480" s="8"/>
      <c r="D480" s="8"/>
      <c r="E480" s="8"/>
      <c r="F480" s="8"/>
      <c r="G480" s="8"/>
      <c r="H480" s="8"/>
    </row>
    <row r="481" ht="14.25" spans="1:8">
      <c r="A481" s="8"/>
      <c r="B481" s="8"/>
      <c r="C481" s="8"/>
      <c r="D481" s="8"/>
      <c r="E481" s="8"/>
      <c r="F481" s="8"/>
      <c r="G481" s="8"/>
      <c r="H481" s="8"/>
    </row>
    <row r="482" ht="14.25" spans="1:8">
      <c r="A482" s="8"/>
      <c r="B482" s="8"/>
      <c r="C482" s="8"/>
      <c r="D482" s="8"/>
      <c r="E482" s="8"/>
      <c r="F482" s="8"/>
      <c r="G482" s="8"/>
      <c r="H482" s="8"/>
    </row>
    <row r="483" ht="14.25" spans="1:8">
      <c r="A483" s="8"/>
      <c r="B483" s="8"/>
      <c r="C483" s="8"/>
      <c r="D483" s="8"/>
      <c r="E483" s="8"/>
      <c r="F483" s="8"/>
      <c r="G483" s="8"/>
      <c r="H483" s="8"/>
    </row>
    <row r="484" ht="14.25" spans="1:8">
      <c r="A484" s="8"/>
      <c r="B484" s="8"/>
      <c r="C484" s="8"/>
      <c r="D484" s="8"/>
      <c r="E484" s="8"/>
      <c r="F484" s="8"/>
      <c r="G484" s="8"/>
      <c r="H484" s="8"/>
    </row>
    <row r="485" ht="14.25" spans="1:8">
      <c r="A485" s="8"/>
      <c r="B485" s="8"/>
      <c r="C485" s="8"/>
      <c r="D485" s="8"/>
      <c r="E485" s="8"/>
      <c r="F485" s="8"/>
      <c r="G485" s="8"/>
      <c r="H485" s="8"/>
    </row>
    <row r="486" ht="14.25" spans="1:8">
      <c r="A486" s="8"/>
      <c r="B486" s="8"/>
      <c r="C486" s="8"/>
      <c r="D486" s="8"/>
      <c r="E486" s="8"/>
      <c r="F486" s="8"/>
      <c r="G486" s="8"/>
      <c r="H486" s="8"/>
    </row>
    <row r="487" ht="14.25" spans="1:8">
      <c r="A487" s="8"/>
      <c r="B487" s="8"/>
      <c r="C487" s="8"/>
      <c r="D487" s="8"/>
      <c r="E487" s="8"/>
      <c r="F487" s="8"/>
      <c r="G487" s="8"/>
      <c r="H487" s="8"/>
    </row>
    <row r="488" ht="14.25" spans="1:8">
      <c r="A488" s="8"/>
      <c r="B488" s="8"/>
      <c r="C488" s="8"/>
      <c r="D488" s="8"/>
      <c r="E488" s="8"/>
      <c r="F488" s="8"/>
      <c r="G488" s="8"/>
      <c r="H488" s="8"/>
    </row>
    <row r="489" ht="14.25" spans="1:8">
      <c r="A489" s="8"/>
      <c r="B489" s="8"/>
      <c r="C489" s="8"/>
      <c r="D489" s="8"/>
      <c r="E489" s="8"/>
      <c r="F489" s="8"/>
      <c r="G489" s="8"/>
      <c r="H489" s="8"/>
    </row>
    <row r="490" ht="14.25" spans="1:8">
      <c r="A490" s="8"/>
      <c r="B490" s="8"/>
      <c r="C490" s="8"/>
      <c r="D490" s="8"/>
      <c r="E490" s="8"/>
      <c r="F490" s="8"/>
      <c r="G490" s="8"/>
      <c r="H490" s="8"/>
    </row>
    <row r="491" ht="14.25" spans="1:8">
      <c r="A491" s="8"/>
      <c r="B491" s="8"/>
      <c r="C491" s="8"/>
      <c r="D491" s="8"/>
      <c r="E491" s="8"/>
      <c r="F491" s="8"/>
      <c r="G491" s="8"/>
      <c r="H491" s="8"/>
    </row>
    <row r="492" ht="14.25" spans="1:8">
      <c r="A492" s="8"/>
      <c r="B492" s="8"/>
      <c r="C492" s="8"/>
      <c r="D492" s="8"/>
      <c r="E492" s="8"/>
      <c r="F492" s="8"/>
      <c r="G492" s="8"/>
      <c r="H492" s="8"/>
    </row>
    <row r="493" ht="14.25" spans="1:8">
      <c r="A493" s="8"/>
      <c r="B493" s="8"/>
      <c r="C493" s="8"/>
      <c r="D493" s="8"/>
      <c r="E493" s="8"/>
      <c r="F493" s="8"/>
      <c r="G493" s="8"/>
      <c r="H493" s="8"/>
    </row>
    <row r="494" ht="14.25" spans="1:8">
      <c r="A494" s="8"/>
      <c r="B494" s="8"/>
      <c r="C494" s="8"/>
      <c r="D494" s="8"/>
      <c r="E494" s="8"/>
      <c r="F494" s="8"/>
      <c r="G494" s="8"/>
      <c r="H494" s="8"/>
    </row>
    <row r="495" ht="14.25" spans="1:8">
      <c r="A495" s="8"/>
      <c r="B495" s="8"/>
      <c r="C495" s="8"/>
      <c r="D495" s="8"/>
      <c r="E495" s="8"/>
      <c r="F495" s="8"/>
      <c r="G495" s="8"/>
      <c r="H495" s="8"/>
    </row>
    <row r="496" ht="14.25" spans="1:8">
      <c r="A496" s="8"/>
      <c r="B496" s="8"/>
      <c r="C496" s="8"/>
      <c r="D496" s="8"/>
      <c r="E496" s="8"/>
      <c r="F496" s="8"/>
      <c r="G496" s="8"/>
      <c r="H496" s="8"/>
    </row>
    <row r="497" ht="14.25" spans="1:8">
      <c r="A497" s="8"/>
      <c r="B497" s="8"/>
      <c r="C497" s="8"/>
      <c r="D497" s="8"/>
      <c r="E497" s="8"/>
      <c r="F497" s="8"/>
      <c r="G497" s="8"/>
      <c r="H497" s="8"/>
    </row>
    <row r="498" ht="14.25" spans="1:8">
      <c r="A498" s="8"/>
      <c r="B498" s="8"/>
      <c r="C498" s="8"/>
      <c r="D498" s="8"/>
      <c r="E498" s="8"/>
      <c r="F498" s="8"/>
      <c r="G498" s="8"/>
      <c r="H498" s="8"/>
    </row>
    <row r="499" ht="14.25" spans="1:8">
      <c r="A499" s="8"/>
      <c r="B499" s="8"/>
      <c r="C499" s="8"/>
      <c r="D499" s="8"/>
      <c r="E499" s="8"/>
      <c r="F499" s="8"/>
      <c r="G499" s="8"/>
      <c r="H499" s="8"/>
    </row>
    <row r="500" ht="14.25" spans="1:8">
      <c r="A500" s="8"/>
      <c r="B500" s="8"/>
      <c r="C500" s="8"/>
      <c r="D500" s="8"/>
      <c r="E500" s="8"/>
      <c r="F500" s="8"/>
      <c r="G500" s="8"/>
      <c r="H500" s="8"/>
    </row>
    <row r="501" ht="14.25" spans="1:8">
      <c r="A501" s="8"/>
      <c r="B501" s="8"/>
      <c r="C501" s="8"/>
      <c r="D501" s="8"/>
      <c r="E501" s="8"/>
      <c r="F501" s="8"/>
      <c r="G501" s="8"/>
      <c r="H501" s="8"/>
    </row>
    <row r="502" ht="14.25" spans="1:8">
      <c r="A502" s="8"/>
      <c r="B502" s="8"/>
      <c r="C502" s="8"/>
      <c r="D502" s="8"/>
      <c r="E502" s="8"/>
      <c r="F502" s="8"/>
      <c r="G502" s="8"/>
      <c r="H502" s="8"/>
    </row>
    <row r="503" ht="14.25" spans="1:8">
      <c r="A503" s="8"/>
      <c r="B503" s="8"/>
      <c r="C503" s="8"/>
      <c r="D503" s="8"/>
      <c r="E503" s="8"/>
      <c r="F503" s="8"/>
      <c r="G503" s="8"/>
      <c r="H503" s="8"/>
    </row>
    <row r="504" ht="14.25" spans="1:8">
      <c r="A504" s="8"/>
      <c r="B504" s="8"/>
      <c r="C504" s="8"/>
      <c r="D504" s="8"/>
      <c r="E504" s="8"/>
      <c r="F504" s="8"/>
      <c r="G504" s="8"/>
      <c r="H504" s="8"/>
    </row>
    <row r="505" ht="14.25" spans="1:8">
      <c r="A505" s="8"/>
      <c r="B505" s="8"/>
      <c r="C505" s="8"/>
      <c r="D505" s="8"/>
      <c r="E505" s="8"/>
      <c r="F505" s="8"/>
      <c r="G505" s="8"/>
      <c r="H505" s="8"/>
    </row>
    <row r="506" ht="14.25" spans="1:8">
      <c r="A506" s="8"/>
      <c r="B506" s="8"/>
      <c r="C506" s="8"/>
      <c r="D506" s="8"/>
      <c r="E506" s="8"/>
      <c r="F506" s="8"/>
      <c r="G506" s="8"/>
      <c r="H506" s="8"/>
    </row>
    <row r="507" ht="14.25" spans="1:8">
      <c r="A507" s="8"/>
      <c r="B507" s="8"/>
      <c r="C507" s="8"/>
      <c r="D507" s="8"/>
      <c r="E507" s="8"/>
      <c r="F507" s="8"/>
      <c r="G507" s="8"/>
      <c r="H507" s="8"/>
    </row>
    <row r="508" ht="14.25" spans="1:8">
      <c r="A508" s="8"/>
      <c r="B508" s="8"/>
      <c r="C508" s="8"/>
      <c r="D508" s="8"/>
      <c r="E508" s="8"/>
      <c r="F508" s="8"/>
      <c r="G508" s="8"/>
      <c r="H508" s="8"/>
    </row>
    <row r="509" ht="14.25" spans="1:8">
      <c r="A509" s="8"/>
      <c r="B509" s="8"/>
      <c r="C509" s="8"/>
      <c r="D509" s="8"/>
      <c r="E509" s="8"/>
      <c r="F509" s="8"/>
      <c r="G509" s="8"/>
      <c r="H509" s="8"/>
    </row>
    <row r="510" ht="14.25" spans="1:8">
      <c r="A510" s="8"/>
      <c r="B510" s="8"/>
      <c r="C510" s="8"/>
      <c r="D510" s="8"/>
      <c r="E510" s="8"/>
      <c r="F510" s="8"/>
      <c r="G510" s="8"/>
      <c r="H510" s="8"/>
    </row>
    <row r="511" ht="14.25" spans="1:8">
      <c r="A511" s="8"/>
      <c r="B511" s="8"/>
      <c r="C511" s="8"/>
      <c r="D511" s="8"/>
      <c r="E511" s="8"/>
      <c r="F511" s="8"/>
      <c r="G511" s="8"/>
      <c r="H511" s="8"/>
    </row>
    <row r="512" ht="14.25" spans="1:8">
      <c r="A512" s="8"/>
      <c r="B512" s="8"/>
      <c r="C512" s="8"/>
      <c r="D512" s="8"/>
      <c r="E512" s="8"/>
      <c r="F512" s="8"/>
      <c r="G512" s="8"/>
      <c r="H512" s="8"/>
    </row>
    <row r="513" ht="14.25" spans="1:8">
      <c r="A513" s="8"/>
      <c r="B513" s="8"/>
      <c r="C513" s="8"/>
      <c r="D513" s="8"/>
      <c r="E513" s="8"/>
      <c r="F513" s="8"/>
      <c r="G513" s="8"/>
      <c r="H513" s="8"/>
    </row>
    <row r="514" ht="14.25" spans="1:8">
      <c r="A514" s="8"/>
      <c r="B514" s="8"/>
      <c r="C514" s="8"/>
      <c r="D514" s="8"/>
      <c r="E514" s="8"/>
      <c r="F514" s="8"/>
      <c r="G514" s="8"/>
      <c r="H514" s="8"/>
    </row>
    <row r="515" ht="14.25" spans="1:8">
      <c r="A515" s="8"/>
      <c r="B515" s="8"/>
      <c r="C515" s="8"/>
      <c r="D515" s="8"/>
      <c r="E515" s="8"/>
      <c r="F515" s="8"/>
      <c r="G515" s="8"/>
      <c r="H515" s="8"/>
    </row>
    <row r="516" ht="14.25" spans="1:8">
      <c r="A516" s="8"/>
      <c r="B516" s="8"/>
      <c r="C516" s="8"/>
      <c r="D516" s="8"/>
      <c r="E516" s="8"/>
      <c r="F516" s="8"/>
      <c r="G516" s="8"/>
      <c r="H516" s="8"/>
    </row>
    <row r="517" ht="14.25" spans="1:8">
      <c r="A517" s="8"/>
      <c r="B517" s="8"/>
      <c r="C517" s="8"/>
      <c r="D517" s="8"/>
      <c r="E517" s="8"/>
      <c r="F517" s="8"/>
      <c r="G517" s="8"/>
      <c r="H517" s="8"/>
    </row>
    <row r="518" ht="14.25" spans="1:8">
      <c r="A518" s="8"/>
      <c r="B518" s="8"/>
      <c r="C518" s="8"/>
      <c r="D518" s="8"/>
      <c r="E518" s="8"/>
      <c r="F518" s="8"/>
      <c r="G518" s="8"/>
      <c r="H518" s="8"/>
    </row>
    <row r="519" ht="14.25" spans="1:8">
      <c r="A519" s="8"/>
      <c r="B519" s="8"/>
      <c r="C519" s="8"/>
      <c r="D519" s="8"/>
      <c r="E519" s="8"/>
      <c r="F519" s="8"/>
      <c r="G519" s="8"/>
      <c r="H519" s="8"/>
    </row>
    <row r="520" ht="14.25" spans="1:8">
      <c r="A520" s="8"/>
      <c r="B520" s="8"/>
      <c r="C520" s="8"/>
      <c r="D520" s="8"/>
      <c r="E520" s="8"/>
      <c r="F520" s="8"/>
      <c r="G520" s="8"/>
      <c r="H520" s="8"/>
    </row>
    <row r="521" ht="14.25" spans="1:8">
      <c r="A521" s="8"/>
      <c r="B521" s="8"/>
      <c r="C521" s="8"/>
      <c r="D521" s="8"/>
      <c r="E521" s="8"/>
      <c r="F521" s="8"/>
      <c r="G521" s="8"/>
      <c r="H521" s="8"/>
    </row>
    <row r="522" ht="14.25" spans="1:8">
      <c r="A522" s="8"/>
      <c r="B522" s="8"/>
      <c r="C522" s="8"/>
      <c r="D522" s="8"/>
      <c r="E522" s="8"/>
      <c r="F522" s="8"/>
      <c r="G522" s="8"/>
      <c r="H522" s="8"/>
    </row>
    <row r="523" ht="14.25" spans="1:8">
      <c r="A523" s="8"/>
      <c r="B523" s="8"/>
      <c r="C523" s="8"/>
      <c r="D523" s="8"/>
      <c r="E523" s="8"/>
      <c r="F523" s="8"/>
      <c r="G523" s="8"/>
      <c r="H523" s="8"/>
    </row>
    <row r="524" ht="14.25" spans="1:8">
      <c r="A524" s="8"/>
      <c r="B524" s="8"/>
      <c r="C524" s="8"/>
      <c r="D524" s="8"/>
      <c r="E524" s="8"/>
      <c r="F524" s="8"/>
      <c r="G524" s="8"/>
      <c r="H524" s="8"/>
    </row>
    <row r="525" ht="14.25" spans="1:8">
      <c r="A525" s="8"/>
      <c r="B525" s="8"/>
      <c r="C525" s="8"/>
      <c r="D525" s="8"/>
      <c r="E525" s="8"/>
      <c r="F525" s="8"/>
      <c r="G525" s="8"/>
      <c r="H525" s="8"/>
    </row>
    <row r="526" ht="14.25" spans="1:8">
      <c r="A526" s="8"/>
      <c r="B526" s="8"/>
      <c r="C526" s="8"/>
      <c r="D526" s="8"/>
      <c r="E526" s="8"/>
      <c r="F526" s="8"/>
      <c r="G526" s="8"/>
      <c r="H526" s="8"/>
    </row>
    <row r="527" ht="14.25" spans="1:8">
      <c r="A527" s="8"/>
      <c r="B527" s="8"/>
      <c r="C527" s="8"/>
      <c r="D527" s="8"/>
      <c r="E527" s="8"/>
      <c r="F527" s="8"/>
      <c r="G527" s="8"/>
      <c r="H527" s="8"/>
    </row>
    <row r="528" ht="14.25" spans="1:8">
      <c r="A528" s="8"/>
      <c r="B528" s="8"/>
      <c r="C528" s="8"/>
      <c r="D528" s="8"/>
      <c r="E528" s="8"/>
      <c r="F528" s="8"/>
      <c r="G528" s="8"/>
      <c r="H528" s="8"/>
    </row>
    <row r="529" ht="14.25" spans="1:8">
      <c r="A529" s="8"/>
      <c r="B529" s="8"/>
      <c r="C529" s="8"/>
      <c r="D529" s="8"/>
      <c r="E529" s="8"/>
      <c r="F529" s="8"/>
      <c r="G529" s="8"/>
      <c r="H529" s="8"/>
    </row>
    <row r="530" ht="14.25" spans="1:8">
      <c r="A530" s="8"/>
      <c r="B530" s="8"/>
      <c r="C530" s="8"/>
      <c r="D530" s="8"/>
      <c r="E530" s="8"/>
      <c r="F530" s="8"/>
      <c r="G530" s="8"/>
      <c r="H530" s="8"/>
    </row>
    <row r="531" ht="14.25" spans="1:8">
      <c r="A531" s="8"/>
      <c r="B531" s="8"/>
      <c r="C531" s="8"/>
      <c r="D531" s="8"/>
      <c r="E531" s="8"/>
      <c r="F531" s="8"/>
      <c r="G531" s="8"/>
      <c r="H531" s="8"/>
    </row>
    <row r="532" ht="14.25" spans="1:8">
      <c r="A532" s="8"/>
      <c r="B532" s="8"/>
      <c r="C532" s="8"/>
      <c r="D532" s="8"/>
      <c r="E532" s="8"/>
      <c r="F532" s="8"/>
      <c r="G532" s="8"/>
      <c r="H532" s="8"/>
    </row>
    <row r="533" ht="14.25" spans="1:8">
      <c r="A533" s="8"/>
      <c r="B533" s="8"/>
      <c r="C533" s="8"/>
      <c r="D533" s="8"/>
      <c r="E533" s="8"/>
      <c r="F533" s="8"/>
      <c r="G533" s="8"/>
      <c r="H533" s="8"/>
    </row>
    <row r="534" ht="14.25" spans="1:8">
      <c r="A534" s="8"/>
      <c r="B534" s="8"/>
      <c r="C534" s="8"/>
      <c r="D534" s="8"/>
      <c r="E534" s="8"/>
      <c r="F534" s="8"/>
      <c r="G534" s="8"/>
      <c r="H534" s="8"/>
    </row>
    <row r="535" ht="14.25" spans="1:8">
      <c r="A535" s="8"/>
      <c r="B535" s="8"/>
      <c r="C535" s="8"/>
      <c r="D535" s="8"/>
      <c r="E535" s="8"/>
      <c r="F535" s="8"/>
      <c r="G535" s="8"/>
      <c r="H535" s="8"/>
    </row>
    <row r="536" ht="14.25" spans="1:8">
      <c r="A536" s="8"/>
      <c r="B536" s="8"/>
      <c r="C536" s="8"/>
      <c r="D536" s="8"/>
      <c r="E536" s="8"/>
      <c r="F536" s="8"/>
      <c r="G536" s="8"/>
      <c r="H536" s="8"/>
    </row>
    <row r="537" ht="14.25" spans="1:8">
      <c r="A537" s="8"/>
      <c r="B537" s="8"/>
      <c r="C537" s="8"/>
      <c r="D537" s="8"/>
      <c r="E537" s="8"/>
      <c r="F537" s="8"/>
      <c r="G537" s="8"/>
      <c r="H537" s="8"/>
    </row>
    <row r="538" ht="14.25" spans="1:8">
      <c r="A538" s="8"/>
      <c r="B538" s="8"/>
      <c r="C538" s="8"/>
      <c r="D538" s="8"/>
      <c r="E538" s="8"/>
      <c r="F538" s="8"/>
      <c r="G538" s="8"/>
      <c r="H538" s="8"/>
    </row>
    <row r="539" ht="14.25" spans="1:8">
      <c r="A539" s="8"/>
      <c r="B539" s="8"/>
      <c r="C539" s="8"/>
      <c r="D539" s="8"/>
      <c r="E539" s="8"/>
      <c r="F539" s="8"/>
      <c r="G539" s="8"/>
      <c r="H539" s="8"/>
    </row>
    <row r="540" ht="14.25" spans="1:8">
      <c r="A540" s="8"/>
      <c r="B540" s="8"/>
      <c r="C540" s="8"/>
      <c r="D540" s="8"/>
      <c r="E540" s="8"/>
      <c r="F540" s="8"/>
      <c r="G540" s="8"/>
      <c r="H540" s="8"/>
    </row>
    <row r="541" ht="14.25" spans="1:8">
      <c r="A541" s="8"/>
      <c r="B541" s="8"/>
      <c r="C541" s="8"/>
      <c r="D541" s="8"/>
      <c r="E541" s="8"/>
      <c r="F541" s="8"/>
      <c r="G541" s="8"/>
      <c r="H541" s="8"/>
    </row>
    <row r="542" ht="14.25" spans="1:8">
      <c r="A542" s="8"/>
      <c r="B542" s="8"/>
      <c r="C542" s="8"/>
      <c r="D542" s="8"/>
      <c r="E542" s="8"/>
      <c r="F542" s="8"/>
      <c r="G542" s="8"/>
      <c r="H542" s="8"/>
    </row>
    <row r="543" ht="14.25" spans="1:8">
      <c r="A543" s="8"/>
      <c r="B543" s="8"/>
      <c r="C543" s="8"/>
      <c r="D543" s="8"/>
      <c r="E543" s="8"/>
      <c r="F543" s="8"/>
      <c r="G543" s="8"/>
      <c r="H543" s="8"/>
    </row>
    <row r="544" ht="14.25" spans="1:8">
      <c r="A544" s="8"/>
      <c r="B544" s="8"/>
      <c r="C544" s="8"/>
      <c r="D544" s="8"/>
      <c r="E544" s="8"/>
      <c r="F544" s="8"/>
      <c r="G544" s="8"/>
      <c r="H544" s="8"/>
    </row>
    <row r="545" ht="14.25" spans="1:8">
      <c r="A545" s="8"/>
      <c r="B545" s="8"/>
      <c r="C545" s="8"/>
      <c r="D545" s="8"/>
      <c r="E545" s="8"/>
      <c r="F545" s="8"/>
      <c r="G545" s="8"/>
      <c r="H545" s="8"/>
    </row>
    <row r="546" ht="14.25" spans="1:8">
      <c r="A546" s="8"/>
      <c r="B546" s="8"/>
      <c r="C546" s="8"/>
      <c r="D546" s="8"/>
      <c r="E546" s="8"/>
      <c r="F546" s="8"/>
      <c r="G546" s="8"/>
      <c r="H546" s="8"/>
    </row>
    <row r="547" ht="14.25" spans="1:8">
      <c r="A547" s="8"/>
      <c r="B547" s="8"/>
      <c r="C547" s="8"/>
      <c r="D547" s="8"/>
      <c r="E547" s="8"/>
      <c r="F547" s="8"/>
      <c r="G547" s="8"/>
      <c r="H547" s="8"/>
    </row>
    <row r="548" ht="14.25" spans="1:8">
      <c r="A548" s="8"/>
      <c r="B548" s="8"/>
      <c r="C548" s="8"/>
      <c r="D548" s="8"/>
      <c r="E548" s="8"/>
      <c r="F548" s="8"/>
      <c r="G548" s="8"/>
      <c r="H548" s="8"/>
    </row>
    <row r="549" ht="14.25" spans="1:8">
      <c r="A549" s="8"/>
      <c r="B549" s="8"/>
      <c r="C549" s="8"/>
      <c r="D549" s="8"/>
      <c r="E549" s="8"/>
      <c r="F549" s="8"/>
      <c r="G549" s="8"/>
      <c r="H549" s="8"/>
    </row>
    <row r="550" ht="14.25" spans="1:8">
      <c r="A550" s="8"/>
      <c r="B550" s="8"/>
      <c r="C550" s="8"/>
      <c r="D550" s="8"/>
      <c r="E550" s="8"/>
      <c r="F550" s="8"/>
      <c r="G550" s="8"/>
      <c r="H550" s="8"/>
    </row>
    <row r="551" ht="14.25" spans="1:8">
      <c r="A551" s="8"/>
      <c r="B551" s="8"/>
      <c r="C551" s="8"/>
      <c r="D551" s="8"/>
      <c r="E551" s="8"/>
      <c r="F551" s="8"/>
      <c r="G551" s="8"/>
      <c r="H551" s="8"/>
    </row>
    <row r="552" ht="14.25" spans="1:8">
      <c r="A552" s="8"/>
      <c r="B552" s="8"/>
      <c r="C552" s="8"/>
      <c r="D552" s="8"/>
      <c r="E552" s="8"/>
      <c r="F552" s="8"/>
      <c r="G552" s="8"/>
      <c r="H552" s="8"/>
    </row>
    <row r="553" ht="14.25" spans="1:8">
      <c r="A553" s="8"/>
      <c r="B553" s="8"/>
      <c r="C553" s="8"/>
      <c r="D553" s="8"/>
      <c r="E553" s="8"/>
      <c r="F553" s="8"/>
      <c r="G553" s="8"/>
      <c r="H553" s="8"/>
    </row>
    <row r="554" ht="14.25" spans="1:8">
      <c r="A554" s="8"/>
      <c r="B554" s="8"/>
      <c r="C554" s="8"/>
      <c r="D554" s="8"/>
      <c r="E554" s="8"/>
      <c r="F554" s="8"/>
      <c r="G554" s="8"/>
      <c r="H554" s="8"/>
    </row>
    <row r="555" ht="14.25" spans="1:8">
      <c r="A555" s="8"/>
      <c r="B555" s="8"/>
      <c r="C555" s="8"/>
      <c r="D555" s="8"/>
      <c r="E555" s="8"/>
      <c r="F555" s="8"/>
      <c r="G555" s="8"/>
      <c r="H555" s="8"/>
    </row>
    <row r="556" ht="14.25" spans="1:8">
      <c r="A556" s="8"/>
      <c r="B556" s="8"/>
      <c r="C556" s="8"/>
      <c r="D556" s="8"/>
      <c r="E556" s="8"/>
      <c r="F556" s="8"/>
      <c r="G556" s="8"/>
      <c r="H556" s="8"/>
    </row>
    <row r="557" ht="14.25" spans="1:8">
      <c r="A557" s="8"/>
      <c r="B557" s="8"/>
      <c r="C557" s="8"/>
      <c r="D557" s="8"/>
      <c r="E557" s="8"/>
      <c r="F557" s="8"/>
      <c r="G557" s="8"/>
      <c r="H557" s="8"/>
    </row>
    <row r="558" ht="14.25" spans="1:8">
      <c r="A558" s="8"/>
      <c r="B558" s="8"/>
      <c r="C558" s="8"/>
      <c r="D558" s="8"/>
      <c r="E558" s="8"/>
      <c r="F558" s="8"/>
      <c r="G558" s="8"/>
      <c r="H558" s="8"/>
    </row>
    <row r="559" ht="14.25" spans="1:8">
      <c r="A559" s="8"/>
      <c r="B559" s="8"/>
      <c r="C559" s="8"/>
      <c r="D559" s="8"/>
      <c r="E559" s="8"/>
      <c r="F559" s="8"/>
      <c r="G559" s="8"/>
      <c r="H559" s="8"/>
    </row>
    <row r="560" ht="14.25" spans="1:8">
      <c r="A560" s="8"/>
      <c r="B560" s="8"/>
      <c r="C560" s="8"/>
      <c r="D560" s="8"/>
      <c r="E560" s="8"/>
      <c r="F560" s="8"/>
      <c r="G560" s="8"/>
      <c r="H560" s="8"/>
    </row>
    <row r="561" ht="14.25" spans="1:8">
      <c r="A561" s="8"/>
      <c r="B561" s="8"/>
      <c r="C561" s="8"/>
      <c r="D561" s="8"/>
      <c r="E561" s="8"/>
      <c r="F561" s="8"/>
      <c r="G561" s="8"/>
      <c r="H561" s="8"/>
    </row>
    <row r="562" ht="14.25" spans="1:8">
      <c r="A562" s="8"/>
      <c r="B562" s="8"/>
      <c r="C562" s="8"/>
      <c r="D562" s="8"/>
      <c r="E562" s="8"/>
      <c r="F562" s="8"/>
      <c r="G562" s="8"/>
      <c r="H562" s="8"/>
    </row>
    <row r="563" ht="14.25" spans="1:8">
      <c r="A563" s="8"/>
      <c r="B563" s="8"/>
      <c r="C563" s="8"/>
      <c r="D563" s="8"/>
      <c r="E563" s="8"/>
      <c r="F563" s="8"/>
      <c r="G563" s="8"/>
      <c r="H563" s="8"/>
    </row>
    <row r="564" ht="14.25" spans="1:8">
      <c r="A564" s="8"/>
      <c r="B564" s="8"/>
      <c r="C564" s="8"/>
      <c r="D564" s="8"/>
      <c r="E564" s="8"/>
      <c r="F564" s="8"/>
      <c r="G564" s="8"/>
      <c r="H564" s="8"/>
    </row>
    <row r="565" ht="14.25" spans="1:8">
      <c r="A565" s="8"/>
      <c r="B565" s="8"/>
      <c r="C565" s="8"/>
      <c r="D565" s="8"/>
      <c r="E565" s="8"/>
      <c r="F565" s="8"/>
      <c r="G565" s="8"/>
      <c r="H565" s="8"/>
    </row>
    <row r="566" ht="14.25" spans="1:8">
      <c r="A566" s="8"/>
      <c r="B566" s="8"/>
      <c r="C566" s="8"/>
      <c r="D566" s="8"/>
      <c r="E566" s="8"/>
      <c r="F566" s="8"/>
      <c r="G566" s="8"/>
      <c r="H566" s="8"/>
    </row>
    <row r="567" ht="14.25" spans="1:8">
      <c r="A567" s="8"/>
      <c r="B567" s="8"/>
      <c r="C567" s="8"/>
      <c r="D567" s="8"/>
      <c r="E567" s="8"/>
      <c r="F567" s="8"/>
      <c r="G567" s="8"/>
      <c r="H567" s="8"/>
    </row>
    <row r="568" ht="14.25" spans="1:8">
      <c r="A568" s="8"/>
      <c r="B568" s="8"/>
      <c r="C568" s="8"/>
      <c r="D568" s="8"/>
      <c r="E568" s="8"/>
      <c r="F568" s="8"/>
      <c r="G568" s="8"/>
      <c r="H568" s="8"/>
    </row>
    <row r="569" ht="14.25" spans="1:8">
      <c r="A569" s="8"/>
      <c r="B569" s="8"/>
      <c r="C569" s="8"/>
      <c r="D569" s="8"/>
      <c r="E569" s="8"/>
      <c r="F569" s="8"/>
      <c r="G569" s="8"/>
      <c r="H569" s="8"/>
    </row>
    <row r="570" ht="14.25" spans="1:8">
      <c r="A570" s="8"/>
      <c r="B570" s="8"/>
      <c r="C570" s="8"/>
      <c r="D570" s="8"/>
      <c r="E570" s="8"/>
      <c r="F570" s="8"/>
      <c r="G570" s="8"/>
      <c r="H570" s="8"/>
    </row>
    <row r="571" ht="14.25" spans="1:8">
      <c r="A571" s="8"/>
      <c r="B571" s="8"/>
      <c r="C571" s="8"/>
      <c r="D571" s="8"/>
      <c r="E571" s="8"/>
      <c r="F571" s="8"/>
      <c r="G571" s="8"/>
      <c r="H571" s="8"/>
    </row>
    <row r="572" ht="14.25" spans="1:8">
      <c r="A572" s="8"/>
      <c r="B572" s="8"/>
      <c r="C572" s="8"/>
      <c r="D572" s="8"/>
      <c r="E572" s="8"/>
      <c r="F572" s="8"/>
      <c r="G572" s="8"/>
      <c r="H572" s="8"/>
    </row>
    <row r="573" ht="14.25" spans="1:8">
      <c r="A573" s="8"/>
      <c r="B573" s="8"/>
      <c r="C573" s="8"/>
      <c r="D573" s="8"/>
      <c r="E573" s="8"/>
      <c r="F573" s="8"/>
      <c r="G573" s="8"/>
      <c r="H573" s="8"/>
    </row>
    <row r="574" ht="14.25" spans="1:8">
      <c r="A574" s="8"/>
      <c r="B574" s="8"/>
      <c r="C574" s="8"/>
      <c r="D574" s="8"/>
      <c r="E574" s="8"/>
      <c r="F574" s="8"/>
      <c r="G574" s="8"/>
      <c r="H574" s="8"/>
    </row>
    <row r="575" ht="14.25" spans="1:8">
      <c r="A575" s="8"/>
      <c r="B575" s="8"/>
      <c r="C575" s="8"/>
      <c r="D575" s="8"/>
      <c r="E575" s="8"/>
      <c r="F575" s="8"/>
      <c r="G575" s="8"/>
      <c r="H575" s="8"/>
    </row>
    <row r="576" ht="14.25" spans="1:8">
      <c r="A576" s="8"/>
      <c r="B576" s="8"/>
      <c r="C576" s="8"/>
      <c r="D576" s="8"/>
      <c r="E576" s="8"/>
      <c r="F576" s="8"/>
      <c r="G576" s="8"/>
      <c r="H576" s="8"/>
    </row>
    <row r="577" ht="14.25" spans="1:8">
      <c r="A577" s="8"/>
      <c r="B577" s="8"/>
      <c r="C577" s="8"/>
      <c r="D577" s="8"/>
      <c r="E577" s="8"/>
      <c r="F577" s="8"/>
      <c r="G577" s="8"/>
      <c r="H577" s="8"/>
    </row>
    <row r="578" ht="14.25" spans="1:8">
      <c r="A578" s="8"/>
      <c r="B578" s="8"/>
      <c r="C578" s="8"/>
      <c r="D578" s="8"/>
      <c r="E578" s="8"/>
      <c r="F578" s="8"/>
      <c r="G578" s="8"/>
      <c r="H578" s="8"/>
    </row>
    <row r="579" ht="14.25" spans="1:8">
      <c r="A579" s="8"/>
      <c r="B579" s="8"/>
      <c r="C579" s="8"/>
      <c r="D579" s="8"/>
      <c r="E579" s="8"/>
      <c r="F579" s="8"/>
      <c r="G579" s="8"/>
      <c r="H579" s="8"/>
    </row>
    <row r="580" ht="14.25" spans="1:8">
      <c r="A580" s="8"/>
      <c r="B580" s="8"/>
      <c r="C580" s="8"/>
      <c r="D580" s="8"/>
      <c r="E580" s="8"/>
      <c r="F580" s="8"/>
      <c r="G580" s="8"/>
      <c r="H580" s="8"/>
    </row>
    <row r="581" ht="14.25" spans="1:8">
      <c r="A581" s="8"/>
      <c r="B581" s="8"/>
      <c r="C581" s="8"/>
      <c r="D581" s="8"/>
      <c r="E581" s="8"/>
      <c r="F581" s="8"/>
      <c r="G581" s="8"/>
      <c r="H581" s="8"/>
    </row>
    <row r="582" ht="14.25" spans="1:8">
      <c r="A582" s="8"/>
      <c r="B582" s="8"/>
      <c r="C582" s="8"/>
      <c r="D582" s="8"/>
      <c r="E582" s="8"/>
      <c r="F582" s="8"/>
      <c r="G582" s="8"/>
      <c r="H582" s="8"/>
    </row>
    <row r="583" ht="14.25" spans="1:8">
      <c r="A583" s="8"/>
      <c r="B583" s="8"/>
      <c r="C583" s="8"/>
      <c r="D583" s="8"/>
      <c r="E583" s="8"/>
      <c r="F583" s="8"/>
      <c r="G583" s="8"/>
      <c r="H583" s="8"/>
    </row>
    <row r="584" ht="14.25" spans="1:8">
      <c r="A584" s="8"/>
      <c r="B584" s="8"/>
      <c r="C584" s="8"/>
      <c r="D584" s="8"/>
      <c r="E584" s="8"/>
      <c r="F584" s="8"/>
      <c r="G584" s="8"/>
      <c r="H584" s="8"/>
    </row>
    <row r="585" ht="14.25" spans="1:8">
      <c r="A585" s="8"/>
      <c r="B585" s="8"/>
      <c r="C585" s="8"/>
      <c r="D585" s="8"/>
      <c r="E585" s="8"/>
      <c r="F585" s="8"/>
      <c r="G585" s="8"/>
      <c r="H585" s="8"/>
    </row>
    <row r="586" ht="14.25" spans="1:8">
      <c r="A586" s="8"/>
      <c r="B586" s="8"/>
      <c r="C586" s="8"/>
      <c r="D586" s="8"/>
      <c r="E586" s="8"/>
      <c r="F586" s="8"/>
      <c r="G586" s="8"/>
      <c r="H586" s="8"/>
    </row>
    <row r="587" ht="14.25" spans="1:8">
      <c r="A587" s="8"/>
      <c r="B587" s="8"/>
      <c r="C587" s="8"/>
      <c r="D587" s="8"/>
      <c r="E587" s="8"/>
      <c r="F587" s="8"/>
      <c r="G587" s="8"/>
      <c r="H587" s="8"/>
    </row>
    <row r="588" ht="14.25" spans="1:8">
      <c r="A588" s="8"/>
      <c r="B588" s="8"/>
      <c r="C588" s="8"/>
      <c r="D588" s="8"/>
      <c r="E588" s="8"/>
      <c r="F588" s="8"/>
      <c r="G588" s="8"/>
      <c r="H588" s="8"/>
    </row>
    <row r="589" ht="14.25" spans="1:8">
      <c r="A589" s="8"/>
      <c r="B589" s="8"/>
      <c r="C589" s="8"/>
      <c r="D589" s="8"/>
      <c r="E589" s="8"/>
      <c r="F589" s="8"/>
      <c r="G589" s="8"/>
      <c r="H589" s="8"/>
    </row>
    <row r="590" ht="14.25" spans="1:8">
      <c r="A590" s="8"/>
      <c r="B590" s="8"/>
      <c r="C590" s="8"/>
      <c r="D590" s="8"/>
      <c r="E590" s="8"/>
      <c r="F590" s="8"/>
      <c r="G590" s="8"/>
      <c r="H590" s="8"/>
    </row>
    <row r="591" ht="14.25" spans="1:8">
      <c r="A591" s="8"/>
      <c r="B591" s="8"/>
      <c r="C591" s="8"/>
      <c r="D591" s="8"/>
      <c r="E591" s="8"/>
      <c r="F591" s="8"/>
      <c r="G591" s="8"/>
      <c r="H591" s="8"/>
    </row>
    <row r="592" ht="14.25" spans="1:8">
      <c r="A592" s="8"/>
      <c r="B592" s="8"/>
      <c r="C592" s="8"/>
      <c r="D592" s="8"/>
      <c r="E592" s="8"/>
      <c r="F592" s="8"/>
      <c r="G592" s="8"/>
      <c r="H592" s="8"/>
    </row>
    <row r="593" ht="14.25" spans="1:8">
      <c r="A593" s="8"/>
      <c r="B593" s="8"/>
      <c r="C593" s="8"/>
      <c r="D593" s="8"/>
      <c r="E593" s="8"/>
      <c r="F593" s="8"/>
      <c r="G593" s="8"/>
      <c r="H593" s="8"/>
    </row>
    <row r="594" ht="14.25" spans="1:8">
      <c r="A594" s="8"/>
      <c r="B594" s="8"/>
      <c r="C594" s="8"/>
      <c r="D594" s="8"/>
      <c r="E594" s="8"/>
      <c r="F594" s="8"/>
      <c r="G594" s="8"/>
      <c r="H594" s="8"/>
    </row>
    <row r="595" ht="14.25" spans="1:8">
      <c r="A595" s="8"/>
      <c r="B595" s="8"/>
      <c r="C595" s="8"/>
      <c r="D595" s="8"/>
      <c r="E595" s="8"/>
      <c r="F595" s="8"/>
      <c r="G595" s="8"/>
      <c r="H595" s="8"/>
    </row>
    <row r="596" ht="14.25" spans="1:8">
      <c r="A596" s="8"/>
      <c r="B596" s="8"/>
      <c r="C596" s="8"/>
      <c r="D596" s="8"/>
      <c r="E596" s="8"/>
      <c r="F596" s="8"/>
      <c r="G596" s="8"/>
      <c r="H596" s="8"/>
    </row>
    <row r="597" ht="14.25" spans="1:8">
      <c r="A597" s="8"/>
      <c r="B597" s="8"/>
      <c r="C597" s="8"/>
      <c r="D597" s="8"/>
      <c r="E597" s="8"/>
      <c r="F597" s="8"/>
      <c r="G597" s="8"/>
      <c r="H597" s="8"/>
    </row>
    <row r="598" ht="14.25" spans="1:8">
      <c r="A598" s="8"/>
      <c r="B598" s="8"/>
      <c r="C598" s="8"/>
      <c r="D598" s="8"/>
      <c r="E598" s="8"/>
      <c r="F598" s="8"/>
      <c r="G598" s="8"/>
      <c r="H598" s="8"/>
    </row>
    <row r="599" ht="14.25" spans="1:8">
      <c r="A599" s="8"/>
      <c r="B599" s="8"/>
      <c r="C599" s="8"/>
      <c r="D599" s="8"/>
      <c r="E599" s="8"/>
      <c r="F599" s="8"/>
      <c r="G599" s="8"/>
      <c r="H599" s="8"/>
    </row>
    <row r="600" ht="14.25" spans="1:8">
      <c r="A600" s="8"/>
      <c r="B600" s="8"/>
      <c r="C600" s="8"/>
      <c r="D600" s="8"/>
      <c r="E600" s="8"/>
      <c r="F600" s="8"/>
      <c r="G600" s="8"/>
      <c r="H600" s="8"/>
    </row>
    <row r="601" ht="14.25" spans="1:8">
      <c r="A601" s="8"/>
      <c r="B601" s="8"/>
      <c r="C601" s="8"/>
      <c r="D601" s="8"/>
      <c r="E601" s="8"/>
      <c r="F601" s="8"/>
      <c r="G601" s="8"/>
      <c r="H601" s="8"/>
    </row>
    <row r="602" ht="14.25" spans="1:8">
      <c r="A602" s="8"/>
      <c r="B602" s="8"/>
      <c r="C602" s="8"/>
      <c r="D602" s="8"/>
      <c r="E602" s="8"/>
      <c r="F602" s="8"/>
      <c r="G602" s="8"/>
      <c r="H602" s="8"/>
    </row>
    <row r="603" ht="14.25" spans="1:8">
      <c r="A603" s="8"/>
      <c r="B603" s="8"/>
      <c r="C603" s="8"/>
      <c r="D603" s="8"/>
      <c r="E603" s="8"/>
      <c r="F603" s="8"/>
      <c r="G603" s="8"/>
      <c r="H603" s="8"/>
    </row>
    <row r="604" ht="14.25" spans="1:8">
      <c r="A604" s="8"/>
      <c r="B604" s="8"/>
      <c r="C604" s="8"/>
      <c r="D604" s="8"/>
      <c r="E604" s="8"/>
      <c r="F604" s="8"/>
      <c r="G604" s="8"/>
      <c r="H604" s="8"/>
    </row>
    <row r="605" ht="14.25" spans="1:8">
      <c r="A605" s="8"/>
      <c r="B605" s="8"/>
      <c r="C605" s="8"/>
      <c r="D605" s="8"/>
      <c r="E605" s="8"/>
      <c r="F605" s="8"/>
      <c r="G605" s="8"/>
      <c r="H605" s="8"/>
    </row>
    <row r="606" ht="14.25" spans="1:8">
      <c r="A606" s="8"/>
      <c r="B606" s="8"/>
      <c r="C606" s="8"/>
      <c r="D606" s="8"/>
      <c r="E606" s="8"/>
      <c r="F606" s="8"/>
      <c r="G606" s="8"/>
      <c r="H606" s="8"/>
    </row>
    <row r="607" ht="14.25" spans="1:8">
      <c r="A607" s="8"/>
      <c r="B607" s="8"/>
      <c r="C607" s="8"/>
      <c r="D607" s="8"/>
      <c r="E607" s="8"/>
      <c r="F607" s="8"/>
      <c r="G607" s="8"/>
      <c r="H607" s="8"/>
    </row>
    <row r="608" ht="14.25" spans="1:8">
      <c r="A608" s="8"/>
      <c r="B608" s="8"/>
      <c r="C608" s="8"/>
      <c r="D608" s="8"/>
      <c r="E608" s="8"/>
      <c r="F608" s="8"/>
      <c r="G608" s="8"/>
      <c r="H608" s="8"/>
    </row>
    <row r="609" ht="14.25" spans="1:8">
      <c r="A609" s="8"/>
      <c r="B609" s="8"/>
      <c r="C609" s="8"/>
      <c r="D609" s="8"/>
      <c r="E609" s="8"/>
      <c r="F609" s="8"/>
      <c r="G609" s="8"/>
      <c r="H609" s="8"/>
    </row>
    <row r="610" ht="14.25" spans="1:8">
      <c r="A610" s="8"/>
      <c r="B610" s="8"/>
      <c r="C610" s="8"/>
      <c r="D610" s="8"/>
      <c r="E610" s="8"/>
      <c r="F610" s="8"/>
      <c r="G610" s="8"/>
      <c r="H610" s="8"/>
    </row>
    <row r="611" ht="14.25" spans="1:8">
      <c r="A611" s="8"/>
      <c r="B611" s="8"/>
      <c r="C611" s="8"/>
      <c r="D611" s="8"/>
      <c r="E611" s="8"/>
      <c r="F611" s="8"/>
      <c r="G611" s="8"/>
      <c r="H611" s="8"/>
    </row>
    <row r="612" ht="14.25" spans="1:8">
      <c r="A612" s="8"/>
      <c r="B612" s="8"/>
      <c r="C612" s="8"/>
      <c r="D612" s="8"/>
      <c r="E612" s="8"/>
      <c r="F612" s="8"/>
      <c r="G612" s="8"/>
      <c r="H612" s="8"/>
    </row>
    <row r="613" ht="14.25" spans="1:8">
      <c r="A613" s="8"/>
      <c r="B613" s="8"/>
      <c r="C613" s="8"/>
      <c r="D613" s="8"/>
      <c r="E613" s="8"/>
      <c r="F613" s="8"/>
      <c r="G613" s="8"/>
      <c r="H613" s="8"/>
    </row>
    <row r="614" ht="14.25" spans="1:8">
      <c r="A614" s="8"/>
      <c r="B614" s="8"/>
      <c r="C614" s="8"/>
      <c r="D614" s="8"/>
      <c r="E614" s="8"/>
      <c r="F614" s="8"/>
      <c r="G614" s="8"/>
      <c r="H614" s="8"/>
    </row>
    <row r="615" ht="14.25" spans="1:8">
      <c r="A615" s="8"/>
      <c r="B615" s="8"/>
      <c r="C615" s="8"/>
      <c r="D615" s="8"/>
      <c r="E615" s="8"/>
      <c r="F615" s="8"/>
      <c r="G615" s="8"/>
      <c r="H615" s="8"/>
    </row>
    <row r="616" ht="14.25" spans="1:8">
      <c r="A616" s="8"/>
      <c r="B616" s="8"/>
      <c r="C616" s="8"/>
      <c r="D616" s="8"/>
      <c r="E616" s="8"/>
      <c r="F616" s="8"/>
      <c r="G616" s="8"/>
      <c r="H616" s="8"/>
    </row>
    <row r="617" ht="14.25" spans="1:8">
      <c r="A617" s="8"/>
      <c r="B617" s="8"/>
      <c r="C617" s="8"/>
      <c r="D617" s="8"/>
      <c r="E617" s="8"/>
      <c r="F617" s="8"/>
      <c r="G617" s="8"/>
      <c r="H617" s="8"/>
    </row>
    <row r="618" ht="14.25" spans="1:8">
      <c r="A618" s="8"/>
      <c r="B618" s="8"/>
      <c r="C618" s="8"/>
      <c r="D618" s="8"/>
      <c r="E618" s="8"/>
      <c r="F618" s="8"/>
      <c r="G618" s="8"/>
      <c r="H618" s="8"/>
    </row>
    <row r="619" ht="14.25" spans="1:8">
      <c r="A619" s="8"/>
      <c r="B619" s="8"/>
      <c r="C619" s="8"/>
      <c r="D619" s="8"/>
      <c r="E619" s="8"/>
      <c r="F619" s="8"/>
      <c r="G619" s="8"/>
      <c r="H619" s="8"/>
    </row>
    <row r="620" ht="14.25" spans="1:8">
      <c r="A620" s="8"/>
      <c r="B620" s="8"/>
      <c r="C620" s="8"/>
      <c r="D620" s="8"/>
      <c r="E620" s="8"/>
      <c r="F620" s="8"/>
      <c r="G620" s="8"/>
      <c r="H620" s="8"/>
    </row>
    <row r="621" ht="14.25" spans="1:8">
      <c r="A621" s="8"/>
      <c r="B621" s="8"/>
      <c r="C621" s="8"/>
      <c r="D621" s="8"/>
      <c r="E621" s="8"/>
      <c r="F621" s="8"/>
      <c r="G621" s="8"/>
      <c r="H621" s="8"/>
    </row>
    <row r="622" ht="14.25" spans="1:8">
      <c r="A622" s="8"/>
      <c r="B622" s="8"/>
      <c r="C622" s="8"/>
      <c r="D622" s="8"/>
      <c r="E622" s="8"/>
      <c r="F622" s="8"/>
      <c r="G622" s="8"/>
      <c r="H622" s="8"/>
    </row>
    <row r="623" ht="14.25" spans="1:8">
      <c r="A623" s="8"/>
      <c r="B623" s="8"/>
      <c r="C623" s="8"/>
      <c r="D623" s="8"/>
      <c r="E623" s="8"/>
      <c r="F623" s="8"/>
      <c r="G623" s="8"/>
      <c r="H623" s="8"/>
    </row>
    <row r="624" ht="14.25" spans="1:8">
      <c r="A624" s="8"/>
      <c r="B624" s="8"/>
      <c r="C624" s="8"/>
      <c r="D624" s="8"/>
      <c r="E624" s="8"/>
      <c r="F624" s="8"/>
      <c r="G624" s="8"/>
      <c r="H624" s="8"/>
    </row>
    <row r="625" ht="14.25" spans="1:8">
      <c r="A625" s="8"/>
      <c r="B625" s="8"/>
      <c r="C625" s="8"/>
      <c r="D625" s="8"/>
      <c r="E625" s="8"/>
      <c r="F625" s="8"/>
      <c r="G625" s="8"/>
      <c r="H625" s="8"/>
    </row>
    <row r="626" ht="14.25" spans="1:8">
      <c r="A626" s="8"/>
      <c r="B626" s="8"/>
      <c r="C626" s="8"/>
      <c r="D626" s="8"/>
      <c r="E626" s="8"/>
      <c r="F626" s="8"/>
      <c r="G626" s="8"/>
      <c r="H626" s="8"/>
    </row>
    <row r="627" ht="14.25" spans="1:8">
      <c r="A627" s="8"/>
      <c r="B627" s="8"/>
      <c r="C627" s="8"/>
      <c r="D627" s="8"/>
      <c r="E627" s="8"/>
      <c r="F627" s="8"/>
      <c r="G627" s="8"/>
      <c r="H627" s="8"/>
    </row>
    <row r="628" ht="14.25" spans="1:8">
      <c r="A628" s="8"/>
      <c r="B628" s="8"/>
      <c r="C628" s="8"/>
      <c r="D628" s="8"/>
      <c r="E628" s="8"/>
      <c r="F628" s="8"/>
      <c r="G628" s="8"/>
      <c r="H628" s="8"/>
    </row>
    <row r="629" ht="14.25" spans="1:8">
      <c r="A629" s="8"/>
      <c r="B629" s="8"/>
      <c r="C629" s="8"/>
      <c r="D629" s="8"/>
      <c r="E629" s="8"/>
      <c r="F629" s="8"/>
      <c r="G629" s="8"/>
      <c r="H629" s="8"/>
    </row>
    <row r="630" ht="14.25" spans="1:8">
      <c r="A630" s="8"/>
      <c r="B630" s="8"/>
      <c r="C630" s="8"/>
      <c r="D630" s="8"/>
      <c r="E630" s="8"/>
      <c r="F630" s="8"/>
      <c r="G630" s="8"/>
      <c r="H630" s="8"/>
    </row>
    <row r="631" ht="14.25" spans="1:8">
      <c r="A631" s="8"/>
      <c r="B631" s="8"/>
      <c r="C631" s="8"/>
      <c r="D631" s="8"/>
      <c r="E631" s="8"/>
      <c r="F631" s="8"/>
      <c r="G631" s="8"/>
      <c r="H631" s="8"/>
    </row>
    <row r="632" ht="14.25" spans="1:8">
      <c r="A632" s="8"/>
      <c r="B632" s="8"/>
      <c r="C632" s="8"/>
      <c r="D632" s="8"/>
      <c r="E632" s="8"/>
      <c r="F632" s="8"/>
      <c r="G632" s="8"/>
      <c r="H632" s="8"/>
    </row>
    <row r="633" ht="14.25" spans="1:8">
      <c r="A633" s="8"/>
      <c r="B633" s="8"/>
      <c r="C633" s="8"/>
      <c r="D633" s="8"/>
      <c r="E633" s="8"/>
      <c r="F633" s="8"/>
      <c r="G633" s="8"/>
      <c r="H633" s="8"/>
    </row>
    <row r="634" ht="14.25" spans="1:8">
      <c r="A634" s="8"/>
      <c r="B634" s="8"/>
      <c r="C634" s="8"/>
      <c r="D634" s="8"/>
      <c r="E634" s="8"/>
      <c r="F634" s="8"/>
      <c r="G634" s="8"/>
      <c r="H634" s="8"/>
    </row>
    <row r="635" ht="14.25" spans="1:8">
      <c r="A635" s="8"/>
      <c r="B635" s="8"/>
      <c r="C635" s="8"/>
      <c r="D635" s="8"/>
      <c r="E635" s="8"/>
      <c r="F635" s="8"/>
      <c r="G635" s="8"/>
      <c r="H635" s="8"/>
    </row>
    <row r="636" ht="14.25" spans="1:8">
      <c r="A636" s="8"/>
      <c r="B636" s="8"/>
      <c r="C636" s="8"/>
      <c r="D636" s="8"/>
      <c r="E636" s="8"/>
      <c r="F636" s="8"/>
      <c r="G636" s="8"/>
      <c r="H636" s="8"/>
    </row>
    <row r="637" ht="14.25" spans="1:8">
      <c r="A637" s="8"/>
      <c r="B637" s="8"/>
      <c r="C637" s="8"/>
      <c r="D637" s="8"/>
      <c r="E637" s="8"/>
      <c r="F637" s="8"/>
      <c r="G637" s="8"/>
      <c r="H637" s="8"/>
    </row>
    <row r="638" ht="14.25" spans="1:8">
      <c r="A638" s="8"/>
      <c r="B638" s="8"/>
      <c r="C638" s="8"/>
      <c r="D638" s="8"/>
      <c r="E638" s="8"/>
      <c r="F638" s="8"/>
      <c r="G638" s="8"/>
      <c r="H638" s="8"/>
    </row>
    <row r="639" ht="14.25" spans="1:8">
      <c r="A639" s="8"/>
      <c r="B639" s="8"/>
      <c r="C639" s="8"/>
      <c r="D639" s="8"/>
      <c r="E639" s="8"/>
      <c r="F639" s="8"/>
      <c r="G639" s="8"/>
      <c r="H639" s="8"/>
    </row>
    <row r="640" ht="14.25" spans="1:8">
      <c r="A640" s="8"/>
      <c r="B640" s="8"/>
      <c r="C640" s="8"/>
      <c r="D640" s="8"/>
      <c r="E640" s="8"/>
      <c r="F640" s="8"/>
      <c r="G640" s="8"/>
      <c r="H640" s="8"/>
    </row>
    <row r="641" ht="14.25" spans="1:8">
      <c r="A641" s="8"/>
      <c r="B641" s="8"/>
      <c r="C641" s="8"/>
      <c r="D641" s="8"/>
      <c r="E641" s="8"/>
      <c r="F641" s="8"/>
      <c r="G641" s="8"/>
      <c r="H641" s="8"/>
    </row>
    <row r="642" ht="14.25" spans="1:8">
      <c r="A642" s="8"/>
      <c r="B642" s="8"/>
      <c r="C642" s="8"/>
      <c r="D642" s="8"/>
      <c r="E642" s="8"/>
      <c r="F642" s="8"/>
      <c r="G642" s="8"/>
      <c r="H642" s="8"/>
    </row>
    <row r="643" ht="14.25" spans="1:8">
      <c r="A643" s="8"/>
      <c r="B643" s="8"/>
      <c r="C643" s="8"/>
      <c r="D643" s="8"/>
      <c r="E643" s="8"/>
      <c r="F643" s="8"/>
      <c r="G643" s="8"/>
      <c r="H643" s="8"/>
    </row>
    <row r="644" ht="14.25" spans="1:8">
      <c r="A644" s="8"/>
      <c r="B644" s="8"/>
      <c r="C644" s="8"/>
      <c r="D644" s="8"/>
      <c r="E644" s="8"/>
      <c r="F644" s="8"/>
      <c r="G644" s="8"/>
      <c r="H644" s="8"/>
    </row>
    <row r="645" ht="14.25" spans="1:8">
      <c r="A645" s="8"/>
      <c r="B645" s="8"/>
      <c r="C645" s="8"/>
      <c r="D645" s="8"/>
      <c r="E645" s="8"/>
      <c r="F645" s="8"/>
      <c r="G645" s="8"/>
      <c r="H645" s="8"/>
    </row>
    <row r="646" ht="14.25" spans="1:8">
      <c r="A646" s="8"/>
      <c r="B646" s="8"/>
      <c r="C646" s="8"/>
      <c r="D646" s="8"/>
      <c r="E646" s="8"/>
      <c r="F646" s="8"/>
      <c r="G646" s="8"/>
      <c r="H646" s="8"/>
    </row>
    <row r="647" ht="14.25" spans="1:8">
      <c r="A647" s="8"/>
      <c r="B647" s="8"/>
      <c r="C647" s="8"/>
      <c r="D647" s="8"/>
      <c r="E647" s="8"/>
      <c r="F647" s="8"/>
      <c r="G647" s="8"/>
      <c r="H647" s="8"/>
    </row>
    <row r="648" ht="14.25" spans="1:8">
      <c r="A648" s="8"/>
      <c r="B648" s="8"/>
      <c r="C648" s="8"/>
      <c r="D648" s="8"/>
      <c r="E648" s="8"/>
      <c r="F648" s="8"/>
      <c r="G648" s="8"/>
      <c r="H648" s="8"/>
    </row>
    <row r="649" ht="14.25" spans="1:8">
      <c r="A649" s="8"/>
      <c r="B649" s="8"/>
      <c r="C649" s="8"/>
      <c r="D649" s="8"/>
      <c r="E649" s="8"/>
      <c r="F649" s="8"/>
      <c r="G649" s="8"/>
      <c r="H649" s="8"/>
    </row>
    <row r="650" ht="14.25" spans="1:8">
      <c r="A650" s="8"/>
      <c r="B650" s="8"/>
      <c r="C650" s="8"/>
      <c r="D650" s="8"/>
      <c r="E650" s="8"/>
      <c r="F650" s="8"/>
      <c r="G650" s="8"/>
      <c r="H650" s="8"/>
    </row>
    <row r="651" ht="14.25" spans="1:8">
      <c r="A651" s="8"/>
      <c r="B651" s="8"/>
      <c r="C651" s="8"/>
      <c r="D651" s="8"/>
      <c r="E651" s="8"/>
      <c r="F651" s="8"/>
      <c r="G651" s="8"/>
      <c r="H651" s="8"/>
    </row>
    <row r="652" ht="14.25" spans="1:8">
      <c r="A652" s="8"/>
      <c r="B652" s="8"/>
      <c r="C652" s="8"/>
      <c r="D652" s="8"/>
      <c r="E652" s="8"/>
      <c r="F652" s="8"/>
      <c r="G652" s="8"/>
      <c r="H652" s="8"/>
    </row>
    <row r="653" ht="14.25" spans="1:8">
      <c r="A653" s="8"/>
      <c r="B653" s="8"/>
      <c r="C653" s="8"/>
      <c r="D653" s="8"/>
      <c r="E653" s="8"/>
      <c r="F653" s="8"/>
      <c r="G653" s="8"/>
      <c r="H653" s="8"/>
    </row>
    <row r="654" ht="14.25" spans="1:8">
      <c r="A654" s="8"/>
      <c r="B654" s="8"/>
      <c r="C654" s="8"/>
      <c r="D654" s="8"/>
      <c r="E654" s="8"/>
      <c r="F654" s="8"/>
      <c r="G654" s="8"/>
      <c r="H654" s="8"/>
    </row>
    <row r="655" ht="14.25" spans="1:8">
      <c r="A655" s="8"/>
      <c r="B655" s="8"/>
      <c r="C655" s="8"/>
      <c r="D655" s="8"/>
      <c r="E655" s="8"/>
      <c r="F655" s="8"/>
      <c r="G655" s="8"/>
      <c r="H655" s="8"/>
    </row>
    <row r="656" ht="14.25" spans="1:8">
      <c r="A656" s="8"/>
      <c r="B656" s="8"/>
      <c r="C656" s="8"/>
      <c r="D656" s="8"/>
      <c r="E656" s="8"/>
      <c r="F656" s="8"/>
      <c r="G656" s="8"/>
      <c r="H656" s="8"/>
    </row>
    <row r="657" ht="14.25" spans="1:8">
      <c r="A657" s="8"/>
      <c r="B657" s="8"/>
      <c r="C657" s="8"/>
      <c r="D657" s="8"/>
      <c r="E657" s="8"/>
      <c r="F657" s="8"/>
      <c r="G657" s="8"/>
      <c r="H657" s="8"/>
    </row>
    <row r="658" ht="14.25" spans="1:8">
      <c r="A658" s="8"/>
      <c r="B658" s="8"/>
      <c r="C658" s="8"/>
      <c r="D658" s="8"/>
      <c r="E658" s="8"/>
      <c r="F658" s="8"/>
      <c r="G658" s="8"/>
      <c r="H658" s="8"/>
    </row>
    <row r="659" ht="14.25" spans="1:8">
      <c r="A659" s="8"/>
      <c r="B659" s="8"/>
      <c r="C659" s="8"/>
      <c r="D659" s="8"/>
      <c r="E659" s="8"/>
      <c r="F659" s="8"/>
      <c r="G659" s="8"/>
      <c r="H659" s="8"/>
    </row>
    <row r="660" ht="14.25" spans="1:8">
      <c r="A660" s="8"/>
      <c r="B660" s="8"/>
      <c r="C660" s="8"/>
      <c r="D660" s="8"/>
      <c r="E660" s="8"/>
      <c r="F660" s="8"/>
      <c r="G660" s="8"/>
      <c r="H660" s="8"/>
    </row>
    <row r="661" ht="14.25" spans="1:8">
      <c r="A661" s="8"/>
      <c r="B661" s="8"/>
      <c r="C661" s="8"/>
      <c r="D661" s="8"/>
      <c r="E661" s="8"/>
      <c r="F661" s="8"/>
      <c r="G661" s="8"/>
      <c r="H661" s="8"/>
    </row>
    <row r="662" ht="14.25" spans="1:8">
      <c r="A662" s="8"/>
      <c r="B662" s="8"/>
      <c r="C662" s="8"/>
      <c r="D662" s="8"/>
      <c r="E662" s="8"/>
      <c r="F662" s="8"/>
      <c r="G662" s="8"/>
      <c r="H662" s="8"/>
    </row>
    <row r="663" ht="14.25" spans="1:8">
      <c r="A663" s="8"/>
      <c r="B663" s="8"/>
      <c r="C663" s="8"/>
      <c r="D663" s="8"/>
      <c r="E663" s="8"/>
      <c r="F663" s="8"/>
      <c r="G663" s="8"/>
      <c r="H663" s="8"/>
    </row>
    <row r="664" ht="14.25" spans="1:8">
      <c r="A664" s="8"/>
      <c r="B664" s="8"/>
      <c r="C664" s="8"/>
      <c r="D664" s="8"/>
      <c r="E664" s="8"/>
      <c r="F664" s="8"/>
      <c r="G664" s="8"/>
      <c r="H664" s="8"/>
    </row>
    <row r="665" ht="14.25" spans="1:8">
      <c r="A665" s="8"/>
      <c r="B665" s="8"/>
      <c r="C665" s="8"/>
      <c r="D665" s="8"/>
      <c r="E665" s="8"/>
      <c r="F665" s="8"/>
      <c r="G665" s="8"/>
      <c r="H665" s="8"/>
    </row>
    <row r="666" ht="14.25" spans="1:8">
      <c r="A666" s="8"/>
      <c r="B666" s="8"/>
      <c r="C666" s="8"/>
      <c r="D666" s="8"/>
      <c r="E666" s="8"/>
      <c r="F666" s="8"/>
      <c r="G666" s="8"/>
      <c r="H666" s="8"/>
    </row>
    <row r="667" ht="14.25" spans="1:8">
      <c r="A667" s="8"/>
      <c r="B667" s="8"/>
      <c r="C667" s="8"/>
      <c r="D667" s="8"/>
      <c r="E667" s="8"/>
      <c r="F667" s="8"/>
      <c r="G667" s="8"/>
      <c r="H667" s="8"/>
    </row>
    <row r="668" ht="14.25" spans="1:8">
      <c r="A668" s="8"/>
      <c r="B668" s="8"/>
      <c r="C668" s="8"/>
      <c r="D668" s="8"/>
      <c r="E668" s="8"/>
      <c r="F668" s="8"/>
      <c r="G668" s="8"/>
      <c r="H668" s="8"/>
    </row>
    <row r="669" ht="14.25" spans="1:8">
      <c r="A669" s="8"/>
      <c r="B669" s="8"/>
      <c r="C669" s="8"/>
      <c r="D669" s="8"/>
      <c r="E669" s="8"/>
      <c r="F669" s="8"/>
      <c r="G669" s="8"/>
      <c r="H669" s="8"/>
    </row>
    <row r="670" ht="14.25" spans="1:8">
      <c r="A670" s="8"/>
      <c r="B670" s="8"/>
      <c r="C670" s="8"/>
      <c r="D670" s="8"/>
      <c r="E670" s="8"/>
      <c r="F670" s="8"/>
      <c r="G670" s="8"/>
      <c r="H670" s="8"/>
    </row>
    <row r="671" ht="14.25" spans="1:8">
      <c r="A671" s="8"/>
      <c r="B671" s="8"/>
      <c r="C671" s="8"/>
      <c r="D671" s="8"/>
      <c r="E671" s="8"/>
      <c r="F671" s="8"/>
      <c r="G671" s="8"/>
      <c r="H671" s="8"/>
    </row>
    <row r="672" ht="14.25" spans="1:8">
      <c r="A672" s="8"/>
      <c r="B672" s="8"/>
      <c r="C672" s="8"/>
      <c r="D672" s="8"/>
      <c r="E672" s="8"/>
      <c r="F672" s="8"/>
      <c r="G672" s="8"/>
      <c r="H672" s="8"/>
    </row>
    <row r="673" ht="14.25" spans="1:8">
      <c r="A673" s="8"/>
      <c r="B673" s="8"/>
      <c r="C673" s="8"/>
      <c r="D673" s="8"/>
      <c r="E673" s="8"/>
      <c r="F673" s="8"/>
      <c r="G673" s="8"/>
      <c r="H673" s="8"/>
    </row>
    <row r="674" ht="14.25" spans="1:8">
      <c r="A674" s="8"/>
      <c r="B674" s="8"/>
      <c r="C674" s="8"/>
      <c r="D674" s="8"/>
      <c r="E674" s="8"/>
      <c r="F674" s="8"/>
      <c r="G674" s="8"/>
      <c r="H674" s="8"/>
    </row>
    <row r="675" ht="14.25" spans="1:8">
      <c r="A675" s="8"/>
      <c r="B675" s="8"/>
      <c r="C675" s="8"/>
      <c r="D675" s="8"/>
      <c r="E675" s="8"/>
      <c r="F675" s="8"/>
      <c r="G675" s="8"/>
      <c r="H675" s="8"/>
    </row>
    <row r="676" ht="14.25" spans="1:8">
      <c r="A676" s="8"/>
      <c r="B676" s="8"/>
      <c r="C676" s="8"/>
      <c r="D676" s="8"/>
      <c r="E676" s="8"/>
      <c r="F676" s="8"/>
      <c r="G676" s="8"/>
      <c r="H676" s="8"/>
    </row>
    <row r="677" ht="14.25" spans="1:8">
      <c r="A677" s="8"/>
      <c r="B677" s="8"/>
      <c r="C677" s="8"/>
      <c r="D677" s="8"/>
      <c r="E677" s="8"/>
      <c r="F677" s="8"/>
      <c r="G677" s="8"/>
      <c r="H677" s="8"/>
    </row>
    <row r="678" ht="14.25" spans="1:8">
      <c r="A678" s="8"/>
      <c r="B678" s="8"/>
      <c r="C678" s="8"/>
      <c r="D678" s="8"/>
      <c r="E678" s="8"/>
      <c r="F678" s="8"/>
      <c r="G678" s="8"/>
      <c r="H678" s="8"/>
    </row>
    <row r="679" ht="14.25" spans="1:8">
      <c r="A679" s="8"/>
      <c r="B679" s="8"/>
      <c r="C679" s="8"/>
      <c r="D679" s="8"/>
      <c r="E679" s="8"/>
      <c r="F679" s="8"/>
      <c r="G679" s="8"/>
      <c r="H679" s="8"/>
    </row>
    <row r="680" ht="14.25" spans="1:8">
      <c r="A680" s="8"/>
      <c r="B680" s="8"/>
      <c r="C680" s="8"/>
      <c r="D680" s="8"/>
      <c r="E680" s="8"/>
      <c r="F680" s="8"/>
      <c r="G680" s="8"/>
      <c r="H680" s="8"/>
    </row>
    <row r="681" ht="14.25" spans="1:8">
      <c r="A681" s="8"/>
      <c r="B681" s="8"/>
      <c r="C681" s="8"/>
      <c r="D681" s="8"/>
      <c r="E681" s="8"/>
      <c r="F681" s="8"/>
      <c r="G681" s="8"/>
      <c r="H681" s="8"/>
    </row>
    <row r="682" ht="14.25" spans="1:8">
      <c r="A682" s="8"/>
      <c r="B682" s="8"/>
      <c r="C682" s="8"/>
      <c r="D682" s="8"/>
      <c r="E682" s="8"/>
      <c r="F682" s="8"/>
      <c r="G682" s="8"/>
      <c r="H682" s="8"/>
    </row>
    <row r="683" ht="14.25" spans="1:8">
      <c r="A683" s="8"/>
      <c r="B683" s="8"/>
      <c r="C683" s="8"/>
      <c r="D683" s="8"/>
      <c r="E683" s="8"/>
      <c r="F683" s="8"/>
      <c r="G683" s="8"/>
      <c r="H683" s="8"/>
    </row>
    <row r="684" ht="14.25" spans="1:8">
      <c r="A684" s="8"/>
      <c r="B684" s="8"/>
      <c r="C684" s="8"/>
      <c r="D684" s="8"/>
      <c r="E684" s="8"/>
      <c r="F684" s="8"/>
      <c r="G684" s="8"/>
      <c r="H684" s="8"/>
    </row>
    <row r="685" ht="14.25" spans="1:8">
      <c r="A685" s="8"/>
      <c r="B685" s="8"/>
      <c r="C685" s="8"/>
      <c r="D685" s="8"/>
      <c r="E685" s="8"/>
      <c r="F685" s="8"/>
      <c r="G685" s="8"/>
      <c r="H685" s="8"/>
    </row>
    <row r="686" ht="14.25" spans="1:8">
      <c r="A686" s="8"/>
      <c r="B686" s="8"/>
      <c r="C686" s="8"/>
      <c r="D686" s="8"/>
      <c r="E686" s="8"/>
      <c r="F686" s="8"/>
      <c r="G686" s="8"/>
      <c r="H686" s="8"/>
    </row>
    <row r="687" ht="14.25" spans="1:8">
      <c r="A687" s="8"/>
      <c r="B687" s="8"/>
      <c r="C687" s="8"/>
      <c r="D687" s="8"/>
      <c r="E687" s="8"/>
      <c r="F687" s="8"/>
      <c r="G687" s="8"/>
      <c r="H687" s="8"/>
    </row>
    <row r="688" ht="14.25" spans="1:8">
      <c r="A688" s="8"/>
      <c r="B688" s="8"/>
      <c r="C688" s="8"/>
      <c r="D688" s="8"/>
      <c r="E688" s="8"/>
      <c r="F688" s="8"/>
      <c r="G688" s="8"/>
      <c r="H688" s="8"/>
    </row>
    <row r="689" ht="14.25" spans="1:8">
      <c r="A689" s="8"/>
      <c r="B689" s="8"/>
      <c r="C689" s="8"/>
      <c r="D689" s="8"/>
      <c r="E689" s="8"/>
      <c r="F689" s="8"/>
      <c r="G689" s="8"/>
      <c r="H689" s="8"/>
    </row>
    <row r="690" ht="14.25" spans="1:8">
      <c r="A690" s="8"/>
      <c r="B690" s="8"/>
      <c r="C690" s="8"/>
      <c r="D690" s="8"/>
      <c r="E690" s="8"/>
      <c r="F690" s="8"/>
      <c r="G690" s="8"/>
      <c r="H690" s="8"/>
    </row>
    <row r="691" ht="14.25" spans="1:8">
      <c r="A691" s="8"/>
      <c r="B691" s="8"/>
      <c r="C691" s="8"/>
      <c r="D691" s="8"/>
      <c r="E691" s="8"/>
      <c r="F691" s="8"/>
      <c r="G691" s="8"/>
      <c r="H691" s="8"/>
    </row>
    <row r="692" ht="14.25" spans="1:8">
      <c r="A692" s="8"/>
      <c r="B692" s="8"/>
      <c r="C692" s="8"/>
      <c r="D692" s="8"/>
      <c r="E692" s="8"/>
      <c r="F692" s="8"/>
      <c r="G692" s="8"/>
      <c r="H692" s="8"/>
    </row>
    <row r="693" ht="14.25" spans="1:8">
      <c r="A693" s="8"/>
      <c r="B693" s="8"/>
      <c r="C693" s="8"/>
      <c r="D693" s="8"/>
      <c r="E693" s="8"/>
      <c r="F693" s="8"/>
      <c r="G693" s="8"/>
      <c r="H693" s="8"/>
    </row>
    <row r="694" ht="14.25" spans="1:8">
      <c r="A694" s="8"/>
      <c r="B694" s="8"/>
      <c r="C694" s="8"/>
      <c r="D694" s="8"/>
      <c r="E694" s="8"/>
      <c r="F694" s="8"/>
      <c r="G694" s="8"/>
      <c r="H694" s="8"/>
    </row>
    <row r="695" ht="14.25" spans="1:8">
      <c r="A695" s="8"/>
      <c r="B695" s="8"/>
      <c r="C695" s="8"/>
      <c r="D695" s="8"/>
      <c r="E695" s="8"/>
      <c r="F695" s="8"/>
      <c r="G695" s="8"/>
      <c r="H695" s="8"/>
    </row>
    <row r="696" ht="14.25" spans="1:8">
      <c r="A696" s="8"/>
      <c r="B696" s="8"/>
      <c r="C696" s="8"/>
      <c r="D696" s="8"/>
      <c r="E696" s="8"/>
      <c r="F696" s="8"/>
      <c r="G696" s="8"/>
      <c r="H696" s="8"/>
    </row>
    <row r="697" ht="14.25" spans="1:8">
      <c r="A697" s="8"/>
      <c r="B697" s="8"/>
      <c r="C697" s="8"/>
      <c r="D697" s="8"/>
      <c r="E697" s="8"/>
      <c r="F697" s="8"/>
      <c r="G697" s="8"/>
      <c r="H697" s="8"/>
    </row>
    <row r="698" ht="14.25" spans="1:8">
      <c r="A698" s="8"/>
      <c r="B698" s="8"/>
      <c r="C698" s="8"/>
      <c r="D698" s="8"/>
      <c r="E698" s="8"/>
      <c r="F698" s="8"/>
      <c r="G698" s="8"/>
      <c r="H698" s="8"/>
    </row>
    <row r="699" ht="14.25" spans="1:8">
      <c r="A699" s="8"/>
      <c r="B699" s="8"/>
      <c r="C699" s="8"/>
      <c r="D699" s="8"/>
      <c r="E699" s="8"/>
      <c r="F699" s="8"/>
      <c r="G699" s="8"/>
      <c r="H699" s="8"/>
    </row>
    <row r="700" ht="14.25" spans="1:8">
      <c r="A700" s="8"/>
      <c r="B700" s="8"/>
      <c r="C700" s="8"/>
      <c r="D700" s="8"/>
      <c r="E700" s="8"/>
      <c r="F700" s="8"/>
      <c r="G700" s="8"/>
      <c r="H700" s="8"/>
    </row>
    <row r="701" ht="14.25" spans="1:8">
      <c r="A701" s="8"/>
      <c r="B701" s="8"/>
      <c r="C701" s="8"/>
      <c r="D701" s="8"/>
      <c r="E701" s="8"/>
      <c r="F701" s="8"/>
      <c r="G701" s="8"/>
      <c r="H701" s="8"/>
    </row>
    <row r="702" ht="14.25" spans="1:8">
      <c r="A702" s="8"/>
      <c r="B702" s="8"/>
      <c r="C702" s="8"/>
      <c r="D702" s="8"/>
      <c r="E702" s="8"/>
      <c r="F702" s="8"/>
      <c r="G702" s="8"/>
      <c r="H702" s="8"/>
    </row>
    <row r="703" ht="14.25" spans="1:8">
      <c r="A703" s="8"/>
      <c r="B703" s="8"/>
      <c r="C703" s="8"/>
      <c r="D703" s="8"/>
      <c r="E703" s="8"/>
      <c r="F703" s="8"/>
      <c r="G703" s="8"/>
      <c r="H703" s="8"/>
    </row>
    <row r="704" ht="14.25" spans="1:8">
      <c r="A704" s="8"/>
      <c r="B704" s="8"/>
      <c r="C704" s="8"/>
      <c r="D704" s="8"/>
      <c r="E704" s="8"/>
      <c r="F704" s="8"/>
      <c r="G704" s="8"/>
      <c r="H704" s="8"/>
    </row>
    <row r="705" ht="14.25" spans="1:8">
      <c r="A705" s="8"/>
      <c r="B705" s="8"/>
      <c r="C705" s="8"/>
      <c r="D705" s="8"/>
      <c r="E705" s="8"/>
      <c r="F705" s="8"/>
      <c r="G705" s="8"/>
      <c r="H705" s="8"/>
    </row>
    <row r="706" ht="14.25" spans="1:8">
      <c r="A706" s="8"/>
      <c r="B706" s="8"/>
      <c r="C706" s="8"/>
      <c r="D706" s="8"/>
      <c r="E706" s="8"/>
      <c r="F706" s="8"/>
      <c r="G706" s="8"/>
      <c r="H706" s="8"/>
    </row>
    <row r="707" ht="14.25" spans="1:8">
      <c r="A707" s="8"/>
      <c r="B707" s="8"/>
      <c r="C707" s="8"/>
      <c r="D707" s="8"/>
      <c r="E707" s="8"/>
      <c r="F707" s="8"/>
      <c r="G707" s="8"/>
      <c r="H707" s="8"/>
    </row>
    <row r="708" ht="14.25" spans="1:8">
      <c r="A708" s="8"/>
      <c r="B708" s="8"/>
      <c r="C708" s="8"/>
      <c r="D708" s="8"/>
      <c r="E708" s="8"/>
      <c r="F708" s="8"/>
      <c r="G708" s="8"/>
      <c r="H708" s="8"/>
    </row>
    <row r="709" ht="14.25" spans="1:8">
      <c r="A709" s="8"/>
      <c r="B709" s="8"/>
      <c r="C709" s="8"/>
      <c r="D709" s="8"/>
      <c r="E709" s="8"/>
      <c r="F709" s="8"/>
      <c r="G709" s="8"/>
      <c r="H709" s="8"/>
    </row>
    <row r="710" ht="14.25" spans="1:8">
      <c r="A710" s="8"/>
      <c r="B710" s="8"/>
      <c r="C710" s="8"/>
      <c r="D710" s="8"/>
      <c r="E710" s="8"/>
      <c r="F710" s="8"/>
      <c r="G710" s="8"/>
      <c r="H710" s="8"/>
    </row>
    <row r="711" ht="14.25" spans="1:8">
      <c r="A711" s="8"/>
      <c r="B711" s="8"/>
      <c r="C711" s="8"/>
      <c r="D711" s="8"/>
      <c r="E711" s="8"/>
      <c r="F711" s="8"/>
      <c r="G711" s="8"/>
      <c r="H711" s="8"/>
    </row>
    <row r="712" ht="14.25" spans="1:8">
      <c r="A712" s="8"/>
      <c r="B712" s="8"/>
      <c r="C712" s="8"/>
      <c r="D712" s="8"/>
      <c r="E712" s="8"/>
      <c r="F712" s="8"/>
      <c r="G712" s="8"/>
      <c r="H712" s="8"/>
    </row>
    <row r="713" ht="14.25" spans="1:8">
      <c r="A713" s="8"/>
      <c r="B713" s="8"/>
      <c r="C713" s="8"/>
      <c r="D713" s="8"/>
      <c r="E713" s="8"/>
      <c r="F713" s="8"/>
      <c r="G713" s="8"/>
      <c r="H713" s="8"/>
    </row>
    <row r="714" ht="14.25" spans="1:8">
      <c r="A714" s="8"/>
      <c r="B714" s="8"/>
      <c r="C714" s="8"/>
      <c r="D714" s="8"/>
      <c r="E714" s="8"/>
      <c r="F714" s="8"/>
      <c r="G714" s="8"/>
      <c r="H714" s="8"/>
    </row>
    <row r="715" ht="14.25" spans="1:8">
      <c r="A715" s="8"/>
      <c r="B715" s="8"/>
      <c r="C715" s="8"/>
      <c r="D715" s="8"/>
      <c r="E715" s="8"/>
      <c r="F715" s="8"/>
      <c r="G715" s="8"/>
      <c r="H715" s="8"/>
    </row>
    <row r="716" ht="14.25" spans="1:8">
      <c r="A716" s="8"/>
      <c r="B716" s="8"/>
      <c r="C716" s="8"/>
      <c r="D716" s="8"/>
      <c r="E716" s="8"/>
      <c r="F716" s="8"/>
      <c r="G716" s="8"/>
      <c r="H716" s="8"/>
    </row>
    <row r="717" ht="14.25" spans="1:8">
      <c r="A717" s="8"/>
      <c r="B717" s="8"/>
      <c r="C717" s="8"/>
      <c r="D717" s="8"/>
      <c r="E717" s="8"/>
      <c r="F717" s="8"/>
      <c r="G717" s="8"/>
      <c r="H717" s="8"/>
    </row>
    <row r="718" ht="14.25" spans="1:8">
      <c r="A718" s="8"/>
      <c r="B718" s="8"/>
      <c r="C718" s="8"/>
      <c r="D718" s="8"/>
      <c r="E718" s="8"/>
      <c r="F718" s="8"/>
      <c r="G718" s="8"/>
      <c r="H718" s="8"/>
    </row>
    <row r="719" ht="14.25" spans="1:8">
      <c r="A719" s="8"/>
      <c r="B719" s="8"/>
      <c r="C719" s="8"/>
      <c r="D719" s="8"/>
      <c r="E719" s="8"/>
      <c r="F719" s="8"/>
      <c r="G719" s="8"/>
      <c r="H719" s="8"/>
    </row>
    <row r="720" ht="14.25" spans="1:8">
      <c r="A720" s="8"/>
      <c r="B720" s="8"/>
      <c r="C720" s="8"/>
      <c r="D720" s="8"/>
      <c r="E720" s="8"/>
      <c r="F720" s="8"/>
      <c r="G720" s="8"/>
      <c r="H720" s="8"/>
    </row>
    <row r="721" ht="14.25" spans="1:8">
      <c r="A721" s="8"/>
      <c r="B721" s="8"/>
      <c r="C721" s="8"/>
      <c r="D721" s="8"/>
      <c r="E721" s="8"/>
      <c r="F721" s="8"/>
      <c r="G721" s="8"/>
      <c r="H721" s="8"/>
    </row>
    <row r="722" ht="14.25" spans="1:8">
      <c r="A722" s="8"/>
      <c r="B722" s="8"/>
      <c r="C722" s="8"/>
      <c r="D722" s="8"/>
      <c r="E722" s="8"/>
      <c r="F722" s="8"/>
      <c r="G722" s="8"/>
      <c r="H722" s="8"/>
    </row>
    <row r="723" ht="14.25" spans="1:8">
      <c r="A723" s="8"/>
      <c r="B723" s="8"/>
      <c r="C723" s="8"/>
      <c r="D723" s="8"/>
      <c r="E723" s="8"/>
      <c r="F723" s="8"/>
      <c r="G723" s="8"/>
      <c r="H723" s="8"/>
    </row>
    <row r="724" ht="14.25" spans="1:8">
      <c r="A724" s="8"/>
      <c r="B724" s="8"/>
      <c r="C724" s="8"/>
      <c r="D724" s="8"/>
      <c r="E724" s="8"/>
      <c r="F724" s="8"/>
      <c r="G724" s="8"/>
      <c r="H724" s="8"/>
    </row>
    <row r="725" ht="14.25" spans="1:8">
      <c r="A725" s="8"/>
      <c r="B725" s="8"/>
      <c r="C725" s="8"/>
      <c r="D725" s="8"/>
      <c r="E725" s="8"/>
      <c r="F725" s="8"/>
      <c r="G725" s="8"/>
      <c r="H725" s="8"/>
    </row>
    <row r="726" ht="14.25" spans="1:8">
      <c r="A726" s="8"/>
      <c r="B726" s="8"/>
      <c r="C726" s="8"/>
      <c r="D726" s="8"/>
      <c r="E726" s="8"/>
      <c r="F726" s="8"/>
      <c r="G726" s="8"/>
      <c r="H726" s="8"/>
    </row>
    <row r="727" ht="14.25" spans="1:8">
      <c r="A727" s="8"/>
      <c r="B727" s="8"/>
      <c r="C727" s="8"/>
      <c r="D727" s="8"/>
      <c r="E727" s="8"/>
      <c r="F727" s="8"/>
      <c r="G727" s="8"/>
      <c r="H727" s="8"/>
    </row>
    <row r="728" ht="14.25" spans="1:8">
      <c r="A728" s="8"/>
      <c r="B728" s="8"/>
      <c r="C728" s="8"/>
      <c r="D728" s="8"/>
      <c r="E728" s="8"/>
      <c r="F728" s="8"/>
      <c r="G728" s="8"/>
      <c r="H728" s="8"/>
    </row>
    <row r="729" ht="14.25" spans="1:8">
      <c r="A729" s="8"/>
      <c r="B729" s="8"/>
      <c r="C729" s="8"/>
      <c r="D729" s="8"/>
      <c r="E729" s="8"/>
      <c r="F729" s="8"/>
      <c r="G729" s="8"/>
      <c r="H729" s="8"/>
    </row>
    <row r="730" ht="14.25" spans="1:8">
      <c r="A730" s="8"/>
      <c r="B730" s="8"/>
      <c r="C730" s="8"/>
      <c r="D730" s="8"/>
      <c r="E730" s="8"/>
      <c r="F730" s="8"/>
      <c r="G730" s="8"/>
      <c r="H730" s="8"/>
    </row>
    <row r="731" ht="14.25" spans="1:8">
      <c r="A731" s="8"/>
      <c r="B731" s="8"/>
      <c r="C731" s="8"/>
      <c r="D731" s="8"/>
      <c r="E731" s="8"/>
      <c r="F731" s="8"/>
      <c r="G731" s="8"/>
      <c r="H731" s="8"/>
    </row>
    <row r="732" ht="14.25" spans="1:8">
      <c r="A732" s="8"/>
      <c r="B732" s="8"/>
      <c r="C732" s="8"/>
      <c r="D732" s="8"/>
      <c r="E732" s="8"/>
      <c r="F732" s="8"/>
      <c r="G732" s="8"/>
      <c r="H732" s="8"/>
    </row>
    <row r="733" ht="14.25" spans="1:8">
      <c r="A733" s="8"/>
      <c r="B733" s="8"/>
      <c r="C733" s="8"/>
      <c r="D733" s="8"/>
      <c r="E733" s="8"/>
      <c r="F733" s="8"/>
      <c r="G733" s="8"/>
      <c r="H733" s="8"/>
    </row>
    <row r="734" ht="14.25" spans="1:8">
      <c r="A734" s="8"/>
      <c r="B734" s="8"/>
      <c r="C734" s="8"/>
      <c r="D734" s="8"/>
      <c r="E734" s="8"/>
      <c r="F734" s="8"/>
      <c r="G734" s="8"/>
      <c r="H734" s="8"/>
    </row>
    <row r="735" ht="14.25" spans="1:8">
      <c r="A735" s="8"/>
      <c r="B735" s="8"/>
      <c r="C735" s="8"/>
      <c r="D735" s="8"/>
      <c r="E735" s="8"/>
      <c r="F735" s="8"/>
      <c r="G735" s="8"/>
      <c r="H735" s="8"/>
    </row>
    <row r="736" ht="14.25" spans="1:8">
      <c r="A736" s="8"/>
      <c r="B736" s="8"/>
      <c r="C736" s="8"/>
      <c r="D736" s="8"/>
      <c r="E736" s="8"/>
      <c r="F736" s="8"/>
      <c r="G736" s="8"/>
      <c r="H736" s="8"/>
    </row>
    <row r="737" ht="14.25" spans="1:8">
      <c r="A737" s="8"/>
      <c r="B737" s="8"/>
      <c r="C737" s="8"/>
      <c r="D737" s="8"/>
      <c r="E737" s="8"/>
      <c r="F737" s="8"/>
      <c r="G737" s="8"/>
      <c r="H737" s="8"/>
    </row>
    <row r="738" ht="14.25" spans="1:8">
      <c r="A738" s="8"/>
      <c r="B738" s="8"/>
      <c r="C738" s="8"/>
      <c r="D738" s="8"/>
      <c r="E738" s="8"/>
      <c r="F738" s="8"/>
      <c r="G738" s="8"/>
      <c r="H738" s="8"/>
    </row>
    <row r="739" ht="14.25" spans="1:8">
      <c r="A739" s="8"/>
      <c r="B739" s="8"/>
      <c r="C739" s="8"/>
      <c r="D739" s="8"/>
      <c r="E739" s="8"/>
      <c r="F739" s="8"/>
      <c r="G739" s="8"/>
      <c r="H739" s="8"/>
    </row>
    <row r="740" ht="14.25" spans="1:8">
      <c r="A740" s="8"/>
      <c r="B740" s="8"/>
      <c r="C740" s="8"/>
      <c r="D740" s="8"/>
      <c r="E740" s="8"/>
      <c r="F740" s="8"/>
      <c r="G740" s="8"/>
      <c r="H740" s="8"/>
    </row>
    <row r="741" ht="14.25" spans="1:8">
      <c r="A741" s="8"/>
      <c r="B741" s="8"/>
      <c r="C741" s="8"/>
      <c r="D741" s="8"/>
      <c r="E741" s="8"/>
      <c r="F741" s="8"/>
      <c r="G741" s="8"/>
      <c r="H741" s="8"/>
    </row>
    <row r="742" ht="14.25" spans="1:8">
      <c r="A742" s="8"/>
      <c r="B742" s="8"/>
      <c r="C742" s="8"/>
      <c r="D742" s="8"/>
      <c r="E742" s="8"/>
      <c r="F742" s="8"/>
      <c r="G742" s="8"/>
      <c r="H742" s="8"/>
    </row>
    <row r="743" ht="14.25" spans="1:8">
      <c r="A743" s="8"/>
      <c r="B743" s="8"/>
      <c r="C743" s="8"/>
      <c r="D743" s="8"/>
      <c r="E743" s="8"/>
      <c r="F743" s="8"/>
      <c r="G743" s="8"/>
      <c r="H743" s="8"/>
    </row>
    <row r="744" ht="14.25" spans="1:8">
      <c r="A744" s="8"/>
      <c r="B744" s="8"/>
      <c r="C744" s="8"/>
      <c r="D744" s="8"/>
      <c r="E744" s="8"/>
      <c r="F744" s="8"/>
      <c r="G744" s="8"/>
      <c r="H744" s="8"/>
    </row>
    <row r="745" ht="14.25" spans="1:8">
      <c r="A745" s="8"/>
      <c r="B745" s="8"/>
      <c r="C745" s="8"/>
      <c r="D745" s="8"/>
      <c r="E745" s="8"/>
      <c r="F745" s="8"/>
      <c r="G745" s="8"/>
      <c r="H745" s="8"/>
    </row>
    <row r="746" ht="14.25" spans="1:8">
      <c r="A746" s="8"/>
      <c r="B746" s="8"/>
      <c r="C746" s="8"/>
      <c r="D746" s="8"/>
      <c r="E746" s="8"/>
      <c r="F746" s="8"/>
      <c r="G746" s="8"/>
      <c r="H746" s="8"/>
    </row>
    <row r="747" ht="14.25" spans="1:8">
      <c r="A747" s="8"/>
      <c r="B747" s="8"/>
      <c r="C747" s="8"/>
      <c r="D747" s="8"/>
      <c r="E747" s="8"/>
      <c r="F747" s="8"/>
      <c r="G747" s="8"/>
      <c r="H747" s="8"/>
    </row>
    <row r="748" ht="14.25" spans="1:8">
      <c r="A748" s="8"/>
      <c r="B748" s="8"/>
      <c r="C748" s="8"/>
      <c r="D748" s="8"/>
      <c r="E748" s="8"/>
      <c r="F748" s="8"/>
      <c r="G748" s="8"/>
      <c r="H748" s="8"/>
    </row>
    <row r="749" ht="14.25" spans="1:8">
      <c r="A749" s="8"/>
      <c r="B749" s="8"/>
      <c r="C749" s="8"/>
      <c r="D749" s="8"/>
      <c r="E749" s="8"/>
      <c r="F749" s="8"/>
      <c r="G749" s="8"/>
      <c r="H749" s="8"/>
    </row>
    <row r="750" ht="14.25" spans="1:8">
      <c r="A750" s="8"/>
      <c r="B750" s="8"/>
      <c r="C750" s="8"/>
      <c r="D750" s="8"/>
      <c r="E750" s="8"/>
      <c r="F750" s="8"/>
      <c r="G750" s="8"/>
      <c r="H750" s="8"/>
    </row>
    <row r="751" ht="14.25" spans="1:8">
      <c r="A751" s="8"/>
      <c r="B751" s="8"/>
      <c r="C751" s="8"/>
      <c r="D751" s="8"/>
      <c r="E751" s="8"/>
      <c r="F751" s="8"/>
      <c r="G751" s="8"/>
      <c r="H751" s="8"/>
    </row>
    <row r="752" ht="14.25" spans="1:8">
      <c r="A752" s="8"/>
      <c r="B752" s="8"/>
      <c r="C752" s="8"/>
      <c r="D752" s="8"/>
      <c r="E752" s="8"/>
      <c r="F752" s="8"/>
      <c r="G752" s="8"/>
      <c r="H752" s="8"/>
    </row>
    <row r="753" ht="14.25" spans="1:8">
      <c r="A753" s="8"/>
      <c r="B753" s="8"/>
      <c r="C753" s="8"/>
      <c r="D753" s="8"/>
      <c r="E753" s="8"/>
      <c r="F753" s="8"/>
      <c r="G753" s="8"/>
      <c r="H753" s="8"/>
    </row>
    <row r="754" ht="14.25" spans="1:8">
      <c r="A754" s="8"/>
      <c r="B754" s="8"/>
      <c r="C754" s="8"/>
      <c r="D754" s="8"/>
      <c r="E754" s="8"/>
      <c r="F754" s="8"/>
      <c r="G754" s="8"/>
      <c r="H754" s="8"/>
    </row>
    <row r="755" ht="14.25" spans="1:8">
      <c r="A755" s="8"/>
      <c r="B755" s="8"/>
      <c r="C755" s="8"/>
      <c r="D755" s="8"/>
      <c r="E755" s="8"/>
      <c r="F755" s="8"/>
      <c r="G755" s="8"/>
      <c r="H755" s="8"/>
    </row>
    <row r="756" ht="14.25" spans="1:8">
      <c r="A756" s="8"/>
      <c r="B756" s="8"/>
      <c r="C756" s="8"/>
      <c r="D756" s="8"/>
      <c r="E756" s="8"/>
      <c r="F756" s="8"/>
      <c r="G756" s="8"/>
      <c r="H756" s="8"/>
    </row>
    <row r="757" ht="14.25" spans="1:8">
      <c r="A757" s="8"/>
      <c r="B757" s="8"/>
      <c r="C757" s="8"/>
      <c r="D757" s="8"/>
      <c r="E757" s="8"/>
      <c r="F757" s="8"/>
      <c r="G757" s="8"/>
      <c r="H757" s="8"/>
    </row>
    <row r="758" ht="14.25" spans="1:8">
      <c r="A758" s="8"/>
      <c r="B758" s="8"/>
      <c r="C758" s="8"/>
      <c r="D758" s="8"/>
      <c r="E758" s="8"/>
      <c r="F758" s="8"/>
      <c r="G758" s="8"/>
      <c r="H758" s="8"/>
    </row>
    <row r="759" ht="14.25" spans="1:8">
      <c r="A759" s="8"/>
      <c r="B759" s="8"/>
      <c r="C759" s="8"/>
      <c r="D759" s="8"/>
      <c r="E759" s="8"/>
      <c r="F759" s="8"/>
      <c r="G759" s="8"/>
      <c r="H759" s="8"/>
    </row>
    <row r="760" ht="14.25" spans="1:8">
      <c r="A760" s="8"/>
      <c r="B760" s="8"/>
      <c r="C760" s="8"/>
      <c r="D760" s="8"/>
      <c r="E760" s="8"/>
      <c r="F760" s="8"/>
      <c r="G760" s="8"/>
      <c r="H760" s="8"/>
    </row>
    <row r="761" ht="14.25" spans="1:8">
      <c r="A761" s="8"/>
      <c r="B761" s="8"/>
      <c r="C761" s="8"/>
      <c r="D761" s="8"/>
      <c r="E761" s="8"/>
      <c r="F761" s="8"/>
      <c r="G761" s="8"/>
      <c r="H761" s="8"/>
    </row>
    <row r="762" ht="14.25" spans="1:8">
      <c r="A762" s="8"/>
      <c r="B762" s="8"/>
      <c r="C762" s="8"/>
      <c r="D762" s="8"/>
      <c r="E762" s="8"/>
      <c r="F762" s="8"/>
      <c r="G762" s="8"/>
      <c r="H762" s="8"/>
    </row>
    <row r="763" ht="14.25" spans="1:8">
      <c r="A763" s="8"/>
      <c r="B763" s="8"/>
      <c r="C763" s="8"/>
      <c r="D763" s="8"/>
      <c r="E763" s="8"/>
      <c r="F763" s="8"/>
      <c r="G763" s="8"/>
      <c r="H763" s="8"/>
    </row>
    <row r="764" ht="14.25" spans="1:8">
      <c r="A764" s="8"/>
      <c r="B764" s="8"/>
      <c r="C764" s="8"/>
      <c r="D764" s="8"/>
      <c r="E764" s="8"/>
      <c r="F764" s="8"/>
      <c r="G764" s="8"/>
      <c r="H764" s="8"/>
    </row>
    <row r="765" ht="14.25" spans="1:8">
      <c r="A765" s="8"/>
      <c r="B765" s="8"/>
      <c r="C765" s="8"/>
      <c r="D765" s="8"/>
      <c r="E765" s="8"/>
      <c r="F765" s="8"/>
      <c r="G765" s="8"/>
      <c r="H765" s="8"/>
    </row>
    <row r="766" ht="14.25" spans="1:8">
      <c r="A766" s="8"/>
      <c r="B766" s="8"/>
      <c r="C766" s="8"/>
      <c r="D766" s="8"/>
      <c r="E766" s="8"/>
      <c r="F766" s="8"/>
      <c r="G766" s="8"/>
      <c r="H766" s="8"/>
    </row>
    <row r="767" ht="14.25" spans="1:8">
      <c r="A767" s="8"/>
      <c r="B767" s="8"/>
      <c r="C767" s="8"/>
      <c r="D767" s="8"/>
      <c r="E767" s="8"/>
      <c r="F767" s="8"/>
      <c r="G767" s="8"/>
      <c r="H767" s="8"/>
    </row>
    <row r="768" ht="14.25" spans="1:8">
      <c r="A768" s="8"/>
      <c r="B768" s="8"/>
      <c r="C768" s="8"/>
      <c r="D768" s="8"/>
      <c r="E768" s="8"/>
      <c r="F768" s="8"/>
      <c r="G768" s="8"/>
      <c r="H768" s="8"/>
    </row>
    <row r="769" ht="14.25" spans="1:8">
      <c r="A769" s="8"/>
      <c r="B769" s="8"/>
      <c r="C769" s="8"/>
      <c r="D769" s="8"/>
      <c r="E769" s="8"/>
      <c r="F769" s="8"/>
      <c r="G769" s="8"/>
      <c r="H769" s="8"/>
    </row>
    <row r="770" ht="14.25" spans="1:8">
      <c r="A770" s="8"/>
      <c r="B770" s="8"/>
      <c r="C770" s="8"/>
      <c r="D770" s="8"/>
      <c r="E770" s="8"/>
      <c r="F770" s="8"/>
      <c r="G770" s="8"/>
      <c r="H770" s="8"/>
    </row>
    <row r="771" ht="14.25" spans="1:8">
      <c r="A771" s="8"/>
      <c r="B771" s="8"/>
      <c r="C771" s="8"/>
      <c r="D771" s="8"/>
      <c r="E771" s="8"/>
      <c r="F771" s="8"/>
      <c r="G771" s="8"/>
      <c r="H771" s="8"/>
    </row>
    <row r="772" ht="14.25" spans="1:8">
      <c r="A772" s="8"/>
      <c r="B772" s="8"/>
      <c r="C772" s="8"/>
      <c r="D772" s="8"/>
      <c r="E772" s="8"/>
      <c r="F772" s="8"/>
      <c r="G772" s="8"/>
      <c r="H772" s="8"/>
    </row>
    <row r="773" ht="14.25" spans="1:8">
      <c r="A773" s="8"/>
      <c r="B773" s="8"/>
      <c r="C773" s="8"/>
      <c r="D773" s="8"/>
      <c r="E773" s="8"/>
      <c r="F773" s="8"/>
      <c r="G773" s="8"/>
      <c r="H773" s="8"/>
    </row>
    <row r="774" ht="14.25" spans="1:8">
      <c r="A774" s="8"/>
      <c r="B774" s="8"/>
      <c r="C774" s="8"/>
      <c r="D774" s="8"/>
      <c r="E774" s="8"/>
      <c r="F774" s="8"/>
      <c r="G774" s="8"/>
      <c r="H774" s="8"/>
    </row>
    <row r="775" ht="14.25" spans="1:8">
      <c r="A775" s="8"/>
      <c r="B775" s="8"/>
      <c r="C775" s="8"/>
      <c r="D775" s="8"/>
      <c r="E775" s="8"/>
      <c r="F775" s="8"/>
      <c r="G775" s="8"/>
      <c r="H775" s="8"/>
    </row>
    <row r="776" ht="14.25" spans="1:8">
      <c r="A776" s="8"/>
      <c r="B776" s="8"/>
      <c r="C776" s="8"/>
      <c r="D776" s="8"/>
      <c r="E776" s="8"/>
      <c r="F776" s="8"/>
      <c r="G776" s="8"/>
      <c r="H776" s="8"/>
    </row>
    <row r="777" ht="14.25" spans="1:8">
      <c r="A777" s="8"/>
      <c r="B777" s="8"/>
      <c r="C777" s="8"/>
      <c r="D777" s="8"/>
      <c r="E777" s="8"/>
      <c r="F777" s="8"/>
      <c r="G777" s="8"/>
      <c r="H777" s="8"/>
    </row>
    <row r="778" ht="14.25" spans="1:8">
      <c r="A778" s="8"/>
      <c r="B778" s="8"/>
      <c r="C778" s="8"/>
      <c r="D778" s="8"/>
      <c r="E778" s="8"/>
      <c r="F778" s="8"/>
      <c r="G778" s="8"/>
      <c r="H778" s="8"/>
    </row>
    <row r="779" ht="14.25" spans="1:8">
      <c r="A779" s="8"/>
      <c r="B779" s="8"/>
      <c r="C779" s="8"/>
      <c r="D779" s="8"/>
      <c r="E779" s="8"/>
      <c r="F779" s="8"/>
      <c r="G779" s="8"/>
      <c r="H779" s="8"/>
    </row>
    <row r="780" ht="14.25" spans="1:8">
      <c r="A780" s="8"/>
      <c r="B780" s="8"/>
      <c r="C780" s="8"/>
      <c r="D780" s="8"/>
      <c r="E780" s="8"/>
      <c r="F780" s="8"/>
      <c r="G780" s="8"/>
      <c r="H780" s="8"/>
    </row>
    <row r="781" ht="14.25" spans="1:8">
      <c r="A781" s="8"/>
      <c r="B781" s="8"/>
      <c r="C781" s="8"/>
      <c r="D781" s="8"/>
      <c r="E781" s="8"/>
      <c r="F781" s="8"/>
      <c r="G781" s="8"/>
      <c r="H781" s="8"/>
    </row>
    <row r="782" ht="14.25" spans="1:8">
      <c r="A782" s="8"/>
      <c r="B782" s="8"/>
      <c r="C782" s="8"/>
      <c r="D782" s="8"/>
      <c r="E782" s="8"/>
      <c r="F782" s="8"/>
      <c r="G782" s="8"/>
      <c r="H782" s="8"/>
    </row>
    <row r="783" ht="14.25" spans="1:8">
      <c r="A783" s="8"/>
      <c r="B783" s="8"/>
      <c r="C783" s="8"/>
      <c r="D783" s="8"/>
      <c r="E783" s="8"/>
      <c r="F783" s="8"/>
      <c r="G783" s="8"/>
      <c r="H783" s="8"/>
    </row>
    <row r="784" ht="14.25" spans="1:8">
      <c r="A784" s="8"/>
      <c r="B784" s="8"/>
      <c r="C784" s="8"/>
      <c r="D784" s="8"/>
      <c r="E784" s="8"/>
      <c r="F784" s="8"/>
      <c r="G784" s="8"/>
      <c r="H784" s="8"/>
    </row>
    <row r="785" ht="14.25" spans="1:8">
      <c r="A785" s="8"/>
      <c r="B785" s="8"/>
      <c r="C785" s="8"/>
      <c r="D785" s="8"/>
      <c r="E785" s="8"/>
      <c r="F785" s="8"/>
      <c r="G785" s="8"/>
      <c r="H785" s="8"/>
    </row>
    <row r="786" ht="14.25" spans="1:8">
      <c r="A786" s="8"/>
      <c r="B786" s="8"/>
      <c r="C786" s="8"/>
      <c r="D786" s="8"/>
      <c r="E786" s="8"/>
      <c r="F786" s="8"/>
      <c r="G786" s="8"/>
      <c r="H786" s="8"/>
    </row>
    <row r="787" ht="14.25" spans="1:8">
      <c r="A787" s="8"/>
      <c r="B787" s="8"/>
      <c r="C787" s="8"/>
      <c r="D787" s="8"/>
      <c r="E787" s="8"/>
      <c r="F787" s="8"/>
      <c r="G787" s="8"/>
      <c r="H787" s="8"/>
    </row>
    <row r="788" ht="14.25" spans="1:8">
      <c r="A788" s="8"/>
      <c r="B788" s="8"/>
      <c r="C788" s="8"/>
      <c r="D788" s="8"/>
      <c r="E788" s="8"/>
      <c r="F788" s="8"/>
      <c r="G788" s="8"/>
      <c r="H788" s="8"/>
    </row>
    <row r="789" ht="14.25" spans="1:8">
      <c r="A789" s="8"/>
      <c r="B789" s="8"/>
      <c r="C789" s="8"/>
      <c r="D789" s="8"/>
      <c r="E789" s="8"/>
      <c r="F789" s="8"/>
      <c r="G789" s="8"/>
      <c r="H789" s="8"/>
    </row>
    <row r="790" ht="14.25" spans="1:8">
      <c r="A790" s="8"/>
      <c r="B790" s="8"/>
      <c r="C790" s="8"/>
      <c r="D790" s="8"/>
      <c r="E790" s="8"/>
      <c r="F790" s="8"/>
      <c r="G790" s="8"/>
      <c r="H790" s="8"/>
    </row>
    <row r="791" ht="14.25" spans="1:8">
      <c r="A791" s="8"/>
      <c r="B791" s="8"/>
      <c r="C791" s="8"/>
      <c r="D791" s="8"/>
      <c r="E791" s="8"/>
      <c r="F791" s="8"/>
      <c r="G791" s="8"/>
      <c r="H791" s="8"/>
    </row>
    <row r="792" ht="14.25" spans="1:8">
      <c r="A792" s="8"/>
      <c r="B792" s="8"/>
      <c r="C792" s="8"/>
      <c r="D792" s="8"/>
      <c r="E792" s="8"/>
      <c r="F792" s="8"/>
      <c r="G792" s="8"/>
      <c r="H792" s="8"/>
    </row>
    <row r="793" ht="14.25" spans="1:8">
      <c r="A793" s="8"/>
      <c r="B793" s="8"/>
      <c r="C793" s="8"/>
      <c r="D793" s="8"/>
      <c r="E793" s="8"/>
      <c r="F793" s="8"/>
      <c r="G793" s="8"/>
      <c r="H793" s="8"/>
    </row>
    <row r="794" ht="14.25" spans="1:8">
      <c r="A794" s="8"/>
      <c r="B794" s="8"/>
      <c r="C794" s="8"/>
      <c r="D794" s="8"/>
      <c r="E794" s="8"/>
      <c r="F794" s="8"/>
      <c r="G794" s="8"/>
      <c r="H794" s="8"/>
    </row>
    <row r="795" ht="14.25" spans="1:8">
      <c r="A795" s="8"/>
      <c r="B795" s="8"/>
      <c r="C795" s="8"/>
      <c r="D795" s="8"/>
      <c r="E795" s="8"/>
      <c r="F795" s="8"/>
      <c r="G795" s="8"/>
      <c r="H795" s="8"/>
    </row>
    <row r="796" ht="14.25" spans="1:8">
      <c r="A796" s="8"/>
      <c r="B796" s="8"/>
      <c r="C796" s="8"/>
      <c r="D796" s="8"/>
      <c r="E796" s="8"/>
      <c r="F796" s="8"/>
      <c r="G796" s="8"/>
      <c r="H796" s="8"/>
    </row>
    <row r="797" ht="14.25" spans="1:8">
      <c r="A797" s="8"/>
      <c r="B797" s="8"/>
      <c r="C797" s="8"/>
      <c r="D797" s="8"/>
      <c r="E797" s="8"/>
      <c r="F797" s="8"/>
      <c r="G797" s="8"/>
      <c r="H797" s="8"/>
    </row>
    <row r="798" ht="14.25" spans="1:8">
      <c r="A798" s="8"/>
      <c r="B798" s="8"/>
      <c r="C798" s="8"/>
      <c r="D798" s="8"/>
      <c r="E798" s="8"/>
      <c r="F798" s="8"/>
      <c r="G798" s="8"/>
      <c r="H798" s="8"/>
    </row>
    <row r="799" ht="14.25" spans="1:8">
      <c r="A799" s="8"/>
      <c r="B799" s="8"/>
      <c r="C799" s="8"/>
      <c r="D799" s="8"/>
      <c r="E799" s="8"/>
      <c r="F799" s="8"/>
      <c r="G799" s="8"/>
      <c r="H799" s="8"/>
    </row>
    <row r="800" ht="14.25" spans="1:8">
      <c r="A800" s="8"/>
      <c r="B800" s="8"/>
      <c r="C800" s="8"/>
      <c r="D800" s="8"/>
      <c r="E800" s="8"/>
      <c r="F800" s="8"/>
      <c r="G800" s="8"/>
      <c r="H800" s="8"/>
    </row>
    <row r="801" ht="14.25" spans="1:8">
      <c r="A801" s="8"/>
      <c r="B801" s="8"/>
      <c r="C801" s="8"/>
      <c r="D801" s="8"/>
      <c r="E801" s="8"/>
      <c r="F801" s="8"/>
      <c r="G801" s="8"/>
      <c r="H801" s="8"/>
    </row>
    <row r="802" ht="14.25" spans="1:8">
      <c r="A802" s="8"/>
      <c r="B802" s="8"/>
      <c r="C802" s="8"/>
      <c r="D802" s="8"/>
      <c r="E802" s="8"/>
      <c r="F802" s="8"/>
      <c r="G802" s="8"/>
      <c r="H802" s="8"/>
    </row>
    <row r="803" ht="14.25" spans="1:8">
      <c r="A803" s="8"/>
      <c r="B803" s="8"/>
      <c r="C803" s="8"/>
      <c r="D803" s="8"/>
      <c r="E803" s="8"/>
      <c r="F803" s="8"/>
      <c r="G803" s="8"/>
      <c r="H803" s="8"/>
    </row>
    <row r="804" ht="14.25" spans="1:8">
      <c r="A804" s="8"/>
      <c r="B804" s="8"/>
      <c r="C804" s="8"/>
      <c r="D804" s="8"/>
      <c r="E804" s="8"/>
      <c r="F804" s="8"/>
      <c r="G804" s="8"/>
      <c r="H804" s="8"/>
    </row>
    <row r="805" ht="14.25" spans="1:8">
      <c r="A805" s="8"/>
      <c r="B805" s="8"/>
      <c r="C805" s="8"/>
      <c r="D805" s="8"/>
      <c r="E805" s="8"/>
      <c r="F805" s="8"/>
      <c r="G805" s="8"/>
      <c r="H805" s="8"/>
    </row>
    <row r="806" ht="14.25" spans="1:8">
      <c r="A806" s="8"/>
      <c r="B806" s="8"/>
      <c r="C806" s="8"/>
      <c r="D806" s="8"/>
      <c r="E806" s="8"/>
      <c r="F806" s="8"/>
      <c r="G806" s="8"/>
      <c r="H806" s="8"/>
    </row>
    <row r="807" ht="14.25" spans="1:8">
      <c r="A807" s="8"/>
      <c r="B807" s="8"/>
      <c r="C807" s="8"/>
      <c r="D807" s="8"/>
      <c r="E807" s="8"/>
      <c r="F807" s="8"/>
      <c r="G807" s="8"/>
      <c r="H807" s="8"/>
    </row>
    <row r="808" ht="14.25" spans="1:8">
      <c r="A808" s="8"/>
      <c r="B808" s="8"/>
      <c r="C808" s="8"/>
      <c r="D808" s="8"/>
      <c r="E808" s="8"/>
      <c r="F808" s="8"/>
      <c r="G808" s="8"/>
      <c r="H808" s="8"/>
    </row>
    <row r="809" ht="14.25" spans="1:8">
      <c r="A809" s="8"/>
      <c r="B809" s="8"/>
      <c r="C809" s="8"/>
      <c r="D809" s="8"/>
      <c r="E809" s="8"/>
      <c r="F809" s="8"/>
      <c r="G809" s="8"/>
      <c r="H809" s="8"/>
    </row>
    <row r="810" ht="14.25" spans="1:8">
      <c r="A810" s="8"/>
      <c r="B810" s="8"/>
      <c r="C810" s="8"/>
      <c r="D810" s="8"/>
      <c r="E810" s="8"/>
      <c r="F810" s="8"/>
      <c r="G810" s="8"/>
      <c r="H810" s="8"/>
    </row>
    <row r="811" ht="14.25" spans="1:8">
      <c r="A811" s="8"/>
      <c r="B811" s="8"/>
      <c r="C811" s="8"/>
      <c r="D811" s="8"/>
      <c r="E811" s="8"/>
      <c r="F811" s="8"/>
      <c r="G811" s="8"/>
      <c r="H811" s="8"/>
    </row>
    <row r="812" ht="14.25" spans="1:8">
      <c r="A812" s="8"/>
      <c r="B812" s="8"/>
      <c r="C812" s="8"/>
      <c r="D812" s="8"/>
      <c r="E812" s="8"/>
      <c r="F812" s="8"/>
      <c r="G812" s="8"/>
      <c r="H812" s="8"/>
    </row>
    <row r="813" ht="14.25" spans="1:8">
      <c r="A813" s="8"/>
      <c r="B813" s="8"/>
      <c r="C813" s="8"/>
      <c r="D813" s="8"/>
      <c r="E813" s="8"/>
      <c r="F813" s="8"/>
      <c r="G813" s="8"/>
      <c r="H813" s="8"/>
    </row>
    <row r="814" ht="14.25" spans="1:8">
      <c r="A814" s="8"/>
      <c r="B814" s="8"/>
      <c r="C814" s="8"/>
      <c r="D814" s="8"/>
      <c r="E814" s="8"/>
      <c r="F814" s="8"/>
      <c r="G814" s="8"/>
      <c r="H814" s="8"/>
    </row>
    <row r="815" ht="14.25" spans="1:8">
      <c r="A815" s="8"/>
      <c r="B815" s="8"/>
      <c r="C815" s="8"/>
      <c r="D815" s="8"/>
      <c r="E815" s="8"/>
      <c r="F815" s="8"/>
      <c r="G815" s="8"/>
      <c r="H815" s="8"/>
    </row>
    <row r="816" ht="14.25" spans="1:8">
      <c r="A816" s="8"/>
      <c r="B816" s="8"/>
      <c r="C816" s="8"/>
      <c r="D816" s="8"/>
      <c r="E816" s="8"/>
      <c r="F816" s="8"/>
      <c r="G816" s="8"/>
      <c r="H816" s="8"/>
    </row>
    <row r="817" ht="14.25" spans="1:8">
      <c r="A817" s="8"/>
      <c r="B817" s="8"/>
      <c r="C817" s="8"/>
      <c r="D817" s="8"/>
      <c r="E817" s="8"/>
      <c r="F817" s="8"/>
      <c r="G817" s="8"/>
      <c r="H817" s="8"/>
    </row>
    <row r="818" ht="14.25" spans="1:8">
      <c r="A818" s="8"/>
      <c r="B818" s="8"/>
      <c r="C818" s="8"/>
      <c r="D818" s="8"/>
      <c r="E818" s="8"/>
      <c r="F818" s="8"/>
      <c r="G818" s="8"/>
      <c r="H818" s="8"/>
    </row>
    <row r="819" ht="14.25" spans="1:8">
      <c r="A819" s="8"/>
      <c r="B819" s="8"/>
      <c r="C819" s="8"/>
      <c r="D819" s="8"/>
      <c r="E819" s="8"/>
      <c r="F819" s="8"/>
      <c r="G819" s="8"/>
      <c r="H819" s="8"/>
    </row>
    <row r="820" ht="14.25" spans="1:8">
      <c r="A820" s="8"/>
      <c r="B820" s="8"/>
      <c r="C820" s="8"/>
      <c r="D820" s="8"/>
      <c r="E820" s="8"/>
      <c r="F820" s="8"/>
      <c r="G820" s="8"/>
      <c r="H820" s="8"/>
    </row>
    <row r="821" ht="14.25" spans="1:8">
      <c r="A821" s="8"/>
      <c r="B821" s="8"/>
      <c r="C821" s="8"/>
      <c r="D821" s="8"/>
      <c r="E821" s="8"/>
      <c r="F821" s="8"/>
      <c r="G821" s="8"/>
      <c r="H821" s="8"/>
    </row>
    <row r="822" ht="14.25" spans="1:8">
      <c r="A822" s="8"/>
      <c r="B822" s="8"/>
      <c r="C822" s="8"/>
      <c r="D822" s="8"/>
      <c r="E822" s="8"/>
      <c r="F822" s="8"/>
      <c r="G822" s="8"/>
      <c r="H822" s="8"/>
    </row>
    <row r="823" ht="14.25" spans="1:8">
      <c r="A823" s="8"/>
      <c r="B823" s="8"/>
      <c r="C823" s="8"/>
      <c r="D823" s="8"/>
      <c r="E823" s="8"/>
      <c r="F823" s="8"/>
      <c r="G823" s="8"/>
      <c r="H823" s="8"/>
    </row>
    <row r="824" ht="14.25" spans="1:8">
      <c r="A824" s="8"/>
      <c r="B824" s="8"/>
      <c r="C824" s="8"/>
      <c r="D824" s="8"/>
      <c r="E824" s="8"/>
      <c r="F824" s="8"/>
      <c r="G824" s="8"/>
      <c r="H824" s="8"/>
    </row>
    <row r="825" ht="14.25" spans="1:8">
      <c r="A825" s="8"/>
      <c r="B825" s="8"/>
      <c r="C825" s="8"/>
      <c r="D825" s="8"/>
      <c r="E825" s="8"/>
      <c r="F825" s="8"/>
      <c r="G825" s="8"/>
      <c r="H825" s="8"/>
    </row>
    <row r="826" ht="14.25" spans="1:8">
      <c r="A826" s="8"/>
      <c r="B826" s="8"/>
      <c r="C826" s="8"/>
      <c r="D826" s="8"/>
      <c r="E826" s="8"/>
      <c r="F826" s="8"/>
      <c r="G826" s="8"/>
      <c r="H826" s="8"/>
    </row>
    <row r="827" ht="14.25" spans="1:8">
      <c r="A827" s="8"/>
      <c r="B827" s="8"/>
      <c r="C827" s="8"/>
      <c r="D827" s="8"/>
      <c r="E827" s="8"/>
      <c r="F827" s="8"/>
      <c r="G827" s="8"/>
      <c r="H827" s="8"/>
    </row>
    <row r="828" ht="14.25" spans="1:8">
      <c r="A828" s="8"/>
      <c r="B828" s="8"/>
      <c r="C828" s="8"/>
      <c r="D828" s="8"/>
      <c r="E828" s="8"/>
      <c r="F828" s="8"/>
      <c r="G828" s="8"/>
      <c r="H828" s="8"/>
    </row>
    <row r="829" ht="14.25" spans="1:8">
      <c r="A829" s="8"/>
      <c r="B829" s="8"/>
      <c r="C829" s="8"/>
      <c r="D829" s="8"/>
      <c r="E829" s="8"/>
      <c r="F829" s="8"/>
      <c r="G829" s="8"/>
      <c r="H829" s="8"/>
    </row>
    <row r="830" ht="14.25" spans="1:8">
      <c r="A830" s="8"/>
      <c r="B830" s="8"/>
      <c r="C830" s="8"/>
      <c r="D830" s="8"/>
      <c r="E830" s="8"/>
      <c r="F830" s="8"/>
      <c r="G830" s="8"/>
      <c r="H830" s="8"/>
    </row>
    <row r="831" ht="14.25" spans="1:8">
      <c r="A831" s="8"/>
      <c r="B831" s="8"/>
      <c r="C831" s="8"/>
      <c r="D831" s="8"/>
      <c r="E831" s="8"/>
      <c r="F831" s="8"/>
      <c r="G831" s="8"/>
      <c r="H831" s="8"/>
    </row>
    <row r="832" ht="14.25" spans="1:8">
      <c r="A832" s="8"/>
      <c r="B832" s="8"/>
      <c r="C832" s="8"/>
      <c r="D832" s="8"/>
      <c r="E832" s="8"/>
      <c r="F832" s="8"/>
      <c r="G832" s="8"/>
      <c r="H832" s="8"/>
    </row>
    <row r="833" ht="14.25" spans="1:8">
      <c r="A833" s="8"/>
      <c r="B833" s="8"/>
      <c r="C833" s="8"/>
      <c r="D833" s="8"/>
      <c r="E833" s="8"/>
      <c r="F833" s="8"/>
      <c r="G833" s="8"/>
      <c r="H833" s="8"/>
    </row>
    <row r="834" ht="14.25" spans="1:8">
      <c r="A834" s="8"/>
      <c r="B834" s="8"/>
      <c r="C834" s="8"/>
      <c r="D834" s="8"/>
      <c r="E834" s="8"/>
      <c r="F834" s="8"/>
      <c r="G834" s="8"/>
      <c r="H834" s="8"/>
    </row>
    <row r="835" ht="14.25" spans="1:8">
      <c r="A835" s="8"/>
      <c r="B835" s="8"/>
      <c r="C835" s="8"/>
      <c r="D835" s="8"/>
      <c r="E835" s="8"/>
      <c r="F835" s="8"/>
      <c r="G835" s="8"/>
      <c r="H835" s="8"/>
    </row>
    <row r="836" ht="14.25" spans="1:8">
      <c r="A836" s="8"/>
      <c r="B836" s="8"/>
      <c r="C836" s="8"/>
      <c r="D836" s="8"/>
      <c r="E836" s="8"/>
      <c r="F836" s="8"/>
      <c r="G836" s="8"/>
      <c r="H836" s="8"/>
    </row>
    <row r="837" ht="14.25" spans="1:8">
      <c r="A837" s="8"/>
      <c r="B837" s="8"/>
      <c r="C837" s="8"/>
      <c r="D837" s="8"/>
      <c r="E837" s="8"/>
      <c r="F837" s="8"/>
      <c r="G837" s="8"/>
      <c r="H837" s="8"/>
    </row>
    <row r="838" ht="14.25" spans="1:8">
      <c r="A838" s="8"/>
      <c r="B838" s="8"/>
      <c r="C838" s="8"/>
      <c r="D838" s="8"/>
      <c r="E838" s="8"/>
      <c r="F838" s="8"/>
      <c r="G838" s="8"/>
      <c r="H838" s="8"/>
    </row>
    <row r="839" ht="14.25" spans="1:8">
      <c r="A839" s="8"/>
      <c r="B839" s="8"/>
      <c r="C839" s="8"/>
      <c r="D839" s="8"/>
      <c r="E839" s="8"/>
      <c r="F839" s="8"/>
      <c r="G839" s="8"/>
      <c r="H839" s="8"/>
    </row>
    <row r="840" ht="14.25" spans="1:8">
      <c r="A840" s="8"/>
      <c r="B840" s="8"/>
      <c r="C840" s="8"/>
      <c r="D840" s="8"/>
      <c r="E840" s="8"/>
      <c r="F840" s="8"/>
      <c r="G840" s="8"/>
      <c r="H840" s="8"/>
    </row>
    <row r="841" ht="14.25" spans="1:8">
      <c r="A841" s="8"/>
      <c r="B841" s="8"/>
      <c r="C841" s="8"/>
      <c r="D841" s="8"/>
      <c r="E841" s="8"/>
      <c r="F841" s="8"/>
      <c r="G841" s="8"/>
      <c r="H841" s="8"/>
    </row>
    <row r="842" ht="14.25" spans="1:8">
      <c r="A842" s="8"/>
      <c r="B842" s="8"/>
      <c r="C842" s="8"/>
      <c r="D842" s="8"/>
      <c r="E842" s="8"/>
      <c r="F842" s="8"/>
      <c r="G842" s="8"/>
      <c r="H842" s="8"/>
    </row>
    <row r="843" ht="14.25" spans="1:8">
      <c r="A843" s="8"/>
      <c r="B843" s="8"/>
      <c r="C843" s="8"/>
      <c r="D843" s="8"/>
      <c r="E843" s="8"/>
      <c r="F843" s="8"/>
      <c r="G843" s="8"/>
      <c r="H843" s="8"/>
    </row>
    <row r="844" ht="14.25" spans="1:8">
      <c r="A844" s="8"/>
      <c r="B844" s="8"/>
      <c r="C844" s="8"/>
      <c r="D844" s="8"/>
      <c r="E844" s="8"/>
      <c r="F844" s="8"/>
      <c r="G844" s="8"/>
      <c r="H844" s="8"/>
    </row>
    <row r="845" ht="14.25" spans="1:8">
      <c r="A845" s="8"/>
      <c r="B845" s="8"/>
      <c r="C845" s="8"/>
      <c r="D845" s="8"/>
      <c r="E845" s="8"/>
      <c r="F845" s="8"/>
      <c r="G845" s="8"/>
      <c r="H845" s="8"/>
    </row>
    <row r="846" ht="14.25" spans="1:8">
      <c r="A846" s="8"/>
      <c r="B846" s="8"/>
      <c r="C846" s="8"/>
      <c r="D846" s="8"/>
      <c r="E846" s="8"/>
      <c r="F846" s="8"/>
      <c r="G846" s="8"/>
      <c r="H846" s="8"/>
    </row>
    <row r="847" ht="14.25" spans="1:8">
      <c r="A847" s="8"/>
      <c r="B847" s="8"/>
      <c r="C847" s="8"/>
      <c r="D847" s="8"/>
      <c r="E847" s="8"/>
      <c r="F847" s="8"/>
      <c r="G847" s="8"/>
      <c r="H847" s="8"/>
    </row>
    <row r="848" ht="14.25" spans="1:8">
      <c r="A848" s="8"/>
      <c r="B848" s="8"/>
      <c r="C848" s="8"/>
      <c r="D848" s="8"/>
      <c r="E848" s="8"/>
      <c r="F848" s="8"/>
      <c r="G848" s="8"/>
      <c r="H848" s="8"/>
    </row>
    <row r="849" ht="14.25" spans="1:8">
      <c r="A849" s="8"/>
      <c r="B849" s="8"/>
      <c r="C849" s="8"/>
      <c r="D849" s="8"/>
      <c r="E849" s="8"/>
      <c r="F849" s="8"/>
      <c r="G849" s="8"/>
      <c r="H849" s="8"/>
    </row>
    <row r="850" ht="14.25" spans="1:8">
      <c r="A850" s="8"/>
      <c r="B850" s="8"/>
      <c r="C850" s="8"/>
      <c r="D850" s="8"/>
      <c r="E850" s="8"/>
      <c r="F850" s="8"/>
      <c r="G850" s="8"/>
      <c r="H850" s="8"/>
    </row>
    <row r="851" ht="14.25" spans="1:8">
      <c r="A851" s="8"/>
      <c r="B851" s="8"/>
      <c r="C851" s="8"/>
      <c r="D851" s="8"/>
      <c r="E851" s="8"/>
      <c r="F851" s="8"/>
      <c r="G851" s="8"/>
      <c r="H851" s="8"/>
    </row>
    <row r="852" ht="14.25" spans="1:8">
      <c r="A852" s="8"/>
      <c r="B852" s="8"/>
      <c r="C852" s="8"/>
      <c r="D852" s="8"/>
      <c r="E852" s="8"/>
      <c r="F852" s="8"/>
      <c r="G852" s="8"/>
      <c r="H852" s="8"/>
    </row>
    <row r="853" ht="14.25" spans="1:8">
      <c r="A853" s="8"/>
      <c r="B853" s="8"/>
      <c r="C853" s="8"/>
      <c r="D853" s="8"/>
      <c r="E853" s="8"/>
      <c r="F853" s="8"/>
      <c r="G853" s="8"/>
      <c r="H853" s="8"/>
    </row>
    <row r="854" ht="14.25" spans="1:8">
      <c r="A854" s="8"/>
      <c r="B854" s="8"/>
      <c r="C854" s="8"/>
      <c r="D854" s="8"/>
      <c r="E854" s="8"/>
      <c r="F854" s="8"/>
      <c r="G854" s="8"/>
      <c r="H854" s="8"/>
    </row>
    <row r="855" ht="14.25" spans="1:8">
      <c r="A855" s="8"/>
      <c r="B855" s="8"/>
      <c r="C855" s="8"/>
      <c r="D855" s="8"/>
      <c r="E855" s="8"/>
      <c r="F855" s="8"/>
      <c r="G855" s="8"/>
      <c r="H855" s="8"/>
    </row>
    <row r="856" ht="14.25" spans="1:8">
      <c r="A856" s="8"/>
      <c r="B856" s="8"/>
      <c r="C856" s="8"/>
      <c r="D856" s="8"/>
      <c r="E856" s="8"/>
      <c r="F856" s="8"/>
      <c r="G856" s="8"/>
      <c r="H856" s="8"/>
    </row>
    <row r="857" ht="14.25" spans="1:8">
      <c r="A857" s="8"/>
      <c r="B857" s="8"/>
      <c r="C857" s="8"/>
      <c r="D857" s="8"/>
      <c r="E857" s="8"/>
      <c r="F857" s="8"/>
      <c r="G857" s="8"/>
      <c r="H857" s="8"/>
    </row>
    <row r="858" ht="14.25" spans="1:8">
      <c r="A858" s="8"/>
      <c r="B858" s="8"/>
      <c r="C858" s="8"/>
      <c r="D858" s="8"/>
      <c r="E858" s="8"/>
      <c r="F858" s="8"/>
      <c r="G858" s="8"/>
      <c r="H858" s="8"/>
    </row>
    <row r="859" ht="14.25" spans="1:8">
      <c r="A859" s="8"/>
      <c r="B859" s="8"/>
      <c r="C859" s="8"/>
      <c r="D859" s="8"/>
      <c r="E859" s="8"/>
      <c r="F859" s="8"/>
      <c r="G859" s="8"/>
      <c r="H859" s="8"/>
    </row>
    <row r="860" ht="14.25" spans="1:8">
      <c r="A860" s="8"/>
      <c r="B860" s="8"/>
      <c r="C860" s="8"/>
      <c r="D860" s="8"/>
      <c r="E860" s="8"/>
      <c r="F860" s="8"/>
      <c r="G860" s="8"/>
      <c r="H860" s="8"/>
    </row>
    <row r="861" ht="14.25" spans="1:8">
      <c r="A861" s="8"/>
      <c r="B861" s="8"/>
      <c r="C861" s="8"/>
      <c r="D861" s="8"/>
      <c r="E861" s="8"/>
      <c r="F861" s="8"/>
      <c r="G861" s="8"/>
      <c r="H861" s="8"/>
    </row>
    <row r="862" ht="14.25" spans="1:8">
      <c r="A862" s="8"/>
      <c r="B862" s="8"/>
      <c r="C862" s="8"/>
      <c r="D862" s="8"/>
      <c r="E862" s="8"/>
      <c r="F862" s="8"/>
      <c r="G862" s="8"/>
      <c r="H862" s="8"/>
    </row>
    <row r="863" ht="14.25" spans="1:8">
      <c r="A863" s="8"/>
      <c r="B863" s="8"/>
      <c r="C863" s="8"/>
      <c r="D863" s="8"/>
      <c r="E863" s="8"/>
      <c r="F863" s="8"/>
      <c r="G863" s="8"/>
      <c r="H863" s="8"/>
    </row>
    <row r="864" ht="14.25" spans="1:8">
      <c r="A864" s="8"/>
      <c r="B864" s="8"/>
      <c r="C864" s="8"/>
      <c r="D864" s="8"/>
      <c r="E864" s="8"/>
      <c r="F864" s="8"/>
      <c r="G864" s="8"/>
      <c r="H864" s="8"/>
    </row>
    <row r="865" ht="14.25" spans="1:8">
      <c r="A865" s="8"/>
      <c r="B865" s="8"/>
      <c r="C865" s="8"/>
      <c r="D865" s="8"/>
      <c r="E865" s="8"/>
      <c r="F865" s="8"/>
      <c r="G865" s="8"/>
      <c r="H865" s="8"/>
    </row>
    <row r="866" ht="14.25" spans="1:8">
      <c r="A866" s="8"/>
      <c r="B866" s="8"/>
      <c r="C866" s="8"/>
      <c r="D866" s="8"/>
      <c r="E866" s="8"/>
      <c r="F866" s="8"/>
      <c r="G866" s="8"/>
      <c r="H866" s="8"/>
    </row>
    <row r="867" ht="14.25" spans="1:8">
      <c r="A867" s="8"/>
      <c r="B867" s="8"/>
      <c r="C867" s="8"/>
      <c r="D867" s="8"/>
      <c r="E867" s="8"/>
      <c r="F867" s="8"/>
      <c r="G867" s="8"/>
      <c r="H867" s="8"/>
    </row>
    <row r="868" ht="14.25" spans="1:8">
      <c r="A868" s="8"/>
      <c r="B868" s="8"/>
      <c r="C868" s="8"/>
      <c r="D868" s="8"/>
      <c r="E868" s="8"/>
      <c r="F868" s="8"/>
      <c r="G868" s="8"/>
      <c r="H868" s="8"/>
    </row>
    <row r="869" ht="14.25" spans="1:8">
      <c r="A869" s="8"/>
      <c r="B869" s="8"/>
      <c r="C869" s="8"/>
      <c r="D869" s="8"/>
      <c r="E869" s="8"/>
      <c r="F869" s="8"/>
      <c r="G869" s="8"/>
      <c r="H869" s="8"/>
    </row>
    <row r="870" ht="14.25" spans="1:8">
      <c r="A870" s="8"/>
      <c r="B870" s="8"/>
      <c r="C870" s="8"/>
      <c r="D870" s="8"/>
      <c r="E870" s="8"/>
      <c r="F870" s="8"/>
      <c r="G870" s="8"/>
      <c r="H870" s="8"/>
    </row>
    <row r="871" ht="14.25" spans="1:8">
      <c r="A871" s="8"/>
      <c r="B871" s="8"/>
      <c r="C871" s="8"/>
      <c r="D871" s="8"/>
      <c r="E871" s="8"/>
      <c r="F871" s="8"/>
      <c r="G871" s="8"/>
      <c r="H871" s="8"/>
    </row>
    <row r="872" ht="14.25" spans="1:8">
      <c r="A872" s="8"/>
      <c r="B872" s="8"/>
      <c r="C872" s="8"/>
      <c r="D872" s="8"/>
      <c r="E872" s="8"/>
      <c r="F872" s="8"/>
      <c r="G872" s="8"/>
      <c r="H872" s="8"/>
    </row>
    <row r="873" ht="14.25" spans="1:8">
      <c r="A873" s="8"/>
      <c r="B873" s="8"/>
      <c r="C873" s="8"/>
      <c r="D873" s="8"/>
      <c r="E873" s="8"/>
      <c r="F873" s="8"/>
      <c r="G873" s="8"/>
      <c r="H873" s="8"/>
    </row>
    <row r="874" ht="14.25" spans="1:8">
      <c r="A874" s="8"/>
      <c r="B874" s="8"/>
      <c r="C874" s="8"/>
      <c r="D874" s="8"/>
      <c r="E874" s="8"/>
      <c r="F874" s="8"/>
      <c r="G874" s="8"/>
      <c r="H874" s="8"/>
    </row>
    <row r="875" ht="14.25" spans="1:8">
      <c r="A875" s="8"/>
      <c r="B875" s="8"/>
      <c r="C875" s="8"/>
      <c r="D875" s="8"/>
      <c r="E875" s="8"/>
      <c r="F875" s="8"/>
      <c r="G875" s="8"/>
      <c r="H875" s="8"/>
    </row>
    <row r="876" ht="14.25" spans="1:8">
      <c r="A876" s="8"/>
      <c r="B876" s="8"/>
      <c r="C876" s="8"/>
      <c r="D876" s="8"/>
      <c r="E876" s="8"/>
      <c r="F876" s="8"/>
      <c r="G876" s="8"/>
      <c r="H876" s="8"/>
    </row>
    <row r="877" ht="14.25" spans="1:8">
      <c r="A877" s="8"/>
      <c r="B877" s="8"/>
      <c r="C877" s="8"/>
      <c r="D877" s="8"/>
      <c r="E877" s="8"/>
      <c r="F877" s="8"/>
      <c r="G877" s="8"/>
      <c r="H877" s="8"/>
    </row>
    <row r="878" ht="14.25" spans="1:8">
      <c r="A878" s="8"/>
      <c r="B878" s="8"/>
      <c r="C878" s="8"/>
      <c r="D878" s="8"/>
      <c r="E878" s="8"/>
      <c r="F878" s="8"/>
      <c r="G878" s="8"/>
      <c r="H878" s="8"/>
    </row>
    <row r="879" ht="14.25" spans="1:8">
      <c r="A879" s="8"/>
      <c r="B879" s="8"/>
      <c r="C879" s="8"/>
      <c r="D879" s="8"/>
      <c r="E879" s="8"/>
      <c r="F879" s="8"/>
      <c r="G879" s="8"/>
      <c r="H879" s="8"/>
    </row>
    <row r="880" ht="14.25" spans="1:8">
      <c r="A880" s="8"/>
      <c r="B880" s="8"/>
      <c r="C880" s="8"/>
      <c r="D880" s="8"/>
      <c r="E880" s="8"/>
      <c r="F880" s="8"/>
      <c r="G880" s="8"/>
      <c r="H880" s="8"/>
    </row>
    <row r="881" ht="14.25" spans="1:8">
      <c r="A881" s="8"/>
      <c r="B881" s="8"/>
      <c r="C881" s="8"/>
      <c r="D881" s="8"/>
      <c r="E881" s="8"/>
      <c r="F881" s="8"/>
      <c r="G881" s="8"/>
      <c r="H881" s="8"/>
    </row>
    <row r="882" ht="14.25" spans="1:8">
      <c r="A882" s="8"/>
      <c r="B882" s="8"/>
      <c r="C882" s="8"/>
      <c r="D882" s="8"/>
      <c r="E882" s="8"/>
      <c r="F882" s="8"/>
      <c r="G882" s="8"/>
      <c r="H882" s="8"/>
    </row>
    <row r="883" ht="14.25" spans="1:8">
      <c r="A883" s="8"/>
      <c r="B883" s="8"/>
      <c r="C883" s="8"/>
      <c r="D883" s="8"/>
      <c r="E883" s="8"/>
      <c r="F883" s="8"/>
      <c r="G883" s="8"/>
      <c r="H883" s="8"/>
    </row>
    <row r="884" ht="14.25" spans="1:8">
      <c r="A884" s="8"/>
      <c r="B884" s="8"/>
      <c r="C884" s="8"/>
      <c r="D884" s="8"/>
      <c r="E884" s="8"/>
      <c r="F884" s="8"/>
      <c r="G884" s="8"/>
      <c r="H884" s="8"/>
    </row>
    <row r="885" ht="14.25" spans="1:8">
      <c r="A885" s="8"/>
      <c r="B885" s="8"/>
      <c r="C885" s="8"/>
      <c r="D885" s="8"/>
      <c r="E885" s="8"/>
      <c r="F885" s="8"/>
      <c r="G885" s="8"/>
      <c r="H885" s="8"/>
    </row>
    <row r="886" ht="14.25" spans="1:8">
      <c r="A886" s="8"/>
      <c r="B886" s="8"/>
      <c r="C886" s="8"/>
      <c r="D886" s="8"/>
      <c r="E886" s="8"/>
      <c r="F886" s="8"/>
      <c r="G886" s="8"/>
      <c r="H886" s="8"/>
    </row>
    <row r="887" ht="14.25" spans="1:8">
      <c r="A887" s="8"/>
      <c r="B887" s="8"/>
      <c r="C887" s="8"/>
      <c r="D887" s="8"/>
      <c r="E887" s="8"/>
      <c r="F887" s="8"/>
      <c r="G887" s="8"/>
      <c r="H887" s="8"/>
    </row>
    <row r="888" ht="14.25" spans="1:8">
      <c r="A888" s="8"/>
      <c r="B888" s="8"/>
      <c r="C888" s="8"/>
      <c r="D888" s="8"/>
      <c r="E888" s="8"/>
      <c r="F888" s="8"/>
      <c r="G888" s="8"/>
      <c r="H888" s="8"/>
    </row>
    <row r="889" ht="14.25" spans="1:8">
      <c r="A889" s="8"/>
      <c r="B889" s="8"/>
      <c r="C889" s="8"/>
      <c r="D889" s="8"/>
      <c r="E889" s="8"/>
      <c r="F889" s="8"/>
      <c r="G889" s="8"/>
      <c r="H889" s="8"/>
    </row>
    <row r="890" ht="14.25" spans="1:8">
      <c r="A890" s="8"/>
      <c r="B890" s="8"/>
      <c r="C890" s="8"/>
      <c r="D890" s="8"/>
      <c r="E890" s="8"/>
      <c r="F890" s="8"/>
      <c r="G890" s="8"/>
      <c r="H890" s="8"/>
    </row>
    <row r="891" ht="14.25" spans="1:8">
      <c r="A891" s="8"/>
      <c r="B891" s="8"/>
      <c r="C891" s="8"/>
      <c r="D891" s="8"/>
      <c r="E891" s="8"/>
      <c r="F891" s="8"/>
      <c r="G891" s="8"/>
      <c r="H891" s="8"/>
    </row>
    <row r="892" ht="14.25" spans="1:8">
      <c r="A892" s="8"/>
      <c r="B892" s="8"/>
      <c r="C892" s="8"/>
      <c r="D892" s="8"/>
      <c r="E892" s="8"/>
      <c r="F892" s="8"/>
      <c r="G892" s="8"/>
      <c r="H892" s="8"/>
    </row>
    <row r="893" ht="14.25" spans="1:8">
      <c r="A893" s="8"/>
      <c r="B893" s="8"/>
      <c r="C893" s="8"/>
      <c r="D893" s="8"/>
      <c r="E893" s="8"/>
      <c r="F893" s="8"/>
      <c r="G893" s="8"/>
      <c r="H893" s="8"/>
    </row>
    <row r="894" ht="14.25" spans="1:8">
      <c r="A894" s="8"/>
      <c r="B894" s="8"/>
      <c r="C894" s="8"/>
      <c r="D894" s="8"/>
      <c r="E894" s="8"/>
      <c r="F894" s="8"/>
      <c r="G894" s="8"/>
      <c r="H894" s="8"/>
    </row>
    <row r="895" ht="14.25" spans="1:8">
      <c r="A895" s="8"/>
      <c r="B895" s="8"/>
      <c r="C895" s="8"/>
      <c r="D895" s="8"/>
      <c r="E895" s="8"/>
      <c r="F895" s="8"/>
      <c r="G895" s="8"/>
      <c r="H895" s="8"/>
    </row>
    <row r="896" ht="14.25" spans="1:8">
      <c r="A896" s="8"/>
      <c r="B896" s="8"/>
      <c r="C896" s="8"/>
      <c r="D896" s="8"/>
      <c r="E896" s="8"/>
      <c r="F896" s="8"/>
      <c r="G896" s="8"/>
      <c r="H896" s="8"/>
    </row>
    <row r="897" ht="14.25" spans="1:8">
      <c r="A897" s="8"/>
      <c r="B897" s="8"/>
      <c r="C897" s="8"/>
      <c r="D897" s="8"/>
      <c r="E897" s="8"/>
      <c r="F897" s="8"/>
      <c r="G897" s="8"/>
      <c r="H897" s="8"/>
    </row>
    <row r="898" ht="14.25" spans="1:8">
      <c r="A898" s="8"/>
      <c r="B898" s="8"/>
      <c r="C898" s="8"/>
      <c r="D898" s="8"/>
      <c r="E898" s="8"/>
      <c r="F898" s="8"/>
      <c r="G898" s="8"/>
      <c r="H898" s="8"/>
    </row>
    <row r="899" ht="14.25" spans="1:8">
      <c r="A899" s="8"/>
      <c r="B899" s="8"/>
      <c r="C899" s="8"/>
      <c r="D899" s="8"/>
      <c r="E899" s="8"/>
      <c r="F899" s="8"/>
      <c r="G899" s="8"/>
      <c r="H899" s="8"/>
    </row>
    <row r="900" ht="14.25" spans="1:8">
      <c r="A900" s="8"/>
      <c r="B900" s="8"/>
      <c r="C900" s="8"/>
      <c r="D900" s="8"/>
      <c r="E900" s="8"/>
      <c r="F900" s="8"/>
      <c r="G900" s="8"/>
      <c r="H900" s="8"/>
    </row>
    <row r="901" ht="14.25" spans="1:8">
      <c r="A901" s="8"/>
      <c r="B901" s="8"/>
      <c r="C901" s="8"/>
      <c r="D901" s="8"/>
      <c r="E901" s="8"/>
      <c r="F901" s="8"/>
      <c r="G901" s="8"/>
      <c r="H901" s="8"/>
    </row>
    <row r="902" ht="14.25" spans="1:8">
      <c r="A902" s="8"/>
      <c r="B902" s="8"/>
      <c r="C902" s="8"/>
      <c r="D902" s="8"/>
      <c r="E902" s="8"/>
      <c r="F902" s="8"/>
      <c r="G902" s="8"/>
      <c r="H902" s="8"/>
    </row>
    <row r="903" ht="14.25" spans="1:8">
      <c r="A903" s="8"/>
      <c r="B903" s="8"/>
      <c r="C903" s="8"/>
      <c r="D903" s="8"/>
      <c r="E903" s="8"/>
      <c r="F903" s="8"/>
      <c r="G903" s="8"/>
      <c r="H903" s="8"/>
    </row>
    <row r="904" ht="14.25" spans="1:8">
      <c r="A904" s="8"/>
      <c r="B904" s="8"/>
      <c r="C904" s="8"/>
      <c r="D904" s="8"/>
      <c r="E904" s="8"/>
      <c r="F904" s="8"/>
      <c r="G904" s="8"/>
      <c r="H904" s="8"/>
    </row>
    <row r="905" ht="14.25" spans="1:8">
      <c r="A905" s="8"/>
      <c r="B905" s="8"/>
      <c r="C905" s="8"/>
      <c r="D905" s="8"/>
      <c r="E905" s="8"/>
      <c r="F905" s="8"/>
      <c r="G905" s="8"/>
      <c r="H905" s="8"/>
    </row>
    <row r="906" ht="14.25" spans="1:8">
      <c r="A906" s="8"/>
      <c r="B906" s="8"/>
      <c r="C906" s="8"/>
      <c r="D906" s="8"/>
      <c r="E906" s="8"/>
      <c r="F906" s="8"/>
      <c r="G906" s="8"/>
      <c r="H906" s="8"/>
    </row>
    <row r="907" ht="14.25" spans="1:8">
      <c r="A907" s="8"/>
      <c r="B907" s="8"/>
      <c r="C907" s="8"/>
      <c r="D907" s="8"/>
      <c r="E907" s="8"/>
      <c r="F907" s="8"/>
      <c r="G907" s="8"/>
      <c r="H907" s="8"/>
    </row>
    <row r="908" ht="14.25" spans="1:8">
      <c r="A908" s="8"/>
      <c r="B908" s="8"/>
      <c r="C908" s="8"/>
      <c r="D908" s="8"/>
      <c r="E908" s="8"/>
      <c r="F908" s="8"/>
      <c r="G908" s="8"/>
      <c r="H908" s="8"/>
    </row>
    <row r="909" ht="14.25" spans="1:8">
      <c r="A909" s="8"/>
      <c r="B909" s="8"/>
      <c r="C909" s="8"/>
      <c r="D909" s="8"/>
      <c r="E909" s="8"/>
      <c r="F909" s="8"/>
      <c r="G909" s="8"/>
      <c r="H909" s="8"/>
    </row>
    <row r="910" ht="14.25" spans="1:8">
      <c r="A910" s="8"/>
      <c r="B910" s="8"/>
      <c r="C910" s="8"/>
      <c r="D910" s="8"/>
      <c r="E910" s="8"/>
      <c r="F910" s="8"/>
      <c r="G910" s="8"/>
      <c r="H910" s="8"/>
    </row>
    <row r="911" ht="14.25" spans="1:8">
      <c r="A911" s="8"/>
      <c r="B911" s="8"/>
      <c r="C911" s="8"/>
      <c r="D911" s="8"/>
      <c r="E911" s="8"/>
      <c r="F911" s="8"/>
      <c r="G911" s="8"/>
      <c r="H911" s="8"/>
    </row>
    <row r="912" ht="14.25" spans="1:8">
      <c r="A912" s="8"/>
      <c r="B912" s="8"/>
      <c r="C912" s="8"/>
      <c r="D912" s="8"/>
      <c r="E912" s="8"/>
      <c r="F912" s="8"/>
      <c r="G912" s="8"/>
      <c r="H912" s="8"/>
    </row>
    <row r="913" ht="14.25" spans="1:8">
      <c r="A913" s="8"/>
      <c r="B913" s="8"/>
      <c r="C913" s="8"/>
      <c r="D913" s="8"/>
      <c r="E913" s="8"/>
      <c r="F913" s="8"/>
      <c r="G913" s="8"/>
      <c r="H913" s="8"/>
    </row>
    <row r="914" ht="14.25" spans="1:8">
      <c r="A914" s="8"/>
      <c r="B914" s="8"/>
      <c r="C914" s="8"/>
      <c r="D914" s="8"/>
      <c r="E914" s="8"/>
      <c r="F914" s="8"/>
      <c r="G914" s="8"/>
      <c r="H914" s="8"/>
    </row>
    <row r="915" ht="14.25" spans="1:8">
      <c r="A915" s="8"/>
      <c r="B915" s="8"/>
      <c r="C915" s="8"/>
      <c r="D915" s="8"/>
      <c r="E915" s="8"/>
      <c r="F915" s="8"/>
      <c r="G915" s="8"/>
      <c r="H915" s="8"/>
    </row>
    <row r="916" ht="14.25" spans="1:8">
      <c r="A916" s="8"/>
      <c r="B916" s="8"/>
      <c r="C916" s="8"/>
      <c r="D916" s="8"/>
      <c r="E916" s="8"/>
      <c r="F916" s="8"/>
      <c r="G916" s="8"/>
      <c r="H916" s="8"/>
    </row>
    <row r="917" ht="14.25" spans="1:8">
      <c r="A917" s="8"/>
      <c r="B917" s="8"/>
      <c r="C917" s="8"/>
      <c r="D917" s="8"/>
      <c r="E917" s="8"/>
      <c r="F917" s="8"/>
      <c r="G917" s="8"/>
      <c r="H917" s="8"/>
    </row>
    <row r="918" ht="14.25" spans="1:8">
      <c r="A918" s="8"/>
      <c r="B918" s="8"/>
      <c r="C918" s="8"/>
      <c r="D918" s="8"/>
      <c r="E918" s="8"/>
      <c r="F918" s="8"/>
      <c r="G918" s="8"/>
      <c r="H918" s="8"/>
    </row>
    <row r="919" ht="14.25" spans="1:8">
      <c r="A919" s="8"/>
      <c r="B919" s="8"/>
      <c r="C919" s="8"/>
      <c r="D919" s="8"/>
      <c r="E919" s="8"/>
      <c r="F919" s="8"/>
      <c r="G919" s="8"/>
      <c r="H919" s="8"/>
    </row>
    <row r="920" ht="14.25" spans="1:8">
      <c r="A920" s="8"/>
      <c r="B920" s="8"/>
      <c r="C920" s="8"/>
      <c r="D920" s="8"/>
      <c r="E920" s="8"/>
      <c r="F920" s="8"/>
      <c r="G920" s="8"/>
      <c r="H920" s="8"/>
    </row>
    <row r="921" ht="14.25" spans="1:8">
      <c r="A921" s="8"/>
      <c r="B921" s="8"/>
      <c r="C921" s="8"/>
      <c r="D921" s="8"/>
      <c r="E921" s="8"/>
      <c r="F921" s="8"/>
      <c r="G921" s="8"/>
      <c r="H921" s="8"/>
    </row>
    <row r="922" ht="14.25" spans="1:8">
      <c r="A922" s="8"/>
      <c r="B922" s="8"/>
      <c r="C922" s="8"/>
      <c r="D922" s="8"/>
      <c r="E922" s="8"/>
      <c r="F922" s="8"/>
      <c r="G922" s="8"/>
      <c r="H922" s="8"/>
    </row>
    <row r="923" ht="14.25" spans="1:8">
      <c r="A923" s="8"/>
      <c r="B923" s="8"/>
      <c r="C923" s="8"/>
      <c r="D923" s="8"/>
      <c r="E923" s="8"/>
      <c r="F923" s="8"/>
      <c r="G923" s="8"/>
      <c r="H923" s="8"/>
    </row>
    <row r="924" ht="14.25" spans="1:8">
      <c r="A924" s="8"/>
      <c r="B924" s="8"/>
      <c r="C924" s="8"/>
      <c r="D924" s="8"/>
      <c r="E924" s="8"/>
      <c r="F924" s="8"/>
      <c r="G924" s="8"/>
      <c r="H924" s="8"/>
    </row>
    <row r="925" ht="14.25" spans="1:8">
      <c r="A925" s="8"/>
      <c r="B925" s="8"/>
      <c r="C925" s="8"/>
      <c r="D925" s="8"/>
      <c r="E925" s="8"/>
      <c r="F925" s="8"/>
      <c r="G925" s="8"/>
      <c r="H925" s="8"/>
    </row>
    <row r="926" ht="14.25" spans="1:8">
      <c r="A926" s="8"/>
      <c r="B926" s="8"/>
      <c r="C926" s="8"/>
      <c r="D926" s="8"/>
      <c r="E926" s="8"/>
      <c r="F926" s="8"/>
      <c r="G926" s="8"/>
      <c r="H926" s="8"/>
    </row>
    <row r="927" ht="14.25" spans="1:8">
      <c r="A927" s="8"/>
      <c r="B927" s="8"/>
      <c r="C927" s="8"/>
      <c r="D927" s="8"/>
      <c r="E927" s="8"/>
      <c r="F927" s="8"/>
      <c r="G927" s="8"/>
      <c r="H927" s="8"/>
    </row>
    <row r="928" ht="14.25" spans="1:8">
      <c r="A928" s="8"/>
      <c r="B928" s="8"/>
      <c r="C928" s="8"/>
      <c r="D928" s="8"/>
      <c r="E928" s="8"/>
      <c r="F928" s="8"/>
      <c r="G928" s="8"/>
      <c r="H928" s="8"/>
    </row>
    <row r="929" ht="14.25" spans="1:8">
      <c r="A929" s="8"/>
      <c r="B929" s="8"/>
      <c r="C929" s="8"/>
      <c r="D929" s="8"/>
      <c r="E929" s="8"/>
      <c r="F929" s="8"/>
      <c r="G929" s="8"/>
      <c r="H929" s="8"/>
    </row>
    <row r="930" ht="14.25" spans="1:8">
      <c r="A930" s="8"/>
      <c r="B930" s="8"/>
      <c r="C930" s="8"/>
      <c r="D930" s="8"/>
      <c r="E930" s="8"/>
      <c r="F930" s="8"/>
      <c r="G930" s="8"/>
      <c r="H930" s="8"/>
    </row>
    <row r="931" ht="14.25" spans="1:8">
      <c r="A931" s="8"/>
      <c r="B931" s="8"/>
      <c r="C931" s="8"/>
      <c r="D931" s="8"/>
      <c r="E931" s="8"/>
      <c r="F931" s="8"/>
      <c r="G931" s="8"/>
      <c r="H931" s="8"/>
    </row>
    <row r="932" ht="14.25" spans="1:8">
      <c r="A932" s="8"/>
      <c r="B932" s="8"/>
      <c r="C932" s="8"/>
      <c r="D932" s="8"/>
      <c r="E932" s="8"/>
      <c r="F932" s="8"/>
      <c r="G932" s="8"/>
      <c r="H932" s="8"/>
    </row>
    <row r="933" ht="14.25" spans="1:8">
      <c r="A933" s="8"/>
      <c r="B933" s="8"/>
      <c r="C933" s="8"/>
      <c r="D933" s="8"/>
      <c r="E933" s="8"/>
      <c r="F933" s="8"/>
      <c r="G933" s="8"/>
      <c r="H933" s="8"/>
    </row>
    <row r="934" ht="14.25" spans="1:8">
      <c r="A934" s="8"/>
      <c r="B934" s="8"/>
      <c r="C934" s="8"/>
      <c r="D934" s="8"/>
      <c r="E934" s="8"/>
      <c r="F934" s="8"/>
      <c r="G934" s="8"/>
      <c r="H934" s="8"/>
    </row>
    <row r="935" ht="14.25" spans="1:8">
      <c r="A935" s="8"/>
      <c r="B935" s="8"/>
      <c r="C935" s="8"/>
      <c r="D935" s="8"/>
      <c r="E935" s="8"/>
      <c r="F935" s="8"/>
      <c r="G935" s="8"/>
      <c r="H935" s="8"/>
    </row>
    <row r="936" ht="14.25" spans="1:8">
      <c r="A936" s="8"/>
      <c r="B936" s="8"/>
      <c r="C936" s="8"/>
      <c r="D936" s="8"/>
      <c r="E936" s="8"/>
      <c r="F936" s="8"/>
      <c r="G936" s="8"/>
      <c r="H936" s="8"/>
    </row>
    <row r="937" ht="14.25" spans="1:8">
      <c r="A937" s="8"/>
      <c r="B937" s="8"/>
      <c r="C937" s="8"/>
      <c r="D937" s="8"/>
      <c r="E937" s="8"/>
      <c r="F937" s="8"/>
      <c r="G937" s="8"/>
      <c r="H937" s="8"/>
    </row>
    <row r="938" ht="14.25" spans="1:8">
      <c r="A938" s="8"/>
      <c r="B938" s="8"/>
      <c r="C938" s="8"/>
      <c r="D938" s="8"/>
      <c r="E938" s="8"/>
      <c r="F938" s="8"/>
      <c r="G938" s="8"/>
      <c r="H938" s="8"/>
    </row>
    <row r="939" ht="14.25" spans="1:8">
      <c r="A939" s="8"/>
      <c r="B939" s="8"/>
      <c r="C939" s="8"/>
      <c r="D939" s="8"/>
      <c r="E939" s="8"/>
      <c r="F939" s="8"/>
      <c r="G939" s="8"/>
      <c r="H939" s="8"/>
    </row>
    <row r="940" ht="14.25" spans="1:8">
      <c r="A940" s="8"/>
      <c r="B940" s="8"/>
      <c r="C940" s="8"/>
      <c r="D940" s="8"/>
      <c r="E940" s="8"/>
      <c r="F940" s="8"/>
      <c r="G940" s="8"/>
      <c r="H940" s="8"/>
    </row>
    <row r="941" ht="14.25" spans="1:8">
      <c r="A941" s="8"/>
      <c r="B941" s="8"/>
      <c r="C941" s="8"/>
      <c r="D941" s="8"/>
      <c r="E941" s="8"/>
      <c r="F941" s="8"/>
      <c r="G941" s="8"/>
      <c r="H941" s="8"/>
    </row>
    <row r="942" ht="14.25" spans="1:8">
      <c r="A942" s="8"/>
      <c r="B942" s="8"/>
      <c r="C942" s="8"/>
      <c r="D942" s="8"/>
      <c r="E942" s="8"/>
      <c r="F942" s="8"/>
      <c r="G942" s="8"/>
      <c r="H942" s="8"/>
    </row>
    <row r="943" ht="14.25" spans="1:8">
      <c r="A943" s="8"/>
      <c r="B943" s="8"/>
      <c r="C943" s="8"/>
      <c r="D943" s="8"/>
      <c r="E943" s="8"/>
      <c r="F943" s="8"/>
      <c r="G943" s="8"/>
      <c r="H943" s="8"/>
    </row>
    <row r="944" ht="14.25" spans="1:8">
      <c r="A944" s="8"/>
      <c r="B944" s="8"/>
      <c r="C944" s="8"/>
      <c r="D944" s="8"/>
      <c r="E944" s="8"/>
      <c r="F944" s="8"/>
      <c r="G944" s="8"/>
      <c r="H944" s="8"/>
    </row>
    <row r="945" ht="14.25" spans="1:8">
      <c r="A945" s="8"/>
      <c r="B945" s="8"/>
      <c r="C945" s="8"/>
      <c r="D945" s="8"/>
      <c r="E945" s="8"/>
      <c r="F945" s="8"/>
      <c r="G945" s="8"/>
      <c r="H945" s="8"/>
    </row>
    <row r="946" ht="14.25" spans="1:8">
      <c r="A946" s="8"/>
      <c r="B946" s="8"/>
      <c r="C946" s="8"/>
      <c r="D946" s="8"/>
      <c r="E946" s="8"/>
      <c r="F946" s="8"/>
      <c r="G946" s="8"/>
      <c r="H946" s="8"/>
    </row>
    <row r="947" ht="14.25" spans="1:8">
      <c r="A947" s="8"/>
      <c r="B947" s="8"/>
      <c r="C947" s="8"/>
      <c r="D947" s="8"/>
      <c r="E947" s="8"/>
      <c r="F947" s="8"/>
      <c r="G947" s="8"/>
      <c r="H947" s="8"/>
    </row>
    <row r="948" ht="14.25" spans="1:8">
      <c r="A948" s="8"/>
      <c r="B948" s="8"/>
      <c r="C948" s="8"/>
      <c r="D948" s="8"/>
      <c r="E948" s="8"/>
      <c r="F948" s="8"/>
      <c r="G948" s="8"/>
      <c r="H948" s="8"/>
    </row>
    <row r="949" ht="14.25" spans="1:8">
      <c r="A949" s="8"/>
      <c r="B949" s="8"/>
      <c r="C949" s="8"/>
      <c r="D949" s="8"/>
      <c r="E949" s="8"/>
      <c r="F949" s="8"/>
      <c r="G949" s="8"/>
      <c r="H949" s="8"/>
    </row>
    <row r="950" ht="14.25" spans="1:8">
      <c r="A950" s="8"/>
      <c r="B950" s="8"/>
      <c r="C950" s="8"/>
      <c r="D950" s="8"/>
      <c r="E950" s="8"/>
      <c r="F950" s="8"/>
      <c r="G950" s="8"/>
      <c r="H950" s="8"/>
    </row>
    <row r="951" ht="14.25" spans="1:8">
      <c r="A951" s="8"/>
      <c r="B951" s="8"/>
      <c r="C951" s="8"/>
      <c r="D951" s="8"/>
      <c r="E951" s="8"/>
      <c r="F951" s="8"/>
      <c r="G951" s="8"/>
      <c r="H951" s="8"/>
    </row>
    <row r="952" ht="14.25" spans="1:8">
      <c r="A952" s="8"/>
      <c r="B952" s="8"/>
      <c r="C952" s="8"/>
      <c r="D952" s="8"/>
      <c r="E952" s="8"/>
      <c r="F952" s="8"/>
      <c r="G952" s="8"/>
      <c r="H952" s="8"/>
    </row>
    <row r="953" ht="14.25" spans="1:8">
      <c r="A953" s="8"/>
      <c r="B953" s="8"/>
      <c r="C953" s="8"/>
      <c r="D953" s="8"/>
      <c r="E953" s="8"/>
      <c r="F953" s="8"/>
      <c r="G953" s="8"/>
      <c r="H953" s="8"/>
    </row>
    <row r="954" ht="14.25" spans="1:8">
      <c r="A954" s="8"/>
      <c r="B954" s="8"/>
      <c r="C954" s="8"/>
      <c r="D954" s="8"/>
      <c r="E954" s="8"/>
      <c r="F954" s="8"/>
      <c r="G954" s="8"/>
      <c r="H954" s="8"/>
    </row>
    <row r="955" ht="14.25" spans="1:8">
      <c r="A955" s="8"/>
      <c r="B955" s="8"/>
      <c r="C955" s="8"/>
      <c r="D955" s="8"/>
      <c r="E955" s="8"/>
      <c r="F955" s="8"/>
      <c r="G955" s="8"/>
      <c r="H955" s="8"/>
    </row>
    <row r="956" ht="14.25" spans="1:8">
      <c r="A956" s="8"/>
      <c r="B956" s="8"/>
      <c r="C956" s="8"/>
      <c r="D956" s="8"/>
      <c r="E956" s="8"/>
      <c r="F956" s="8"/>
      <c r="G956" s="8"/>
      <c r="H956" s="8"/>
    </row>
    <row r="957" ht="14.25" spans="1:8">
      <c r="A957" s="8"/>
      <c r="B957" s="8"/>
      <c r="C957" s="8"/>
      <c r="D957" s="8"/>
      <c r="E957" s="8"/>
      <c r="F957" s="8"/>
      <c r="G957" s="8"/>
      <c r="H957" s="8"/>
    </row>
    <row r="958" ht="14.25" spans="1:8">
      <c r="A958" s="8"/>
      <c r="B958" s="8"/>
      <c r="C958" s="8"/>
      <c r="D958" s="8"/>
      <c r="E958" s="8"/>
      <c r="F958" s="8"/>
      <c r="G958" s="8"/>
      <c r="H958" s="8"/>
    </row>
    <row r="959" ht="14.25" spans="1:8">
      <c r="A959" s="8"/>
      <c r="B959" s="8"/>
      <c r="C959" s="8"/>
      <c r="D959" s="8"/>
      <c r="E959" s="8"/>
      <c r="F959" s="8"/>
      <c r="G959" s="8"/>
      <c r="H959" s="8"/>
    </row>
    <row r="960" ht="14.25" spans="1:8">
      <c r="A960" s="8"/>
      <c r="B960" s="8"/>
      <c r="C960" s="8"/>
      <c r="D960" s="8"/>
      <c r="E960" s="8"/>
      <c r="F960" s="8"/>
      <c r="G960" s="8"/>
      <c r="H960" s="8"/>
    </row>
    <row r="961" ht="14.25" spans="1:8">
      <c r="A961" s="8"/>
      <c r="B961" s="8"/>
      <c r="C961" s="8"/>
      <c r="D961" s="8"/>
      <c r="E961" s="8"/>
      <c r="F961" s="8"/>
      <c r="G961" s="8"/>
      <c r="H961" s="8"/>
    </row>
    <row r="962" ht="14.25" spans="1:8">
      <c r="A962" s="8"/>
      <c r="B962" s="8"/>
      <c r="C962" s="8"/>
      <c r="D962" s="8"/>
      <c r="E962" s="8"/>
      <c r="F962" s="8"/>
      <c r="G962" s="8"/>
      <c r="H962" s="8"/>
    </row>
    <row r="963" ht="14.25" spans="1:8">
      <c r="A963" s="8"/>
      <c r="B963" s="8"/>
      <c r="C963" s="8"/>
      <c r="D963" s="8"/>
      <c r="E963" s="8"/>
      <c r="F963" s="8"/>
      <c r="G963" s="8"/>
      <c r="H963" s="8"/>
    </row>
    <row r="964" ht="14.25" spans="1:8">
      <c r="A964" s="8"/>
      <c r="B964" s="8"/>
      <c r="C964" s="8"/>
      <c r="D964" s="8"/>
      <c r="E964" s="8"/>
      <c r="F964" s="8"/>
      <c r="G964" s="8"/>
      <c r="H964" s="8"/>
    </row>
    <row r="965" ht="14.25" spans="1:8">
      <c r="A965" s="8"/>
      <c r="B965" s="8"/>
      <c r="C965" s="8"/>
      <c r="D965" s="8"/>
      <c r="E965" s="8"/>
      <c r="F965" s="8"/>
      <c r="G965" s="8"/>
      <c r="H965" s="8"/>
    </row>
    <row r="966" ht="14.25" spans="1:8">
      <c r="A966" s="8"/>
      <c r="B966" s="8"/>
      <c r="C966" s="8"/>
      <c r="D966" s="8"/>
      <c r="E966" s="8"/>
      <c r="F966" s="8"/>
      <c r="G966" s="8"/>
      <c r="H966" s="8"/>
    </row>
    <row r="967" ht="14.25" spans="1:8">
      <c r="A967" s="8"/>
      <c r="B967" s="8"/>
      <c r="C967" s="8"/>
      <c r="D967" s="8"/>
      <c r="E967" s="8"/>
      <c r="F967" s="8"/>
      <c r="G967" s="8"/>
      <c r="H967" s="8"/>
    </row>
    <row r="968" ht="14.25" spans="1:8">
      <c r="A968" s="8"/>
      <c r="B968" s="8"/>
      <c r="C968" s="8"/>
      <c r="D968" s="8"/>
      <c r="E968" s="8"/>
      <c r="F968" s="8"/>
      <c r="G968" s="8"/>
      <c r="H968" s="8"/>
    </row>
    <row r="969" ht="14.25" spans="1:8">
      <c r="A969" s="8"/>
      <c r="B969" s="8"/>
      <c r="C969" s="8"/>
      <c r="D969" s="8"/>
      <c r="E969" s="8"/>
      <c r="F969" s="8"/>
      <c r="G969" s="8"/>
      <c r="H969" s="8"/>
    </row>
    <row r="970" ht="14.25" spans="1:8">
      <c r="A970" s="8"/>
      <c r="B970" s="8"/>
      <c r="C970" s="8"/>
      <c r="D970" s="8"/>
      <c r="E970" s="8"/>
      <c r="F970" s="8"/>
      <c r="G970" s="8"/>
      <c r="H970" s="8"/>
    </row>
    <row r="971" ht="14.25" spans="1:8">
      <c r="A971" s="8"/>
      <c r="B971" s="8"/>
      <c r="C971" s="8"/>
      <c r="D971" s="8"/>
      <c r="E971" s="8"/>
      <c r="F971" s="8"/>
      <c r="G971" s="8"/>
      <c r="H971" s="8"/>
    </row>
    <row r="972" ht="14.25" spans="1:8">
      <c r="A972" s="8"/>
      <c r="B972" s="8"/>
      <c r="C972" s="8"/>
      <c r="D972" s="8"/>
      <c r="E972" s="8"/>
      <c r="F972" s="8"/>
      <c r="G972" s="8"/>
      <c r="H972" s="8"/>
    </row>
    <row r="973" ht="14.25" spans="1:8">
      <c r="A973" s="8"/>
      <c r="B973" s="8"/>
      <c r="C973" s="8"/>
      <c r="D973" s="8"/>
      <c r="E973" s="8"/>
      <c r="F973" s="8"/>
      <c r="G973" s="8"/>
      <c r="H973" s="8"/>
    </row>
    <row r="974" ht="14.25" spans="1:8">
      <c r="A974" s="8"/>
      <c r="B974" s="8"/>
      <c r="C974" s="8"/>
      <c r="D974" s="8"/>
      <c r="E974" s="8"/>
      <c r="F974" s="8"/>
      <c r="G974" s="8"/>
      <c r="H974" s="8"/>
    </row>
    <row r="975" ht="14.25" spans="1:8">
      <c r="A975" s="8"/>
      <c r="B975" s="8"/>
      <c r="C975" s="8"/>
      <c r="D975" s="8"/>
      <c r="E975" s="8"/>
      <c r="F975" s="8"/>
      <c r="G975" s="8"/>
      <c r="H975" s="8"/>
    </row>
    <row r="976" ht="14.25" spans="1:8">
      <c r="A976" s="8"/>
      <c r="B976" s="8"/>
      <c r="C976" s="8"/>
      <c r="D976" s="8"/>
      <c r="E976" s="8"/>
      <c r="F976" s="8"/>
      <c r="G976" s="8"/>
      <c r="H976" s="8"/>
    </row>
    <row r="977" ht="14.25" spans="1:8">
      <c r="A977" s="8"/>
      <c r="B977" s="8"/>
      <c r="C977" s="8"/>
      <c r="D977" s="8"/>
      <c r="E977" s="8"/>
      <c r="F977" s="8"/>
      <c r="G977" s="8"/>
      <c r="H977" s="8"/>
    </row>
    <row r="978" ht="14.25" spans="1:8">
      <c r="A978" s="8"/>
      <c r="B978" s="8"/>
      <c r="C978" s="8"/>
      <c r="D978" s="8"/>
      <c r="E978" s="8"/>
      <c r="F978" s="8"/>
      <c r="G978" s="8"/>
      <c r="H978" s="8"/>
    </row>
    <row r="979" ht="14.25" spans="1:8">
      <c r="A979" s="8"/>
      <c r="B979" s="8"/>
      <c r="C979" s="8"/>
      <c r="D979" s="8"/>
      <c r="E979" s="8"/>
      <c r="F979" s="8"/>
      <c r="G979" s="8"/>
      <c r="H979" s="8"/>
    </row>
    <row r="980" ht="14.25" spans="1:8">
      <c r="A980" s="8"/>
      <c r="B980" s="8"/>
      <c r="C980" s="8"/>
      <c r="D980" s="8"/>
      <c r="E980" s="8"/>
      <c r="F980" s="8"/>
      <c r="G980" s="8"/>
      <c r="H980" s="8"/>
    </row>
    <row r="981" ht="14.25" spans="1:8">
      <c r="A981" s="8"/>
      <c r="B981" s="8"/>
      <c r="C981" s="8"/>
      <c r="D981" s="8"/>
      <c r="E981" s="8"/>
      <c r="F981" s="8"/>
      <c r="G981" s="8"/>
      <c r="H981" s="8"/>
    </row>
    <row r="982" ht="14.25" spans="1:8">
      <c r="A982" s="8"/>
      <c r="B982" s="8"/>
      <c r="C982" s="8"/>
      <c r="D982" s="8"/>
      <c r="E982" s="8"/>
      <c r="F982" s="8"/>
      <c r="G982" s="8"/>
      <c r="H982" s="8"/>
    </row>
    <row r="983" ht="14.25" spans="1:8">
      <c r="A983" s="8"/>
      <c r="B983" s="8"/>
      <c r="C983" s="8"/>
      <c r="D983" s="8"/>
      <c r="E983" s="8"/>
      <c r="F983" s="8"/>
      <c r="G983" s="8"/>
      <c r="H983" s="8"/>
    </row>
    <row r="984" ht="14.25" spans="1:8">
      <c r="A984" s="8"/>
      <c r="B984" s="8"/>
      <c r="C984" s="8"/>
      <c r="D984" s="8"/>
      <c r="E984" s="8"/>
      <c r="F984" s="8"/>
      <c r="G984" s="8"/>
      <c r="H984" s="8"/>
    </row>
    <row r="985" ht="14.25" spans="1:8">
      <c r="A985" s="8"/>
      <c r="B985" s="8"/>
      <c r="C985" s="8"/>
      <c r="D985" s="8"/>
      <c r="E985" s="8"/>
      <c r="F985" s="8"/>
      <c r="G985" s="8"/>
      <c r="H985" s="8"/>
    </row>
    <row r="986" ht="14.25" spans="1:8">
      <c r="A986" s="8"/>
      <c r="B986" s="8"/>
      <c r="C986" s="8"/>
      <c r="D986" s="8"/>
      <c r="E986" s="8"/>
      <c r="F986" s="8"/>
      <c r="G986" s="8"/>
      <c r="H986" s="8"/>
    </row>
    <row r="987" ht="14.25" spans="1:8">
      <c r="A987" s="8"/>
      <c r="B987" s="8"/>
      <c r="C987" s="8"/>
      <c r="D987" s="8"/>
      <c r="E987" s="8"/>
      <c r="F987" s="8"/>
      <c r="G987" s="8"/>
      <c r="H987" s="8"/>
    </row>
    <row r="988" ht="14.25" spans="1:8">
      <c r="A988" s="8"/>
      <c r="B988" s="8"/>
      <c r="C988" s="8"/>
      <c r="D988" s="8"/>
      <c r="E988" s="8"/>
      <c r="F988" s="8"/>
      <c r="G988" s="8"/>
      <c r="H988" s="8"/>
    </row>
    <row r="989" ht="14.25" spans="1:8">
      <c r="A989" s="8"/>
      <c r="B989" s="8"/>
      <c r="C989" s="8"/>
      <c r="D989" s="8"/>
      <c r="E989" s="8"/>
      <c r="F989" s="8"/>
      <c r="G989" s="8"/>
      <c r="H989" s="8"/>
    </row>
    <row r="990" ht="14.25" spans="1:8">
      <c r="A990" s="8"/>
      <c r="B990" s="8"/>
      <c r="C990" s="8"/>
      <c r="D990" s="8"/>
      <c r="E990" s="8"/>
      <c r="F990" s="8"/>
      <c r="G990" s="8"/>
      <c r="H990" s="8"/>
    </row>
    <row r="991" ht="14.25" spans="1:8">
      <c r="A991" s="8"/>
      <c r="B991" s="8"/>
      <c r="C991" s="8"/>
      <c r="D991" s="8"/>
      <c r="E991" s="8"/>
      <c r="F991" s="8"/>
      <c r="G991" s="8"/>
      <c r="H991" s="8"/>
    </row>
    <row r="992" ht="14.25" spans="1:8">
      <c r="A992" s="8"/>
      <c r="B992" s="8"/>
      <c r="C992" s="8"/>
      <c r="D992" s="8"/>
      <c r="E992" s="8"/>
      <c r="F992" s="8"/>
      <c r="G992" s="8"/>
      <c r="H992" s="8"/>
    </row>
    <row r="993" ht="14.25" spans="1:8">
      <c r="A993" s="8"/>
      <c r="B993" s="8"/>
      <c r="C993" s="8"/>
      <c r="D993" s="8"/>
      <c r="E993" s="8"/>
      <c r="F993" s="8"/>
      <c r="G993" s="8"/>
      <c r="H993" s="8"/>
    </row>
    <row r="994" ht="14.25" spans="1:8">
      <c r="A994" s="8"/>
      <c r="B994" s="8"/>
      <c r="C994" s="8"/>
      <c r="D994" s="8"/>
      <c r="E994" s="8"/>
      <c r="F994" s="8"/>
      <c r="G994" s="8"/>
      <c r="H994" s="8"/>
    </row>
    <row r="995" ht="14.25" spans="1:8">
      <c r="A995" s="8"/>
      <c r="B995" s="8"/>
      <c r="C995" s="8"/>
      <c r="D995" s="8"/>
      <c r="E995" s="8"/>
      <c r="F995" s="8"/>
      <c r="G995" s="8"/>
      <c r="H995" s="8"/>
    </row>
    <row r="996" ht="14.25" spans="1:8">
      <c r="A996" s="8"/>
      <c r="B996" s="8"/>
      <c r="C996" s="8"/>
      <c r="D996" s="8"/>
      <c r="E996" s="8"/>
      <c r="F996" s="8"/>
      <c r="G996" s="8"/>
      <c r="H996" s="8"/>
    </row>
    <row r="997" ht="14.25" spans="1:8">
      <c r="A997" s="8"/>
      <c r="B997" s="8"/>
      <c r="C997" s="8"/>
      <c r="D997" s="8"/>
      <c r="E997" s="8"/>
      <c r="F997" s="8"/>
      <c r="G997" s="8"/>
      <c r="H997" s="8"/>
    </row>
    <row r="998" ht="14.25" spans="1:8">
      <c r="A998" s="8"/>
      <c r="B998" s="8"/>
      <c r="C998" s="8"/>
      <c r="D998" s="8"/>
      <c r="E998" s="8"/>
      <c r="F998" s="8"/>
      <c r="G998" s="8"/>
      <c r="H998" s="8"/>
    </row>
    <row r="999" ht="14.25" spans="1:8">
      <c r="A999" s="8"/>
      <c r="B999" s="8"/>
      <c r="C999" s="8"/>
      <c r="D999" s="8"/>
      <c r="E999" s="8"/>
      <c r="F999" s="8"/>
      <c r="G999" s="8"/>
      <c r="H999" s="8"/>
    </row>
    <row r="1000" ht="14.25" spans="1:8">
      <c r="A1000" s="8"/>
      <c r="B1000" s="8"/>
      <c r="C1000" s="8"/>
      <c r="D1000" s="8"/>
      <c r="E1000" s="8"/>
      <c r="F1000" s="8"/>
      <c r="G1000" s="8"/>
      <c r="H1000" s="8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养成属性</vt:lpstr>
      <vt:lpstr>秘宝养成</vt:lpstr>
      <vt:lpstr>秘宝产销</vt:lpstr>
      <vt:lpstr>秘宝配置</vt:lpstr>
      <vt:lpstr>秘宝保底机制</vt:lpstr>
      <vt:lpstr>关卡预期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Ziw</cp:lastModifiedBy>
  <dcterms:created xsi:type="dcterms:W3CDTF">2025-05-08T13:51:00Z</dcterms:created>
  <dcterms:modified xsi:type="dcterms:W3CDTF">2026-07-13T07:08:42Z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214E9D85E9B64E91995CB10CEC731666_12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